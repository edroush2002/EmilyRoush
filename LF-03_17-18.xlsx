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/>
  <mc:AlternateContent xmlns:mc="http://schemas.openxmlformats.org/markup-compatibility/2006">
    <mc:Choice Requires="x15">
      <x15ac:absPath xmlns:x15ac="http://schemas.microsoft.com/office/spreadsheetml/2010/11/ac" url="C:\Users\Agilent\Desktop\MP reports 2025\"/>
    </mc:Choice>
  </mc:AlternateContent>
  <xr:revisionPtr revIDLastSave="19" documentId="8_{3416ADF5-C31C-4B65-8B8C-030F4ABB1580}" xr6:coauthVersionLast="47" xr6:coauthVersionMax="47" xr10:uidLastSave="{7846B581-98E7-4D55-87D0-2BF2FDDA227F}"/>
  <bookViews>
    <workbookView xWindow="-120" yWindow="-120" windowWidth="29040" windowHeight="15720" firstSheet="2" activeTab="3" xr2:uid="{00000000-000D-0000-FFFF-FFFF00000000}"/>
  </bookViews>
  <sheets>
    <sheet name="Info" sheetId="1" r:id="rId1"/>
    <sheet name="Particles" sheetId="2" r:id="rId2"/>
    <sheet name="Particles (2)" sheetId="3" r:id="rId3"/>
    <sheet name="Sheet1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" i="4" l="1" a="1"/>
  <c r="F29" i="4" s="1"/>
  <c r="E29" i="4"/>
  <c r="F28" i="4" a="1"/>
  <c r="F28" i="4" s="1"/>
  <c r="E28" i="4"/>
  <c r="F27" i="4" a="1"/>
  <c r="F27" i="4" s="1"/>
  <c r="E27" i="4"/>
  <c r="F26" i="4" a="1"/>
  <c r="F26" i="4" s="1"/>
  <c r="E26" i="4"/>
  <c r="F25" i="4" a="1"/>
  <c r="F25" i="4" s="1"/>
  <c r="E25" i="4"/>
  <c r="F24" i="4" a="1"/>
  <c r="F24" i="4" s="1"/>
  <c r="E24" i="4"/>
  <c r="F23" i="4" a="1"/>
  <c r="F23" i="4" s="1"/>
  <c r="E23" i="4"/>
  <c r="F22" i="4" a="1"/>
  <c r="F22" i="4" s="1"/>
  <c r="E22" i="4"/>
  <c r="F21" i="4" a="1"/>
  <c r="F21" i="4" s="1"/>
  <c r="E21" i="4"/>
  <c r="F20" i="4" a="1"/>
  <c r="F20" i="4" s="1"/>
  <c r="E20" i="4"/>
  <c r="F19" i="4" a="1"/>
  <c r="F19" i="4" s="1"/>
  <c r="E19" i="4"/>
  <c r="F18" i="4" a="1"/>
  <c r="F18" i="4" s="1"/>
  <c r="E18" i="4"/>
  <c r="F17" i="4" a="1"/>
  <c r="F17" i="4" s="1"/>
  <c r="E17" i="4"/>
  <c r="F16" i="4" a="1"/>
  <c r="F16" i="4" s="1"/>
  <c r="E16" i="4"/>
  <c r="F15" i="4" a="1"/>
  <c r="F15" i="4" s="1"/>
  <c r="E15" i="4"/>
  <c r="F14" i="4" a="1"/>
  <c r="F14" i="4" s="1"/>
  <c r="E14" i="4"/>
  <c r="F13" i="4" a="1"/>
  <c r="F13" i="4" s="1"/>
  <c r="E13" i="4"/>
  <c r="F12" i="4" a="1"/>
  <c r="F12" i="4" s="1"/>
  <c r="E12" i="4"/>
  <c r="F11" i="4" a="1"/>
  <c r="F11" i="4" s="1"/>
  <c r="E11" i="4"/>
  <c r="F10" i="4" a="1"/>
  <c r="F10" i="4" s="1"/>
  <c r="E10" i="4"/>
  <c r="F9" i="4" a="1"/>
  <c r="F9" i="4" s="1"/>
  <c r="E9" i="4"/>
  <c r="F8" i="4" a="1"/>
  <c r="F8" i="4" s="1"/>
  <c r="E8" i="4"/>
  <c r="F7" i="4" a="1"/>
  <c r="F7" i="4" s="1"/>
  <c r="E7" i="4"/>
  <c r="F6" i="4" a="1"/>
  <c r="F6" i="4" s="1"/>
  <c r="E6" i="4"/>
  <c r="F5" i="4" a="1"/>
  <c r="F5" i="4" s="1"/>
  <c r="E5" i="4"/>
  <c r="F4" i="4" a="1"/>
  <c r="F4" i="4" s="1"/>
  <c r="E4" i="4"/>
  <c r="F3" i="4" a="1"/>
  <c r="F3" i="4" s="1"/>
  <c r="E3" i="4"/>
  <c r="F2" i="4" a="1"/>
  <c r="F2" i="4" s="1"/>
  <c r="E2" i="4"/>
  <c r="AW3" i="3"/>
  <c r="AV3" i="3"/>
  <c r="AU3" i="3"/>
  <c r="AT3" i="3"/>
  <c r="AS3" i="3"/>
  <c r="AR3" i="3"/>
  <c r="AQ3" i="3"/>
  <c r="AP3" i="3"/>
  <c r="AO3" i="3"/>
  <c r="AN3" i="3"/>
  <c r="AM3" i="3"/>
  <c r="AL3" i="3"/>
  <c r="AK3" i="3"/>
  <c r="AJ3" i="3"/>
  <c r="AI3" i="3"/>
  <c r="AH3" i="3"/>
  <c r="AG3" i="3"/>
  <c r="AF3" i="3"/>
  <c r="AE3" i="3"/>
  <c r="AD3" i="3"/>
  <c r="AC3" i="3"/>
  <c r="AB3" i="3"/>
  <c r="AA3" i="3"/>
  <c r="Z3" i="3"/>
  <c r="Y3" i="3"/>
  <c r="X3" i="3"/>
  <c r="W3" i="3"/>
  <c r="V3" i="3"/>
  <c r="S29" i="3"/>
  <c r="S28" i="3"/>
  <c r="S27" i="3"/>
  <c r="S26" i="3"/>
  <c r="S25" i="3"/>
  <c r="S24" i="3"/>
  <c r="S23" i="3"/>
  <c r="S22" i="3"/>
  <c r="S21" i="3"/>
  <c r="S20" i="3"/>
  <c r="S19" i="3"/>
  <c r="S18" i="3"/>
  <c r="S17" i="3"/>
  <c r="S16" i="3"/>
  <c r="S15" i="3"/>
  <c r="S14" i="3"/>
  <c r="S13" i="3"/>
  <c r="S12" i="3"/>
  <c r="S11" i="3"/>
  <c r="S10" i="3"/>
  <c r="S9" i="3"/>
  <c r="S8" i="3"/>
  <c r="S7" i="3"/>
  <c r="S6" i="3"/>
  <c r="S5" i="3"/>
  <c r="S4" i="3"/>
  <c r="S3" i="3"/>
  <c r="S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<sst xmlns="http://schemas.openxmlformats.org/spreadsheetml/2006/main" count="30682" uniqueCount="2877">
  <si>
    <t>Sample Name</t>
  </si>
  <si>
    <t>LF-03_17-18_1</t>
  </si>
  <si>
    <t>Analysis Name</t>
  </si>
  <si>
    <t>Particle Analysis</t>
  </si>
  <si>
    <t>Instrument Name</t>
  </si>
  <si>
    <t>Agilent 8700 LDIR Chemical Imaging System</t>
  </si>
  <si>
    <t>Serial</t>
  </si>
  <si>
    <t>MY2326LD01</t>
  </si>
  <si>
    <t>Software</t>
  </si>
  <si>
    <t>Clarity</t>
  </si>
  <si>
    <t>Version</t>
  </si>
  <si>
    <t>1.7.17</t>
  </si>
  <si>
    <t>Analysis Date</t>
  </si>
  <si>
    <t>Report Date</t>
  </si>
  <si>
    <t>Particles Analyzed</t>
  </si>
  <si>
    <t>Wavenumber</t>
  </si>
  <si>
    <t>#</t>
  </si>
  <si>
    <t>Id</t>
  </si>
  <si>
    <t>Width (µm)</t>
  </si>
  <si>
    <t>Height (µm)</t>
  </si>
  <si>
    <t>Diameter (µm)</t>
  </si>
  <si>
    <t>Aspect Ratio</t>
  </si>
  <si>
    <t>Area (µm²)</t>
  </si>
  <si>
    <t>Perimeter (µm)</t>
  </si>
  <si>
    <t>Eccentricity</t>
  </si>
  <si>
    <t>Circularity</t>
  </si>
  <si>
    <t>Solidity</t>
  </si>
  <si>
    <t>Identification</t>
  </si>
  <si>
    <t>Notes</t>
  </si>
  <si>
    <t>Match Type</t>
  </si>
  <si>
    <t>Quality</t>
  </si>
  <si>
    <t>Is Valid</t>
  </si>
  <si>
    <t>A1</t>
  </si>
  <si>
    <t>Cellulosic</t>
  </si>
  <si>
    <t/>
  </si>
  <si>
    <t>Auto</t>
  </si>
  <si>
    <t>true</t>
  </si>
  <si>
    <t>A2</t>
  </si>
  <si>
    <t>Silica</t>
  </si>
  <si>
    <t>A3</t>
  </si>
  <si>
    <t>A4</t>
  </si>
  <si>
    <t>Rubber</t>
  </si>
  <si>
    <t>A5</t>
  </si>
  <si>
    <t>Polyethylene Chlorinated</t>
  </si>
  <si>
    <t>A6</t>
  </si>
  <si>
    <t>A7</t>
  </si>
  <si>
    <t>A8</t>
  </si>
  <si>
    <t>Polypropylene (PP)</t>
  </si>
  <si>
    <t>A9</t>
  </si>
  <si>
    <t>Polyurethane (PU)</t>
  </si>
  <si>
    <t>A10</t>
  </si>
  <si>
    <t>A11</t>
  </si>
  <si>
    <t>A12</t>
  </si>
  <si>
    <t>A13</t>
  </si>
  <si>
    <t>A14</t>
  </si>
  <si>
    <t>A15</t>
  </si>
  <si>
    <t>A16</t>
  </si>
  <si>
    <t>A17</t>
  </si>
  <si>
    <t>Polyvinyl alcohol</t>
  </si>
  <si>
    <t>A18</t>
  </si>
  <si>
    <t>A19</t>
  </si>
  <si>
    <t>Alkyd Varnish</t>
  </si>
  <si>
    <t>A20</t>
  </si>
  <si>
    <t>A21</t>
  </si>
  <si>
    <t>A22</t>
  </si>
  <si>
    <t>A23</t>
  </si>
  <si>
    <t>A24</t>
  </si>
  <si>
    <t>Polycaprolactone</t>
  </si>
  <si>
    <t>A25</t>
  </si>
  <si>
    <t>A26</t>
  </si>
  <si>
    <t>A27</t>
  </si>
  <si>
    <t>A28</t>
  </si>
  <si>
    <t>Chitin</t>
  </si>
  <si>
    <t>A29</t>
  </si>
  <si>
    <t>Polyethylene Terephthalate (PET)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</si>
  <si>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</si>
  <si>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</si>
  <si>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</si>
  <si>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</si>
  <si>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</si>
  <si>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</si>
  <si>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</si>
  <si>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</si>
  <si>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</si>
  <si>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</si>
  <si>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</si>
  <si>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</si>
  <si>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</si>
  <si>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</si>
  <si>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</si>
  <si>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</si>
  <si>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</si>
  <si>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</si>
  <si>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</si>
  <si>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</si>
  <si>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</si>
  <si>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</si>
  <si>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</si>
  <si>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</si>
  <si>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</si>
  <si>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</si>
  <si>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Polytetrafluoroethylene (PTFE)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</si>
  <si>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</si>
  <si>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</si>
  <si>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</si>
  <si>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</si>
  <si>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</si>
  <si>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</si>
  <si>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</si>
  <si>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</si>
  <si>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</si>
  <si>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</si>
  <si>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</si>
  <si>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</si>
  <si>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</si>
  <si>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</si>
  <si>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</si>
  <si>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</si>
  <si>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</si>
  <si>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</si>
  <si>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</si>
  <si>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</si>
  <si>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</si>
  <si>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</si>
  <si>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</si>
  <si>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</si>
  <si>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</si>
  <si>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</si>
  <si>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</si>
  <si>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</si>
  <si>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</si>
  <si>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</si>
  <si>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</si>
  <si>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</si>
  <si>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</si>
  <si>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</si>
  <si>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</si>
  <si>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</si>
  <si>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</si>
  <si>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</si>
  <si>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</si>
  <si>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</si>
  <si>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</si>
  <si>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</si>
  <si>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Polyethylene (PE)</t>
  </si>
  <si>
    <t>A98</t>
  </si>
  <si>
    <t>A99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</si>
  <si>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</si>
  <si>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</si>
  <si>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</si>
  <si>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</si>
  <si>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</si>
  <si>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</si>
  <si>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</si>
  <si>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</si>
  <si>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</si>
  <si>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</si>
  <si>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</si>
  <si>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</si>
  <si>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</si>
  <si>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</si>
  <si>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</si>
  <si>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</si>
  <si>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</si>
  <si>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</si>
  <si>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</si>
  <si>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</si>
  <si>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</si>
  <si>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</si>
  <si>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</si>
  <si>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</si>
  <si>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</si>
  <si>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</si>
  <si>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</si>
  <si>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</si>
  <si>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</si>
  <si>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</si>
  <si>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</si>
  <si>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</si>
  <si>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</si>
  <si>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</si>
  <si>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</si>
  <si>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</si>
  <si>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</si>
  <si>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</si>
  <si>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</si>
  <si>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</si>
  <si>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</si>
  <si>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Natural Polyamide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</si>
  <si>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</si>
  <si>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</si>
  <si>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</si>
  <si>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</si>
  <si>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</si>
  <si>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</si>
  <si>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</si>
  <si>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</si>
  <si>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</si>
  <si>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</si>
  <si>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</si>
  <si>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</si>
  <si>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</si>
  <si>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</si>
  <si>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</si>
  <si>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</si>
  <si>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</si>
  <si>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</si>
  <si>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</si>
  <si>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</si>
  <si>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</si>
  <si>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</si>
  <si>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Acrylates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</si>
  <si>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</si>
  <si>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</si>
  <si>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</si>
  <si>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</si>
  <si>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</si>
  <si>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</si>
  <si>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</si>
  <si>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</si>
  <si>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</si>
  <si>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</si>
  <si>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</si>
  <si>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</si>
  <si>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</si>
  <si>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</si>
  <si>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</si>
  <si>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</si>
  <si>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</si>
  <si>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</si>
  <si>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</si>
  <si>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</si>
  <si>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</si>
  <si>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</si>
  <si>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</si>
  <si>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</si>
  <si>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</si>
  <si>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</si>
  <si>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</si>
  <si>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</si>
  <si>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</si>
  <si>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</si>
  <si>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</si>
  <si>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</si>
  <si>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</si>
  <si>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</si>
  <si>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</si>
  <si>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</si>
  <si>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</si>
  <si>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</si>
  <si>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</si>
  <si>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</si>
  <si>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</si>
  <si>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</si>
  <si>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</si>
  <si>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</si>
  <si>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</si>
  <si>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</si>
  <si>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</si>
  <si>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</si>
  <si>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</si>
  <si>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</si>
  <si>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</si>
  <si>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</si>
  <si>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</si>
  <si>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</si>
  <si>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</si>
  <si>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</si>
  <si>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</si>
  <si>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</si>
  <si>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</si>
  <si>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</si>
  <si>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</si>
  <si>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</si>
  <si>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</si>
  <si>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</si>
  <si>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</si>
  <si>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</si>
  <si>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</si>
  <si>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</si>
  <si>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</si>
  <si>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</si>
  <si>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</si>
  <si>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</si>
  <si>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</si>
  <si>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</si>
  <si>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</si>
  <si>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</si>
  <si>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Polyamide (PA)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</si>
  <si>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</si>
  <si>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</si>
  <si>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</si>
  <si>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</si>
  <si>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</si>
  <si>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</si>
  <si>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</si>
  <si>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</si>
  <si>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</si>
  <si>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Coal</t>
  </si>
  <si>
    <t>A248</t>
  </si>
  <si>
    <t>A249</t>
  </si>
  <si>
    <t>A250</t>
  </si>
  <si>
    <t>A251</t>
  </si>
  <si>
    <t>A252</t>
  </si>
  <si>
    <t>A253</t>
  </si>
  <si>
    <t>A254</t>
  </si>
  <si>
    <t>A255</t>
  </si>
  <si>
    <t>A256</t>
  </si>
  <si>
    <t>A257</t>
  </si>
  <si>
    <t>A258</t>
  </si>
  <si>
    <t>A259</t>
  </si>
  <si>
    <t>A260</t>
  </si>
  <si>
    <t>A261</t>
  </si>
  <si>
    <t>A262</t>
  </si>
  <si>
    <t>A263</t>
  </si>
  <si>
    <t>A264</t>
  </si>
  <si>
    <t>A265</t>
  </si>
  <si>
    <t>A266</t>
  </si>
  <si>
    <t>A267</t>
  </si>
  <si>
    <t>A268</t>
  </si>
  <si>
    <t>A269</t>
  </si>
  <si>
    <t>A270</t>
  </si>
  <si>
    <t>A271</t>
  </si>
  <si>
    <t>A272</t>
  </si>
  <si>
    <t>A273</t>
  </si>
  <si>
    <t>A274</t>
  </si>
  <si>
    <t>A275</t>
  </si>
  <si>
    <t>A276</t>
  </si>
  <si>
    <t>A277</t>
  </si>
  <si>
    <t>A278</t>
  </si>
  <si>
    <t>A279</t>
  </si>
  <si>
    <t>Polycarbonate (PC)</t>
  </si>
  <si>
    <t>A280</t>
  </si>
  <si>
    <t>A281</t>
  </si>
  <si>
    <t>A282</t>
  </si>
  <si>
    <t>A283</t>
  </si>
  <si>
    <t>A284</t>
  </si>
  <si>
    <t>A285</t>
  </si>
  <si>
    <t>A286</t>
  </si>
  <si>
    <t>A287</t>
  </si>
  <si>
    <t>A288</t>
  </si>
  <si>
    <t>A289</t>
  </si>
  <si>
    <t>A290</t>
  </si>
  <si>
    <t>A291</t>
  </si>
  <si>
    <t>A292</t>
  </si>
  <si>
    <t>A293</t>
  </si>
  <si>
    <t>A294</t>
  </si>
  <si>
    <t>A295</t>
  </si>
  <si>
    <t>A296</t>
  </si>
  <si>
    <t>A297</t>
  </si>
  <si>
    <t>A298</t>
  </si>
  <si>
    <t>A299</t>
  </si>
  <si>
    <t>A300</t>
  </si>
  <si>
    <t>A301</t>
  </si>
  <si>
    <t>A302</t>
  </si>
  <si>
    <t>A303</t>
  </si>
  <si>
    <t>A304</t>
  </si>
  <si>
    <t>A305</t>
  </si>
  <si>
    <t>A306</t>
  </si>
  <si>
    <t>A307</t>
  </si>
  <si>
    <t>A308</t>
  </si>
  <si>
    <t>A309</t>
  </si>
  <si>
    <t>A310</t>
  </si>
  <si>
    <t>A311</t>
  </si>
  <si>
    <t>A312</t>
  </si>
  <si>
    <t>A313</t>
  </si>
  <si>
    <t>A314</t>
  </si>
  <si>
    <t>A315</t>
  </si>
  <si>
    <t>A316</t>
  </si>
  <si>
    <t>A317</t>
  </si>
  <si>
    <t>A318</t>
  </si>
  <si>
    <t>A319</t>
  </si>
  <si>
    <t>A320</t>
  </si>
  <si>
    <t>A321</t>
  </si>
  <si>
    <t>A322</t>
  </si>
  <si>
    <t>A323</t>
  </si>
  <si>
    <t>A324</t>
  </si>
  <si>
    <t>A325</t>
  </si>
  <si>
    <t>A326</t>
  </si>
  <si>
    <t>A327</t>
  </si>
  <si>
    <t>A328</t>
  </si>
  <si>
    <t>A329</t>
  </si>
  <si>
    <t>A330</t>
  </si>
  <si>
    <t>A331</t>
  </si>
  <si>
    <t>A332</t>
  </si>
  <si>
    <t>A333</t>
  </si>
  <si>
    <t>A334</t>
  </si>
  <si>
    <t>A335</t>
  </si>
  <si>
    <t>A336</t>
  </si>
  <si>
    <t>A337</t>
  </si>
  <si>
    <t>A338</t>
  </si>
  <si>
    <t>A339</t>
  </si>
  <si>
    <t>A340</t>
  </si>
  <si>
    <t>A341</t>
  </si>
  <si>
    <t>A342</t>
  </si>
  <si>
    <t>A343</t>
  </si>
  <si>
    <t>A344</t>
  </si>
  <si>
    <t>A345</t>
  </si>
  <si>
    <t>A346</t>
  </si>
  <si>
    <t>A347</t>
  </si>
  <si>
    <t>A348</t>
  </si>
  <si>
    <t>A349</t>
  </si>
  <si>
    <t>A350</t>
  </si>
  <si>
    <t>A351</t>
  </si>
  <si>
    <t>A352</t>
  </si>
  <si>
    <t>A353</t>
  </si>
  <si>
    <t>A354</t>
  </si>
  <si>
    <t>A355</t>
  </si>
  <si>
    <t>A356</t>
  </si>
  <si>
    <t>A357</t>
  </si>
  <si>
    <t>A358</t>
  </si>
  <si>
    <t>A359</t>
  </si>
  <si>
    <t>A360</t>
  </si>
  <si>
    <t>A361</t>
  </si>
  <si>
    <t>A362</t>
  </si>
  <si>
    <t>A363</t>
  </si>
  <si>
    <t>A364</t>
  </si>
  <si>
    <t>A365</t>
  </si>
  <si>
    <t>A366</t>
  </si>
  <si>
    <t>A367</t>
  </si>
  <si>
    <t>A368</t>
  </si>
  <si>
    <t>A369</t>
  </si>
  <si>
    <t>A370</t>
  </si>
  <si>
    <t>A371</t>
  </si>
  <si>
    <t>A372</t>
  </si>
  <si>
    <t>A373</t>
  </si>
  <si>
    <t>A374</t>
  </si>
  <si>
    <t>A375</t>
  </si>
  <si>
    <t>A376</t>
  </si>
  <si>
    <t>A377</t>
  </si>
  <si>
    <t>A378</t>
  </si>
  <si>
    <t>A379</t>
  </si>
  <si>
    <t>A380</t>
  </si>
  <si>
    <t>A381</t>
  </si>
  <si>
    <t>A382</t>
  </si>
  <si>
    <t>A383</t>
  </si>
  <si>
    <t>A384</t>
  </si>
  <si>
    <t>A385</t>
  </si>
  <si>
    <t>A386</t>
  </si>
  <si>
    <t>A387</t>
  </si>
  <si>
    <t>A388</t>
  </si>
  <si>
    <t>A389</t>
  </si>
  <si>
    <t>A390</t>
  </si>
  <si>
    <t>A391</t>
  </si>
  <si>
    <t>A392</t>
  </si>
  <si>
    <t>A393</t>
  </si>
  <si>
    <t>A394</t>
  </si>
  <si>
    <t>A395</t>
  </si>
  <si>
    <t>A396</t>
  </si>
  <si>
    <t>A397</t>
  </si>
  <si>
    <t>A398</t>
  </si>
  <si>
    <t>A399</t>
  </si>
  <si>
    <t>A400</t>
  </si>
  <si>
    <t>A401</t>
  </si>
  <si>
    <t>A402</t>
  </si>
  <si>
    <t>A403</t>
  </si>
  <si>
    <t>A404</t>
  </si>
  <si>
    <t>A405</t>
  </si>
  <si>
    <t>A406</t>
  </si>
  <si>
    <t>A407</t>
  </si>
  <si>
    <t>A408</t>
  </si>
  <si>
    <t>A409</t>
  </si>
  <si>
    <t>A410</t>
  </si>
  <si>
    <t>A411</t>
  </si>
  <si>
    <t>A412</t>
  </si>
  <si>
    <t>A413</t>
  </si>
  <si>
    <t>A414</t>
  </si>
  <si>
    <t>A415</t>
  </si>
  <si>
    <t>A416</t>
  </si>
  <si>
    <t>A417</t>
  </si>
  <si>
    <t>A418</t>
  </si>
  <si>
    <t>A419</t>
  </si>
  <si>
    <t>A420</t>
  </si>
  <si>
    <t>A421</t>
  </si>
  <si>
    <t>A422</t>
  </si>
  <si>
    <t>A423</t>
  </si>
  <si>
    <t>A424</t>
  </si>
  <si>
    <t>A425</t>
  </si>
  <si>
    <t>A426</t>
  </si>
  <si>
    <t>A427</t>
  </si>
  <si>
    <t>A428</t>
  </si>
  <si>
    <t>A429</t>
  </si>
  <si>
    <t>A430</t>
  </si>
  <si>
    <t>A431</t>
  </si>
  <si>
    <t>A432</t>
  </si>
  <si>
    <t>A433</t>
  </si>
  <si>
    <t>A434</t>
  </si>
  <si>
    <t>A435</t>
  </si>
  <si>
    <t>A436</t>
  </si>
  <si>
    <t>A437</t>
  </si>
  <si>
    <t>A438</t>
  </si>
  <si>
    <t>A439</t>
  </si>
  <si>
    <t>A440</t>
  </si>
  <si>
    <t>A441</t>
  </si>
  <si>
    <t>A442</t>
  </si>
  <si>
    <t>A443</t>
  </si>
  <si>
    <t>A444</t>
  </si>
  <si>
    <t>A445</t>
  </si>
  <si>
    <t>A446</t>
  </si>
  <si>
    <t>A447</t>
  </si>
  <si>
    <t>A448</t>
  </si>
  <si>
    <t>A449</t>
  </si>
  <si>
    <t>A450</t>
  </si>
  <si>
    <t>A451</t>
  </si>
  <si>
    <t>A452</t>
  </si>
  <si>
    <t>A453</t>
  </si>
  <si>
    <t>A454</t>
  </si>
  <si>
    <t>A455</t>
  </si>
  <si>
    <t>A456</t>
  </si>
  <si>
    <t>A457</t>
  </si>
  <si>
    <t>A458</t>
  </si>
  <si>
    <t>A459</t>
  </si>
  <si>
    <t>A460</t>
  </si>
  <si>
    <t>A461</t>
  </si>
  <si>
    <t>A462</t>
  </si>
  <si>
    <t>A463</t>
  </si>
  <si>
    <t>A464</t>
  </si>
  <si>
    <t>A465</t>
  </si>
  <si>
    <t>A466</t>
  </si>
  <si>
    <t>A467</t>
  </si>
  <si>
    <t>A468</t>
  </si>
  <si>
    <t>A469</t>
  </si>
  <si>
    <t>A470</t>
  </si>
  <si>
    <t>A471</t>
  </si>
  <si>
    <t>A472</t>
  </si>
  <si>
    <t>A473</t>
  </si>
  <si>
    <t>A474</t>
  </si>
  <si>
    <t>A475</t>
  </si>
  <si>
    <t>A476</t>
  </si>
  <si>
    <t>A477</t>
  </si>
  <si>
    <t>A478</t>
  </si>
  <si>
    <t>A479</t>
  </si>
  <si>
    <t>A480</t>
  </si>
  <si>
    <t>A481</t>
  </si>
  <si>
    <t>A482</t>
  </si>
  <si>
    <t>A483</t>
  </si>
  <si>
    <t>A484</t>
  </si>
  <si>
    <t>A485</t>
  </si>
  <si>
    <t>A486</t>
  </si>
  <si>
    <t>A487</t>
  </si>
  <si>
    <t>A488</t>
  </si>
  <si>
    <t>A489</t>
  </si>
  <si>
    <t>A490</t>
  </si>
  <si>
    <t>A491</t>
  </si>
  <si>
    <t>A492</t>
  </si>
  <si>
    <t>A493</t>
  </si>
  <si>
    <t>A494</t>
  </si>
  <si>
    <t>A495</t>
  </si>
  <si>
    <t>A496</t>
  </si>
  <si>
    <t>A497</t>
  </si>
  <si>
    <t>A498</t>
  </si>
  <si>
    <t>A499</t>
  </si>
  <si>
    <t>A500</t>
  </si>
  <si>
    <t>A501</t>
  </si>
  <si>
    <t>A502</t>
  </si>
  <si>
    <t>A503</t>
  </si>
  <si>
    <t>A504</t>
  </si>
  <si>
    <t>A505</t>
  </si>
  <si>
    <t>A506</t>
  </si>
  <si>
    <t>A507</t>
  </si>
  <si>
    <t>A508</t>
  </si>
  <si>
    <t>A509</t>
  </si>
  <si>
    <t>A510</t>
  </si>
  <si>
    <t>A511</t>
  </si>
  <si>
    <t>A512</t>
  </si>
  <si>
    <t>A513</t>
  </si>
  <si>
    <t>A514</t>
  </si>
  <si>
    <t>A515</t>
  </si>
  <si>
    <t>A516</t>
  </si>
  <si>
    <t>A517</t>
  </si>
  <si>
    <t>A518</t>
  </si>
  <si>
    <t>A519</t>
  </si>
  <si>
    <t>A520</t>
  </si>
  <si>
    <t>A521</t>
  </si>
  <si>
    <t>A522</t>
  </si>
  <si>
    <t>A523</t>
  </si>
  <si>
    <t>A524</t>
  </si>
  <si>
    <t>A525</t>
  </si>
  <si>
    <t>A526</t>
  </si>
  <si>
    <t>A527</t>
  </si>
  <si>
    <t>A528</t>
  </si>
  <si>
    <t>A529</t>
  </si>
  <si>
    <t>A530</t>
  </si>
  <si>
    <t>A531</t>
  </si>
  <si>
    <t>A532</t>
  </si>
  <si>
    <t>A533</t>
  </si>
  <si>
    <t>A534</t>
  </si>
  <si>
    <t>A535</t>
  </si>
  <si>
    <t>A536</t>
  </si>
  <si>
    <t>A537</t>
  </si>
  <si>
    <t>A538</t>
  </si>
  <si>
    <t>A539</t>
  </si>
  <si>
    <t>A540</t>
  </si>
  <si>
    <t>A541</t>
  </si>
  <si>
    <t>A542</t>
  </si>
  <si>
    <t>A543</t>
  </si>
  <si>
    <t>A544</t>
  </si>
  <si>
    <t>A545</t>
  </si>
  <si>
    <t>A546</t>
  </si>
  <si>
    <t>A547</t>
  </si>
  <si>
    <t>A548</t>
  </si>
  <si>
    <t>A549</t>
  </si>
  <si>
    <t>A550</t>
  </si>
  <si>
    <t>A551</t>
  </si>
  <si>
    <t>A552</t>
  </si>
  <si>
    <t>A553</t>
  </si>
  <si>
    <t>A554</t>
  </si>
  <si>
    <t>A555</t>
  </si>
  <si>
    <t>A556</t>
  </si>
  <si>
    <t>A557</t>
  </si>
  <si>
    <t>A558</t>
  </si>
  <si>
    <t>A559</t>
  </si>
  <si>
    <t>A560</t>
  </si>
  <si>
    <t>A561</t>
  </si>
  <si>
    <t>A562</t>
  </si>
  <si>
    <t>A563</t>
  </si>
  <si>
    <t>A564</t>
  </si>
  <si>
    <t>A565</t>
  </si>
  <si>
    <t>A566</t>
  </si>
  <si>
    <t>A567</t>
  </si>
  <si>
    <t>A568</t>
  </si>
  <si>
    <t>A569</t>
  </si>
  <si>
    <t>A570</t>
  </si>
  <si>
    <t>A571</t>
  </si>
  <si>
    <t>A572</t>
  </si>
  <si>
    <t>A573</t>
  </si>
  <si>
    <t>A574</t>
  </si>
  <si>
    <t>A575</t>
  </si>
  <si>
    <t>A576</t>
  </si>
  <si>
    <t>A577</t>
  </si>
  <si>
    <t>A578</t>
  </si>
  <si>
    <t>A579</t>
  </si>
  <si>
    <t>A580</t>
  </si>
  <si>
    <t>A581</t>
  </si>
  <si>
    <t>A582</t>
  </si>
  <si>
    <t>A583</t>
  </si>
  <si>
    <t>A584</t>
  </si>
  <si>
    <t>A585</t>
  </si>
  <si>
    <t>A586</t>
  </si>
  <si>
    <t>A587</t>
  </si>
  <si>
    <t>A588</t>
  </si>
  <si>
    <t>A589</t>
  </si>
  <si>
    <t>A590</t>
  </si>
  <si>
    <t>A591</t>
  </si>
  <si>
    <t>A592</t>
  </si>
  <si>
    <t>A593</t>
  </si>
  <si>
    <t>A594</t>
  </si>
  <si>
    <t>A595</t>
  </si>
  <si>
    <t>A596</t>
  </si>
  <si>
    <t>A597</t>
  </si>
  <si>
    <t>A598</t>
  </si>
  <si>
    <t>A599</t>
  </si>
  <si>
    <t>A600</t>
  </si>
  <si>
    <t>A601</t>
  </si>
  <si>
    <t>A602</t>
  </si>
  <si>
    <t>A603</t>
  </si>
  <si>
    <t>A604</t>
  </si>
  <si>
    <t>A605</t>
  </si>
  <si>
    <t>A606</t>
  </si>
  <si>
    <t>A607</t>
  </si>
  <si>
    <t>A608</t>
  </si>
  <si>
    <t>A609</t>
  </si>
  <si>
    <t>A610</t>
  </si>
  <si>
    <t>A611</t>
  </si>
  <si>
    <t>A612</t>
  </si>
  <si>
    <t>A613</t>
  </si>
  <si>
    <t>A614</t>
  </si>
  <si>
    <t>A615</t>
  </si>
  <si>
    <t>A616</t>
  </si>
  <si>
    <t>A617</t>
  </si>
  <si>
    <t>A618</t>
  </si>
  <si>
    <t>A619</t>
  </si>
  <si>
    <t>A620</t>
  </si>
  <si>
    <t>A621</t>
  </si>
  <si>
    <t>A622</t>
  </si>
  <si>
    <t>A623</t>
  </si>
  <si>
    <t>A624</t>
  </si>
  <si>
    <t>A625</t>
  </si>
  <si>
    <t>A626</t>
  </si>
  <si>
    <t>A627</t>
  </si>
  <si>
    <t>A628</t>
  </si>
  <si>
    <t>A629</t>
  </si>
  <si>
    <t>A630</t>
  </si>
  <si>
    <t>A631</t>
  </si>
  <si>
    <t>A632</t>
  </si>
  <si>
    <t>A633</t>
  </si>
  <si>
    <t>A634</t>
  </si>
  <si>
    <t>A635</t>
  </si>
  <si>
    <t>A636</t>
  </si>
  <si>
    <t>A637</t>
  </si>
  <si>
    <t>A638</t>
  </si>
  <si>
    <t>A639</t>
  </si>
  <si>
    <t>A640</t>
  </si>
  <si>
    <t>A641</t>
  </si>
  <si>
    <t>A642</t>
  </si>
  <si>
    <t>Filter 2 starts here</t>
  </si>
  <si>
    <t>A643</t>
  </si>
  <si>
    <t>A644</t>
  </si>
  <si>
    <t>A645</t>
  </si>
  <si>
    <t>A646</t>
  </si>
  <si>
    <t>A647</t>
  </si>
  <si>
    <t>A648</t>
  </si>
  <si>
    <t>A649</t>
  </si>
  <si>
    <t>A650</t>
  </si>
  <si>
    <t>A651</t>
  </si>
  <si>
    <t>A652</t>
  </si>
  <si>
    <t>A653</t>
  </si>
  <si>
    <t>A654</t>
  </si>
  <si>
    <t>A655</t>
  </si>
  <si>
    <t>A656</t>
  </si>
  <si>
    <t>A657</t>
  </si>
  <si>
    <t>A658</t>
  </si>
  <si>
    <t>A659</t>
  </si>
  <si>
    <t>A660</t>
  </si>
  <si>
    <t>A661</t>
  </si>
  <si>
    <t>A662</t>
  </si>
  <si>
    <t>A663</t>
  </si>
  <si>
    <t>A664</t>
  </si>
  <si>
    <t>A665</t>
  </si>
  <si>
    <t>A666</t>
  </si>
  <si>
    <t>A667</t>
  </si>
  <si>
    <t>A668</t>
  </si>
  <si>
    <t>A669</t>
  </si>
  <si>
    <t>A670</t>
  </si>
  <si>
    <t>A671</t>
  </si>
  <si>
    <t>A672</t>
  </si>
  <si>
    <t>A673</t>
  </si>
  <si>
    <t>A674</t>
  </si>
  <si>
    <t>A675</t>
  </si>
  <si>
    <t>A676</t>
  </si>
  <si>
    <t>A677</t>
  </si>
  <si>
    <t>A678</t>
  </si>
  <si>
    <t>A679</t>
  </si>
  <si>
    <t>A680</t>
  </si>
  <si>
    <t>A681</t>
  </si>
  <si>
    <t>A682</t>
  </si>
  <si>
    <t>A683</t>
  </si>
  <si>
    <t>A684</t>
  </si>
  <si>
    <t>A685</t>
  </si>
  <si>
    <t>A686</t>
  </si>
  <si>
    <t>A687</t>
  </si>
  <si>
    <t>A688</t>
  </si>
  <si>
    <t>A689</t>
  </si>
  <si>
    <t>A690</t>
  </si>
  <si>
    <t>A691</t>
  </si>
  <si>
    <t>A692</t>
  </si>
  <si>
    <t>A693</t>
  </si>
  <si>
    <t>A694</t>
  </si>
  <si>
    <t>A695</t>
  </si>
  <si>
    <t>A696</t>
  </si>
  <si>
    <t>A697</t>
  </si>
  <si>
    <t>A698</t>
  </si>
  <si>
    <t>A699</t>
  </si>
  <si>
    <t>A700</t>
  </si>
  <si>
    <t>A701</t>
  </si>
  <si>
    <t>A702</t>
  </si>
  <si>
    <t>A703</t>
  </si>
  <si>
    <t>A704</t>
  </si>
  <si>
    <t>A705</t>
  </si>
  <si>
    <t>A706</t>
  </si>
  <si>
    <t>A707</t>
  </si>
  <si>
    <t>A708</t>
  </si>
  <si>
    <t>A709</t>
  </si>
  <si>
    <t>A710</t>
  </si>
  <si>
    <t>A711</t>
  </si>
  <si>
    <t>A712</t>
  </si>
  <si>
    <t>A713</t>
  </si>
  <si>
    <t>A714</t>
  </si>
  <si>
    <t>A715</t>
  </si>
  <si>
    <t>A716</t>
  </si>
  <si>
    <t>A717</t>
  </si>
  <si>
    <t>A718</t>
  </si>
  <si>
    <t>A719</t>
  </si>
  <si>
    <t>A720</t>
  </si>
  <si>
    <t>A721</t>
  </si>
  <si>
    <t>A722</t>
  </si>
  <si>
    <t>A723</t>
  </si>
  <si>
    <t>A724</t>
  </si>
  <si>
    <t>A725</t>
  </si>
  <si>
    <t>A726</t>
  </si>
  <si>
    <t>A727</t>
  </si>
  <si>
    <t>A728</t>
  </si>
  <si>
    <t>A729</t>
  </si>
  <si>
    <t>A730</t>
  </si>
  <si>
    <t>A731</t>
  </si>
  <si>
    <t>A732</t>
  </si>
  <si>
    <t>A733</t>
  </si>
  <si>
    <t>A734</t>
  </si>
  <si>
    <t>A735</t>
  </si>
  <si>
    <t>A736</t>
  </si>
  <si>
    <t>A737</t>
  </si>
  <si>
    <t>A738</t>
  </si>
  <si>
    <t>A739</t>
  </si>
  <si>
    <t>A740</t>
  </si>
  <si>
    <t>A741</t>
  </si>
  <si>
    <t>A742</t>
  </si>
  <si>
    <t>A743</t>
  </si>
  <si>
    <t>A744</t>
  </si>
  <si>
    <t>A745</t>
  </si>
  <si>
    <t>A746</t>
  </si>
  <si>
    <t>A747</t>
  </si>
  <si>
    <t>A748</t>
  </si>
  <si>
    <t>A749</t>
  </si>
  <si>
    <t>A750</t>
  </si>
  <si>
    <t>A751</t>
  </si>
  <si>
    <t>A752</t>
  </si>
  <si>
    <t>A753</t>
  </si>
  <si>
    <t>A754</t>
  </si>
  <si>
    <t>A755</t>
  </si>
  <si>
    <t>A756</t>
  </si>
  <si>
    <t>A757</t>
  </si>
  <si>
    <t>A758</t>
  </si>
  <si>
    <t>A759</t>
  </si>
  <si>
    <t>A760</t>
  </si>
  <si>
    <t>A761</t>
  </si>
  <si>
    <t>A762</t>
  </si>
  <si>
    <t>A763</t>
  </si>
  <si>
    <t>A764</t>
  </si>
  <si>
    <t>A765</t>
  </si>
  <si>
    <t>A766</t>
  </si>
  <si>
    <t>A767</t>
  </si>
  <si>
    <t>A768</t>
  </si>
  <si>
    <t>A769</t>
  </si>
  <si>
    <t>A770</t>
  </si>
  <si>
    <t>A771</t>
  </si>
  <si>
    <t>A772</t>
  </si>
  <si>
    <t>A773</t>
  </si>
  <si>
    <t>A774</t>
  </si>
  <si>
    <t>A775</t>
  </si>
  <si>
    <t>A776</t>
  </si>
  <si>
    <t>Polyvinylchloride (PVC)</t>
  </si>
  <si>
    <t>A777</t>
  </si>
  <si>
    <t>A778</t>
  </si>
  <si>
    <t>A779</t>
  </si>
  <si>
    <t>A780</t>
  </si>
  <si>
    <t>A781</t>
  </si>
  <si>
    <t>A782</t>
  </si>
  <si>
    <t>A783</t>
  </si>
  <si>
    <t>A784</t>
  </si>
  <si>
    <t>A785</t>
  </si>
  <si>
    <t>A786</t>
  </si>
  <si>
    <t>A787</t>
  </si>
  <si>
    <t>A788</t>
  </si>
  <si>
    <t>A789</t>
  </si>
  <si>
    <t>A790</t>
  </si>
  <si>
    <t>A791</t>
  </si>
  <si>
    <t>A792</t>
  </si>
  <si>
    <t>A793</t>
  </si>
  <si>
    <t>A794</t>
  </si>
  <si>
    <t>A795</t>
  </si>
  <si>
    <t>A796</t>
  </si>
  <si>
    <t>A797</t>
  </si>
  <si>
    <t>A798</t>
  </si>
  <si>
    <t>A799</t>
  </si>
  <si>
    <t>A800</t>
  </si>
  <si>
    <t>A801</t>
  </si>
  <si>
    <t>A802</t>
  </si>
  <si>
    <t>A803</t>
  </si>
  <si>
    <t>A804</t>
  </si>
  <si>
    <t>A805</t>
  </si>
  <si>
    <t>A806</t>
  </si>
  <si>
    <t>A807</t>
  </si>
  <si>
    <t>A808</t>
  </si>
  <si>
    <t>A809</t>
  </si>
  <si>
    <t>A810</t>
  </si>
  <si>
    <t>A811</t>
  </si>
  <si>
    <t>A812</t>
  </si>
  <si>
    <t>A813</t>
  </si>
  <si>
    <t>A814</t>
  </si>
  <si>
    <t>A815</t>
  </si>
  <si>
    <t>A816</t>
  </si>
  <si>
    <t>A817</t>
  </si>
  <si>
    <t>A818</t>
  </si>
  <si>
    <t>Cellulose Acetate</t>
  </si>
  <si>
    <t>A819</t>
  </si>
  <si>
    <t>A820</t>
  </si>
  <si>
    <t>A821</t>
  </si>
  <si>
    <t>A822</t>
  </si>
  <si>
    <t>A823</t>
  </si>
  <si>
    <t>A824</t>
  </si>
  <si>
    <t>A825</t>
  </si>
  <si>
    <t>A826</t>
  </si>
  <si>
    <t>A827</t>
  </si>
  <si>
    <t>A828</t>
  </si>
  <si>
    <t>A829</t>
  </si>
  <si>
    <t>A830</t>
  </si>
  <si>
    <t>A831</t>
  </si>
  <si>
    <t>A832</t>
  </si>
  <si>
    <t>A833</t>
  </si>
  <si>
    <t>A834</t>
  </si>
  <si>
    <t>A835</t>
  </si>
  <si>
    <t>A836</t>
  </si>
  <si>
    <t>A837</t>
  </si>
  <si>
    <t>Acrylonitrile Butadiene</t>
  </si>
  <si>
    <t>A838</t>
  </si>
  <si>
    <t>A839</t>
  </si>
  <si>
    <t>A840</t>
  </si>
  <si>
    <t>A841</t>
  </si>
  <si>
    <t>A842</t>
  </si>
  <si>
    <t>A843</t>
  </si>
  <si>
    <t>A844</t>
  </si>
  <si>
    <t>A845</t>
  </si>
  <si>
    <t>A846</t>
  </si>
  <si>
    <t>A847</t>
  </si>
  <si>
    <t>A848</t>
  </si>
  <si>
    <t>A849</t>
  </si>
  <si>
    <t>A850</t>
  </si>
  <si>
    <t>A851</t>
  </si>
  <si>
    <t>A852</t>
  </si>
  <si>
    <t>A853</t>
  </si>
  <si>
    <t>A854</t>
  </si>
  <si>
    <t>A855</t>
  </si>
  <si>
    <t>A856</t>
  </si>
  <si>
    <t>A857</t>
  </si>
  <si>
    <t>A858</t>
  </si>
  <si>
    <t>A859</t>
  </si>
  <si>
    <t>A860</t>
  </si>
  <si>
    <t>A861</t>
  </si>
  <si>
    <t>A862</t>
  </si>
  <si>
    <t>A863</t>
  </si>
  <si>
    <t>A864</t>
  </si>
  <si>
    <t>A865</t>
  </si>
  <si>
    <t>A866</t>
  </si>
  <si>
    <t>A867</t>
  </si>
  <si>
    <t>A868</t>
  </si>
  <si>
    <t>A869</t>
  </si>
  <si>
    <t>A870</t>
  </si>
  <si>
    <t>A871</t>
  </si>
  <si>
    <t>A872</t>
  </si>
  <si>
    <t>A873</t>
  </si>
  <si>
    <t>A874</t>
  </si>
  <si>
    <t>A875</t>
  </si>
  <si>
    <t>A876</t>
  </si>
  <si>
    <t>A877</t>
  </si>
  <si>
    <t>A878</t>
  </si>
  <si>
    <t>A879</t>
  </si>
  <si>
    <t>A880</t>
  </si>
  <si>
    <t>A881</t>
  </si>
  <si>
    <t>A882</t>
  </si>
  <si>
    <t>A883</t>
  </si>
  <si>
    <t>A884</t>
  </si>
  <si>
    <t>A885</t>
  </si>
  <si>
    <t>A886</t>
  </si>
  <si>
    <t>A887</t>
  </si>
  <si>
    <t>A888</t>
  </si>
  <si>
    <t>A889</t>
  </si>
  <si>
    <t>A890</t>
  </si>
  <si>
    <t>A891</t>
  </si>
  <si>
    <t>A892</t>
  </si>
  <si>
    <t>A893</t>
  </si>
  <si>
    <t>A894</t>
  </si>
  <si>
    <t>A895</t>
  </si>
  <si>
    <t>A896</t>
  </si>
  <si>
    <t>A897</t>
  </si>
  <si>
    <t>A898</t>
  </si>
  <si>
    <t>A899</t>
  </si>
  <si>
    <t>A900</t>
  </si>
  <si>
    <t>Ethylene Vinyl Acetate (EVA)</t>
  </si>
  <si>
    <t>A901</t>
  </si>
  <si>
    <t>A902</t>
  </si>
  <si>
    <t>A903</t>
  </si>
  <si>
    <t>A904</t>
  </si>
  <si>
    <t>A905</t>
  </si>
  <si>
    <t>A906</t>
  </si>
  <si>
    <t>A907</t>
  </si>
  <si>
    <t>A908</t>
  </si>
  <si>
    <t>A909</t>
  </si>
  <si>
    <t>A910</t>
  </si>
  <si>
    <t>A911</t>
  </si>
  <si>
    <t>A912</t>
  </si>
  <si>
    <t>A913</t>
  </si>
  <si>
    <t>A914</t>
  </si>
  <si>
    <t>A915</t>
  </si>
  <si>
    <t>A916</t>
  </si>
  <si>
    <t>A917</t>
  </si>
  <si>
    <t>A918</t>
  </si>
  <si>
    <t>A919</t>
  </si>
  <si>
    <t>A920</t>
  </si>
  <si>
    <t>A921</t>
  </si>
  <si>
    <t>A922</t>
  </si>
  <si>
    <t>A923</t>
  </si>
  <si>
    <t>A924</t>
  </si>
  <si>
    <t>A925</t>
  </si>
  <si>
    <t>A926</t>
  </si>
  <si>
    <t>A927</t>
  </si>
  <si>
    <t>A928</t>
  </si>
  <si>
    <t>A929</t>
  </si>
  <si>
    <t>A930</t>
  </si>
  <si>
    <t>A931</t>
  </si>
  <si>
    <t>A932</t>
  </si>
  <si>
    <t>A933</t>
  </si>
  <si>
    <t>A934</t>
  </si>
  <si>
    <t>A935</t>
  </si>
  <si>
    <t>A936</t>
  </si>
  <si>
    <t>A937</t>
  </si>
  <si>
    <t>A938</t>
  </si>
  <si>
    <t>A939</t>
  </si>
  <si>
    <t>A940</t>
  </si>
  <si>
    <t>A941</t>
  </si>
  <si>
    <t>A942</t>
  </si>
  <si>
    <t>A943</t>
  </si>
  <si>
    <t>A944</t>
  </si>
  <si>
    <t>A945</t>
  </si>
  <si>
    <t>A946</t>
  </si>
  <si>
    <t>A947</t>
  </si>
  <si>
    <t>A948</t>
  </si>
  <si>
    <t>A949</t>
  </si>
  <si>
    <t>A950</t>
  </si>
  <si>
    <t>A951</t>
  </si>
  <si>
    <t>A952</t>
  </si>
  <si>
    <t>A953</t>
  </si>
  <si>
    <t>A954</t>
  </si>
  <si>
    <t>A955</t>
  </si>
  <si>
    <t>A956</t>
  </si>
  <si>
    <t>A957</t>
  </si>
  <si>
    <t>A958</t>
  </si>
  <si>
    <t>A959</t>
  </si>
  <si>
    <t>A960</t>
  </si>
  <si>
    <t>A961</t>
  </si>
  <si>
    <t>A962</t>
  </si>
  <si>
    <t>A963</t>
  </si>
  <si>
    <t>A964</t>
  </si>
  <si>
    <t>A965</t>
  </si>
  <si>
    <t>A966</t>
  </si>
  <si>
    <t>A967</t>
  </si>
  <si>
    <t>A968</t>
  </si>
  <si>
    <t>A969</t>
  </si>
  <si>
    <t>A970</t>
  </si>
  <si>
    <t>A971</t>
  </si>
  <si>
    <t>A972</t>
  </si>
  <si>
    <t>A973</t>
  </si>
  <si>
    <t>A974</t>
  </si>
  <si>
    <t>A975</t>
  </si>
  <si>
    <t>A976</t>
  </si>
  <si>
    <t>A977</t>
  </si>
  <si>
    <t>A978</t>
  </si>
  <si>
    <t>A979</t>
  </si>
  <si>
    <t>A980</t>
  </si>
  <si>
    <t>Polymethylmethacrylate (PMMA)</t>
  </si>
  <si>
    <t>A981</t>
  </si>
  <si>
    <t>A982</t>
  </si>
  <si>
    <t>A983</t>
  </si>
  <si>
    <t>A984</t>
  </si>
  <si>
    <t>A985</t>
  </si>
  <si>
    <t>A986</t>
  </si>
  <si>
    <t>A987</t>
  </si>
  <si>
    <t>A988</t>
  </si>
  <si>
    <t>A989</t>
  </si>
  <si>
    <t>A990</t>
  </si>
  <si>
    <t>A991</t>
  </si>
  <si>
    <t>A992</t>
  </si>
  <si>
    <t>A993</t>
  </si>
  <si>
    <t>A994</t>
  </si>
  <si>
    <t>A995</t>
  </si>
  <si>
    <t>A996</t>
  </si>
  <si>
    <t>A997</t>
  </si>
  <si>
    <t>A998</t>
  </si>
  <si>
    <t>A999</t>
  </si>
  <si>
    <t>A1000</t>
  </si>
  <si>
    <t>A1001</t>
  </si>
  <si>
    <t>A1002</t>
  </si>
  <si>
    <t>A1003</t>
  </si>
  <si>
    <t>A1004</t>
  </si>
  <si>
    <t>A1005</t>
  </si>
  <si>
    <t>A1006</t>
  </si>
  <si>
    <t>A1007</t>
  </si>
  <si>
    <t>A1008</t>
  </si>
  <si>
    <t>A1009</t>
  </si>
  <si>
    <t>A1010</t>
  </si>
  <si>
    <t>A1011</t>
  </si>
  <si>
    <t>A1012</t>
  </si>
  <si>
    <t>A1013</t>
  </si>
  <si>
    <t>Cellulose chemically modified</t>
  </si>
  <si>
    <t>A1014</t>
  </si>
  <si>
    <t>A1015</t>
  </si>
  <si>
    <t>A1016</t>
  </si>
  <si>
    <t>A1017</t>
  </si>
  <si>
    <t>A1018</t>
  </si>
  <si>
    <t>A1019</t>
  </si>
  <si>
    <t>A1020</t>
  </si>
  <si>
    <t>A1021</t>
  </si>
  <si>
    <t>A1022</t>
  </si>
  <si>
    <t>A1023</t>
  </si>
  <si>
    <t>A1024</t>
  </si>
  <si>
    <t>A1025</t>
  </si>
  <si>
    <t>A1026</t>
  </si>
  <si>
    <t>A1027</t>
  </si>
  <si>
    <t>A1028</t>
  </si>
  <si>
    <t>A1029</t>
  </si>
  <si>
    <t>A1030</t>
  </si>
  <si>
    <t>A1031</t>
  </si>
  <si>
    <t>A1032</t>
  </si>
  <si>
    <t>A1033</t>
  </si>
  <si>
    <t>A1034</t>
  </si>
  <si>
    <t>A1035</t>
  </si>
  <si>
    <t>A1036</t>
  </si>
  <si>
    <t>A1037</t>
  </si>
  <si>
    <t>A1038</t>
  </si>
  <si>
    <t>A1039</t>
  </si>
  <si>
    <t>A1040</t>
  </si>
  <si>
    <t>A1041</t>
  </si>
  <si>
    <t>A1042</t>
  </si>
  <si>
    <t>A1043</t>
  </si>
  <si>
    <t>A1044</t>
  </si>
  <si>
    <t>A1045</t>
  </si>
  <si>
    <t>A1046</t>
  </si>
  <si>
    <t>A1047</t>
  </si>
  <si>
    <t>A1048</t>
  </si>
  <si>
    <t>A1049</t>
  </si>
  <si>
    <t>A1050</t>
  </si>
  <si>
    <t>A1051</t>
  </si>
  <si>
    <t>A1052</t>
  </si>
  <si>
    <t>A1053</t>
  </si>
  <si>
    <t>A1054</t>
  </si>
  <si>
    <t>A1055</t>
  </si>
  <si>
    <t>A1056</t>
  </si>
  <si>
    <t>A1057</t>
  </si>
  <si>
    <t>A1058</t>
  </si>
  <si>
    <t>A1059</t>
  </si>
  <si>
    <t>A1060</t>
  </si>
  <si>
    <t>A1061</t>
  </si>
  <si>
    <t>A1062</t>
  </si>
  <si>
    <t>A1063</t>
  </si>
  <si>
    <t>A1064</t>
  </si>
  <si>
    <t>A1065</t>
  </si>
  <si>
    <t>A1066</t>
  </si>
  <si>
    <t>A1067</t>
  </si>
  <si>
    <t>A1068</t>
  </si>
  <si>
    <t>A1069</t>
  </si>
  <si>
    <t>A1070</t>
  </si>
  <si>
    <t>A1071</t>
  </si>
  <si>
    <t>A1072</t>
  </si>
  <si>
    <t>A1073</t>
  </si>
  <si>
    <t>A1074</t>
  </si>
  <si>
    <t>A1075</t>
  </si>
  <si>
    <t>A1076</t>
  </si>
  <si>
    <t>A1077</t>
  </si>
  <si>
    <t>A1078</t>
  </si>
  <si>
    <t>A1079</t>
  </si>
  <si>
    <t>A1080</t>
  </si>
  <si>
    <t>A1081</t>
  </si>
  <si>
    <t>A1082</t>
  </si>
  <si>
    <t>A1083</t>
  </si>
  <si>
    <t>A1084</t>
  </si>
  <si>
    <t>A1085</t>
  </si>
  <si>
    <t>A1086</t>
  </si>
  <si>
    <t>A1087</t>
  </si>
  <si>
    <t>A1088</t>
  </si>
  <si>
    <t>A1089</t>
  </si>
  <si>
    <t>A1090</t>
  </si>
  <si>
    <t>A1091</t>
  </si>
  <si>
    <t>A1092</t>
  </si>
  <si>
    <t>A1093</t>
  </si>
  <si>
    <t>A1094</t>
  </si>
  <si>
    <t>A1095</t>
  </si>
  <si>
    <t>A1096</t>
  </si>
  <si>
    <t>A1097</t>
  </si>
  <si>
    <t>A1098</t>
  </si>
  <si>
    <t>A1099</t>
  </si>
  <si>
    <t>A1100</t>
  </si>
  <si>
    <t>A1101</t>
  </si>
  <si>
    <t>A1102</t>
  </si>
  <si>
    <t>A1103</t>
  </si>
  <si>
    <t>A1104</t>
  </si>
  <si>
    <t>A1105</t>
  </si>
  <si>
    <t>A1106</t>
  </si>
  <si>
    <t>A1107</t>
  </si>
  <si>
    <t>A1108</t>
  </si>
  <si>
    <t>A1109</t>
  </si>
  <si>
    <t>A1110</t>
  </si>
  <si>
    <t>A1111</t>
  </si>
  <si>
    <t>A1112</t>
  </si>
  <si>
    <t>A1113</t>
  </si>
  <si>
    <t>A1114</t>
  </si>
  <si>
    <t>A1115</t>
  </si>
  <si>
    <t>A1116</t>
  </si>
  <si>
    <t>A1117</t>
  </si>
  <si>
    <t>A1118</t>
  </si>
  <si>
    <t>A1119</t>
  </si>
  <si>
    <t>A1120</t>
  </si>
  <si>
    <t>A1121</t>
  </si>
  <si>
    <t>A1122</t>
  </si>
  <si>
    <t>A1123</t>
  </si>
  <si>
    <t>A1124</t>
  </si>
  <si>
    <t>A1125</t>
  </si>
  <si>
    <t>A1126</t>
  </si>
  <si>
    <t>A1127</t>
  </si>
  <si>
    <t>A1128</t>
  </si>
  <si>
    <t>A1129</t>
  </si>
  <si>
    <t>A1130</t>
  </si>
  <si>
    <t>A1131</t>
  </si>
  <si>
    <t>A1132</t>
  </si>
  <si>
    <t>A1133</t>
  </si>
  <si>
    <t>A1134</t>
  </si>
  <si>
    <t>A1135</t>
  </si>
  <si>
    <t>A1136</t>
  </si>
  <si>
    <t>A1137</t>
  </si>
  <si>
    <t>A1138</t>
  </si>
  <si>
    <t>A1139</t>
  </si>
  <si>
    <t>A1140</t>
  </si>
  <si>
    <t>A1141</t>
  </si>
  <si>
    <t>A1142</t>
  </si>
  <si>
    <t>A1143</t>
  </si>
  <si>
    <t>A1144</t>
  </si>
  <si>
    <t>A1145</t>
  </si>
  <si>
    <t>A1146</t>
  </si>
  <si>
    <t>A1147</t>
  </si>
  <si>
    <t>A1148</t>
  </si>
  <si>
    <t>A1149</t>
  </si>
  <si>
    <t>A1150</t>
  </si>
  <si>
    <t>A1151</t>
  </si>
  <si>
    <t>A1152</t>
  </si>
  <si>
    <t>A1153</t>
  </si>
  <si>
    <t>A1154</t>
  </si>
  <si>
    <t>A1155</t>
  </si>
  <si>
    <t>A1156</t>
  </si>
  <si>
    <t>A1157</t>
  </si>
  <si>
    <t>A1158</t>
  </si>
  <si>
    <t>A1159</t>
  </si>
  <si>
    <t>A1160</t>
  </si>
  <si>
    <t>A1161</t>
  </si>
  <si>
    <t>A1162</t>
  </si>
  <si>
    <t>A1163</t>
  </si>
  <si>
    <t>A1164</t>
  </si>
  <si>
    <t>A1165</t>
  </si>
  <si>
    <t>A1166</t>
  </si>
  <si>
    <t>A1167</t>
  </si>
  <si>
    <t>A1168</t>
  </si>
  <si>
    <t>A1169</t>
  </si>
  <si>
    <t>A1170</t>
  </si>
  <si>
    <t>A1171</t>
  </si>
  <si>
    <t>A1172</t>
  </si>
  <si>
    <t>A1173</t>
  </si>
  <si>
    <t>A1174</t>
  </si>
  <si>
    <t>A1175</t>
  </si>
  <si>
    <t>A1176</t>
  </si>
  <si>
    <t>A1177</t>
  </si>
  <si>
    <t>A1178</t>
  </si>
  <si>
    <t>A1179</t>
  </si>
  <si>
    <t>A1180</t>
  </si>
  <si>
    <t>A1181</t>
  </si>
  <si>
    <t>A1182</t>
  </si>
  <si>
    <t>A1183</t>
  </si>
  <si>
    <t>A1184</t>
  </si>
  <si>
    <t>A1185</t>
  </si>
  <si>
    <t>A1186</t>
  </si>
  <si>
    <t>A1187</t>
  </si>
  <si>
    <t>A1188</t>
  </si>
  <si>
    <t>A1189</t>
  </si>
  <si>
    <t>A1190</t>
  </si>
  <si>
    <t>A1191</t>
  </si>
  <si>
    <t>A1192</t>
  </si>
  <si>
    <t>A1193</t>
  </si>
  <si>
    <t>A1194</t>
  </si>
  <si>
    <t>A1195</t>
  </si>
  <si>
    <t>A1196</t>
  </si>
  <si>
    <t>A1197</t>
  </si>
  <si>
    <t>A1198</t>
  </si>
  <si>
    <t>A1199</t>
  </si>
  <si>
    <t>A1200</t>
  </si>
  <si>
    <t>A1201</t>
  </si>
  <si>
    <t>A1202</t>
  </si>
  <si>
    <t>A1203</t>
  </si>
  <si>
    <t>A1204</t>
  </si>
  <si>
    <t>A1205</t>
  </si>
  <si>
    <t>A1206</t>
  </si>
  <si>
    <t>A1207</t>
  </si>
  <si>
    <t>A1208</t>
  </si>
  <si>
    <t>A1209</t>
  </si>
  <si>
    <t>A1210</t>
  </si>
  <si>
    <t>A1211</t>
  </si>
  <si>
    <t>A1212</t>
  </si>
  <si>
    <t>A1213</t>
  </si>
  <si>
    <t>A1214</t>
  </si>
  <si>
    <t>A1215</t>
  </si>
  <si>
    <t>A1216</t>
  </si>
  <si>
    <t>A1217</t>
  </si>
  <si>
    <t>A1218</t>
  </si>
  <si>
    <t>A1219</t>
  </si>
  <si>
    <t>A1220</t>
  </si>
  <si>
    <t>A1221</t>
  </si>
  <si>
    <t>A1222</t>
  </si>
  <si>
    <t>A1223</t>
  </si>
  <si>
    <t>A1224</t>
  </si>
  <si>
    <t>A1225</t>
  </si>
  <si>
    <t>A1226</t>
  </si>
  <si>
    <t>A1227</t>
  </si>
  <si>
    <t>A1228</t>
  </si>
  <si>
    <t>A1229</t>
  </si>
  <si>
    <t>A1230</t>
  </si>
  <si>
    <t>A1231</t>
  </si>
  <si>
    <t>A1232</t>
  </si>
  <si>
    <t>A1233</t>
  </si>
  <si>
    <t>A1234</t>
  </si>
  <si>
    <t>A1235</t>
  </si>
  <si>
    <t>A1236</t>
  </si>
  <si>
    <t>A1237</t>
  </si>
  <si>
    <t>A1238</t>
  </si>
  <si>
    <t>A1239</t>
  </si>
  <si>
    <t>A1240</t>
  </si>
  <si>
    <t>A1241</t>
  </si>
  <si>
    <t>A1242</t>
  </si>
  <si>
    <t>A1243</t>
  </si>
  <si>
    <t>A1244</t>
  </si>
  <si>
    <t>A1245</t>
  </si>
  <si>
    <t>A1246</t>
  </si>
  <si>
    <t>A1247</t>
  </si>
  <si>
    <t>A1248</t>
  </si>
  <si>
    <t>A1249</t>
  </si>
  <si>
    <t>A1250</t>
  </si>
  <si>
    <t>A1251</t>
  </si>
  <si>
    <t>A1252</t>
  </si>
  <si>
    <t>A1253</t>
  </si>
  <si>
    <t>A1254</t>
  </si>
  <si>
    <t>A1255</t>
  </si>
  <si>
    <t>A1256</t>
  </si>
  <si>
    <t>A1257</t>
  </si>
  <si>
    <t>A1258</t>
  </si>
  <si>
    <t>A1259</t>
  </si>
  <si>
    <t>A1260</t>
  </si>
  <si>
    <t>A1261</t>
  </si>
  <si>
    <t>A1262</t>
  </si>
  <si>
    <t>A1263</t>
  </si>
  <si>
    <t>A1264</t>
  </si>
  <si>
    <t>A1265</t>
  </si>
  <si>
    <t>A1266</t>
  </si>
  <si>
    <t>A1267</t>
  </si>
  <si>
    <t>A1268</t>
  </si>
  <si>
    <t>A1269</t>
  </si>
  <si>
    <t>A1270</t>
  </si>
  <si>
    <t>A1271</t>
  </si>
  <si>
    <t>A1272</t>
  </si>
  <si>
    <t>A1273</t>
  </si>
  <si>
    <t>A1274</t>
  </si>
  <si>
    <t>A1275</t>
  </si>
  <si>
    <t>A1276</t>
  </si>
  <si>
    <t>A1277</t>
  </si>
  <si>
    <t>A1278</t>
  </si>
  <si>
    <t>A1279</t>
  </si>
  <si>
    <t>A1280</t>
  </si>
  <si>
    <t>A1281</t>
  </si>
  <si>
    <t>A1282</t>
  </si>
  <si>
    <t>A1283</t>
  </si>
  <si>
    <t>A1284</t>
  </si>
  <si>
    <t>A1285</t>
  </si>
  <si>
    <t>A1286</t>
  </si>
  <si>
    <t>A1287</t>
  </si>
  <si>
    <t>A1288</t>
  </si>
  <si>
    <t>A1289</t>
  </si>
  <si>
    <t>A1290</t>
  </si>
  <si>
    <t>A1291</t>
  </si>
  <si>
    <t>A1292</t>
  </si>
  <si>
    <t>A1293</t>
  </si>
  <si>
    <t>A1294</t>
  </si>
  <si>
    <t>A1295</t>
  </si>
  <si>
    <t>A1296</t>
  </si>
  <si>
    <t>A1297</t>
  </si>
  <si>
    <t>A1298</t>
  </si>
  <si>
    <t>A1299</t>
  </si>
  <si>
    <t>A1300</t>
  </si>
  <si>
    <t>A1301</t>
  </si>
  <si>
    <t>A1302</t>
  </si>
  <si>
    <t>A1303</t>
  </si>
  <si>
    <t>A1304</t>
  </si>
  <si>
    <t>A1305</t>
  </si>
  <si>
    <t>A1306</t>
  </si>
  <si>
    <t>A1307</t>
  </si>
  <si>
    <t>A1308</t>
  </si>
  <si>
    <t>A1309</t>
  </si>
  <si>
    <t>A1310</t>
  </si>
  <si>
    <t>A1311</t>
  </si>
  <si>
    <t>A1312</t>
  </si>
  <si>
    <t>A1313</t>
  </si>
  <si>
    <t>A1314</t>
  </si>
  <si>
    <t>A1315</t>
  </si>
  <si>
    <t>A1316</t>
  </si>
  <si>
    <t>A1317</t>
  </si>
  <si>
    <t>A1318</t>
  </si>
  <si>
    <t>A1319</t>
  </si>
  <si>
    <t>A1320</t>
  </si>
  <si>
    <t>A1321</t>
  </si>
  <si>
    <t>A1322</t>
  </si>
  <si>
    <t>A1323</t>
  </si>
  <si>
    <t>A1324</t>
  </si>
  <si>
    <t>A1325</t>
  </si>
  <si>
    <t>A1326</t>
  </si>
  <si>
    <t>A1327</t>
  </si>
  <si>
    <t>A1328</t>
  </si>
  <si>
    <t>A1329</t>
  </si>
  <si>
    <t>A1330</t>
  </si>
  <si>
    <t>A1331</t>
  </si>
  <si>
    <t>A1332</t>
  </si>
  <si>
    <t>A1333</t>
  </si>
  <si>
    <t>A1334</t>
  </si>
  <si>
    <t>A1335</t>
  </si>
  <si>
    <t>A1336</t>
  </si>
  <si>
    <t>A1337</t>
  </si>
  <si>
    <t>A1338</t>
  </si>
  <si>
    <t>A1339</t>
  </si>
  <si>
    <t>A1340</t>
  </si>
  <si>
    <t>A1341</t>
  </si>
  <si>
    <t>A1342</t>
  </si>
  <si>
    <t>A1343</t>
  </si>
  <si>
    <t>A1344</t>
  </si>
  <si>
    <t>A1345</t>
  </si>
  <si>
    <t>A1346</t>
  </si>
  <si>
    <t>A1347</t>
  </si>
  <si>
    <t>A1348</t>
  </si>
  <si>
    <t>A1349</t>
  </si>
  <si>
    <t>A1350</t>
  </si>
  <si>
    <t>A1351</t>
  </si>
  <si>
    <t>A1352</t>
  </si>
  <si>
    <t>A1353</t>
  </si>
  <si>
    <t>A1354</t>
  </si>
  <si>
    <t>A1355</t>
  </si>
  <si>
    <t>A1356</t>
  </si>
  <si>
    <t>A1357</t>
  </si>
  <si>
    <t>A1358</t>
  </si>
  <si>
    <t>A1359</t>
  </si>
  <si>
    <t>A1360</t>
  </si>
  <si>
    <t>A1361</t>
  </si>
  <si>
    <t>A1362</t>
  </si>
  <si>
    <t>A1363</t>
  </si>
  <si>
    <t>A1364</t>
  </si>
  <si>
    <t>A1365</t>
  </si>
  <si>
    <t>A1366</t>
  </si>
  <si>
    <t>A1367</t>
  </si>
  <si>
    <t>A1368</t>
  </si>
  <si>
    <t>A1369</t>
  </si>
  <si>
    <t>A1370</t>
  </si>
  <si>
    <t>A1371</t>
  </si>
  <si>
    <t>A1372</t>
  </si>
  <si>
    <t>A1373</t>
  </si>
  <si>
    <t>A1374</t>
  </si>
  <si>
    <t>A1375</t>
  </si>
  <si>
    <t>A1376</t>
  </si>
  <si>
    <t>A1377</t>
  </si>
  <si>
    <t>A1378</t>
  </si>
  <si>
    <t>A1379</t>
  </si>
  <si>
    <t>A1380</t>
  </si>
  <si>
    <t>A1381</t>
  </si>
  <si>
    <t>A1382</t>
  </si>
  <si>
    <t>A1383</t>
  </si>
  <si>
    <t>A1384</t>
  </si>
  <si>
    <t>A1385</t>
  </si>
  <si>
    <t>A1386</t>
  </si>
  <si>
    <t>A1387</t>
  </si>
  <si>
    <t>A1388</t>
  </si>
  <si>
    <t>A1389</t>
  </si>
  <si>
    <t>A1390</t>
  </si>
  <si>
    <t>A1391</t>
  </si>
  <si>
    <t>A1392</t>
  </si>
  <si>
    <t>A1393</t>
  </si>
  <si>
    <t>A1394</t>
  </si>
  <si>
    <t>A1395</t>
  </si>
  <si>
    <t>A1396</t>
  </si>
  <si>
    <t>A1397</t>
  </si>
  <si>
    <t>A1398</t>
  </si>
  <si>
    <t>A1399</t>
  </si>
  <si>
    <t>A1400</t>
  </si>
  <si>
    <t>A1401</t>
  </si>
  <si>
    <t>A1402</t>
  </si>
  <si>
    <t>A1403</t>
  </si>
  <si>
    <t>A1404</t>
  </si>
  <si>
    <t>A1405</t>
  </si>
  <si>
    <t>A1406</t>
  </si>
  <si>
    <t>A1407</t>
  </si>
  <si>
    <t>A1408</t>
  </si>
  <si>
    <t>A1409</t>
  </si>
  <si>
    <t>A1410</t>
  </si>
  <si>
    <t>A1411</t>
  </si>
  <si>
    <t>A1412</t>
  </si>
  <si>
    <t>A1413</t>
  </si>
  <si>
    <t>A1414</t>
  </si>
  <si>
    <t>A1415</t>
  </si>
  <si>
    <t>A1416</t>
  </si>
  <si>
    <t>A1417</t>
  </si>
  <si>
    <t>A1418</t>
  </si>
  <si>
    <t>A1419</t>
  </si>
  <si>
    <t>A1420</t>
  </si>
  <si>
    <t>A1421</t>
  </si>
  <si>
    <t>A1422</t>
  </si>
  <si>
    <t>A1423</t>
  </si>
  <si>
    <t>A1424</t>
  </si>
  <si>
    <t>A1425</t>
  </si>
  <si>
    <t>A1426</t>
  </si>
  <si>
    <t>A1427</t>
  </si>
  <si>
    <t>A1428</t>
  </si>
  <si>
    <t>A1429</t>
  </si>
  <si>
    <t>A1430</t>
  </si>
  <si>
    <t>A1431</t>
  </si>
  <si>
    <t>A1432</t>
  </si>
  <si>
    <t>A1433</t>
  </si>
  <si>
    <t>A1434</t>
  </si>
  <si>
    <t>Polystyrene (PS)</t>
  </si>
  <si>
    <t>A1435</t>
  </si>
  <si>
    <t>A1436</t>
  </si>
  <si>
    <t>A1437</t>
  </si>
  <si>
    <t>A1438</t>
  </si>
  <si>
    <t>A1439</t>
  </si>
  <si>
    <t>A1440</t>
  </si>
  <si>
    <t>A1441</t>
  </si>
  <si>
    <t>A1442</t>
  </si>
  <si>
    <t>A1443</t>
  </si>
  <si>
    <t>A1444</t>
  </si>
  <si>
    <t>A1445</t>
  </si>
  <si>
    <t>A1446</t>
  </si>
  <si>
    <t>A1447</t>
  </si>
  <si>
    <t>A1448</t>
  </si>
  <si>
    <t>A1449</t>
  </si>
  <si>
    <t>A1450</t>
  </si>
  <si>
    <t>A1451</t>
  </si>
  <si>
    <t>A1452</t>
  </si>
  <si>
    <t>A1453</t>
  </si>
  <si>
    <t>A1454</t>
  </si>
  <si>
    <t>A1455</t>
  </si>
  <si>
    <t>A1456</t>
  </si>
  <si>
    <t>A1457</t>
  </si>
  <si>
    <t>A1458</t>
  </si>
  <si>
    <t>A1459</t>
  </si>
  <si>
    <t>A1460</t>
  </si>
  <si>
    <t>A1461</t>
  </si>
  <si>
    <t>A1462</t>
  </si>
  <si>
    <t>A1463</t>
  </si>
  <si>
    <t>A1464</t>
  </si>
  <si>
    <t>A1465</t>
  </si>
  <si>
    <t>A1466</t>
  </si>
  <si>
    <t>A1467</t>
  </si>
  <si>
    <t>A1468</t>
  </si>
  <si>
    <t>A1469</t>
  </si>
  <si>
    <t>A1470</t>
  </si>
  <si>
    <t>A1471</t>
  </si>
  <si>
    <t>A1472</t>
  </si>
  <si>
    <t>A1473</t>
  </si>
  <si>
    <t>A1474</t>
  </si>
  <si>
    <t>A1475</t>
  </si>
  <si>
    <t>A1476</t>
  </si>
  <si>
    <t>A1477</t>
  </si>
  <si>
    <t>A1478</t>
  </si>
  <si>
    <t>A1479</t>
  </si>
  <si>
    <t>A1480</t>
  </si>
  <si>
    <t>A1481</t>
  </si>
  <si>
    <t>A1482</t>
  </si>
  <si>
    <t>A1483</t>
  </si>
  <si>
    <t>A1484</t>
  </si>
  <si>
    <t>A1485</t>
  </si>
  <si>
    <t>A1486</t>
  </si>
  <si>
    <t>A1487</t>
  </si>
  <si>
    <t>A1488</t>
  </si>
  <si>
    <t>A1489</t>
  </si>
  <si>
    <t>A1490</t>
  </si>
  <si>
    <t>A1491</t>
  </si>
  <si>
    <t>A1492</t>
  </si>
  <si>
    <t>A1493</t>
  </si>
  <si>
    <t>A1494</t>
  </si>
  <si>
    <t>A1495</t>
  </si>
  <si>
    <t>A1496</t>
  </si>
  <si>
    <t>A1497</t>
  </si>
  <si>
    <t>A1498</t>
  </si>
  <si>
    <t>A1499</t>
  </si>
  <si>
    <t>A1500</t>
  </si>
  <si>
    <t>A1501</t>
  </si>
  <si>
    <t>A1502</t>
  </si>
  <si>
    <t>A1503</t>
  </si>
  <si>
    <t>A1504</t>
  </si>
  <si>
    <t>A1505</t>
  </si>
  <si>
    <t>A1506</t>
  </si>
  <si>
    <t>A1507</t>
  </si>
  <si>
    <t>A1508</t>
  </si>
  <si>
    <t>A1509</t>
  </si>
  <si>
    <t>A1510</t>
  </si>
  <si>
    <t>A1511</t>
  </si>
  <si>
    <t>A1512</t>
  </si>
  <si>
    <t>A1513</t>
  </si>
  <si>
    <t>A1514</t>
  </si>
  <si>
    <t>A1515</t>
  </si>
  <si>
    <t>A1516</t>
  </si>
  <si>
    <t>A1517</t>
  </si>
  <si>
    <t>A1518</t>
  </si>
  <si>
    <t>A1519</t>
  </si>
  <si>
    <t>A1520</t>
  </si>
  <si>
    <t>A1521</t>
  </si>
  <si>
    <t>A1522</t>
  </si>
  <si>
    <t>A1523</t>
  </si>
  <si>
    <t>A1524</t>
  </si>
  <si>
    <t>A1525</t>
  </si>
  <si>
    <t>A1526</t>
  </si>
  <si>
    <t>A1527</t>
  </si>
  <si>
    <t>A1528</t>
  </si>
  <si>
    <t>A1529</t>
  </si>
  <si>
    <t>A1530</t>
  </si>
  <si>
    <t>A1531</t>
  </si>
  <si>
    <t>A1532</t>
  </si>
  <si>
    <t>A1533</t>
  </si>
  <si>
    <t>A1534</t>
  </si>
  <si>
    <t>A1535</t>
  </si>
  <si>
    <t>A1536</t>
  </si>
  <si>
    <t>A1537</t>
  </si>
  <si>
    <t>A1538</t>
  </si>
  <si>
    <t>A1539</t>
  </si>
  <si>
    <t>A1540</t>
  </si>
  <si>
    <t>A1541</t>
  </si>
  <si>
    <t>A1542</t>
  </si>
  <si>
    <t>A1543</t>
  </si>
  <si>
    <t>A1544</t>
  </si>
  <si>
    <t>A1545</t>
  </si>
  <si>
    <t>A1546</t>
  </si>
  <si>
    <t>A1547</t>
  </si>
  <si>
    <t>A1548</t>
  </si>
  <si>
    <t>A1549</t>
  </si>
  <si>
    <t>A1550</t>
  </si>
  <si>
    <t>A1551</t>
  </si>
  <si>
    <t>A1552</t>
  </si>
  <si>
    <t>A1553</t>
  </si>
  <si>
    <t>A1554</t>
  </si>
  <si>
    <t>A1555</t>
  </si>
  <si>
    <t>A1556</t>
  </si>
  <si>
    <t>A1557</t>
  </si>
  <si>
    <t>A1558</t>
  </si>
  <si>
    <t>A1559</t>
  </si>
  <si>
    <t>A1560</t>
  </si>
  <si>
    <t>A1561</t>
  </si>
  <si>
    <t>A1562</t>
  </si>
  <si>
    <t>A1563</t>
  </si>
  <si>
    <t>A1564</t>
  </si>
  <si>
    <t>A1565</t>
  </si>
  <si>
    <t>Filter 3 starts here</t>
  </si>
  <si>
    <t>A1566</t>
  </si>
  <si>
    <t>A1567</t>
  </si>
  <si>
    <t>A1568</t>
  </si>
  <si>
    <t>A1569</t>
  </si>
  <si>
    <t>A1570</t>
  </si>
  <si>
    <t>A1571</t>
  </si>
  <si>
    <t>A1572</t>
  </si>
  <si>
    <t>A1573</t>
  </si>
  <si>
    <t>A1574</t>
  </si>
  <si>
    <t>A1575</t>
  </si>
  <si>
    <t>A1576</t>
  </si>
  <si>
    <t>A1577</t>
  </si>
  <si>
    <t>A1578</t>
  </si>
  <si>
    <t>A1579</t>
  </si>
  <si>
    <t>A1580</t>
  </si>
  <si>
    <t>A1581</t>
  </si>
  <si>
    <t>A1582</t>
  </si>
  <si>
    <t>A1583</t>
  </si>
  <si>
    <t>A1584</t>
  </si>
  <si>
    <t>A1585</t>
  </si>
  <si>
    <t>A1586</t>
  </si>
  <si>
    <t>A1587</t>
  </si>
  <si>
    <t>A1588</t>
  </si>
  <si>
    <t>A1589</t>
  </si>
  <si>
    <t>A1590</t>
  </si>
  <si>
    <t>A1591</t>
  </si>
  <si>
    <t>A1592</t>
  </si>
  <si>
    <t>A1593</t>
  </si>
  <si>
    <t>A1594</t>
  </si>
  <si>
    <t>A1595</t>
  </si>
  <si>
    <t>A1596</t>
  </si>
  <si>
    <t>A1597</t>
  </si>
  <si>
    <t>A1598</t>
  </si>
  <si>
    <t>A1599</t>
  </si>
  <si>
    <t>A1600</t>
  </si>
  <si>
    <t>A1601</t>
  </si>
  <si>
    <t>A1602</t>
  </si>
  <si>
    <t>A1603</t>
  </si>
  <si>
    <t>A1604</t>
  </si>
  <si>
    <t>A1605</t>
  </si>
  <si>
    <t>A1606</t>
  </si>
  <si>
    <t>A1607</t>
  </si>
  <si>
    <t>A1608</t>
  </si>
  <si>
    <t>A1609</t>
  </si>
  <si>
    <t>A1610</t>
  </si>
  <si>
    <t>A1611</t>
  </si>
  <si>
    <t>A1612</t>
  </si>
  <si>
    <t>A1613</t>
  </si>
  <si>
    <t>A1614</t>
  </si>
  <si>
    <t>A1615</t>
  </si>
  <si>
    <t>A1616</t>
  </si>
  <si>
    <t>A1617</t>
  </si>
  <si>
    <t>A1618</t>
  </si>
  <si>
    <t>A1619</t>
  </si>
  <si>
    <t>A1620</t>
  </si>
  <si>
    <t>A1621</t>
  </si>
  <si>
    <t>A1622</t>
  </si>
  <si>
    <t>A1623</t>
  </si>
  <si>
    <t>A1624</t>
  </si>
  <si>
    <t>A1625</t>
  </si>
  <si>
    <t>A1626</t>
  </si>
  <si>
    <t>A1627</t>
  </si>
  <si>
    <t>A1628</t>
  </si>
  <si>
    <t>A1629</t>
  </si>
  <si>
    <t>A1630</t>
  </si>
  <si>
    <t>A1631</t>
  </si>
  <si>
    <t>A1632</t>
  </si>
  <si>
    <t>A1633</t>
  </si>
  <si>
    <t>A1634</t>
  </si>
  <si>
    <t>A1635</t>
  </si>
  <si>
    <t>A1636</t>
  </si>
  <si>
    <t>A1637</t>
  </si>
  <si>
    <t>A1638</t>
  </si>
  <si>
    <t>A1639</t>
  </si>
  <si>
    <t>A1640</t>
  </si>
  <si>
    <t>A1641</t>
  </si>
  <si>
    <t>A1642</t>
  </si>
  <si>
    <t>A1643</t>
  </si>
  <si>
    <t>A1644</t>
  </si>
  <si>
    <t>A1645</t>
  </si>
  <si>
    <t>A1646</t>
  </si>
  <si>
    <t>A1647</t>
  </si>
  <si>
    <t>A1648</t>
  </si>
  <si>
    <t>A1649</t>
  </si>
  <si>
    <t>A1650</t>
  </si>
  <si>
    <t>A1651</t>
  </si>
  <si>
    <t>A1652</t>
  </si>
  <si>
    <t>A1653</t>
  </si>
  <si>
    <t>A1654</t>
  </si>
  <si>
    <t>A1655</t>
  </si>
  <si>
    <t>A1656</t>
  </si>
  <si>
    <t>A1657</t>
  </si>
  <si>
    <t>A1658</t>
  </si>
  <si>
    <t>A1659</t>
  </si>
  <si>
    <t>A1660</t>
  </si>
  <si>
    <t>A1661</t>
  </si>
  <si>
    <t>A1662</t>
  </si>
  <si>
    <t>A1663</t>
  </si>
  <si>
    <t>A1664</t>
  </si>
  <si>
    <t>A1665</t>
  </si>
  <si>
    <t>A1666</t>
  </si>
  <si>
    <t>A1667</t>
  </si>
  <si>
    <t>A1668</t>
  </si>
  <si>
    <t>A1669</t>
  </si>
  <si>
    <t>A1670</t>
  </si>
  <si>
    <t>A1671</t>
  </si>
  <si>
    <t>A1672</t>
  </si>
  <si>
    <t>A1673</t>
  </si>
  <si>
    <t>A1674</t>
  </si>
  <si>
    <t>A1675</t>
  </si>
  <si>
    <t>A1676</t>
  </si>
  <si>
    <t>A1677</t>
  </si>
  <si>
    <t>A1678</t>
  </si>
  <si>
    <t>A1679</t>
  </si>
  <si>
    <t>A1680</t>
  </si>
  <si>
    <t>A1681</t>
  </si>
  <si>
    <t>A1682</t>
  </si>
  <si>
    <t>A1683</t>
  </si>
  <si>
    <t>A1684</t>
  </si>
  <si>
    <t>A1685</t>
  </si>
  <si>
    <t>A1686</t>
  </si>
  <si>
    <t>A1687</t>
  </si>
  <si>
    <t>A1688</t>
  </si>
  <si>
    <t>A1689</t>
  </si>
  <si>
    <t>A1690</t>
  </si>
  <si>
    <t>A1691</t>
  </si>
  <si>
    <t>A1692</t>
  </si>
  <si>
    <t>A1693</t>
  </si>
  <si>
    <t>A1694</t>
  </si>
  <si>
    <t>A1695</t>
  </si>
  <si>
    <t>A1696</t>
  </si>
  <si>
    <t>A1697</t>
  </si>
  <si>
    <t>A1698</t>
  </si>
  <si>
    <t>A1699</t>
  </si>
  <si>
    <t>A1700</t>
  </si>
  <si>
    <t>A1701</t>
  </si>
  <si>
    <t>A1702</t>
  </si>
  <si>
    <t>A1703</t>
  </si>
  <si>
    <t>A1704</t>
  </si>
  <si>
    <t>A1705</t>
  </si>
  <si>
    <t>A1706</t>
  </si>
  <si>
    <t>A1707</t>
  </si>
  <si>
    <t>A1708</t>
  </si>
  <si>
    <t>A1709</t>
  </si>
  <si>
    <t>A1710</t>
  </si>
  <si>
    <t>A1711</t>
  </si>
  <si>
    <t>A1712</t>
  </si>
  <si>
    <t>A1713</t>
  </si>
  <si>
    <t>A1714</t>
  </si>
  <si>
    <t>A1715</t>
  </si>
  <si>
    <t>A1716</t>
  </si>
  <si>
    <t>A1717</t>
  </si>
  <si>
    <t>A1718</t>
  </si>
  <si>
    <t>A1719</t>
  </si>
  <si>
    <t>A1720</t>
  </si>
  <si>
    <t>A1721</t>
  </si>
  <si>
    <t>A1722</t>
  </si>
  <si>
    <t>A1723</t>
  </si>
  <si>
    <t>A1724</t>
  </si>
  <si>
    <t>A1725</t>
  </si>
  <si>
    <t>A1726</t>
  </si>
  <si>
    <t>A1727</t>
  </si>
  <si>
    <t>A1728</t>
  </si>
  <si>
    <t>A1729</t>
  </si>
  <si>
    <t>A1730</t>
  </si>
  <si>
    <t>A1731</t>
  </si>
  <si>
    <t>A1732</t>
  </si>
  <si>
    <t>A1733</t>
  </si>
  <si>
    <t>A1734</t>
  </si>
  <si>
    <t>A1735</t>
  </si>
  <si>
    <t>A1736</t>
  </si>
  <si>
    <t>A1737</t>
  </si>
  <si>
    <t>A1738</t>
  </si>
  <si>
    <t>A1739</t>
  </si>
  <si>
    <t>A1740</t>
  </si>
  <si>
    <t>A1741</t>
  </si>
  <si>
    <t>A1742</t>
  </si>
  <si>
    <t>A1743</t>
  </si>
  <si>
    <t>A1744</t>
  </si>
  <si>
    <t>A1745</t>
  </si>
  <si>
    <t>A1746</t>
  </si>
  <si>
    <t>A1747</t>
  </si>
  <si>
    <t>A1748</t>
  </si>
  <si>
    <t>A1749</t>
  </si>
  <si>
    <t>A1750</t>
  </si>
  <si>
    <t>A1751</t>
  </si>
  <si>
    <t>A1752</t>
  </si>
  <si>
    <t>A1753</t>
  </si>
  <si>
    <t>A1754</t>
  </si>
  <si>
    <t>A1755</t>
  </si>
  <si>
    <t>A1756</t>
  </si>
  <si>
    <t>A1757</t>
  </si>
  <si>
    <t>A1758</t>
  </si>
  <si>
    <t>A1759</t>
  </si>
  <si>
    <t>A1760</t>
  </si>
  <si>
    <t>A1761</t>
  </si>
  <si>
    <t>A1762</t>
  </si>
  <si>
    <t>A1763</t>
  </si>
  <si>
    <t>A1764</t>
  </si>
  <si>
    <t>A1765</t>
  </si>
  <si>
    <t>A1766</t>
  </si>
  <si>
    <t>A1767</t>
  </si>
  <si>
    <t>A1768</t>
  </si>
  <si>
    <t>A1769</t>
  </si>
  <si>
    <t>A1770</t>
  </si>
  <si>
    <t>A1771</t>
  </si>
  <si>
    <t>A1772</t>
  </si>
  <si>
    <t>A1773</t>
  </si>
  <si>
    <t>A1774</t>
  </si>
  <si>
    <t>A1775</t>
  </si>
  <si>
    <t>A1776</t>
  </si>
  <si>
    <t>A1777</t>
  </si>
  <si>
    <t>A1778</t>
  </si>
  <si>
    <t>A1779</t>
  </si>
  <si>
    <t>A1780</t>
  </si>
  <si>
    <t>A1781</t>
  </si>
  <si>
    <t>A1782</t>
  </si>
  <si>
    <t>A1783</t>
  </si>
  <si>
    <t>A1784</t>
  </si>
  <si>
    <t>A1785</t>
  </si>
  <si>
    <t>A1786</t>
  </si>
  <si>
    <t>A1787</t>
  </si>
  <si>
    <t>A1788</t>
  </si>
  <si>
    <t>A1789</t>
  </si>
  <si>
    <t>A1790</t>
  </si>
  <si>
    <t>A1791</t>
  </si>
  <si>
    <t>A1792</t>
  </si>
  <si>
    <t>A1793</t>
  </si>
  <si>
    <t>A1794</t>
  </si>
  <si>
    <t>A1795</t>
  </si>
  <si>
    <t>A1796</t>
  </si>
  <si>
    <t>A1797</t>
  </si>
  <si>
    <t>A1798</t>
  </si>
  <si>
    <t>A1799</t>
  </si>
  <si>
    <t>A1800</t>
  </si>
  <si>
    <t>A1801</t>
  </si>
  <si>
    <t>A1802</t>
  </si>
  <si>
    <t>A1803</t>
  </si>
  <si>
    <t>A1804</t>
  </si>
  <si>
    <t>A1805</t>
  </si>
  <si>
    <t>A1806</t>
  </si>
  <si>
    <t>A1807</t>
  </si>
  <si>
    <t>A1808</t>
  </si>
  <si>
    <t>A1809</t>
  </si>
  <si>
    <t>A1810</t>
  </si>
  <si>
    <t>A1811</t>
  </si>
  <si>
    <t>A1812</t>
  </si>
  <si>
    <t>A1813</t>
  </si>
  <si>
    <t>A1814</t>
  </si>
  <si>
    <t>A1815</t>
  </si>
  <si>
    <t>A1816</t>
  </si>
  <si>
    <t>A1817</t>
  </si>
  <si>
    <t>A1818</t>
  </si>
  <si>
    <t>A1819</t>
  </si>
  <si>
    <t>A1820</t>
  </si>
  <si>
    <t>A1821</t>
  </si>
  <si>
    <t>A1822</t>
  </si>
  <si>
    <t>A1823</t>
  </si>
  <si>
    <t>A1824</t>
  </si>
  <si>
    <t>A1825</t>
  </si>
  <si>
    <t>A1826</t>
  </si>
  <si>
    <t>A1827</t>
  </si>
  <si>
    <t>A1828</t>
  </si>
  <si>
    <t>A1829</t>
  </si>
  <si>
    <t>A1830</t>
  </si>
  <si>
    <t>A1831</t>
  </si>
  <si>
    <t>A1832</t>
  </si>
  <si>
    <t>A1833</t>
  </si>
  <si>
    <t>A1834</t>
  </si>
  <si>
    <t>A1835</t>
  </si>
  <si>
    <t>A1836</t>
  </si>
  <si>
    <t>A1837</t>
  </si>
  <si>
    <t>A1838</t>
  </si>
  <si>
    <t>A1839</t>
  </si>
  <si>
    <t>A1840</t>
  </si>
  <si>
    <t>A1841</t>
  </si>
  <si>
    <t>A1842</t>
  </si>
  <si>
    <t>A1843</t>
  </si>
  <si>
    <t>A1844</t>
  </si>
  <si>
    <t>A1845</t>
  </si>
  <si>
    <t>A1846</t>
  </si>
  <si>
    <t>A1847</t>
  </si>
  <si>
    <t>A1848</t>
  </si>
  <si>
    <t>A1849</t>
  </si>
  <si>
    <t>A1850</t>
  </si>
  <si>
    <t>A1851</t>
  </si>
  <si>
    <t>A1852</t>
  </si>
  <si>
    <t>A1853</t>
  </si>
  <si>
    <t>A1854</t>
  </si>
  <si>
    <t>A1855</t>
  </si>
  <si>
    <t>A1856</t>
  </si>
  <si>
    <t>A1857</t>
  </si>
  <si>
    <t>A1858</t>
  </si>
  <si>
    <t>A1859</t>
  </si>
  <si>
    <t>A1860</t>
  </si>
  <si>
    <t>A1861</t>
  </si>
  <si>
    <t>A1862</t>
  </si>
  <si>
    <t>A1863</t>
  </si>
  <si>
    <t>A1864</t>
  </si>
  <si>
    <t>A1865</t>
  </si>
  <si>
    <t>A1866</t>
  </si>
  <si>
    <t>A1867</t>
  </si>
  <si>
    <t>A1868</t>
  </si>
  <si>
    <t>A1869</t>
  </si>
  <si>
    <t>A1870</t>
  </si>
  <si>
    <t>A1871</t>
  </si>
  <si>
    <t>A1872</t>
  </si>
  <si>
    <t>A1873</t>
  </si>
  <si>
    <t>A1874</t>
  </si>
  <si>
    <t>A1875</t>
  </si>
  <si>
    <t>A1876</t>
  </si>
  <si>
    <t>A1877</t>
  </si>
  <si>
    <t>A1878</t>
  </si>
  <si>
    <t>A1879</t>
  </si>
  <si>
    <t>A1880</t>
  </si>
  <si>
    <t>A1881</t>
  </si>
  <si>
    <t>A1882</t>
  </si>
  <si>
    <t>A1883</t>
  </si>
  <si>
    <t>A1884</t>
  </si>
  <si>
    <t>A1885</t>
  </si>
  <si>
    <t>A1886</t>
  </si>
  <si>
    <t>A1887</t>
  </si>
  <si>
    <t>A1888</t>
  </si>
  <si>
    <t>A1889</t>
  </si>
  <si>
    <t>A1890</t>
  </si>
  <si>
    <t>A1891</t>
  </si>
  <si>
    <t>A1892</t>
  </si>
  <si>
    <t>A1893</t>
  </si>
  <si>
    <t>A1894</t>
  </si>
  <si>
    <t>A1895</t>
  </si>
  <si>
    <t>A1896</t>
  </si>
  <si>
    <t>A1897</t>
  </si>
  <si>
    <t>A1898</t>
  </si>
  <si>
    <t>A1899</t>
  </si>
  <si>
    <t>A1900</t>
  </si>
  <si>
    <t>A1901</t>
  </si>
  <si>
    <t>A1902</t>
  </si>
  <si>
    <t>A1903</t>
  </si>
  <si>
    <t>A1904</t>
  </si>
  <si>
    <t>A1905</t>
  </si>
  <si>
    <t>A1906</t>
  </si>
  <si>
    <t>A1907</t>
  </si>
  <si>
    <t>A1908</t>
  </si>
  <si>
    <t>A1909</t>
  </si>
  <si>
    <t>A1910</t>
  </si>
  <si>
    <t>A1911</t>
  </si>
  <si>
    <t>A1912</t>
  </si>
  <si>
    <t>A1913</t>
  </si>
  <si>
    <t>A1914</t>
  </si>
  <si>
    <t>A1915</t>
  </si>
  <si>
    <t>A1916</t>
  </si>
  <si>
    <t>A1917</t>
  </si>
  <si>
    <t>A1918</t>
  </si>
  <si>
    <t>A1919</t>
  </si>
  <si>
    <t>A1920</t>
  </si>
  <si>
    <t>A1921</t>
  </si>
  <si>
    <t>A1922</t>
  </si>
  <si>
    <t>A1923</t>
  </si>
  <si>
    <t>A1924</t>
  </si>
  <si>
    <t>A1925</t>
  </si>
  <si>
    <t>A1926</t>
  </si>
  <si>
    <t>A1927</t>
  </si>
  <si>
    <t>A1928</t>
  </si>
  <si>
    <t>A1929</t>
  </si>
  <si>
    <t>A1930</t>
  </si>
  <si>
    <t>A1931</t>
  </si>
  <si>
    <t>A1932</t>
  </si>
  <si>
    <t>A1933</t>
  </si>
  <si>
    <t>A1934</t>
  </si>
  <si>
    <t>A1935</t>
  </si>
  <si>
    <t>A1936</t>
  </si>
  <si>
    <t>A1937</t>
  </si>
  <si>
    <t>A1938</t>
  </si>
  <si>
    <t>A1939</t>
  </si>
  <si>
    <t>A1940</t>
  </si>
  <si>
    <t>A1941</t>
  </si>
  <si>
    <t>A1942</t>
  </si>
  <si>
    <t>A1943</t>
  </si>
  <si>
    <t>A1944</t>
  </si>
  <si>
    <t>A1945</t>
  </si>
  <si>
    <t>A1946</t>
  </si>
  <si>
    <t>A1947</t>
  </si>
  <si>
    <t>A1948</t>
  </si>
  <si>
    <t>A1949</t>
  </si>
  <si>
    <t>A1950</t>
  </si>
  <si>
    <t>A1951</t>
  </si>
  <si>
    <t>A1952</t>
  </si>
  <si>
    <t>A1953</t>
  </si>
  <si>
    <t>A1954</t>
  </si>
  <si>
    <t>A1955</t>
  </si>
  <si>
    <t>A1956</t>
  </si>
  <si>
    <t>A1957</t>
  </si>
  <si>
    <t>A1958</t>
  </si>
  <si>
    <t>A1959</t>
  </si>
  <si>
    <t>A1960</t>
  </si>
  <si>
    <t>A1961</t>
  </si>
  <si>
    <t>A1962</t>
  </si>
  <si>
    <t>A1963</t>
  </si>
  <si>
    <t>A1964</t>
  </si>
  <si>
    <t>A1965</t>
  </si>
  <si>
    <t>A1966</t>
  </si>
  <si>
    <t>A1967</t>
  </si>
  <si>
    <t>A1968</t>
  </si>
  <si>
    <t>A1969</t>
  </si>
  <si>
    <t>A1970</t>
  </si>
  <si>
    <t>A1971</t>
  </si>
  <si>
    <t>A1972</t>
  </si>
  <si>
    <t>A1973</t>
  </si>
  <si>
    <t>A1974</t>
  </si>
  <si>
    <t>A1975</t>
  </si>
  <si>
    <t>A1976</t>
  </si>
  <si>
    <t>A1977</t>
  </si>
  <si>
    <t>A1978</t>
  </si>
  <si>
    <t>A1979</t>
  </si>
  <si>
    <t>A1980</t>
  </si>
  <si>
    <t>A1981</t>
  </si>
  <si>
    <t>A1982</t>
  </si>
  <si>
    <t>A1983</t>
  </si>
  <si>
    <t>A1984</t>
  </si>
  <si>
    <t>A1985</t>
  </si>
  <si>
    <t>A1986</t>
  </si>
  <si>
    <t>A1987</t>
  </si>
  <si>
    <t>A1988</t>
  </si>
  <si>
    <t>A1989</t>
  </si>
  <si>
    <t>A1990</t>
  </si>
  <si>
    <t>A1991</t>
  </si>
  <si>
    <t>A1992</t>
  </si>
  <si>
    <t>A1993</t>
  </si>
  <si>
    <t>A1994</t>
  </si>
  <si>
    <t>A1995</t>
  </si>
  <si>
    <t>A1996</t>
  </si>
  <si>
    <t>A1997</t>
  </si>
  <si>
    <t>A1998</t>
  </si>
  <si>
    <t>A1999</t>
  </si>
  <si>
    <t>A2000</t>
  </si>
  <si>
    <t>A2001</t>
  </si>
  <si>
    <t>A2002</t>
  </si>
  <si>
    <t>A2003</t>
  </si>
  <si>
    <t>A2004</t>
  </si>
  <si>
    <t>A2005</t>
  </si>
  <si>
    <t>A2006</t>
  </si>
  <si>
    <t>A2007</t>
  </si>
  <si>
    <t>A2008</t>
  </si>
  <si>
    <t>A2009</t>
  </si>
  <si>
    <t>A2010</t>
  </si>
  <si>
    <t>A2011</t>
  </si>
  <si>
    <t>A2012</t>
  </si>
  <si>
    <t>A2013</t>
  </si>
  <si>
    <t>A2014</t>
  </si>
  <si>
    <t>A2015</t>
  </si>
  <si>
    <t>A2016</t>
  </si>
  <si>
    <t>A2017</t>
  </si>
  <si>
    <t>A2018</t>
  </si>
  <si>
    <t>A2019</t>
  </si>
  <si>
    <t>A2020</t>
  </si>
  <si>
    <t>A2021</t>
  </si>
  <si>
    <t>A2022</t>
  </si>
  <si>
    <t>A2023</t>
  </si>
  <si>
    <t>A2024</t>
  </si>
  <si>
    <t>A2025</t>
  </si>
  <si>
    <t>A2026</t>
  </si>
  <si>
    <t>A2027</t>
  </si>
  <si>
    <t>A2028</t>
  </si>
  <si>
    <t>A2029</t>
  </si>
  <si>
    <t>A2030</t>
  </si>
  <si>
    <t>A2031</t>
  </si>
  <si>
    <t>A2032</t>
  </si>
  <si>
    <t>A2033</t>
  </si>
  <si>
    <t>A2034</t>
  </si>
  <si>
    <t>A2035</t>
  </si>
  <si>
    <t>A2036</t>
  </si>
  <si>
    <t>A2037</t>
  </si>
  <si>
    <t>A2038</t>
  </si>
  <si>
    <t>A2039</t>
  </si>
  <si>
    <t>A2040</t>
  </si>
  <si>
    <t>A2041</t>
  </si>
  <si>
    <t>A2042</t>
  </si>
  <si>
    <t>A2043</t>
  </si>
  <si>
    <t>A2044</t>
  </si>
  <si>
    <t>A2045</t>
  </si>
  <si>
    <t>A2046</t>
  </si>
  <si>
    <t>A2047</t>
  </si>
  <si>
    <t>A2048</t>
  </si>
  <si>
    <t>A2049</t>
  </si>
  <si>
    <t>A2050</t>
  </si>
  <si>
    <t>A2051</t>
  </si>
  <si>
    <t>A2052</t>
  </si>
  <si>
    <t>A2053</t>
  </si>
  <si>
    <t>A2054</t>
  </si>
  <si>
    <t>A2055</t>
  </si>
  <si>
    <t>A2056</t>
  </si>
  <si>
    <t>A2057</t>
  </si>
  <si>
    <t>A2058</t>
  </si>
  <si>
    <t>A2059</t>
  </si>
  <si>
    <t>A2060</t>
  </si>
  <si>
    <t>A2061</t>
  </si>
  <si>
    <t>A2062</t>
  </si>
  <si>
    <t>A2063</t>
  </si>
  <si>
    <t>A2064</t>
  </si>
  <si>
    <t>A2065</t>
  </si>
  <si>
    <t>A2066</t>
  </si>
  <si>
    <t>A2067</t>
  </si>
  <si>
    <t>A2068</t>
  </si>
  <si>
    <t>A2069</t>
  </si>
  <si>
    <t>A2070</t>
  </si>
  <si>
    <t>A2071</t>
  </si>
  <si>
    <t>A2072</t>
  </si>
  <si>
    <t>A2073</t>
  </si>
  <si>
    <t>A2074</t>
  </si>
  <si>
    <t>A2075</t>
  </si>
  <si>
    <t>A2076</t>
  </si>
  <si>
    <t>A2077</t>
  </si>
  <si>
    <t>A2078</t>
  </si>
  <si>
    <t>A2079</t>
  </si>
  <si>
    <t>A2080</t>
  </si>
  <si>
    <t>A2081</t>
  </si>
  <si>
    <t>A2082</t>
  </si>
  <si>
    <t>A2083</t>
  </si>
  <si>
    <t>A2084</t>
  </si>
  <si>
    <t>A2085</t>
  </si>
  <si>
    <t>A2086</t>
  </si>
  <si>
    <t>A2087</t>
  </si>
  <si>
    <t>A2088</t>
  </si>
  <si>
    <t>A2089</t>
  </si>
  <si>
    <t>A2090</t>
  </si>
  <si>
    <t>A2091</t>
  </si>
  <si>
    <t>A2092</t>
  </si>
  <si>
    <t>A2093</t>
  </si>
  <si>
    <t>A2094</t>
  </si>
  <si>
    <t>A2095</t>
  </si>
  <si>
    <t>A2096</t>
  </si>
  <si>
    <t>A2097</t>
  </si>
  <si>
    <t>A2098</t>
  </si>
  <si>
    <t>A2099</t>
  </si>
  <si>
    <t>A2100</t>
  </si>
  <si>
    <t>A2101</t>
  </si>
  <si>
    <t>A2102</t>
  </si>
  <si>
    <t>A2103</t>
  </si>
  <si>
    <t>A2104</t>
  </si>
  <si>
    <t>A2105</t>
  </si>
  <si>
    <t>A2106</t>
  </si>
  <si>
    <t>A2107</t>
  </si>
  <si>
    <t>A2108</t>
  </si>
  <si>
    <t>A2109</t>
  </si>
  <si>
    <t>A2110</t>
  </si>
  <si>
    <t>A2111</t>
  </si>
  <si>
    <t>A2112</t>
  </si>
  <si>
    <t>A2113</t>
  </si>
  <si>
    <t>A2114</t>
  </si>
  <si>
    <t>A2115</t>
  </si>
  <si>
    <t>A2116</t>
  </si>
  <si>
    <t>A2117</t>
  </si>
  <si>
    <t>A2118</t>
  </si>
  <si>
    <t>A2119</t>
  </si>
  <si>
    <t>A2120</t>
  </si>
  <si>
    <t>A2121</t>
  </si>
  <si>
    <t>A2122</t>
  </si>
  <si>
    <t>A2123</t>
  </si>
  <si>
    <t>A2124</t>
  </si>
  <si>
    <t>A2125</t>
  </si>
  <si>
    <t>A2126</t>
  </si>
  <si>
    <t>A2127</t>
  </si>
  <si>
    <t>A2128</t>
  </si>
  <si>
    <t>A2129</t>
  </si>
  <si>
    <t>A2130</t>
  </si>
  <si>
    <t>A2131</t>
  </si>
  <si>
    <t>A2132</t>
  </si>
  <si>
    <t>A2133</t>
  </si>
  <si>
    <t>A2134</t>
  </si>
  <si>
    <t>A2135</t>
  </si>
  <si>
    <t>A2136</t>
  </si>
  <si>
    <t>A2137</t>
  </si>
  <si>
    <t>A2138</t>
  </si>
  <si>
    <t>A2139</t>
  </si>
  <si>
    <t>A2140</t>
  </si>
  <si>
    <t>A2141</t>
  </si>
  <si>
    <t>A2142</t>
  </si>
  <si>
    <t>A2143</t>
  </si>
  <si>
    <t>A2144</t>
  </si>
  <si>
    <t>A2145</t>
  </si>
  <si>
    <t>A2146</t>
  </si>
  <si>
    <t>A2147</t>
  </si>
  <si>
    <t>A2148</t>
  </si>
  <si>
    <t>A2149</t>
  </si>
  <si>
    <t>A2150</t>
  </si>
  <si>
    <t>A2151</t>
  </si>
  <si>
    <t>A2152</t>
  </si>
  <si>
    <t>A2153</t>
  </si>
  <si>
    <t>A2154</t>
  </si>
  <si>
    <t>A2155</t>
  </si>
  <si>
    <t>A2156</t>
  </si>
  <si>
    <t>A2157</t>
  </si>
  <si>
    <t>A2158</t>
  </si>
  <si>
    <t>A2159</t>
  </si>
  <si>
    <t>A2160</t>
  </si>
  <si>
    <t>A2161</t>
  </si>
  <si>
    <t>A2162</t>
  </si>
  <si>
    <t>A2163</t>
  </si>
  <si>
    <t>A2164</t>
  </si>
  <si>
    <t>A2165</t>
  </si>
  <si>
    <t>A2166</t>
  </si>
  <si>
    <t>A2167</t>
  </si>
  <si>
    <t>A2168</t>
  </si>
  <si>
    <t>A2169</t>
  </si>
  <si>
    <t>Filter 4 starts here</t>
  </si>
  <si>
    <t>A2170</t>
  </si>
  <si>
    <t>A2171</t>
  </si>
  <si>
    <t>A2172</t>
  </si>
  <si>
    <t>A2173</t>
  </si>
  <si>
    <t>A2174</t>
  </si>
  <si>
    <t>A2175</t>
  </si>
  <si>
    <t>A2176</t>
  </si>
  <si>
    <t>A2177</t>
  </si>
  <si>
    <t>A2178</t>
  </si>
  <si>
    <t>A2179</t>
  </si>
  <si>
    <t>A2180</t>
  </si>
  <si>
    <t>A2181</t>
  </si>
  <si>
    <t>A2182</t>
  </si>
  <si>
    <t>A2183</t>
  </si>
  <si>
    <t>A2184</t>
  </si>
  <si>
    <t>A2185</t>
  </si>
  <si>
    <t>A2186</t>
  </si>
  <si>
    <t>A2187</t>
  </si>
  <si>
    <t>A2188</t>
  </si>
  <si>
    <t>A2189</t>
  </si>
  <si>
    <t>A2190</t>
  </si>
  <si>
    <t>A2191</t>
  </si>
  <si>
    <t>A2192</t>
  </si>
  <si>
    <t>A2193</t>
  </si>
  <si>
    <t>A2194</t>
  </si>
  <si>
    <t>A2195</t>
  </si>
  <si>
    <t>A2196</t>
  </si>
  <si>
    <t>A2197</t>
  </si>
  <si>
    <t>A2198</t>
  </si>
  <si>
    <t>A2199</t>
  </si>
  <si>
    <t>A2200</t>
  </si>
  <si>
    <t>A2201</t>
  </si>
  <si>
    <t>A2202</t>
  </si>
  <si>
    <t>A2203</t>
  </si>
  <si>
    <t>A2204</t>
  </si>
  <si>
    <t>A2205</t>
  </si>
  <si>
    <t>A2206</t>
  </si>
  <si>
    <t>A2207</t>
  </si>
  <si>
    <t>A2208</t>
  </si>
  <si>
    <t>A2209</t>
  </si>
  <si>
    <t>A2210</t>
  </si>
  <si>
    <t>A2211</t>
  </si>
  <si>
    <t>A2212</t>
  </si>
  <si>
    <t>A2213</t>
  </si>
  <si>
    <t>A2214</t>
  </si>
  <si>
    <t>A2215</t>
  </si>
  <si>
    <t>A2216</t>
  </si>
  <si>
    <t>A2217</t>
  </si>
  <si>
    <t>A2218</t>
  </si>
  <si>
    <t>A2219</t>
  </si>
  <si>
    <t>A2220</t>
  </si>
  <si>
    <t>A2221</t>
  </si>
  <si>
    <t>A2222</t>
  </si>
  <si>
    <t>A2223</t>
  </si>
  <si>
    <t>A2224</t>
  </si>
  <si>
    <t>A2225</t>
  </si>
  <si>
    <t>A2226</t>
  </si>
  <si>
    <t>A2227</t>
  </si>
  <si>
    <t>A2228</t>
  </si>
  <si>
    <t>A2229</t>
  </si>
  <si>
    <t>A2230</t>
  </si>
  <si>
    <t>A2231</t>
  </si>
  <si>
    <t>A2232</t>
  </si>
  <si>
    <t>A2233</t>
  </si>
  <si>
    <t>A2234</t>
  </si>
  <si>
    <t>A2235</t>
  </si>
  <si>
    <t>A2236</t>
  </si>
  <si>
    <t>A2237</t>
  </si>
  <si>
    <t>A2238</t>
  </si>
  <si>
    <t>A2239</t>
  </si>
  <si>
    <t>A2240</t>
  </si>
  <si>
    <t>A2241</t>
  </si>
  <si>
    <t>A2242</t>
  </si>
  <si>
    <t>A2243</t>
  </si>
  <si>
    <t>A2244</t>
  </si>
  <si>
    <t>A2245</t>
  </si>
  <si>
    <t>A2246</t>
  </si>
  <si>
    <t>A2247</t>
  </si>
  <si>
    <t>A2248</t>
  </si>
  <si>
    <t>A2249</t>
  </si>
  <si>
    <t>A2250</t>
  </si>
  <si>
    <t>A2251</t>
  </si>
  <si>
    <t>A2252</t>
  </si>
  <si>
    <t>A2253</t>
  </si>
  <si>
    <t>A2254</t>
  </si>
  <si>
    <t>A2255</t>
  </si>
  <si>
    <t>A2256</t>
  </si>
  <si>
    <t>A2257</t>
  </si>
  <si>
    <t>A2258</t>
  </si>
  <si>
    <t>A2259</t>
  </si>
  <si>
    <t>A2260</t>
  </si>
  <si>
    <t>A2261</t>
  </si>
  <si>
    <t>A2262</t>
  </si>
  <si>
    <t>A2263</t>
  </si>
  <si>
    <t>A2264</t>
  </si>
  <si>
    <t>A2265</t>
  </si>
  <si>
    <t>A2266</t>
  </si>
  <si>
    <t>A2267</t>
  </si>
  <si>
    <t>A2268</t>
  </si>
  <si>
    <t>A2269</t>
  </si>
  <si>
    <t>A2270</t>
  </si>
  <si>
    <t>A2271</t>
  </si>
  <si>
    <t>A2272</t>
  </si>
  <si>
    <t>A2273</t>
  </si>
  <si>
    <t>A2274</t>
  </si>
  <si>
    <t>A2275</t>
  </si>
  <si>
    <t>A2276</t>
  </si>
  <si>
    <t>A2277</t>
  </si>
  <si>
    <t>A2278</t>
  </si>
  <si>
    <t>A2279</t>
  </si>
  <si>
    <t>A2280</t>
  </si>
  <si>
    <t>A2281</t>
  </si>
  <si>
    <t>A2282</t>
  </si>
  <si>
    <t>A2283</t>
  </si>
  <si>
    <t>A2284</t>
  </si>
  <si>
    <t>A2285</t>
  </si>
  <si>
    <t>A2286</t>
  </si>
  <si>
    <t>A2287</t>
  </si>
  <si>
    <t>A2288</t>
  </si>
  <si>
    <t>A2289</t>
  </si>
  <si>
    <t>A2290</t>
  </si>
  <si>
    <t>A2291</t>
  </si>
  <si>
    <t>A2292</t>
  </si>
  <si>
    <t>A2293</t>
  </si>
  <si>
    <t>A2294</t>
  </si>
  <si>
    <t>A2295</t>
  </si>
  <si>
    <t>A2296</t>
  </si>
  <si>
    <t>A2297</t>
  </si>
  <si>
    <t>A2298</t>
  </si>
  <si>
    <t>A2299</t>
  </si>
  <si>
    <t>A2300</t>
  </si>
  <si>
    <t>A2301</t>
  </si>
  <si>
    <t>A2302</t>
  </si>
  <si>
    <t>A2303</t>
  </si>
  <si>
    <t>A2304</t>
  </si>
  <si>
    <t>A2305</t>
  </si>
  <si>
    <t>A2306</t>
  </si>
  <si>
    <t>A2307</t>
  </si>
  <si>
    <t>A2308</t>
  </si>
  <si>
    <t>A2309</t>
  </si>
  <si>
    <t>A2310</t>
  </si>
  <si>
    <t>A2311</t>
  </si>
  <si>
    <t>A2312</t>
  </si>
  <si>
    <t>A2313</t>
  </si>
  <si>
    <t>A2314</t>
  </si>
  <si>
    <t>A2315</t>
  </si>
  <si>
    <t>A2316</t>
  </si>
  <si>
    <t>A2317</t>
  </si>
  <si>
    <t>A2318</t>
  </si>
  <si>
    <t>A2319</t>
  </si>
  <si>
    <t>A2320</t>
  </si>
  <si>
    <t>A2321</t>
  </si>
  <si>
    <t>A2322</t>
  </si>
  <si>
    <t>A2323</t>
  </si>
  <si>
    <t>A2324</t>
  </si>
  <si>
    <t>A2325</t>
  </si>
  <si>
    <t>A2326</t>
  </si>
  <si>
    <t>A2327</t>
  </si>
  <si>
    <t>A2328</t>
  </si>
  <si>
    <t>A2329</t>
  </si>
  <si>
    <t>A2330</t>
  </si>
  <si>
    <t>A2331</t>
  </si>
  <si>
    <t>A2332</t>
  </si>
  <si>
    <t>A2333</t>
  </si>
  <si>
    <t>A2334</t>
  </si>
  <si>
    <t>A2335</t>
  </si>
  <si>
    <t>A2336</t>
  </si>
  <si>
    <t>A2337</t>
  </si>
  <si>
    <t>A2338</t>
  </si>
  <si>
    <t>A2339</t>
  </si>
  <si>
    <t>A2340</t>
  </si>
  <si>
    <t>A2341</t>
  </si>
  <si>
    <t>A2342</t>
  </si>
  <si>
    <t>A2343</t>
  </si>
  <si>
    <t>A2344</t>
  </si>
  <si>
    <t>A2345</t>
  </si>
  <si>
    <t>A2346</t>
  </si>
  <si>
    <t>A2347</t>
  </si>
  <si>
    <t>A2348</t>
  </si>
  <si>
    <t>A2349</t>
  </si>
  <si>
    <t>A2350</t>
  </si>
  <si>
    <t>A2351</t>
  </si>
  <si>
    <t>A2352</t>
  </si>
  <si>
    <t>A2353</t>
  </si>
  <si>
    <t>A2354</t>
  </si>
  <si>
    <t>A2355</t>
  </si>
  <si>
    <t>A2356</t>
  </si>
  <si>
    <t>A2357</t>
  </si>
  <si>
    <t>A2358</t>
  </si>
  <si>
    <t>A2359</t>
  </si>
  <si>
    <t>Polysulfone</t>
  </si>
  <si>
    <t>A2360</t>
  </si>
  <si>
    <t>A2361</t>
  </si>
  <si>
    <t>A2362</t>
  </si>
  <si>
    <t>A2363</t>
  </si>
  <si>
    <t>A2364</t>
  </si>
  <si>
    <t>A2365</t>
  </si>
  <si>
    <t>A2366</t>
  </si>
  <si>
    <t>A2367</t>
  </si>
  <si>
    <t>A2368</t>
  </si>
  <si>
    <t>A2369</t>
  </si>
  <si>
    <t>A2370</t>
  </si>
  <si>
    <t>A2371</t>
  </si>
  <si>
    <t>A2372</t>
  </si>
  <si>
    <t>A2373</t>
  </si>
  <si>
    <t>A2374</t>
  </si>
  <si>
    <t>A2375</t>
  </si>
  <si>
    <t>A2376</t>
  </si>
  <si>
    <t>A2377</t>
  </si>
  <si>
    <t>A2378</t>
  </si>
  <si>
    <t>A2379</t>
  </si>
  <si>
    <t>A2380</t>
  </si>
  <si>
    <t>A2381</t>
  </si>
  <si>
    <t>A2382</t>
  </si>
  <si>
    <t>A2383</t>
  </si>
  <si>
    <t>A2384</t>
  </si>
  <si>
    <t>A2385</t>
  </si>
  <si>
    <t>A2386</t>
  </si>
  <si>
    <t>A2387</t>
  </si>
  <si>
    <t>A2388</t>
  </si>
  <si>
    <t>A2389</t>
  </si>
  <si>
    <t>A2390</t>
  </si>
  <si>
    <t>A2391</t>
  </si>
  <si>
    <t>A2392</t>
  </si>
  <si>
    <t>A2393</t>
  </si>
  <si>
    <t>A2394</t>
  </si>
  <si>
    <t>A2395</t>
  </si>
  <si>
    <t>A2396</t>
  </si>
  <si>
    <t>A2397</t>
  </si>
  <si>
    <t>A2398</t>
  </si>
  <si>
    <t>A2399</t>
  </si>
  <si>
    <t>A2400</t>
  </si>
  <si>
    <t>A2401</t>
  </si>
  <si>
    <t>A2402</t>
  </si>
  <si>
    <t>A2403</t>
  </si>
  <si>
    <t>A2404</t>
  </si>
  <si>
    <t>A2405</t>
  </si>
  <si>
    <t>A2406</t>
  </si>
  <si>
    <t>A2407</t>
  </si>
  <si>
    <t>A2408</t>
  </si>
  <si>
    <t>A2409</t>
  </si>
  <si>
    <t>A2410</t>
  </si>
  <si>
    <t>A2411</t>
  </si>
  <si>
    <t>A2412</t>
  </si>
  <si>
    <t>A2413</t>
  </si>
  <si>
    <t>A2414</t>
  </si>
  <si>
    <t>A2415</t>
  </si>
  <si>
    <t>A2416</t>
  </si>
  <si>
    <t>A2417</t>
  </si>
  <si>
    <t>A2418</t>
  </si>
  <si>
    <t>A2419</t>
  </si>
  <si>
    <t>A2420</t>
  </si>
  <si>
    <t>A2421</t>
  </si>
  <si>
    <t>A2422</t>
  </si>
  <si>
    <t>A2423</t>
  </si>
  <si>
    <t>A2424</t>
  </si>
  <si>
    <t>A2425</t>
  </si>
  <si>
    <t>A2426</t>
  </si>
  <si>
    <t>A2427</t>
  </si>
  <si>
    <t>A2428</t>
  </si>
  <si>
    <t>A2429</t>
  </si>
  <si>
    <t>A2430</t>
  </si>
  <si>
    <t>A2431</t>
  </si>
  <si>
    <t>A2432</t>
  </si>
  <si>
    <t>A2433</t>
  </si>
  <si>
    <t>A2434</t>
  </si>
  <si>
    <t>A2435</t>
  </si>
  <si>
    <t>A2436</t>
  </si>
  <si>
    <t>A2437</t>
  </si>
  <si>
    <t>A2438</t>
  </si>
  <si>
    <t>A2439</t>
  </si>
  <si>
    <t>A2440</t>
  </si>
  <si>
    <t>A2441</t>
  </si>
  <si>
    <t>A2442</t>
  </si>
  <si>
    <t>A2443</t>
  </si>
  <si>
    <t>A2444</t>
  </si>
  <si>
    <t>A2445</t>
  </si>
  <si>
    <t>A2446</t>
  </si>
  <si>
    <t>A2447</t>
  </si>
  <si>
    <t>A2448</t>
  </si>
  <si>
    <t>A2449</t>
  </si>
  <si>
    <t>A2450</t>
  </si>
  <si>
    <t>A2451</t>
  </si>
  <si>
    <t>A2452</t>
  </si>
  <si>
    <t>A2453</t>
  </si>
  <si>
    <t>A2454</t>
  </si>
  <si>
    <t>A2455</t>
  </si>
  <si>
    <t>A2456</t>
  </si>
  <si>
    <t>A2457</t>
  </si>
  <si>
    <t>A2458</t>
  </si>
  <si>
    <t>A2459</t>
  </si>
  <si>
    <t>A2460</t>
  </si>
  <si>
    <t>A2461</t>
  </si>
  <si>
    <t>A2462</t>
  </si>
  <si>
    <t>A2463</t>
  </si>
  <si>
    <t>A2464</t>
  </si>
  <si>
    <t>A2465</t>
  </si>
  <si>
    <t>A2466</t>
  </si>
  <si>
    <t>A2467</t>
  </si>
  <si>
    <t>A2468</t>
  </si>
  <si>
    <t>A2469</t>
  </si>
  <si>
    <t>A2470</t>
  </si>
  <si>
    <t>A2471</t>
  </si>
  <si>
    <t>A2472</t>
  </si>
  <si>
    <t>A2473</t>
  </si>
  <si>
    <t>A2474</t>
  </si>
  <si>
    <t>A2475</t>
  </si>
  <si>
    <t>A2476</t>
  </si>
  <si>
    <t>A2477</t>
  </si>
  <si>
    <t>A2478</t>
  </si>
  <si>
    <t>A2479</t>
  </si>
  <si>
    <t>A2480</t>
  </si>
  <si>
    <t>A2481</t>
  </si>
  <si>
    <t>A2482</t>
  </si>
  <si>
    <t>A2483</t>
  </si>
  <si>
    <t>Polybutadiene</t>
  </si>
  <si>
    <t>A2484</t>
  </si>
  <si>
    <t>A2485</t>
  </si>
  <si>
    <t>A2486</t>
  </si>
  <si>
    <t>A2487</t>
  </si>
  <si>
    <t>A2488</t>
  </si>
  <si>
    <t>A2489</t>
  </si>
  <si>
    <t>A2490</t>
  </si>
  <si>
    <t>A2491</t>
  </si>
  <si>
    <t>A2492</t>
  </si>
  <si>
    <t>A2493</t>
  </si>
  <si>
    <t>A2494</t>
  </si>
  <si>
    <t>A2495</t>
  </si>
  <si>
    <t>A2496</t>
  </si>
  <si>
    <t>A2497</t>
  </si>
  <si>
    <t>A2498</t>
  </si>
  <si>
    <t>A2499</t>
  </si>
  <si>
    <t>A2500</t>
  </si>
  <si>
    <t>A2501</t>
  </si>
  <si>
    <t>A2502</t>
  </si>
  <si>
    <t>A2503</t>
  </si>
  <si>
    <t>A2504</t>
  </si>
  <si>
    <t>A2505</t>
  </si>
  <si>
    <t>A2506</t>
  </si>
  <si>
    <t>A2507</t>
  </si>
  <si>
    <t>A2508</t>
  </si>
  <si>
    <t>A2509</t>
  </si>
  <si>
    <t>A2510</t>
  </si>
  <si>
    <t>A2511</t>
  </si>
  <si>
    <t>A2512</t>
  </si>
  <si>
    <t>A2513</t>
  </si>
  <si>
    <t>A2514</t>
  </si>
  <si>
    <t>A2515</t>
  </si>
  <si>
    <t>A2516</t>
  </si>
  <si>
    <t>A2517</t>
  </si>
  <si>
    <t>A2518</t>
  </si>
  <si>
    <t>A2519</t>
  </si>
  <si>
    <t>A2520</t>
  </si>
  <si>
    <t>A2521</t>
  </si>
  <si>
    <t>A2522</t>
  </si>
  <si>
    <t>A2523</t>
  </si>
  <si>
    <t>A2524</t>
  </si>
  <si>
    <t>A2525</t>
  </si>
  <si>
    <t>A2526</t>
  </si>
  <si>
    <t>A2527</t>
  </si>
  <si>
    <t>A2528</t>
  </si>
  <si>
    <t>A2529</t>
  </si>
  <si>
    <t>A2530</t>
  </si>
  <si>
    <t>A2531</t>
  </si>
  <si>
    <t>A2532</t>
  </si>
  <si>
    <t>A2533</t>
  </si>
  <si>
    <t>A2534</t>
  </si>
  <si>
    <t>A2535</t>
  </si>
  <si>
    <t>A2536</t>
  </si>
  <si>
    <t>A2537</t>
  </si>
  <si>
    <t>A2538</t>
  </si>
  <si>
    <t>A2539</t>
  </si>
  <si>
    <t>A2540</t>
  </si>
  <si>
    <t>A2541</t>
  </si>
  <si>
    <t>A2542</t>
  </si>
  <si>
    <t>A2543</t>
  </si>
  <si>
    <t>A2544</t>
  </si>
  <si>
    <t>A2545</t>
  </si>
  <si>
    <t>A2546</t>
  </si>
  <si>
    <t>A2547</t>
  </si>
  <si>
    <t>A2548</t>
  </si>
  <si>
    <t>A2549</t>
  </si>
  <si>
    <t>A2550</t>
  </si>
  <si>
    <t>A2551</t>
  </si>
  <si>
    <t>A2552</t>
  </si>
  <si>
    <t>A2553</t>
  </si>
  <si>
    <t>A2554</t>
  </si>
  <si>
    <t>A2555</t>
  </si>
  <si>
    <t>A2556</t>
  </si>
  <si>
    <t>A2557</t>
  </si>
  <si>
    <t>A2558</t>
  </si>
  <si>
    <t>A2559</t>
  </si>
  <si>
    <t>A2560</t>
  </si>
  <si>
    <t>A2561</t>
  </si>
  <si>
    <t>A2562</t>
  </si>
  <si>
    <t>A2563</t>
  </si>
  <si>
    <t>A2564</t>
  </si>
  <si>
    <t>A2565</t>
  </si>
  <si>
    <t>A2566</t>
  </si>
  <si>
    <t>A2567</t>
  </si>
  <si>
    <t>A2568</t>
  </si>
  <si>
    <t>A2569</t>
  </si>
  <si>
    <t>A2570</t>
  </si>
  <si>
    <t>A2571</t>
  </si>
  <si>
    <t>A2572</t>
  </si>
  <si>
    <t>A2573</t>
  </si>
  <si>
    <t>A2574</t>
  </si>
  <si>
    <t>A2575</t>
  </si>
  <si>
    <t>A2576</t>
  </si>
  <si>
    <t>A2577</t>
  </si>
  <si>
    <t>A2578</t>
  </si>
  <si>
    <t>A2579</t>
  </si>
  <si>
    <t>A2580</t>
  </si>
  <si>
    <t>A2581</t>
  </si>
  <si>
    <t>A2582</t>
  </si>
  <si>
    <t>A2583</t>
  </si>
  <si>
    <t>A2584</t>
  </si>
  <si>
    <t>A2585</t>
  </si>
  <si>
    <t>A2586</t>
  </si>
  <si>
    <t>A2587</t>
  </si>
  <si>
    <t>A2588</t>
  </si>
  <si>
    <t>A2589</t>
  </si>
  <si>
    <t>A2590</t>
  </si>
  <si>
    <t>A2591</t>
  </si>
  <si>
    <t>A2592</t>
  </si>
  <si>
    <t>A2593</t>
  </si>
  <si>
    <t>A2594</t>
  </si>
  <si>
    <t>A2595</t>
  </si>
  <si>
    <t>A2596</t>
  </si>
  <si>
    <t>A2597</t>
  </si>
  <si>
    <t>A2598</t>
  </si>
  <si>
    <t>A2599</t>
  </si>
  <si>
    <t>A2600</t>
  </si>
  <si>
    <t>A2601</t>
  </si>
  <si>
    <t>A2602</t>
  </si>
  <si>
    <t>A2603</t>
  </si>
  <si>
    <t>A2604</t>
  </si>
  <si>
    <t>A2605</t>
  </si>
  <si>
    <t>A2606</t>
  </si>
  <si>
    <t>A2607</t>
  </si>
  <si>
    <t>A2608</t>
  </si>
  <si>
    <t>A2609</t>
  </si>
  <si>
    <t>A2610</t>
  </si>
  <si>
    <t>A2611</t>
  </si>
  <si>
    <t>A2612</t>
  </si>
  <si>
    <t>A2613</t>
  </si>
  <si>
    <t>A2614</t>
  </si>
  <si>
    <t>A2615</t>
  </si>
  <si>
    <t>A2616</t>
  </si>
  <si>
    <t>A2617</t>
  </si>
  <si>
    <t>A2618</t>
  </si>
  <si>
    <t>A2619</t>
  </si>
  <si>
    <t>A2620</t>
  </si>
  <si>
    <t>A2621</t>
  </si>
  <si>
    <t>A2622</t>
  </si>
  <si>
    <t>A2623</t>
  </si>
  <si>
    <t>A2624</t>
  </si>
  <si>
    <t>A2625</t>
  </si>
  <si>
    <t>A2626</t>
  </si>
  <si>
    <t>A2627</t>
  </si>
  <si>
    <t>A2628</t>
  </si>
  <si>
    <t>A2629</t>
  </si>
  <si>
    <t>A2630</t>
  </si>
  <si>
    <t>A2631</t>
  </si>
  <si>
    <t>A2632</t>
  </si>
  <si>
    <t>A2633</t>
  </si>
  <si>
    <t>A2634</t>
  </si>
  <si>
    <t>A2635</t>
  </si>
  <si>
    <t>A2636</t>
  </si>
  <si>
    <t>A2637</t>
  </si>
  <si>
    <t>A2638</t>
  </si>
  <si>
    <t>A2639</t>
  </si>
  <si>
    <t>A2640</t>
  </si>
  <si>
    <t>A2641</t>
  </si>
  <si>
    <t>A2642</t>
  </si>
  <si>
    <t>A2643</t>
  </si>
  <si>
    <t>A2644</t>
  </si>
  <si>
    <t>A2645</t>
  </si>
  <si>
    <t>A2646</t>
  </si>
  <si>
    <t>A2647</t>
  </si>
  <si>
    <t>A2648</t>
  </si>
  <si>
    <t>A2649</t>
  </si>
  <si>
    <t>A2650</t>
  </si>
  <si>
    <t>A2651</t>
  </si>
  <si>
    <t>A2652</t>
  </si>
  <si>
    <t>A2653</t>
  </si>
  <si>
    <t>A2654</t>
  </si>
  <si>
    <t>A2655</t>
  </si>
  <si>
    <t>A2656</t>
  </si>
  <si>
    <t>A2657</t>
  </si>
  <si>
    <t>A2658</t>
  </si>
  <si>
    <t>A2659</t>
  </si>
  <si>
    <t>A2660</t>
  </si>
  <si>
    <t>A2661</t>
  </si>
  <si>
    <t>A2662</t>
  </si>
  <si>
    <t>A2663</t>
  </si>
  <si>
    <t>A2664</t>
  </si>
  <si>
    <t>A2665</t>
  </si>
  <si>
    <t>A2666</t>
  </si>
  <si>
    <t>A2667</t>
  </si>
  <si>
    <t>A2668</t>
  </si>
  <si>
    <t>A2669</t>
  </si>
  <si>
    <t>A2670</t>
  </si>
  <si>
    <t>A2671</t>
  </si>
  <si>
    <t>A2672</t>
  </si>
  <si>
    <t>A2673</t>
  </si>
  <si>
    <t>A2674</t>
  </si>
  <si>
    <t>A2675</t>
  </si>
  <si>
    <t>A2676</t>
  </si>
  <si>
    <t>A2677</t>
  </si>
  <si>
    <t>A2678</t>
  </si>
  <si>
    <t>A2679</t>
  </si>
  <si>
    <t>A2680</t>
  </si>
  <si>
    <t>A2681</t>
  </si>
  <si>
    <t>A2682</t>
  </si>
  <si>
    <t>A2683</t>
  </si>
  <si>
    <t>A2684</t>
  </si>
  <si>
    <t>A2685</t>
  </si>
  <si>
    <t>A2686</t>
  </si>
  <si>
    <t>A2687</t>
  </si>
  <si>
    <t>A2688</t>
  </si>
  <si>
    <t>A2689</t>
  </si>
  <si>
    <t>A2690</t>
  </si>
  <si>
    <t>A2691</t>
  </si>
  <si>
    <t>A2692</t>
  </si>
  <si>
    <t>A2693</t>
  </si>
  <si>
    <t>A2694</t>
  </si>
  <si>
    <t>A2695</t>
  </si>
  <si>
    <t>A2696</t>
  </si>
  <si>
    <t>A2697</t>
  </si>
  <si>
    <t>A2698</t>
  </si>
  <si>
    <t>A2699</t>
  </si>
  <si>
    <t>A2700</t>
  </si>
  <si>
    <t>A2701</t>
  </si>
  <si>
    <t>A2702</t>
  </si>
  <si>
    <t>A2703</t>
  </si>
  <si>
    <t>A2704</t>
  </si>
  <si>
    <t>A2705</t>
  </si>
  <si>
    <t>A2706</t>
  </si>
  <si>
    <t>A2707</t>
  </si>
  <si>
    <t>A2708</t>
  </si>
  <si>
    <t>A2709</t>
  </si>
  <si>
    <t>A2710</t>
  </si>
  <si>
    <t>A2711</t>
  </si>
  <si>
    <t>A2712</t>
  </si>
  <si>
    <t>A2713</t>
  </si>
  <si>
    <t>A2714</t>
  </si>
  <si>
    <t>A2715</t>
  </si>
  <si>
    <t>A2716</t>
  </si>
  <si>
    <t>A2717</t>
  </si>
  <si>
    <t>A2718</t>
  </si>
  <si>
    <t>A2719</t>
  </si>
  <si>
    <t>A2720</t>
  </si>
  <si>
    <t>A2721</t>
  </si>
  <si>
    <t>A2722</t>
  </si>
  <si>
    <t>A2723</t>
  </si>
  <si>
    <t>A2724</t>
  </si>
  <si>
    <t>A2725</t>
  </si>
  <si>
    <t>A2726</t>
  </si>
  <si>
    <t>A2727</t>
  </si>
  <si>
    <t>A2728</t>
  </si>
  <si>
    <t>A2729</t>
  </si>
  <si>
    <t>A2730</t>
  </si>
  <si>
    <t>A2731</t>
  </si>
  <si>
    <t>A2732</t>
  </si>
  <si>
    <t>A2733</t>
  </si>
  <si>
    <t>A2734</t>
  </si>
  <si>
    <t>A2735</t>
  </si>
  <si>
    <t>A2736</t>
  </si>
  <si>
    <t>A2737</t>
  </si>
  <si>
    <t>A2738</t>
  </si>
  <si>
    <t>A2739</t>
  </si>
  <si>
    <t>A2740</t>
  </si>
  <si>
    <t>A2741</t>
  </si>
  <si>
    <t>A2742</t>
  </si>
  <si>
    <t>A2743</t>
  </si>
  <si>
    <t>A2744</t>
  </si>
  <si>
    <t>A2745</t>
  </si>
  <si>
    <t>A2746</t>
  </si>
  <si>
    <t>A2747</t>
  </si>
  <si>
    <t>A2748</t>
  </si>
  <si>
    <t>A2749</t>
  </si>
  <si>
    <t>A2750</t>
  </si>
  <si>
    <t>A2751</t>
  </si>
  <si>
    <t>A2752</t>
  </si>
  <si>
    <t>A2753</t>
  </si>
  <si>
    <t>A2754</t>
  </si>
  <si>
    <t>A2755</t>
  </si>
  <si>
    <t>A2756</t>
  </si>
  <si>
    <t>A2757</t>
  </si>
  <si>
    <t>A2758</t>
  </si>
  <si>
    <t>A2759</t>
  </si>
  <si>
    <t>A2760</t>
  </si>
  <si>
    <t>A2761</t>
  </si>
  <si>
    <t>A2762</t>
  </si>
  <si>
    <t>A2763</t>
  </si>
  <si>
    <t>A2764</t>
  </si>
  <si>
    <t>A2765</t>
  </si>
  <si>
    <t>A2766</t>
  </si>
  <si>
    <t>A2767</t>
  </si>
  <si>
    <t>A2768</t>
  </si>
  <si>
    <t>A2769</t>
  </si>
  <si>
    <t>A2770</t>
  </si>
  <si>
    <t>A2771</t>
  </si>
  <si>
    <t>A2772</t>
  </si>
  <si>
    <t>A2773</t>
  </si>
  <si>
    <t>A2774</t>
  </si>
  <si>
    <t>A2775</t>
  </si>
  <si>
    <t>A2776</t>
  </si>
  <si>
    <t>Polysulfones</t>
  </si>
  <si>
    <t>Polylactic acid (PLA)</t>
  </si>
  <si>
    <t>Polyisoprene Chlorinated</t>
  </si>
  <si>
    <t>Polyimide</t>
  </si>
  <si>
    <t>Polyether</t>
  </si>
  <si>
    <t>Polyacetal</t>
  </si>
  <si>
    <t>M</t>
  </si>
  <si>
    <t>S</t>
  </si>
  <si>
    <t>rubber</t>
  </si>
  <si>
    <t>polyvinylchloride (PVC)</t>
  </si>
  <si>
    <t>polyvinyl_alcohol</t>
  </si>
  <si>
    <t>polyurethane (PU)</t>
  </si>
  <si>
    <t>polytetrafluoroethylene (PTFE)</t>
  </si>
  <si>
    <t>polysulfones</t>
  </si>
  <si>
    <t>polysulfone</t>
  </si>
  <si>
    <t>polystyrene (PS)</t>
  </si>
  <si>
    <t>polypropylene (PP)</t>
  </si>
  <si>
    <t>polymethylmethacrylate (PMMA)</t>
  </si>
  <si>
    <t>polylactic_acid (PLA)</t>
  </si>
  <si>
    <t>polyisoprene_chlorinated</t>
  </si>
  <si>
    <t>polyimide</t>
  </si>
  <si>
    <t>polyethylene _terephthalate (PET)</t>
  </si>
  <si>
    <t>polyethylene_chlorinated</t>
  </si>
  <si>
    <t>polyethylene (PE)</t>
  </si>
  <si>
    <t>polyether</t>
  </si>
  <si>
    <t>polycarbonate (PC)</t>
  </si>
  <si>
    <t>polycaprolactone</t>
  </si>
  <si>
    <t>polybutadiene</t>
  </si>
  <si>
    <t>polyamide (PA)</t>
  </si>
  <si>
    <t>polyacetal</t>
  </si>
  <si>
    <t>ethylene_vinyl_acetate (EVA)</t>
  </si>
  <si>
    <t>cellulose_chemically_modified</t>
  </si>
  <si>
    <t>cellulose_acetate</t>
  </si>
  <si>
    <t>alkyd_varnish</t>
  </si>
  <si>
    <t>acrylonitrile_butadiene</t>
  </si>
  <si>
    <t>acrylates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</si>
</sst>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sz val="8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s="1">
        <v>46001.652494409696</v>
      </c>
    </row>
    <row r="8" spans="1:2">
      <c r="A8" t="s">
        <v>13</v>
      </c>
      <c r="B8" s="1">
        <v>46027.7035875</v>
      </c>
    </row>
    <row r="9" spans="1:2">
      <c r="A9" t="s">
        <v>14</v>
      </c>
      <c r="B9">
        <v>1010</v>
      </c>
    </row>
    <row r="10" spans="1:2">
      <c r="A10" t="s">
        <v>15</v>
      </c>
      <c r="B10">
        <v>1442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777"/>
  <sheetViews>
    <sheetView workbookViewId="0">
      <selection activeCell="L1" sqref="L1:L1048576"/>
    </sheetView>
  </sheetViews>
  <sheetFormatPr defaultRowHeight="15"/>
  <sheetData>
    <row r="1" spans="1:16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</row>
    <row r="2" spans="1:16">
      <c r="A2">
        <v>1</v>
      </c>
      <c r="B2" t="s">
        <v>32</v>
      </c>
      <c r="C2">
        <v>73</v>
      </c>
      <c r="D2">
        <v>68</v>
      </c>
      <c r="E2">
        <v>50.019795815599103</v>
      </c>
      <c r="F2">
        <v>1.0640000000000001</v>
      </c>
      <c r="G2">
        <v>1965.0504759924399</v>
      </c>
      <c r="H2">
        <v>452.22434905871103</v>
      </c>
      <c r="I2">
        <v>0.61832086241142203</v>
      </c>
      <c r="J2">
        <v>0.120746816659596</v>
      </c>
      <c r="K2">
        <v>0.51192596608069396</v>
      </c>
      <c r="L2" t="s">
        <v>33</v>
      </c>
      <c r="M2" t="s">
        <v>34</v>
      </c>
      <c r="N2" t="s">
        <v>35</v>
      </c>
      <c r="O2">
        <v>0.84068639605066398</v>
      </c>
      <c r="P2" t="s">
        <v>36</v>
      </c>
    </row>
    <row r="3" spans="1:16">
      <c r="A3">
        <v>2</v>
      </c>
      <c r="B3" t="s">
        <v>37</v>
      </c>
      <c r="C3">
        <v>70</v>
      </c>
      <c r="D3">
        <v>70</v>
      </c>
      <c r="E3">
        <v>50.123730220716297</v>
      </c>
      <c r="F3">
        <v>1.0008524714299001</v>
      </c>
      <c r="G3">
        <v>1973.2251810964101</v>
      </c>
      <c r="H3">
        <v>533.01671513495205</v>
      </c>
      <c r="I3">
        <v>0.68895842343022495</v>
      </c>
      <c r="J3">
        <v>8.7278014136639895E-2</v>
      </c>
      <c r="K3">
        <v>0.53705501618122997</v>
      </c>
      <c r="L3" t="s">
        <v>38</v>
      </c>
      <c r="M3" t="s">
        <v>34</v>
      </c>
      <c r="N3" t="s">
        <v>35</v>
      </c>
      <c r="O3">
        <v>0.75997481464049899</v>
      </c>
      <c r="P3" t="s">
        <v>36</v>
      </c>
    </row>
    <row r="4" spans="1:16">
      <c r="A4">
        <v>3</v>
      </c>
      <c r="B4" t="s">
        <v>39</v>
      </c>
      <c r="C4">
        <v>79</v>
      </c>
      <c r="D4">
        <v>84</v>
      </c>
      <c r="E4">
        <v>50.148265060104499</v>
      </c>
      <c r="F4">
        <v>0.94243079054927603</v>
      </c>
      <c r="G4">
        <v>1975.1573841209799</v>
      </c>
      <c r="H4">
        <v>659.71693648245002</v>
      </c>
      <c r="I4">
        <v>0.57763908355862004</v>
      </c>
      <c r="J4">
        <v>5.7029071861071999E-2</v>
      </c>
      <c r="K4">
        <v>0.37847459557985902</v>
      </c>
      <c r="L4" t="s">
        <v>33</v>
      </c>
      <c r="M4" t="s">
        <v>34</v>
      </c>
      <c r="N4" t="s">
        <v>35</v>
      </c>
      <c r="O4">
        <v>0.66320486809472001</v>
      </c>
      <c r="P4" t="s">
        <v>36</v>
      </c>
    </row>
    <row r="5" spans="1:16">
      <c r="A5">
        <v>4</v>
      </c>
      <c r="B5" t="s">
        <v>40</v>
      </c>
      <c r="C5">
        <v>83</v>
      </c>
      <c r="D5">
        <v>63</v>
      </c>
      <c r="E5">
        <v>50.189758234728203</v>
      </c>
      <c r="F5">
        <v>1.3103447368680701</v>
      </c>
      <c r="G5">
        <v>1978.42726616257</v>
      </c>
      <c r="H5">
        <v>595.677967793942</v>
      </c>
      <c r="I5">
        <v>0.48953439014253203</v>
      </c>
      <c r="J5">
        <v>7.0065927966430505E-2</v>
      </c>
      <c r="K5">
        <v>0.46949068848758502</v>
      </c>
      <c r="L5" t="s">
        <v>41</v>
      </c>
      <c r="M5" t="s">
        <v>34</v>
      </c>
      <c r="N5" t="s">
        <v>35</v>
      </c>
      <c r="O5">
        <v>0.73005019947683103</v>
      </c>
      <c r="P5" t="s">
        <v>36</v>
      </c>
    </row>
    <row r="6" spans="1:16">
      <c r="A6">
        <v>5</v>
      </c>
      <c r="B6" t="s">
        <v>42</v>
      </c>
      <c r="C6">
        <v>81</v>
      </c>
      <c r="D6">
        <v>50</v>
      </c>
      <c r="E6">
        <v>50.1935286406408</v>
      </c>
      <c r="F6">
        <v>1.6242377708000899</v>
      </c>
      <c r="G6">
        <v>1978.72452816635</v>
      </c>
      <c r="H6">
        <v>326.29518152724103</v>
      </c>
      <c r="I6">
        <v>0.78882506227300797</v>
      </c>
      <c r="J6">
        <v>0.233546778071542</v>
      </c>
      <c r="K6">
        <v>0.71509910297040302</v>
      </c>
      <c r="L6" t="s">
        <v>43</v>
      </c>
      <c r="M6" t="s">
        <v>34</v>
      </c>
      <c r="N6" t="s">
        <v>35</v>
      </c>
      <c r="O6">
        <v>0.73394701802094797</v>
      </c>
      <c r="P6" t="s">
        <v>36</v>
      </c>
    </row>
    <row r="7" spans="1:16">
      <c r="A7">
        <v>6</v>
      </c>
      <c r="B7" t="s">
        <v>44</v>
      </c>
      <c r="C7">
        <v>58</v>
      </c>
      <c r="D7">
        <v>58</v>
      </c>
      <c r="E7">
        <v>50.221797662335099</v>
      </c>
      <c r="F7">
        <v>1</v>
      </c>
      <c r="G7">
        <v>1980.9539931947099</v>
      </c>
      <c r="H7">
        <v>307.62549834002601</v>
      </c>
      <c r="I7">
        <v>0.57486250389691396</v>
      </c>
      <c r="J7">
        <v>0.26305077937459098</v>
      </c>
      <c r="K7">
        <v>0.75176264876755605</v>
      </c>
      <c r="L7" t="s">
        <v>33</v>
      </c>
      <c r="M7" t="s">
        <v>34</v>
      </c>
      <c r="N7" t="s">
        <v>35</v>
      </c>
      <c r="O7">
        <v>0.77214527950746703</v>
      </c>
      <c r="P7" t="s">
        <v>36</v>
      </c>
    </row>
    <row r="8" spans="1:16">
      <c r="A8">
        <v>7</v>
      </c>
      <c r="B8" t="s">
        <v>45</v>
      </c>
      <c r="C8">
        <v>53</v>
      </c>
      <c r="D8">
        <v>78</v>
      </c>
      <c r="E8">
        <v>50.3253148846727</v>
      </c>
      <c r="F8">
        <v>0.68531468531468498</v>
      </c>
      <c r="G8">
        <v>1989.1286982986801</v>
      </c>
      <c r="H8">
        <v>377.09394346040199</v>
      </c>
      <c r="I8">
        <v>0.58527693260129898</v>
      </c>
      <c r="J8">
        <v>0.17578168890150001</v>
      </c>
      <c r="K8">
        <v>0.63892867373245499</v>
      </c>
      <c r="L8" t="s">
        <v>33</v>
      </c>
      <c r="M8" t="s">
        <v>34</v>
      </c>
      <c r="N8" t="s">
        <v>35</v>
      </c>
      <c r="O8">
        <v>0.73700448382180805</v>
      </c>
      <c r="P8" t="s">
        <v>36</v>
      </c>
    </row>
    <row r="9" spans="1:16">
      <c r="A9">
        <v>8</v>
      </c>
      <c r="B9" t="s">
        <v>46</v>
      </c>
      <c r="C9">
        <v>54</v>
      </c>
      <c r="D9">
        <v>63</v>
      </c>
      <c r="E9">
        <v>50.473631778451498</v>
      </c>
      <c r="F9">
        <v>0.85344827586206895</v>
      </c>
      <c r="G9">
        <v>2000.87054744802</v>
      </c>
      <c r="H9">
        <v>239.30228520310399</v>
      </c>
      <c r="I9">
        <v>0.72128828088254004</v>
      </c>
      <c r="J9">
        <v>0.439071414705276</v>
      </c>
      <c r="K9">
        <v>0.80427769148046402</v>
      </c>
      <c r="L9" t="s">
        <v>47</v>
      </c>
      <c r="M9" t="s">
        <v>34</v>
      </c>
      <c r="N9" t="s">
        <v>35</v>
      </c>
      <c r="O9">
        <v>0.929624187519137</v>
      </c>
      <c r="P9" t="s">
        <v>36</v>
      </c>
    </row>
    <row r="10" spans="1:16">
      <c r="A10">
        <v>9</v>
      </c>
      <c r="B10" t="s">
        <v>48</v>
      </c>
      <c r="C10">
        <v>58</v>
      </c>
      <c r="D10">
        <v>81</v>
      </c>
      <c r="E10">
        <v>50.580375131566498</v>
      </c>
      <c r="F10">
        <v>0.71190156263232995</v>
      </c>
      <c r="G10">
        <v>2009.3425145557701</v>
      </c>
      <c r="H10">
        <v>381.98485012230702</v>
      </c>
      <c r="I10">
        <v>0.62498724938376404</v>
      </c>
      <c r="J10">
        <v>0.17304998257679399</v>
      </c>
      <c r="K10">
        <v>0.61660205245153898</v>
      </c>
      <c r="L10" t="s">
        <v>49</v>
      </c>
      <c r="M10" t="s">
        <v>34</v>
      </c>
      <c r="N10" t="s">
        <v>35</v>
      </c>
      <c r="O10">
        <v>0.76226956609860197</v>
      </c>
      <c r="P10" t="s">
        <v>36</v>
      </c>
    </row>
    <row r="11" spans="1:16">
      <c r="A11">
        <v>10</v>
      </c>
      <c r="B11" t="s">
        <v>50</v>
      </c>
      <c r="C11">
        <v>78</v>
      </c>
      <c r="D11">
        <v>63</v>
      </c>
      <c r="E11">
        <v>50.698093151600503</v>
      </c>
      <c r="F11">
        <v>1.2327586206896599</v>
      </c>
      <c r="G11">
        <v>2018.7062676748601</v>
      </c>
      <c r="H11">
        <v>508.79466587149602</v>
      </c>
      <c r="I11">
        <v>0.55428630556677605</v>
      </c>
      <c r="J11">
        <v>9.7993641426335501E-2</v>
      </c>
      <c r="K11">
        <v>0.50456943309309799</v>
      </c>
      <c r="L11" t="s">
        <v>49</v>
      </c>
      <c r="M11" t="s">
        <v>34</v>
      </c>
      <c r="N11" t="s">
        <v>35</v>
      </c>
      <c r="O11">
        <v>0.67651311792911295</v>
      </c>
      <c r="P11" t="s">
        <v>36</v>
      </c>
    </row>
    <row r="12" spans="1:16">
      <c r="A12">
        <v>11</v>
      </c>
      <c r="B12" t="s">
        <v>51</v>
      </c>
      <c r="C12">
        <v>107</v>
      </c>
      <c r="D12">
        <v>68</v>
      </c>
      <c r="E12">
        <v>50.759646018183702</v>
      </c>
      <c r="F12">
        <v>1.57599994824218</v>
      </c>
      <c r="G12">
        <v>2023.6110907372399</v>
      </c>
      <c r="H12">
        <v>521.07672972710202</v>
      </c>
      <c r="I12">
        <v>0.57364024810124903</v>
      </c>
      <c r="J12">
        <v>9.3655558334070702E-2</v>
      </c>
      <c r="K12">
        <v>0.34208542713567802</v>
      </c>
      <c r="L12" t="s">
        <v>33</v>
      </c>
      <c r="M12" t="s">
        <v>34</v>
      </c>
      <c r="N12" t="s">
        <v>35</v>
      </c>
      <c r="O12">
        <v>0.69718038853892195</v>
      </c>
      <c r="P12" t="s">
        <v>36</v>
      </c>
    </row>
    <row r="13" spans="1:16">
      <c r="A13">
        <v>12</v>
      </c>
      <c r="B13" t="s">
        <v>52</v>
      </c>
      <c r="C13">
        <v>69</v>
      </c>
      <c r="D13">
        <v>77</v>
      </c>
      <c r="E13">
        <v>50.8006398287785</v>
      </c>
      <c r="F13">
        <v>0.88732402690275503</v>
      </c>
      <c r="G13">
        <v>2026.88097277883</v>
      </c>
      <c r="H13">
        <v>581.87649378745505</v>
      </c>
      <c r="I13">
        <v>0.50170902564133701</v>
      </c>
      <c r="J13">
        <v>7.52274747051489E-2</v>
      </c>
      <c r="K13">
        <v>0.45432436034115098</v>
      </c>
      <c r="L13" t="s">
        <v>33</v>
      </c>
      <c r="M13" t="s">
        <v>34</v>
      </c>
      <c r="N13" t="s">
        <v>35</v>
      </c>
      <c r="O13">
        <v>0.71908459463429897</v>
      </c>
      <c r="P13" t="s">
        <v>36</v>
      </c>
    </row>
    <row r="14" spans="1:16">
      <c r="A14">
        <v>13</v>
      </c>
      <c r="B14" t="s">
        <v>53</v>
      </c>
      <c r="C14">
        <v>63</v>
      </c>
      <c r="D14">
        <v>58</v>
      </c>
      <c r="E14">
        <v>50.876949246684198</v>
      </c>
      <c r="F14">
        <v>1.08411216152757</v>
      </c>
      <c r="G14">
        <v>2032.9748438563299</v>
      </c>
      <c r="H14">
        <v>486.53429736987403</v>
      </c>
      <c r="I14">
        <v>0.66167816769809396</v>
      </c>
      <c r="J14">
        <v>0.10792323322771701</v>
      </c>
      <c r="K14">
        <v>0.63371015567086697</v>
      </c>
      <c r="L14" t="s">
        <v>38</v>
      </c>
      <c r="M14" t="s">
        <v>34</v>
      </c>
      <c r="N14" t="s">
        <v>35</v>
      </c>
      <c r="O14">
        <v>0.76501114709818996</v>
      </c>
      <c r="P14" t="s">
        <v>36</v>
      </c>
    </row>
    <row r="15" spans="1:16">
      <c r="A15">
        <v>14</v>
      </c>
      <c r="B15" t="s">
        <v>54</v>
      </c>
      <c r="C15">
        <v>56</v>
      </c>
      <c r="D15">
        <v>125</v>
      </c>
      <c r="E15">
        <v>50.9327129723628</v>
      </c>
      <c r="F15">
        <v>0.45080922426662701</v>
      </c>
      <c r="G15">
        <v>2037.4337739130401</v>
      </c>
      <c r="H15">
        <v>509.510922486678</v>
      </c>
      <c r="I15">
        <v>0.66037320022546198</v>
      </c>
      <c r="J15">
        <v>9.8624852811122904E-2</v>
      </c>
      <c r="K15">
        <v>0.47091964684461901</v>
      </c>
      <c r="L15" t="s">
        <v>33</v>
      </c>
      <c r="M15" t="s">
        <v>34</v>
      </c>
      <c r="N15" t="s">
        <v>35</v>
      </c>
      <c r="O15">
        <v>0.78566465675533403</v>
      </c>
      <c r="P15" t="s">
        <v>36</v>
      </c>
    </row>
    <row r="16" spans="1:16">
      <c r="A16">
        <v>15</v>
      </c>
      <c r="B16" t="s">
        <v>55</v>
      </c>
      <c r="C16">
        <v>83</v>
      </c>
      <c r="D16">
        <v>54</v>
      </c>
      <c r="E16">
        <v>50.936428383460999</v>
      </c>
      <c r="F16">
        <v>1.5454545454545501</v>
      </c>
      <c r="G16">
        <v>2037.73103591682</v>
      </c>
      <c r="H16">
        <v>473.71366374430499</v>
      </c>
      <c r="I16">
        <v>0.740468754147383</v>
      </c>
      <c r="J16">
        <v>0.114110314097705</v>
      </c>
      <c r="K16">
        <v>0.60695944749424502</v>
      </c>
      <c r="L16" t="s">
        <v>33</v>
      </c>
      <c r="M16" t="s">
        <v>34</v>
      </c>
      <c r="N16" t="s">
        <v>35</v>
      </c>
      <c r="O16">
        <v>0.72063326891224599</v>
      </c>
      <c r="P16" t="s">
        <v>36</v>
      </c>
    </row>
    <row r="17" spans="1:16">
      <c r="A17">
        <v>16</v>
      </c>
      <c r="B17" t="s">
        <v>56</v>
      </c>
      <c r="C17">
        <v>62</v>
      </c>
      <c r="D17">
        <v>83</v>
      </c>
      <c r="E17">
        <v>51.006969773672203</v>
      </c>
      <c r="F17">
        <v>0.74228884024590502</v>
      </c>
      <c r="G17">
        <v>2043.3790139886601</v>
      </c>
      <c r="H17">
        <v>416.481887517183</v>
      </c>
      <c r="I17">
        <v>0.57093264219957096</v>
      </c>
      <c r="J17">
        <v>0.14803573173958201</v>
      </c>
      <c r="K17">
        <v>0.58185203995259904</v>
      </c>
      <c r="L17" t="s">
        <v>33</v>
      </c>
      <c r="M17" t="s">
        <v>34</v>
      </c>
      <c r="N17" t="s">
        <v>35</v>
      </c>
      <c r="O17">
        <v>0.87805170630972795</v>
      </c>
      <c r="P17" t="s">
        <v>36</v>
      </c>
    </row>
    <row r="18" spans="1:16">
      <c r="A18">
        <v>17</v>
      </c>
      <c r="B18" t="s">
        <v>57</v>
      </c>
      <c r="C18">
        <v>63</v>
      </c>
      <c r="D18">
        <v>54</v>
      </c>
      <c r="E18">
        <v>51.201381492653603</v>
      </c>
      <c r="F18">
        <v>1.1673720498475799</v>
      </c>
      <c r="G18">
        <v>2058.9852691871502</v>
      </c>
      <c r="H18">
        <v>257.78487930660702</v>
      </c>
      <c r="I18">
        <v>0.68684499056059301</v>
      </c>
      <c r="J18">
        <v>0.38935721262751699</v>
      </c>
      <c r="K18">
        <v>0.81177849399355395</v>
      </c>
      <c r="L18" t="s">
        <v>58</v>
      </c>
      <c r="M18" t="s">
        <v>34</v>
      </c>
      <c r="N18" t="s">
        <v>35</v>
      </c>
      <c r="O18">
        <v>0.85750759863762305</v>
      </c>
      <c r="P18" t="s">
        <v>36</v>
      </c>
    </row>
    <row r="19" spans="1:16">
      <c r="A19">
        <v>18</v>
      </c>
      <c r="B19" t="s">
        <v>59</v>
      </c>
      <c r="C19">
        <v>69</v>
      </c>
      <c r="D19">
        <v>44</v>
      </c>
      <c r="E19">
        <v>51.301077782947097</v>
      </c>
      <c r="F19">
        <v>1.55555555555556</v>
      </c>
      <c r="G19">
        <v>2067.0113432892299</v>
      </c>
      <c r="H19">
        <v>248.26764974853299</v>
      </c>
      <c r="I19">
        <v>0.81132356946715301</v>
      </c>
      <c r="J19">
        <v>0.42141739487177299</v>
      </c>
      <c r="K19">
        <v>0.846800219204774</v>
      </c>
      <c r="L19" t="s">
        <v>33</v>
      </c>
      <c r="M19" t="s">
        <v>34</v>
      </c>
      <c r="N19" t="s">
        <v>35</v>
      </c>
      <c r="O19">
        <v>0.82777203156133405</v>
      </c>
      <c r="P19" t="s">
        <v>36</v>
      </c>
    </row>
    <row r="20" spans="1:16">
      <c r="A20">
        <v>19</v>
      </c>
      <c r="B20" t="s">
        <v>60</v>
      </c>
      <c r="C20">
        <v>118</v>
      </c>
      <c r="D20">
        <v>44</v>
      </c>
      <c r="E20">
        <v>51.444742447484998</v>
      </c>
      <c r="F20">
        <v>2.6666666666666701</v>
      </c>
      <c r="G20">
        <v>2078.6045614366699</v>
      </c>
      <c r="H20">
        <v>496.18381881081501</v>
      </c>
      <c r="I20">
        <v>0.87270399411115895</v>
      </c>
      <c r="J20">
        <v>0.106095397793636</v>
      </c>
      <c r="K20">
        <v>0.50683144275722103</v>
      </c>
      <c r="L20" t="s">
        <v>61</v>
      </c>
      <c r="M20" t="s">
        <v>34</v>
      </c>
      <c r="N20" t="s">
        <v>35</v>
      </c>
      <c r="O20">
        <v>0.80289417077592096</v>
      </c>
      <c r="P20" t="s">
        <v>36</v>
      </c>
    </row>
    <row r="21" spans="1:16">
      <c r="A21">
        <v>20</v>
      </c>
      <c r="B21" t="s">
        <v>62</v>
      </c>
      <c r="C21">
        <v>44</v>
      </c>
      <c r="D21">
        <v>94</v>
      </c>
      <c r="E21">
        <v>51.448420881757102</v>
      </c>
      <c r="F21">
        <v>0.47183019637637202</v>
      </c>
      <c r="G21">
        <v>2078.9018234404498</v>
      </c>
      <c r="H21">
        <v>410.07157070439803</v>
      </c>
      <c r="I21">
        <v>0.62179477325563404</v>
      </c>
      <c r="J21">
        <v>0.155354744394265</v>
      </c>
      <c r="K21">
        <v>0.60678495509956198</v>
      </c>
      <c r="L21" t="s">
        <v>33</v>
      </c>
      <c r="M21" t="s">
        <v>34</v>
      </c>
      <c r="N21" t="s">
        <v>35</v>
      </c>
      <c r="O21">
        <v>0.79169130496066198</v>
      </c>
      <c r="P21" t="s">
        <v>36</v>
      </c>
    </row>
    <row r="22" spans="1:16">
      <c r="A22">
        <v>21</v>
      </c>
      <c r="B22" t="s">
        <v>63</v>
      </c>
      <c r="C22">
        <v>69</v>
      </c>
      <c r="D22">
        <v>47</v>
      </c>
      <c r="E22">
        <v>51.578835339102298</v>
      </c>
      <c r="F22">
        <v>1.4690720402949999</v>
      </c>
      <c r="G22">
        <v>2089.4546245746701</v>
      </c>
      <c r="H22">
        <v>237.3085047216</v>
      </c>
      <c r="I22">
        <v>0.58779067580838995</v>
      </c>
      <c r="J22">
        <v>0.46624716336788802</v>
      </c>
      <c r="K22">
        <v>0.84159482758620696</v>
      </c>
      <c r="L22" t="s">
        <v>47</v>
      </c>
      <c r="M22" t="s">
        <v>34</v>
      </c>
      <c r="N22" t="s">
        <v>35</v>
      </c>
      <c r="O22">
        <v>0.939912743956139</v>
      </c>
      <c r="P22" t="s">
        <v>36</v>
      </c>
    </row>
    <row r="23" spans="1:16">
      <c r="A23">
        <v>22</v>
      </c>
      <c r="B23" t="s">
        <v>64</v>
      </c>
      <c r="C23">
        <v>53</v>
      </c>
      <c r="D23">
        <v>102</v>
      </c>
      <c r="E23">
        <v>51.686957583319597</v>
      </c>
      <c r="F23">
        <v>0.52421694987800804</v>
      </c>
      <c r="G23">
        <v>2098.2238536862001</v>
      </c>
      <c r="H23">
        <v>459.37361996785501</v>
      </c>
      <c r="I23">
        <v>0.54807645241102898</v>
      </c>
      <c r="J23">
        <v>0.12494807814933501</v>
      </c>
      <c r="K23">
        <v>0.57121469612365505</v>
      </c>
      <c r="L23" t="s">
        <v>33</v>
      </c>
      <c r="M23" t="s">
        <v>34</v>
      </c>
      <c r="N23" t="s">
        <v>35</v>
      </c>
      <c r="O23">
        <v>0.85081128726262301</v>
      </c>
      <c r="P23" t="s">
        <v>36</v>
      </c>
    </row>
    <row r="24" spans="1:16">
      <c r="A24">
        <v>23</v>
      </c>
      <c r="B24" t="s">
        <v>65</v>
      </c>
      <c r="C24">
        <v>68</v>
      </c>
      <c r="D24">
        <v>63</v>
      </c>
      <c r="E24">
        <v>51.772927279335399</v>
      </c>
      <c r="F24">
        <v>1.07758621710234</v>
      </c>
      <c r="G24">
        <v>2105.2095107750501</v>
      </c>
      <c r="H24">
        <v>592.80353909471796</v>
      </c>
      <c r="I24">
        <v>0.62113683407576004</v>
      </c>
      <c r="J24">
        <v>7.52806936108108E-2</v>
      </c>
      <c r="K24">
        <v>0.51443722078959797</v>
      </c>
      <c r="L24" t="s">
        <v>33</v>
      </c>
      <c r="M24" t="s">
        <v>34</v>
      </c>
      <c r="N24" t="s">
        <v>35</v>
      </c>
      <c r="O24">
        <v>0.78867459300528298</v>
      </c>
      <c r="P24" t="s">
        <v>36</v>
      </c>
    </row>
    <row r="25" spans="1:16">
      <c r="A25">
        <v>24</v>
      </c>
      <c r="B25" t="s">
        <v>66</v>
      </c>
      <c r="C25">
        <v>78</v>
      </c>
      <c r="D25">
        <v>57</v>
      </c>
      <c r="E25">
        <v>51.787546205866903</v>
      </c>
      <c r="F25">
        <v>1.3766832809076199</v>
      </c>
      <c r="G25">
        <v>2106.3985587901698</v>
      </c>
      <c r="H25">
        <v>441.52978779751299</v>
      </c>
      <c r="I25">
        <v>0.57733108490144203</v>
      </c>
      <c r="J25">
        <v>0.13577830906865301</v>
      </c>
      <c r="K25">
        <v>0.60086491986771795</v>
      </c>
      <c r="L25" t="s">
        <v>67</v>
      </c>
      <c r="M25" t="s">
        <v>34</v>
      </c>
      <c r="N25" t="s">
        <v>35</v>
      </c>
      <c r="O25">
        <v>0.722780407979143</v>
      </c>
      <c r="P25" t="s">
        <v>36</v>
      </c>
    </row>
    <row r="26" spans="1:16">
      <c r="A26">
        <v>25</v>
      </c>
      <c r="B26" t="s">
        <v>68</v>
      </c>
      <c r="C26">
        <v>73</v>
      </c>
      <c r="D26">
        <v>54</v>
      </c>
      <c r="E26">
        <v>51.871525078862902</v>
      </c>
      <c r="F26">
        <v>1.35353535353535</v>
      </c>
      <c r="G26">
        <v>2113.2355848771299</v>
      </c>
      <c r="H26">
        <v>490.52185833288303</v>
      </c>
      <c r="I26">
        <v>0.44740387399838699</v>
      </c>
      <c r="J26">
        <v>0.110367460402581</v>
      </c>
      <c r="K26">
        <v>0.60667349377026802</v>
      </c>
      <c r="L26" t="s">
        <v>33</v>
      </c>
      <c r="M26" t="s">
        <v>34</v>
      </c>
      <c r="N26" t="s">
        <v>35</v>
      </c>
      <c r="O26">
        <v>0.71116766273385501</v>
      </c>
      <c r="P26" t="s">
        <v>36</v>
      </c>
    </row>
    <row r="27" spans="1:16">
      <c r="A27">
        <v>26</v>
      </c>
      <c r="B27" t="s">
        <v>69</v>
      </c>
      <c r="C27">
        <v>46</v>
      </c>
      <c r="D27">
        <v>73</v>
      </c>
      <c r="E27">
        <v>51.944439825397197</v>
      </c>
      <c r="F27">
        <v>0.62756597755363897</v>
      </c>
      <c r="G27">
        <v>2119.1808249527398</v>
      </c>
      <c r="H27">
        <v>293.26275708240001</v>
      </c>
      <c r="I27">
        <v>0.75212655080350199</v>
      </c>
      <c r="J27">
        <v>0.30964498688044201</v>
      </c>
      <c r="K27">
        <v>0.77955166757791095</v>
      </c>
      <c r="L27" t="s">
        <v>33</v>
      </c>
      <c r="M27" t="s">
        <v>34</v>
      </c>
      <c r="N27" t="s">
        <v>35</v>
      </c>
      <c r="O27">
        <v>0.81616763225308797</v>
      </c>
      <c r="P27" t="s">
        <v>36</v>
      </c>
    </row>
    <row r="28" spans="1:16">
      <c r="A28">
        <v>27</v>
      </c>
      <c r="B28" t="s">
        <v>70</v>
      </c>
      <c r="C28">
        <v>44</v>
      </c>
      <c r="D28">
        <v>69</v>
      </c>
      <c r="E28">
        <v>52.006336982395197</v>
      </c>
      <c r="F28">
        <v>0.64285714285714302</v>
      </c>
      <c r="G28">
        <v>2124.2342790170101</v>
      </c>
      <c r="H28">
        <v>220.87448830044801</v>
      </c>
      <c r="I28">
        <v>0.68843389325960802</v>
      </c>
      <c r="J28">
        <v>0.54716859648532501</v>
      </c>
      <c r="K28">
        <v>0.88135175135668498</v>
      </c>
      <c r="L28" t="s">
        <v>43</v>
      </c>
      <c r="M28" t="s">
        <v>34</v>
      </c>
      <c r="N28" t="s">
        <v>35</v>
      </c>
      <c r="O28">
        <v>0.80983025517335505</v>
      </c>
      <c r="P28" t="s">
        <v>36</v>
      </c>
    </row>
    <row r="29" spans="1:16">
      <c r="A29">
        <v>28</v>
      </c>
      <c r="B29" t="s">
        <v>71</v>
      </c>
      <c r="C29">
        <v>63</v>
      </c>
      <c r="D29">
        <v>59</v>
      </c>
      <c r="E29">
        <v>52.155316139385498</v>
      </c>
      <c r="F29">
        <v>1.07407407407407</v>
      </c>
      <c r="G29">
        <v>2136.4220211720199</v>
      </c>
      <c r="H29">
        <v>416.559382199205</v>
      </c>
      <c r="I29">
        <v>0.66304849943975996</v>
      </c>
      <c r="J29">
        <v>0.15471879299719801</v>
      </c>
      <c r="K29">
        <v>0.67651903798183299</v>
      </c>
      <c r="L29" t="s">
        <v>72</v>
      </c>
      <c r="M29" t="s">
        <v>34</v>
      </c>
      <c r="N29" t="s">
        <v>35</v>
      </c>
      <c r="O29">
        <v>0.90005692035940199</v>
      </c>
      <c r="P29" t="s">
        <v>36</v>
      </c>
    </row>
    <row r="30" spans="1:16">
      <c r="A30">
        <v>29</v>
      </c>
      <c r="B30" t="s">
        <v>73</v>
      </c>
      <c r="C30">
        <v>69</v>
      </c>
      <c r="D30">
        <v>58</v>
      </c>
      <c r="E30">
        <v>52.171641601753997</v>
      </c>
      <c r="F30">
        <v>1.1865689925010301</v>
      </c>
      <c r="G30">
        <v>2137.7597001890399</v>
      </c>
      <c r="H30">
        <v>326.93394346040202</v>
      </c>
      <c r="I30">
        <v>0.76884728923370005</v>
      </c>
      <c r="J30">
        <v>0.25133254207632499</v>
      </c>
      <c r="K30">
        <v>0.75453782394292301</v>
      </c>
      <c r="L30" t="s">
        <v>74</v>
      </c>
      <c r="M30" t="s">
        <v>34</v>
      </c>
      <c r="N30" t="s">
        <v>35</v>
      </c>
      <c r="O30">
        <v>0.78955259932027499</v>
      </c>
      <c r="P30" t="s">
        <v>36</v>
      </c>
    </row>
    <row r="31" spans="1:16">
      <c r="A31">
        <v>30</v>
      </c>
      <c r="B31" t="s">
        <v>75</v>
      </c>
      <c r="C31">
        <v>54</v>
      </c>
      <c r="D31">
        <v>57</v>
      </c>
      <c r="E31">
        <v>52.253192405201297</v>
      </c>
      <c r="F31">
        <v>0.95278976461876996</v>
      </c>
      <c r="G31">
        <v>2144.4480952741001</v>
      </c>
      <c r="H31">
        <v>233.2113493569</v>
      </c>
      <c r="I31">
        <v>0.74810370672839699</v>
      </c>
      <c r="J31">
        <v>0.49547989786845498</v>
      </c>
      <c r="K31">
        <v>0.88120686496060596</v>
      </c>
      <c r="L31" t="s">
        <v>47</v>
      </c>
      <c r="M31" t="s">
        <v>34</v>
      </c>
      <c r="N31" t="s">
        <v>35</v>
      </c>
      <c r="O31">
        <v>0.94693579362415503</v>
      </c>
      <c r="P31" t="s">
        <v>36</v>
      </c>
    </row>
    <row r="32" spans="1:16">
      <c r="A32">
        <v>31</v>
      </c>
      <c r="B32" t="s">
        <v>76</v>
      </c>
      <c r="C32">
        <v>103</v>
      </c>
      <c r="D32">
        <v>49</v>
      </c>
      <c r="E32">
        <v>52.258624600562598</v>
      </c>
      <c r="F32">
        <v>2.1123595505617998</v>
      </c>
      <c r="G32">
        <v>2144.8939882797699</v>
      </c>
      <c r="H32">
        <v>542.666236575894</v>
      </c>
      <c r="I32">
        <v>0.8112913923856</v>
      </c>
      <c r="J32">
        <v>9.1527182319333905E-2</v>
      </c>
      <c r="K32">
        <v>0.55061238505856802</v>
      </c>
      <c r="L32" t="s">
        <v>33</v>
      </c>
      <c r="M32" t="s">
        <v>34</v>
      </c>
      <c r="N32" t="s">
        <v>35</v>
      </c>
      <c r="O32">
        <v>0.80250317527450699</v>
      </c>
      <c r="P32" t="s">
        <v>36</v>
      </c>
    </row>
    <row r="33" spans="1:16">
      <c r="A33">
        <v>32</v>
      </c>
      <c r="B33" t="s">
        <v>77</v>
      </c>
      <c r="C33">
        <v>73</v>
      </c>
      <c r="D33">
        <v>53</v>
      </c>
      <c r="E33">
        <v>52.320150063762803</v>
      </c>
      <c r="F33">
        <v>1.3663395464688399</v>
      </c>
      <c r="G33">
        <v>2149.9474423440502</v>
      </c>
      <c r="H33">
        <v>370.25465127934598</v>
      </c>
      <c r="I33">
        <v>0.64232988867187601</v>
      </c>
      <c r="J33">
        <v>0.19707732612835899</v>
      </c>
      <c r="K33">
        <v>0.69967108445390302</v>
      </c>
      <c r="L33" t="s">
        <v>38</v>
      </c>
      <c r="M33" t="s">
        <v>34</v>
      </c>
      <c r="N33" t="s">
        <v>35</v>
      </c>
      <c r="O33">
        <v>0.86837663778681695</v>
      </c>
      <c r="P33" t="s">
        <v>36</v>
      </c>
    </row>
    <row r="34" spans="1:16">
      <c r="A34">
        <v>33</v>
      </c>
      <c r="B34" t="s">
        <v>78</v>
      </c>
      <c r="C34">
        <v>51</v>
      </c>
      <c r="D34">
        <v>82</v>
      </c>
      <c r="E34">
        <v>52.3237669556868</v>
      </c>
      <c r="F34">
        <v>0.61915121718189103</v>
      </c>
      <c r="G34">
        <v>2150.2447043478301</v>
      </c>
      <c r="H34">
        <v>331.37317727285898</v>
      </c>
      <c r="I34">
        <v>0.69432290230131899</v>
      </c>
      <c r="J34">
        <v>0.24607248041716601</v>
      </c>
      <c r="K34">
        <v>0.70361363746899497</v>
      </c>
      <c r="L34" t="s">
        <v>33</v>
      </c>
      <c r="M34" t="s">
        <v>34</v>
      </c>
      <c r="N34" t="s">
        <v>35</v>
      </c>
      <c r="O34">
        <v>0.70366677017916102</v>
      </c>
      <c r="P34" t="s">
        <v>36</v>
      </c>
    </row>
    <row r="35" spans="1:16">
      <c r="A35">
        <v>34</v>
      </c>
      <c r="B35" t="s">
        <v>79</v>
      </c>
      <c r="C35">
        <v>49</v>
      </c>
      <c r="D35">
        <v>68</v>
      </c>
      <c r="E35">
        <v>52.536722842182598</v>
      </c>
      <c r="F35">
        <v>0.71199999999999997</v>
      </c>
      <c r="G35">
        <v>2167.78316257089</v>
      </c>
      <c r="H35">
        <v>304.78316936047202</v>
      </c>
      <c r="I35">
        <v>0.71610305533525798</v>
      </c>
      <c r="J35">
        <v>0.29325386253920399</v>
      </c>
      <c r="K35">
        <v>0.80023044003072497</v>
      </c>
      <c r="L35" t="s">
        <v>43</v>
      </c>
      <c r="M35" t="s">
        <v>34</v>
      </c>
      <c r="N35" t="s">
        <v>35</v>
      </c>
      <c r="O35">
        <v>0.78810066832813497</v>
      </c>
      <c r="P35" t="s">
        <v>36</v>
      </c>
    </row>
    <row r="36" spans="1:16">
      <c r="A36">
        <v>35</v>
      </c>
      <c r="B36" t="s">
        <v>80</v>
      </c>
      <c r="C36">
        <v>49</v>
      </c>
      <c r="D36">
        <v>73</v>
      </c>
      <c r="E36">
        <v>52.583529375603902</v>
      </c>
      <c r="F36">
        <v>0.67669176986620205</v>
      </c>
      <c r="G36">
        <v>2171.6475686200401</v>
      </c>
      <c r="H36">
        <v>386.26909457071997</v>
      </c>
      <c r="I36">
        <v>0.68557887511096505</v>
      </c>
      <c r="J36">
        <v>0.182902350586335</v>
      </c>
      <c r="K36">
        <v>0.67584069568435201</v>
      </c>
      <c r="L36" t="s">
        <v>43</v>
      </c>
      <c r="M36" t="s">
        <v>34</v>
      </c>
      <c r="N36" t="s">
        <v>35</v>
      </c>
      <c r="O36">
        <v>0.86404279256358196</v>
      </c>
      <c r="P36" t="s">
        <v>36</v>
      </c>
    </row>
    <row r="37" spans="1:16">
      <c r="A37">
        <v>36</v>
      </c>
      <c r="B37" t="s">
        <v>81</v>
      </c>
      <c r="C37">
        <v>64</v>
      </c>
      <c r="D37">
        <v>75</v>
      </c>
      <c r="E37">
        <v>52.596124017642801</v>
      </c>
      <c r="F37">
        <v>0.86216712506715598</v>
      </c>
      <c r="G37">
        <v>2172.6879856332698</v>
      </c>
      <c r="H37">
        <v>423.17948557687799</v>
      </c>
      <c r="I37">
        <v>0.55916625058148794</v>
      </c>
      <c r="J37">
        <v>0.15246073680348399</v>
      </c>
      <c r="K37">
        <v>0.61124817060422298</v>
      </c>
      <c r="L37" t="s">
        <v>47</v>
      </c>
      <c r="M37" t="s">
        <v>34</v>
      </c>
      <c r="N37" t="s">
        <v>35</v>
      </c>
      <c r="O37">
        <v>0.92157499559772504</v>
      </c>
      <c r="P37" t="s">
        <v>36</v>
      </c>
    </row>
    <row r="38" spans="1:16">
      <c r="A38">
        <v>37</v>
      </c>
      <c r="B38" t="s">
        <v>82</v>
      </c>
      <c r="C38">
        <v>58</v>
      </c>
      <c r="D38">
        <v>73</v>
      </c>
      <c r="E38">
        <v>52.739849177009397</v>
      </c>
      <c r="F38">
        <v>0.79850746268656703</v>
      </c>
      <c r="G38">
        <v>2184.5784657845002</v>
      </c>
      <c r="H38">
        <v>433.85134935690002</v>
      </c>
      <c r="I38">
        <v>0.611407621163221</v>
      </c>
      <c r="J38">
        <v>0.14584636427668499</v>
      </c>
      <c r="K38">
        <v>0.60016333197223404</v>
      </c>
      <c r="L38" t="s">
        <v>43</v>
      </c>
      <c r="M38" t="s">
        <v>34</v>
      </c>
      <c r="N38" t="s">
        <v>35</v>
      </c>
      <c r="O38">
        <v>0.75607284305414502</v>
      </c>
      <c r="P38" t="s">
        <v>36</v>
      </c>
    </row>
    <row r="39" spans="1:16">
      <c r="A39">
        <v>38</v>
      </c>
      <c r="B39" t="s">
        <v>83</v>
      </c>
      <c r="C39">
        <v>74</v>
      </c>
      <c r="D39">
        <v>49</v>
      </c>
      <c r="E39">
        <v>52.867077987396897</v>
      </c>
      <c r="F39">
        <v>1.5201330510509801</v>
      </c>
      <c r="G39">
        <v>2195.13126691872</v>
      </c>
      <c r="H39">
        <v>373.37096626312803</v>
      </c>
      <c r="I39">
        <v>0.60745845570274404</v>
      </c>
      <c r="J39">
        <v>0.197874245722758</v>
      </c>
      <c r="K39">
        <v>0.69484827099505997</v>
      </c>
      <c r="L39" t="s">
        <v>33</v>
      </c>
      <c r="M39" t="s">
        <v>34</v>
      </c>
      <c r="N39" t="s">
        <v>35</v>
      </c>
      <c r="O39">
        <v>0.73301812576983305</v>
      </c>
      <c r="P39" t="s">
        <v>36</v>
      </c>
    </row>
    <row r="40" spans="1:16">
      <c r="A40">
        <v>39</v>
      </c>
      <c r="B40" t="s">
        <v>84</v>
      </c>
      <c r="C40">
        <v>53</v>
      </c>
      <c r="D40">
        <v>63</v>
      </c>
      <c r="E40">
        <v>52.906438909148598</v>
      </c>
      <c r="F40">
        <v>0.83620687500616597</v>
      </c>
      <c r="G40">
        <v>2198.4011489602999</v>
      </c>
      <c r="H40">
        <v>361.37618365443302</v>
      </c>
      <c r="I40">
        <v>0.76095165382916397</v>
      </c>
      <c r="J40">
        <v>0.21154255821406501</v>
      </c>
      <c r="K40">
        <v>0.72000194713527699</v>
      </c>
      <c r="L40" t="s">
        <v>49</v>
      </c>
      <c r="M40" t="s">
        <v>34</v>
      </c>
      <c r="N40" t="s">
        <v>35</v>
      </c>
      <c r="O40">
        <v>0.75720196549829</v>
      </c>
      <c r="P40" t="s">
        <v>36</v>
      </c>
    </row>
    <row r="41" spans="1:16">
      <c r="A41">
        <v>40</v>
      </c>
      <c r="B41" t="s">
        <v>85</v>
      </c>
      <c r="C41">
        <v>52</v>
      </c>
      <c r="D41">
        <v>83</v>
      </c>
      <c r="E41">
        <v>52.9868588157535</v>
      </c>
      <c r="F41">
        <v>0.62620376783474097</v>
      </c>
      <c r="G41">
        <v>2205.0895440453701</v>
      </c>
      <c r="H41">
        <v>289.72686896883903</v>
      </c>
      <c r="I41">
        <v>0.855587502990517</v>
      </c>
      <c r="J41">
        <v>0.33010989906150601</v>
      </c>
      <c r="K41">
        <v>0.74541526403054803</v>
      </c>
      <c r="L41" t="s">
        <v>33</v>
      </c>
      <c r="M41" t="s">
        <v>34</v>
      </c>
      <c r="N41" t="s">
        <v>35</v>
      </c>
      <c r="O41">
        <v>0.79564168975947203</v>
      </c>
      <c r="P41" t="s">
        <v>36</v>
      </c>
    </row>
    <row r="42" spans="1:16">
      <c r="A42">
        <v>41</v>
      </c>
      <c r="B42" t="s">
        <v>86</v>
      </c>
      <c r="C42">
        <v>53</v>
      </c>
      <c r="D42">
        <v>64</v>
      </c>
      <c r="E42">
        <v>53.0546740277372</v>
      </c>
      <c r="F42">
        <v>0.83760683760683796</v>
      </c>
      <c r="G42">
        <v>2210.7375221172001</v>
      </c>
      <c r="H42">
        <v>333.79593312263501</v>
      </c>
      <c r="I42">
        <v>0.44506683962159999</v>
      </c>
      <c r="J42">
        <v>0.24933598643931101</v>
      </c>
      <c r="K42">
        <v>0.77630480167014604</v>
      </c>
      <c r="L42" t="s">
        <v>33</v>
      </c>
      <c r="M42" t="s">
        <v>34</v>
      </c>
      <c r="N42" t="s">
        <v>35</v>
      </c>
      <c r="O42">
        <v>0.714838084958616</v>
      </c>
      <c r="P42" t="s">
        <v>36</v>
      </c>
    </row>
    <row r="43" spans="1:16">
      <c r="A43">
        <v>42</v>
      </c>
      <c r="B43" t="s">
        <v>87</v>
      </c>
      <c r="C43">
        <v>93</v>
      </c>
      <c r="D43">
        <v>58</v>
      </c>
      <c r="E43">
        <v>53.072505733960298</v>
      </c>
      <c r="F43">
        <v>1.5981307838127301</v>
      </c>
      <c r="G43">
        <v>2212.2238321361101</v>
      </c>
      <c r="H43">
        <v>496.42570509537398</v>
      </c>
      <c r="I43">
        <v>0.60352936957370595</v>
      </c>
      <c r="J43">
        <v>0.11280553458979201</v>
      </c>
      <c r="K43">
        <v>0.53315184296306894</v>
      </c>
      <c r="L43" t="s">
        <v>43</v>
      </c>
      <c r="M43" t="s">
        <v>34</v>
      </c>
      <c r="N43" t="s">
        <v>35</v>
      </c>
      <c r="O43">
        <v>0.68703266128283402</v>
      </c>
      <c r="P43" t="s">
        <v>36</v>
      </c>
    </row>
    <row r="44" spans="1:16">
      <c r="A44">
        <v>43</v>
      </c>
      <c r="B44" t="s">
        <v>88</v>
      </c>
      <c r="C44">
        <v>133</v>
      </c>
      <c r="D44">
        <v>60</v>
      </c>
      <c r="E44">
        <v>53.074288575075897</v>
      </c>
      <c r="F44">
        <v>2.2240311253907299</v>
      </c>
      <c r="G44">
        <v>2212.3724631380001</v>
      </c>
      <c r="H44">
        <v>647.83174827544599</v>
      </c>
      <c r="I44">
        <v>0.55036418928225594</v>
      </c>
      <c r="J44">
        <v>6.6243558341832598E-2</v>
      </c>
      <c r="K44">
        <v>0.40623891269343099</v>
      </c>
      <c r="L44" t="s">
        <v>33</v>
      </c>
      <c r="M44" t="s">
        <v>34</v>
      </c>
      <c r="N44" t="s">
        <v>35</v>
      </c>
      <c r="O44">
        <v>0.83488116867622997</v>
      </c>
      <c r="P44" t="s">
        <v>36</v>
      </c>
    </row>
    <row r="45" spans="1:16">
      <c r="A45">
        <v>44</v>
      </c>
      <c r="B45" t="s">
        <v>89</v>
      </c>
      <c r="C45">
        <v>68</v>
      </c>
      <c r="D45">
        <v>49</v>
      </c>
      <c r="E45">
        <v>53.086766786410102</v>
      </c>
      <c r="F45">
        <v>1.40449438202247</v>
      </c>
      <c r="G45">
        <v>2213.4128801512302</v>
      </c>
      <c r="H45">
        <v>243.28984616611299</v>
      </c>
      <c r="I45">
        <v>0.75633065966311996</v>
      </c>
      <c r="J45">
        <v>0.46992043291432201</v>
      </c>
      <c r="K45">
        <v>0.87744520386518998</v>
      </c>
      <c r="L45" t="s">
        <v>33</v>
      </c>
      <c r="M45" t="s">
        <v>34</v>
      </c>
      <c r="N45" t="s">
        <v>35</v>
      </c>
      <c r="O45">
        <v>0.68798535231200697</v>
      </c>
      <c r="P45" t="s">
        <v>36</v>
      </c>
    </row>
    <row r="46" spans="1:16">
      <c r="A46">
        <v>45</v>
      </c>
      <c r="B46" t="s">
        <v>90</v>
      </c>
      <c r="C46">
        <v>49</v>
      </c>
      <c r="D46">
        <v>93</v>
      </c>
      <c r="E46">
        <v>53.090331450962502</v>
      </c>
      <c r="F46">
        <v>0.52941176470588203</v>
      </c>
      <c r="G46">
        <v>2213.7101421550101</v>
      </c>
      <c r="H46">
        <v>463.41597813170898</v>
      </c>
      <c r="I46">
        <v>0.81530945324842197</v>
      </c>
      <c r="J46">
        <v>0.12953544198477801</v>
      </c>
      <c r="K46">
        <v>0.61284615068098602</v>
      </c>
      <c r="L46" t="s">
        <v>47</v>
      </c>
      <c r="M46" t="s">
        <v>34</v>
      </c>
      <c r="N46" t="s">
        <v>35</v>
      </c>
      <c r="O46">
        <v>0.94341624976370697</v>
      </c>
      <c r="P46" t="s">
        <v>36</v>
      </c>
    </row>
    <row r="47" spans="1:16">
      <c r="A47">
        <v>46</v>
      </c>
      <c r="B47" t="s">
        <v>91</v>
      </c>
      <c r="C47">
        <v>62</v>
      </c>
      <c r="D47">
        <v>51</v>
      </c>
      <c r="E47">
        <v>53.216722346315798</v>
      </c>
      <c r="F47">
        <v>1.21514532002251</v>
      </c>
      <c r="G47">
        <v>2224.26294328923</v>
      </c>
      <c r="H47">
        <v>218.02665008659</v>
      </c>
      <c r="I47">
        <v>0.66867484862645898</v>
      </c>
      <c r="J47">
        <v>0.58799932349984196</v>
      </c>
      <c r="K47">
        <v>0.85631723506523205</v>
      </c>
      <c r="L47" t="s">
        <v>38</v>
      </c>
      <c r="M47" t="s">
        <v>34</v>
      </c>
      <c r="N47" t="s">
        <v>35</v>
      </c>
      <c r="O47">
        <v>0.83788403247963705</v>
      </c>
      <c r="P47" t="s">
        <v>36</v>
      </c>
    </row>
    <row r="48" spans="1:16">
      <c r="A48">
        <v>47</v>
      </c>
      <c r="B48" t="s">
        <v>92</v>
      </c>
      <c r="C48">
        <v>46</v>
      </c>
      <c r="D48">
        <v>108</v>
      </c>
      <c r="E48">
        <v>53.262931311406</v>
      </c>
      <c r="F48">
        <v>0.43018096744358902</v>
      </c>
      <c r="G48">
        <v>2228.1273493383701</v>
      </c>
      <c r="H48">
        <v>484.18903620212001</v>
      </c>
      <c r="I48">
        <v>0.86370556524439301</v>
      </c>
      <c r="J48">
        <v>0.11943179815354101</v>
      </c>
      <c r="K48">
        <v>0.54228765735783502</v>
      </c>
      <c r="L48" t="s">
        <v>47</v>
      </c>
      <c r="M48" t="s">
        <v>34</v>
      </c>
      <c r="N48" t="s">
        <v>35</v>
      </c>
      <c r="O48">
        <v>0.95229627302015296</v>
      </c>
      <c r="P48" t="s">
        <v>36</v>
      </c>
    </row>
    <row r="49" spans="1:16">
      <c r="A49">
        <v>48</v>
      </c>
      <c r="B49" t="s">
        <v>93</v>
      </c>
      <c r="C49">
        <v>55</v>
      </c>
      <c r="D49">
        <v>72</v>
      </c>
      <c r="E49">
        <v>53.4261190416088</v>
      </c>
      <c r="F49">
        <v>0.75982758568928199</v>
      </c>
      <c r="G49">
        <v>2241.8014015122899</v>
      </c>
      <c r="H49">
        <v>365.51873398148501</v>
      </c>
      <c r="I49">
        <v>0.674572763292142</v>
      </c>
      <c r="J49">
        <v>0.210856852154227</v>
      </c>
      <c r="K49">
        <v>0.62827508643312402</v>
      </c>
      <c r="L49" t="s">
        <v>72</v>
      </c>
      <c r="M49" t="s">
        <v>34</v>
      </c>
      <c r="N49" t="s">
        <v>35</v>
      </c>
      <c r="O49">
        <v>0.90064113156665304</v>
      </c>
      <c r="P49" t="s">
        <v>36</v>
      </c>
    </row>
    <row r="50" spans="1:16">
      <c r="A50">
        <v>49</v>
      </c>
      <c r="B50" t="s">
        <v>94</v>
      </c>
      <c r="C50">
        <v>81</v>
      </c>
      <c r="D50">
        <v>49</v>
      </c>
      <c r="E50">
        <v>53.452678500575303</v>
      </c>
      <c r="F50">
        <v>1.65432256163988</v>
      </c>
      <c r="G50">
        <v>2244.0308665406401</v>
      </c>
      <c r="H50">
        <v>306.53506355741803</v>
      </c>
      <c r="I50">
        <v>0.55566074790475695</v>
      </c>
      <c r="J50">
        <v>0.30010855231393402</v>
      </c>
      <c r="K50">
        <v>0.77949300428519797</v>
      </c>
      <c r="L50" t="s">
        <v>33</v>
      </c>
      <c r="M50" t="s">
        <v>34</v>
      </c>
      <c r="N50" t="s">
        <v>35</v>
      </c>
      <c r="O50">
        <v>0.81385568993330604</v>
      </c>
      <c r="P50" t="s">
        <v>36</v>
      </c>
    </row>
    <row r="51" spans="1:16">
      <c r="A51">
        <v>50</v>
      </c>
      <c r="B51" t="s">
        <v>95</v>
      </c>
      <c r="C51">
        <v>87</v>
      </c>
      <c r="D51">
        <v>58</v>
      </c>
      <c r="E51">
        <v>53.457988808908702</v>
      </c>
      <c r="F51">
        <v>1.49532710280374</v>
      </c>
      <c r="G51">
        <v>2244.4767595463099</v>
      </c>
      <c r="H51">
        <v>557.80943388804201</v>
      </c>
      <c r="I51">
        <v>0.68301214641336405</v>
      </c>
      <c r="J51">
        <v>9.0646964823603807E-2</v>
      </c>
      <c r="K51">
        <v>0.61048673997412695</v>
      </c>
      <c r="L51" t="s">
        <v>47</v>
      </c>
      <c r="M51" t="s">
        <v>34</v>
      </c>
      <c r="N51" t="s">
        <v>35</v>
      </c>
      <c r="O51">
        <v>0.68915464798928905</v>
      </c>
      <c r="P51" t="s">
        <v>36</v>
      </c>
    </row>
    <row r="52" spans="1:16">
      <c r="A52">
        <v>51</v>
      </c>
      <c r="B52" t="s">
        <v>96</v>
      </c>
      <c r="C52">
        <v>92</v>
      </c>
      <c r="D52">
        <v>51</v>
      </c>
      <c r="E52">
        <v>53.548183478261898</v>
      </c>
      <c r="F52">
        <v>1.82065125058213</v>
      </c>
      <c r="G52">
        <v>2252.0569406427198</v>
      </c>
      <c r="H52">
        <v>414.56560171770002</v>
      </c>
      <c r="I52">
        <v>0.711233515367798</v>
      </c>
      <c r="J52">
        <v>0.16466553253236299</v>
      </c>
      <c r="K52">
        <v>0.58790206805571699</v>
      </c>
      <c r="L52" t="s">
        <v>43</v>
      </c>
      <c r="M52" t="s">
        <v>34</v>
      </c>
      <c r="N52" t="s">
        <v>35</v>
      </c>
      <c r="O52">
        <v>0.81851715877976094</v>
      </c>
      <c r="P52" t="s">
        <v>36</v>
      </c>
    </row>
    <row r="53" spans="1:16">
      <c r="A53">
        <v>52</v>
      </c>
      <c r="B53" t="s">
        <v>97</v>
      </c>
      <c r="C53">
        <v>83</v>
      </c>
      <c r="D53">
        <v>49</v>
      </c>
      <c r="E53">
        <v>53.553484316420899</v>
      </c>
      <c r="F53">
        <v>1.68888888888889</v>
      </c>
      <c r="G53">
        <v>2252.5028336483902</v>
      </c>
      <c r="H53">
        <v>374.91307389518499</v>
      </c>
      <c r="I53">
        <v>0.69334292734802005</v>
      </c>
      <c r="J53">
        <v>0.20137893483142</v>
      </c>
      <c r="K53">
        <v>0.72176977663475705</v>
      </c>
      <c r="L53" t="s">
        <v>49</v>
      </c>
      <c r="M53" t="s">
        <v>34</v>
      </c>
      <c r="N53" t="s">
        <v>35</v>
      </c>
      <c r="O53">
        <v>0.84186216363704103</v>
      </c>
      <c r="P53" t="s">
        <v>36</v>
      </c>
    </row>
    <row r="54" spans="1:16">
      <c r="A54">
        <v>53</v>
      </c>
      <c r="B54" t="s">
        <v>98</v>
      </c>
      <c r="C54">
        <v>68</v>
      </c>
      <c r="D54">
        <v>58</v>
      </c>
      <c r="E54">
        <v>53.682310046041401</v>
      </c>
      <c r="F54">
        <v>1.1682243230551399</v>
      </c>
      <c r="G54">
        <v>2263.3528967863899</v>
      </c>
      <c r="H54">
        <v>440.65854181828701</v>
      </c>
      <c r="I54">
        <v>0.62531009108131397</v>
      </c>
      <c r="J54">
        <v>0.14647305894440801</v>
      </c>
      <c r="K54">
        <v>0.63967067125934596</v>
      </c>
      <c r="L54" t="s">
        <v>49</v>
      </c>
      <c r="M54" t="s">
        <v>34</v>
      </c>
      <c r="N54" t="s">
        <v>35</v>
      </c>
      <c r="O54">
        <v>0.67849082356567303</v>
      </c>
      <c r="P54" t="s">
        <v>36</v>
      </c>
    </row>
    <row r="55" spans="1:16">
      <c r="A55">
        <v>54</v>
      </c>
      <c r="B55" t="s">
        <v>99</v>
      </c>
      <c r="C55">
        <v>52</v>
      </c>
      <c r="D55">
        <v>63</v>
      </c>
      <c r="E55">
        <v>53.6911224153977</v>
      </c>
      <c r="F55">
        <v>0.82997123122511596</v>
      </c>
      <c r="G55">
        <v>2264.0960517958401</v>
      </c>
      <c r="H55">
        <v>251.88103254411499</v>
      </c>
      <c r="I55">
        <v>0.71598252794676498</v>
      </c>
      <c r="J55">
        <v>0.44844974509769903</v>
      </c>
      <c r="K55">
        <v>0.85887460532250803</v>
      </c>
      <c r="L55" t="s">
        <v>33</v>
      </c>
      <c r="M55" t="s">
        <v>34</v>
      </c>
      <c r="N55" t="s">
        <v>35</v>
      </c>
      <c r="O55">
        <v>0.69925199093800205</v>
      </c>
      <c r="P55" t="s">
        <v>36</v>
      </c>
    </row>
    <row r="56" spans="1:16">
      <c r="A56">
        <v>55</v>
      </c>
      <c r="B56" t="s">
        <v>100</v>
      </c>
      <c r="C56">
        <v>43</v>
      </c>
      <c r="D56">
        <v>108</v>
      </c>
      <c r="E56">
        <v>53.710504538555597</v>
      </c>
      <c r="F56">
        <v>0.39431895142517398</v>
      </c>
      <c r="G56">
        <v>2265.7309928166401</v>
      </c>
      <c r="H56">
        <v>513.95015629913496</v>
      </c>
      <c r="I56">
        <v>0.81350473456773997</v>
      </c>
      <c r="J56">
        <v>0.107789437229682</v>
      </c>
      <c r="K56">
        <v>0.54961061436400305</v>
      </c>
      <c r="L56" t="s">
        <v>101</v>
      </c>
      <c r="M56" t="s">
        <v>34</v>
      </c>
      <c r="N56" t="s">
        <v>35</v>
      </c>
      <c r="O56">
        <v>0.67529275549429901</v>
      </c>
      <c r="P56" t="s">
        <v>36</v>
      </c>
    </row>
    <row r="57" spans="1:16">
      <c r="A57">
        <v>56</v>
      </c>
      <c r="B57" t="s">
        <v>102</v>
      </c>
      <c r="C57">
        <v>72</v>
      </c>
      <c r="D57">
        <v>50</v>
      </c>
      <c r="E57">
        <v>53.733401670520998</v>
      </c>
      <c r="F57">
        <v>1.4448978202354601</v>
      </c>
      <c r="G57">
        <v>2267.6631958412099</v>
      </c>
      <c r="H57">
        <v>242.62838675177599</v>
      </c>
      <c r="I57">
        <v>0.48172961482729898</v>
      </c>
      <c r="J57">
        <v>0.48406668526038898</v>
      </c>
      <c r="K57">
        <v>0.857713064987632</v>
      </c>
      <c r="L57" t="s">
        <v>47</v>
      </c>
      <c r="M57" t="s">
        <v>34</v>
      </c>
      <c r="N57" t="s">
        <v>35</v>
      </c>
      <c r="O57">
        <v>0.93392024589087597</v>
      </c>
      <c r="P57" t="s">
        <v>36</v>
      </c>
    </row>
    <row r="58" spans="1:16">
      <c r="A58">
        <v>57</v>
      </c>
      <c r="B58" t="s">
        <v>103</v>
      </c>
      <c r="C58">
        <v>79</v>
      </c>
      <c r="D58">
        <v>54</v>
      </c>
      <c r="E58">
        <v>53.784444761397097</v>
      </c>
      <c r="F58">
        <v>1.45969362170207</v>
      </c>
      <c r="G58">
        <v>2271.9734948960299</v>
      </c>
      <c r="H58">
        <v>296.45656674820401</v>
      </c>
      <c r="I58">
        <v>0.61122468112394701</v>
      </c>
      <c r="J58">
        <v>0.32485606176876902</v>
      </c>
      <c r="K58">
        <v>0.734021608643457</v>
      </c>
      <c r="L58" t="s">
        <v>43</v>
      </c>
      <c r="M58" t="s">
        <v>34</v>
      </c>
      <c r="N58" t="s">
        <v>35</v>
      </c>
      <c r="O58">
        <v>0.74130970093860404</v>
      </c>
      <c r="P58" t="s">
        <v>36</v>
      </c>
    </row>
    <row r="59" spans="1:16">
      <c r="A59">
        <v>58</v>
      </c>
      <c r="B59" t="s">
        <v>104</v>
      </c>
      <c r="C59">
        <v>65</v>
      </c>
      <c r="D59">
        <v>52</v>
      </c>
      <c r="E59">
        <v>53.787963189082902</v>
      </c>
      <c r="F59">
        <v>1.2499425104323101</v>
      </c>
      <c r="G59">
        <v>2272.2707568998098</v>
      </c>
      <c r="H59">
        <v>237.65058316935699</v>
      </c>
      <c r="I59">
        <v>0.67098731952441104</v>
      </c>
      <c r="J59">
        <v>0.50558266484863401</v>
      </c>
      <c r="K59">
        <v>0.87771271098863202</v>
      </c>
      <c r="L59" t="s">
        <v>49</v>
      </c>
      <c r="M59" t="s">
        <v>34</v>
      </c>
      <c r="N59" t="s">
        <v>35</v>
      </c>
      <c r="O59">
        <v>0.79062794013315896</v>
      </c>
      <c r="P59" t="s">
        <v>36</v>
      </c>
    </row>
    <row r="60" spans="1:16">
      <c r="A60">
        <v>59</v>
      </c>
      <c r="B60" t="s">
        <v>105</v>
      </c>
      <c r="C60">
        <v>53</v>
      </c>
      <c r="D60">
        <v>74</v>
      </c>
      <c r="E60">
        <v>53.793240399121501</v>
      </c>
      <c r="F60">
        <v>0.718518518518519</v>
      </c>
      <c r="G60">
        <v>2272.7166499054802</v>
      </c>
      <c r="H60">
        <v>396.050907894528</v>
      </c>
      <c r="I60">
        <v>0.62393855828693601</v>
      </c>
      <c r="J60">
        <v>0.18207617917332999</v>
      </c>
      <c r="K60">
        <v>0.75473840078973298</v>
      </c>
      <c r="L60" t="s">
        <v>43</v>
      </c>
      <c r="M60" t="s">
        <v>34</v>
      </c>
      <c r="N60" t="s">
        <v>35</v>
      </c>
      <c r="O60">
        <v>0.89108363543354197</v>
      </c>
      <c r="P60" t="s">
        <v>36</v>
      </c>
    </row>
    <row r="61" spans="1:16">
      <c r="A61">
        <v>60</v>
      </c>
      <c r="B61" t="s">
        <v>106</v>
      </c>
      <c r="C61">
        <v>61</v>
      </c>
      <c r="D61">
        <v>64</v>
      </c>
      <c r="E61">
        <v>53.820256077730598</v>
      </c>
      <c r="F61">
        <v>0.95804195960620098</v>
      </c>
      <c r="G61">
        <v>2275</v>
      </c>
      <c r="H61">
        <v>261.42135381698603</v>
      </c>
      <c r="I61">
        <v>0.67019285773758996</v>
      </c>
      <c r="J61">
        <v>0.418320498369671</v>
      </c>
      <c r="K61">
        <v>0.76150627615062805</v>
      </c>
      <c r="L61" t="s">
        <v>33</v>
      </c>
      <c r="M61" t="s">
        <v>34</v>
      </c>
      <c r="N61" t="s">
        <v>35</v>
      </c>
      <c r="O61">
        <v>0.79830256252159204</v>
      </c>
      <c r="P61" t="s">
        <v>36</v>
      </c>
    </row>
    <row r="62" spans="1:16">
      <c r="A62">
        <v>61</v>
      </c>
      <c r="B62" t="s">
        <v>107</v>
      </c>
      <c r="C62">
        <v>49</v>
      </c>
      <c r="D62">
        <v>78</v>
      </c>
      <c r="E62">
        <v>53.886385893880899</v>
      </c>
      <c r="F62">
        <v>0.62237762237762195</v>
      </c>
      <c r="G62">
        <v>2280.5940930056699</v>
      </c>
      <c r="H62">
        <v>356.585469155726</v>
      </c>
      <c r="I62">
        <v>0.79423850334080304</v>
      </c>
      <c r="J62">
        <v>0.22538788887685601</v>
      </c>
      <c r="K62">
        <v>0.72363704961328001</v>
      </c>
      <c r="L62" t="s">
        <v>33</v>
      </c>
      <c r="M62" t="s">
        <v>34</v>
      </c>
      <c r="N62" t="s">
        <v>35</v>
      </c>
      <c r="O62">
        <v>0.79566264745975002</v>
      </c>
      <c r="P62" t="s">
        <v>36</v>
      </c>
    </row>
    <row r="63" spans="1:16">
      <c r="A63">
        <v>62</v>
      </c>
      <c r="B63" t="s">
        <v>108</v>
      </c>
      <c r="C63">
        <v>76</v>
      </c>
      <c r="D63">
        <v>70</v>
      </c>
      <c r="E63">
        <v>53.954824219918301</v>
      </c>
      <c r="F63">
        <v>1.0896842718400399</v>
      </c>
      <c r="G63">
        <v>2286.3907020793999</v>
      </c>
      <c r="H63">
        <v>460.19947098472801</v>
      </c>
      <c r="I63">
        <v>0.68482725082948603</v>
      </c>
      <c r="J63">
        <v>0.13566508121958601</v>
      </c>
      <c r="K63">
        <v>0.54623251189546196</v>
      </c>
      <c r="L63" t="s">
        <v>33</v>
      </c>
      <c r="M63" t="s">
        <v>34</v>
      </c>
      <c r="N63" t="s">
        <v>35</v>
      </c>
      <c r="O63">
        <v>0.75658189040644397</v>
      </c>
      <c r="P63" t="s">
        <v>36</v>
      </c>
    </row>
    <row r="64" spans="1:16">
      <c r="A64">
        <v>63</v>
      </c>
      <c r="B64" t="s">
        <v>109</v>
      </c>
      <c r="C64">
        <v>72</v>
      </c>
      <c r="D64">
        <v>60</v>
      </c>
      <c r="E64">
        <v>53.967911378722903</v>
      </c>
      <c r="F64">
        <v>1.1851850886531401</v>
      </c>
      <c r="G64">
        <v>2287.5</v>
      </c>
      <c r="H64">
        <v>387.48736917972599</v>
      </c>
      <c r="I64">
        <v>0.57061585047588703</v>
      </c>
      <c r="J64">
        <v>0.19145021825005101</v>
      </c>
      <c r="K64">
        <v>0.6</v>
      </c>
      <c r="L64" t="s">
        <v>33</v>
      </c>
      <c r="M64" t="s">
        <v>34</v>
      </c>
      <c r="N64" t="s">
        <v>35</v>
      </c>
      <c r="O64">
        <v>0.84517190841767298</v>
      </c>
      <c r="P64" t="s">
        <v>36</v>
      </c>
    </row>
    <row r="65" spans="1:16">
      <c r="A65">
        <v>64</v>
      </c>
      <c r="B65" t="s">
        <v>110</v>
      </c>
      <c r="C65">
        <v>64</v>
      </c>
      <c r="D65">
        <v>57</v>
      </c>
      <c r="E65">
        <v>53.984629158477603</v>
      </c>
      <c r="F65">
        <v>1.1377693612187001</v>
      </c>
      <c r="G65">
        <v>2288.9174291115301</v>
      </c>
      <c r="H65">
        <v>255.84589602594801</v>
      </c>
      <c r="I65">
        <v>0.68523224060572296</v>
      </c>
      <c r="J65">
        <v>0.439423299031034</v>
      </c>
      <c r="K65">
        <v>0.82542745350270696</v>
      </c>
      <c r="L65" t="s">
        <v>49</v>
      </c>
      <c r="M65" t="s">
        <v>34</v>
      </c>
      <c r="N65" t="s">
        <v>35</v>
      </c>
      <c r="O65">
        <v>0.78312937153637396</v>
      </c>
      <c r="P65" t="s">
        <v>36</v>
      </c>
    </row>
    <row r="66" spans="1:16">
      <c r="A66">
        <v>65</v>
      </c>
      <c r="B66" t="s">
        <v>111</v>
      </c>
      <c r="C66">
        <v>68</v>
      </c>
      <c r="D66">
        <v>64</v>
      </c>
      <c r="E66">
        <v>53.998649319513397</v>
      </c>
      <c r="F66">
        <v>1.0683760683760699</v>
      </c>
      <c r="G66">
        <v>2290.1064771266501</v>
      </c>
      <c r="H66">
        <v>472.061961710557</v>
      </c>
      <c r="I66">
        <v>0.729787096025453</v>
      </c>
      <c r="J66">
        <v>0.12914200520098701</v>
      </c>
      <c r="K66">
        <v>0.65747813100064001</v>
      </c>
      <c r="L66" t="s">
        <v>33</v>
      </c>
      <c r="M66" t="s">
        <v>34</v>
      </c>
      <c r="N66" t="s">
        <v>35</v>
      </c>
      <c r="O66">
        <v>0.71511002219874098</v>
      </c>
      <c r="P66" t="s">
        <v>36</v>
      </c>
    </row>
    <row r="67" spans="1:16">
      <c r="A67">
        <v>66</v>
      </c>
      <c r="B67" t="s">
        <v>112</v>
      </c>
      <c r="C67">
        <v>49</v>
      </c>
      <c r="D67">
        <v>73</v>
      </c>
      <c r="E67">
        <v>54.009162051885902</v>
      </c>
      <c r="F67">
        <v>0.66417914186828197</v>
      </c>
      <c r="G67">
        <v>2290.9982631379999</v>
      </c>
      <c r="H67">
        <v>304.19920462815702</v>
      </c>
      <c r="I67">
        <v>0.65872080805084798</v>
      </c>
      <c r="J67">
        <v>0.31111322700962402</v>
      </c>
      <c r="K67">
        <v>0.78450732899022801</v>
      </c>
      <c r="L67" t="s">
        <v>72</v>
      </c>
      <c r="M67" t="s">
        <v>34</v>
      </c>
      <c r="N67" t="s">
        <v>35</v>
      </c>
      <c r="O67">
        <v>0.75047919579210298</v>
      </c>
      <c r="P67" t="s">
        <v>36</v>
      </c>
    </row>
    <row r="68" spans="1:16">
      <c r="A68">
        <v>67</v>
      </c>
      <c r="B68" t="s">
        <v>113</v>
      </c>
      <c r="C68">
        <v>112</v>
      </c>
      <c r="D68">
        <v>44</v>
      </c>
      <c r="E68">
        <v>54.016169403462797</v>
      </c>
      <c r="F68">
        <v>2.5625</v>
      </c>
      <c r="G68">
        <v>2291.5927871455601</v>
      </c>
      <c r="H68">
        <v>415.28185833288302</v>
      </c>
      <c r="I68">
        <v>0.83433812934733997</v>
      </c>
      <c r="J68">
        <v>0.166978821692329</v>
      </c>
      <c r="K68">
        <v>0.71785082409907797</v>
      </c>
      <c r="L68" t="s">
        <v>43</v>
      </c>
      <c r="M68" t="s">
        <v>34</v>
      </c>
      <c r="N68" t="s">
        <v>35</v>
      </c>
      <c r="O68">
        <v>0.81246932716966003</v>
      </c>
      <c r="P68" t="s">
        <v>36</v>
      </c>
    </row>
    <row r="69" spans="1:16">
      <c r="A69">
        <v>68</v>
      </c>
      <c r="B69" t="s">
        <v>114</v>
      </c>
      <c r="C69">
        <v>63</v>
      </c>
      <c r="D69">
        <v>78</v>
      </c>
      <c r="E69">
        <v>54.019672738382603</v>
      </c>
      <c r="F69">
        <v>0.81118881118881103</v>
      </c>
      <c r="G69">
        <v>2291.89004914934</v>
      </c>
      <c r="H69">
        <v>554.14125389161302</v>
      </c>
      <c r="I69">
        <v>0.45923205978342702</v>
      </c>
      <c r="J69">
        <v>9.3791326218432697E-2</v>
      </c>
      <c r="K69">
        <v>0.53793825222396696</v>
      </c>
      <c r="L69" t="s">
        <v>33</v>
      </c>
      <c r="M69" t="s">
        <v>34</v>
      </c>
      <c r="N69" t="s">
        <v>35</v>
      </c>
      <c r="O69">
        <v>0.75068918921898398</v>
      </c>
      <c r="P69" t="s">
        <v>36</v>
      </c>
    </row>
    <row r="70" spans="1:16">
      <c r="A70">
        <v>69</v>
      </c>
      <c r="B70" t="s">
        <v>115</v>
      </c>
      <c r="C70">
        <v>83</v>
      </c>
      <c r="D70">
        <v>53</v>
      </c>
      <c r="E70">
        <v>54.070445586920997</v>
      </c>
      <c r="F70">
        <v>1.5510204081632699</v>
      </c>
      <c r="G70">
        <v>2296.20034820416</v>
      </c>
      <c r="H70">
        <v>369.83507814956698</v>
      </c>
      <c r="I70">
        <v>0.66020469212202304</v>
      </c>
      <c r="J70">
        <v>0.210961614722186</v>
      </c>
      <c r="K70">
        <v>0.736648865153538</v>
      </c>
      <c r="L70" t="s">
        <v>47</v>
      </c>
      <c r="M70" t="s">
        <v>34</v>
      </c>
      <c r="N70" t="s">
        <v>35</v>
      </c>
      <c r="O70">
        <v>0.94863786920484505</v>
      </c>
      <c r="P70" t="s">
        <v>36</v>
      </c>
    </row>
    <row r="71" spans="1:16">
      <c r="A71">
        <v>70</v>
      </c>
      <c r="B71" t="s">
        <v>116</v>
      </c>
      <c r="C71">
        <v>98</v>
      </c>
      <c r="D71">
        <v>58</v>
      </c>
      <c r="E71">
        <v>54.103684721861697</v>
      </c>
      <c r="F71">
        <v>1.69219444802909</v>
      </c>
      <c r="G71">
        <v>2299.0243372400801</v>
      </c>
      <c r="H71">
        <v>491.42520403177798</v>
      </c>
      <c r="I71">
        <v>0.43112900403762699</v>
      </c>
      <c r="J71">
        <v>0.119629580390332</v>
      </c>
      <c r="K71">
        <v>0.53754995655951299</v>
      </c>
      <c r="L71" t="s">
        <v>43</v>
      </c>
      <c r="M71" t="s">
        <v>34</v>
      </c>
      <c r="N71" t="s">
        <v>35</v>
      </c>
      <c r="O71">
        <v>0.79531334222678995</v>
      </c>
      <c r="P71" t="s">
        <v>36</v>
      </c>
    </row>
    <row r="72" spans="1:16">
      <c r="A72">
        <v>71</v>
      </c>
      <c r="B72" t="s">
        <v>117</v>
      </c>
      <c r="C72">
        <v>79</v>
      </c>
      <c r="D72">
        <v>83</v>
      </c>
      <c r="E72">
        <v>54.271318538652899</v>
      </c>
      <c r="F72">
        <v>0.94736842105263197</v>
      </c>
      <c r="G72">
        <v>2313.2929134215501</v>
      </c>
      <c r="H72">
        <v>695.30440865993501</v>
      </c>
      <c r="I72">
        <v>0.51146208131031401</v>
      </c>
      <c r="J72">
        <v>6.01299060474733E-2</v>
      </c>
      <c r="K72">
        <v>0.46066418042976398</v>
      </c>
      <c r="L72" t="s">
        <v>33</v>
      </c>
      <c r="M72" t="s">
        <v>34</v>
      </c>
      <c r="N72" t="s">
        <v>35</v>
      </c>
      <c r="O72">
        <v>0.65504487390174904</v>
      </c>
      <c r="P72" t="s">
        <v>36</v>
      </c>
    </row>
    <row r="73" spans="1:16">
      <c r="A73">
        <v>72</v>
      </c>
      <c r="B73" t="s">
        <v>118</v>
      </c>
      <c r="C73">
        <v>98</v>
      </c>
      <c r="D73">
        <v>54</v>
      </c>
      <c r="E73">
        <v>54.295721894938097</v>
      </c>
      <c r="F73">
        <v>1.80808080808081</v>
      </c>
      <c r="G73">
        <v>2315.3737474480199</v>
      </c>
      <c r="H73">
        <v>659.77173368329602</v>
      </c>
      <c r="I73">
        <v>0.65494984540969103</v>
      </c>
      <c r="J73">
        <v>6.6841095343532705E-2</v>
      </c>
      <c r="K73">
        <v>0.53045935914461795</v>
      </c>
      <c r="L73" t="s">
        <v>43</v>
      </c>
      <c r="M73" t="s">
        <v>34</v>
      </c>
      <c r="N73" t="s">
        <v>35</v>
      </c>
      <c r="O73">
        <v>0.85544704655109605</v>
      </c>
      <c r="P73" t="s">
        <v>36</v>
      </c>
    </row>
    <row r="74" spans="1:16">
      <c r="A74">
        <v>73</v>
      </c>
      <c r="B74" t="s">
        <v>119</v>
      </c>
      <c r="C74">
        <v>78</v>
      </c>
      <c r="D74">
        <v>49</v>
      </c>
      <c r="E74">
        <v>54.473187796831397</v>
      </c>
      <c r="F74">
        <v>1.5888888888888899</v>
      </c>
      <c r="G74">
        <v>2330.5341096408301</v>
      </c>
      <c r="H74">
        <v>564.11015629913504</v>
      </c>
      <c r="I74">
        <v>0.66019480265811703</v>
      </c>
      <c r="J74">
        <v>9.2031709654249796E-2</v>
      </c>
      <c r="K74">
        <v>0.64102039982012204</v>
      </c>
      <c r="L74" t="s">
        <v>41</v>
      </c>
      <c r="M74" t="s">
        <v>34</v>
      </c>
      <c r="N74" t="s">
        <v>35</v>
      </c>
      <c r="O74">
        <v>0.75727308910921498</v>
      </c>
      <c r="P74" t="s">
        <v>36</v>
      </c>
    </row>
    <row r="75" spans="1:16">
      <c r="A75">
        <v>74</v>
      </c>
      <c r="B75" t="s">
        <v>120</v>
      </c>
      <c r="C75">
        <v>118</v>
      </c>
      <c r="D75">
        <v>53</v>
      </c>
      <c r="E75">
        <v>54.480135464457</v>
      </c>
      <c r="F75">
        <v>2.2040816326530601</v>
      </c>
      <c r="G75">
        <v>2331.12863364839</v>
      </c>
      <c r="H75">
        <v>728.31413562360001</v>
      </c>
      <c r="I75">
        <v>0.65027942179712905</v>
      </c>
      <c r="J75">
        <v>5.5225368785136203E-2</v>
      </c>
      <c r="K75">
        <v>0.43113969981857198</v>
      </c>
      <c r="L75" t="s">
        <v>33</v>
      </c>
      <c r="M75" t="s">
        <v>34</v>
      </c>
      <c r="N75" t="s">
        <v>35</v>
      </c>
      <c r="O75">
        <v>0.68643561956805799</v>
      </c>
      <c r="P75" t="s">
        <v>36</v>
      </c>
    </row>
    <row r="76" spans="1:16">
      <c r="A76">
        <v>75</v>
      </c>
      <c r="B76" t="s">
        <v>121</v>
      </c>
      <c r="C76">
        <v>58</v>
      </c>
      <c r="D76">
        <v>64</v>
      </c>
      <c r="E76">
        <v>54.527009066089903</v>
      </c>
      <c r="F76">
        <v>0.91452990338316098</v>
      </c>
      <c r="G76">
        <v>2335.1416706994301</v>
      </c>
      <c r="H76">
        <v>469.48421649673702</v>
      </c>
      <c r="I76">
        <v>0.67545576847121802</v>
      </c>
      <c r="J76">
        <v>0.13313158580750301</v>
      </c>
      <c r="K76">
        <v>0.68175309177695798</v>
      </c>
      <c r="L76" t="s">
        <v>47</v>
      </c>
      <c r="M76" t="s">
        <v>34</v>
      </c>
      <c r="N76" t="s">
        <v>35</v>
      </c>
      <c r="O76">
        <v>0.93872518151976603</v>
      </c>
      <c r="P76" t="s">
        <v>36</v>
      </c>
    </row>
    <row r="77" spans="1:16">
      <c r="A77">
        <v>76</v>
      </c>
      <c r="B77" t="s">
        <v>122</v>
      </c>
      <c r="C77">
        <v>89</v>
      </c>
      <c r="D77">
        <v>49</v>
      </c>
      <c r="E77">
        <v>54.653540115381603</v>
      </c>
      <c r="F77">
        <v>1.79790804334402</v>
      </c>
      <c r="G77">
        <v>2345.9917338374298</v>
      </c>
      <c r="H77">
        <v>398.09948557687801</v>
      </c>
      <c r="I77">
        <v>0.54173355862093497</v>
      </c>
      <c r="J77">
        <v>0.18601720250559101</v>
      </c>
      <c r="K77">
        <v>0.66963641763183601</v>
      </c>
      <c r="L77" t="s">
        <v>33</v>
      </c>
      <c r="M77" t="s">
        <v>34</v>
      </c>
      <c r="N77" t="s">
        <v>35</v>
      </c>
      <c r="O77">
        <v>0.68488401894783901</v>
      </c>
      <c r="P77" t="s">
        <v>36</v>
      </c>
    </row>
    <row r="78" spans="1:16">
      <c r="A78">
        <v>77</v>
      </c>
      <c r="B78" t="s">
        <v>123</v>
      </c>
      <c r="C78">
        <v>58</v>
      </c>
      <c r="D78">
        <v>54</v>
      </c>
      <c r="E78">
        <v>54.665657841353102</v>
      </c>
      <c r="F78">
        <v>1.08080809326297</v>
      </c>
      <c r="G78">
        <v>2347.0321508506599</v>
      </c>
      <c r="H78">
        <v>237.70538037020199</v>
      </c>
      <c r="I78">
        <v>0.66865680713086695</v>
      </c>
      <c r="J78">
        <v>0.52197641346618695</v>
      </c>
      <c r="K78">
        <v>0.90136423311832903</v>
      </c>
      <c r="L78" t="s">
        <v>49</v>
      </c>
      <c r="M78" t="s">
        <v>34</v>
      </c>
      <c r="N78" t="s">
        <v>35</v>
      </c>
      <c r="O78">
        <v>0.79664381385207605</v>
      </c>
      <c r="P78" t="s">
        <v>36</v>
      </c>
    </row>
    <row r="79" spans="1:16">
      <c r="A79">
        <v>78</v>
      </c>
      <c r="B79" t="s">
        <v>124</v>
      </c>
      <c r="C79">
        <v>73</v>
      </c>
      <c r="D79">
        <v>64</v>
      </c>
      <c r="E79">
        <v>54.798775973143599</v>
      </c>
      <c r="F79">
        <v>1.1452991452991499</v>
      </c>
      <c r="G79">
        <v>2358.47673799622</v>
      </c>
      <c r="H79">
        <v>452.27914625955702</v>
      </c>
      <c r="I79">
        <v>0.61181414236961595</v>
      </c>
      <c r="J79">
        <v>0.14488663756051701</v>
      </c>
      <c r="K79">
        <v>0.60254414277577395</v>
      </c>
      <c r="L79" t="s">
        <v>33</v>
      </c>
      <c r="M79" t="s">
        <v>34</v>
      </c>
      <c r="N79" t="s">
        <v>35</v>
      </c>
      <c r="O79">
        <v>0.85059412112104704</v>
      </c>
      <c r="P79" t="s">
        <v>36</v>
      </c>
    </row>
    <row r="80" spans="1:16">
      <c r="A80">
        <v>79</v>
      </c>
      <c r="B80" t="s">
        <v>125</v>
      </c>
      <c r="C80">
        <v>93</v>
      </c>
      <c r="D80">
        <v>63</v>
      </c>
      <c r="E80">
        <v>54.831573592859897</v>
      </c>
      <c r="F80">
        <v>1.4655171710727499</v>
      </c>
      <c r="G80">
        <v>2361.30072703214</v>
      </c>
      <c r="H80">
        <v>699.87593435525901</v>
      </c>
      <c r="I80">
        <v>0.65823972296368205</v>
      </c>
      <c r="J80">
        <v>6.0578573761499298E-2</v>
      </c>
      <c r="K80">
        <v>0.53607099473613196</v>
      </c>
      <c r="L80" t="s">
        <v>38</v>
      </c>
      <c r="M80" t="s">
        <v>34</v>
      </c>
      <c r="N80" t="s">
        <v>35</v>
      </c>
      <c r="O80">
        <v>0.78155871843204805</v>
      </c>
      <c r="P80" t="s">
        <v>36</v>
      </c>
    </row>
    <row r="81" spans="1:16">
      <c r="A81">
        <v>80</v>
      </c>
      <c r="B81" t="s">
        <v>126</v>
      </c>
      <c r="C81">
        <v>82</v>
      </c>
      <c r="D81">
        <v>51</v>
      </c>
      <c r="E81">
        <v>55.076074207343702</v>
      </c>
      <c r="F81">
        <v>1.6000000972339501</v>
      </c>
      <c r="G81">
        <v>2382.4063293005702</v>
      </c>
      <c r="H81">
        <v>388.97913166740699</v>
      </c>
      <c r="I81">
        <v>0.70080862445256498</v>
      </c>
      <c r="J81">
        <v>0.197866874273051</v>
      </c>
      <c r="K81">
        <v>0.66389165009940398</v>
      </c>
      <c r="L81" t="s">
        <v>33</v>
      </c>
      <c r="M81" t="s">
        <v>34</v>
      </c>
      <c r="N81" t="s">
        <v>35</v>
      </c>
      <c r="O81">
        <v>0.78080615220097105</v>
      </c>
      <c r="P81" t="s">
        <v>36</v>
      </c>
    </row>
    <row r="82" spans="1:16">
      <c r="A82">
        <v>81</v>
      </c>
      <c r="B82" t="s">
        <v>127</v>
      </c>
      <c r="C82">
        <v>58</v>
      </c>
      <c r="D82">
        <v>107</v>
      </c>
      <c r="E82">
        <v>55.134455720946001</v>
      </c>
      <c r="F82">
        <v>0.54314721480582995</v>
      </c>
      <c r="G82">
        <v>2387.45978336484</v>
      </c>
      <c r="H82">
        <v>717.69706904442398</v>
      </c>
      <c r="I82">
        <v>0.58920939489534796</v>
      </c>
      <c r="J82">
        <v>5.82456616918701E-2</v>
      </c>
      <c r="K82">
        <v>0.47337400170925098</v>
      </c>
      <c r="L82" t="s">
        <v>47</v>
      </c>
      <c r="M82" t="s">
        <v>34</v>
      </c>
      <c r="N82" t="s">
        <v>35</v>
      </c>
      <c r="O82">
        <v>0.93781842345609201</v>
      </c>
      <c r="P82" t="s">
        <v>36</v>
      </c>
    </row>
    <row r="83" spans="1:16">
      <c r="A83">
        <v>82</v>
      </c>
      <c r="B83" t="s">
        <v>128</v>
      </c>
      <c r="C83">
        <v>80</v>
      </c>
      <c r="D83">
        <v>55</v>
      </c>
      <c r="E83">
        <v>55.160192627316498</v>
      </c>
      <c r="F83">
        <v>1.4535757865118599</v>
      </c>
      <c r="G83">
        <v>2389.6892483932002</v>
      </c>
      <c r="H83">
        <v>299.80536577805202</v>
      </c>
      <c r="I83">
        <v>0.71999519725171601</v>
      </c>
      <c r="J83">
        <v>0.33409693455761502</v>
      </c>
      <c r="K83">
        <v>0.77212697497959004</v>
      </c>
      <c r="L83" t="s">
        <v>47</v>
      </c>
      <c r="M83" t="s">
        <v>34</v>
      </c>
      <c r="N83" t="s">
        <v>35</v>
      </c>
      <c r="O83">
        <v>0.921595010081808</v>
      </c>
      <c r="P83" t="s">
        <v>36</v>
      </c>
    </row>
    <row r="84" spans="1:16">
      <c r="A84">
        <v>83</v>
      </c>
      <c r="B84" t="s">
        <v>129</v>
      </c>
      <c r="C84">
        <v>63</v>
      </c>
      <c r="D84">
        <v>73</v>
      </c>
      <c r="E84">
        <v>55.168768927977403</v>
      </c>
      <c r="F84">
        <v>0.87218045112781994</v>
      </c>
      <c r="G84">
        <v>2390.4324034026499</v>
      </c>
      <c r="H84">
        <v>518.17960354670197</v>
      </c>
      <c r="I84">
        <v>0.63243797146430103</v>
      </c>
      <c r="J84">
        <v>0.1118731077094</v>
      </c>
      <c r="K84">
        <v>0.61385496183206101</v>
      </c>
      <c r="L84" t="s">
        <v>33</v>
      </c>
      <c r="M84" t="s">
        <v>34</v>
      </c>
      <c r="N84" t="s">
        <v>35</v>
      </c>
      <c r="O84">
        <v>0.72817729359264505</v>
      </c>
      <c r="P84" t="s">
        <v>36</v>
      </c>
    </row>
    <row r="85" spans="1:16">
      <c r="A85">
        <v>84</v>
      </c>
      <c r="B85" t="s">
        <v>130</v>
      </c>
      <c r="C85">
        <v>58</v>
      </c>
      <c r="D85">
        <v>82</v>
      </c>
      <c r="E85">
        <v>55.172199074959202</v>
      </c>
      <c r="F85">
        <v>0.70860927152317899</v>
      </c>
      <c r="G85">
        <v>2390.7296654064298</v>
      </c>
      <c r="H85">
        <v>400.44474674463299</v>
      </c>
      <c r="I85">
        <v>0.63828915188500801</v>
      </c>
      <c r="J85">
        <v>0.18735061933691199</v>
      </c>
      <c r="K85">
        <v>0.69665208540863599</v>
      </c>
      <c r="L85" t="s">
        <v>43</v>
      </c>
      <c r="M85" t="s">
        <v>34</v>
      </c>
      <c r="N85" t="s">
        <v>35</v>
      </c>
      <c r="O85">
        <v>0.79992884099245998</v>
      </c>
      <c r="P85" t="s">
        <v>36</v>
      </c>
    </row>
    <row r="86" spans="1:16">
      <c r="A86">
        <v>85</v>
      </c>
      <c r="B86" t="s">
        <v>131</v>
      </c>
      <c r="C86">
        <v>71</v>
      </c>
      <c r="D86">
        <v>80</v>
      </c>
      <c r="E86">
        <v>55.2407572860306</v>
      </c>
      <c r="F86">
        <v>0.89498655263142501</v>
      </c>
      <c r="G86">
        <v>2396.6749054820398</v>
      </c>
      <c r="H86">
        <v>498.23078026305097</v>
      </c>
      <c r="I86">
        <v>0.62683312557790705</v>
      </c>
      <c r="J86">
        <v>0.12132711866684701</v>
      </c>
      <c r="K86">
        <v>0.57124132067450795</v>
      </c>
      <c r="L86" t="s">
        <v>33</v>
      </c>
      <c r="M86" t="s">
        <v>34</v>
      </c>
      <c r="N86" t="s">
        <v>35</v>
      </c>
      <c r="O86">
        <v>0.795706598547959</v>
      </c>
      <c r="P86" t="s">
        <v>36</v>
      </c>
    </row>
    <row r="87" spans="1:16">
      <c r="A87">
        <v>86</v>
      </c>
      <c r="B87" t="s">
        <v>132</v>
      </c>
      <c r="C87">
        <v>60</v>
      </c>
      <c r="D87">
        <v>55</v>
      </c>
      <c r="E87">
        <v>55.279063915413701</v>
      </c>
      <c r="F87">
        <v>1.0909090909090899</v>
      </c>
      <c r="G87">
        <v>2400</v>
      </c>
      <c r="H87">
        <v>194.85281229019199</v>
      </c>
      <c r="I87">
        <v>0.71352585840464899</v>
      </c>
      <c r="J87">
        <v>0.79434240807870704</v>
      </c>
      <c r="K87">
        <v>0.95522388059701502</v>
      </c>
      <c r="L87" t="s">
        <v>47</v>
      </c>
      <c r="M87" t="s">
        <v>34</v>
      </c>
      <c r="N87" t="s">
        <v>35</v>
      </c>
      <c r="O87">
        <v>0.92908148840461202</v>
      </c>
      <c r="P87" t="s">
        <v>36</v>
      </c>
    </row>
    <row r="88" spans="1:16">
      <c r="A88">
        <v>87</v>
      </c>
      <c r="B88" t="s">
        <v>133</v>
      </c>
      <c r="C88">
        <v>53</v>
      </c>
      <c r="D88">
        <v>88</v>
      </c>
      <c r="E88">
        <v>55.49027594484</v>
      </c>
      <c r="F88">
        <v>0.60869565217391297</v>
      </c>
      <c r="G88">
        <v>2418.3750317580302</v>
      </c>
      <c r="H88">
        <v>550.86054730529395</v>
      </c>
      <c r="I88">
        <v>0.72589811432672502</v>
      </c>
      <c r="J88">
        <v>0.100149820642518</v>
      </c>
      <c r="K88">
        <v>0.65240577385725695</v>
      </c>
      <c r="L88" t="s">
        <v>47</v>
      </c>
      <c r="M88" t="s">
        <v>34</v>
      </c>
      <c r="N88" t="s">
        <v>35</v>
      </c>
      <c r="O88">
        <v>0.94071583638749301</v>
      </c>
      <c r="P88" t="s">
        <v>36</v>
      </c>
    </row>
    <row r="89" spans="1:16">
      <c r="A89">
        <v>88</v>
      </c>
      <c r="B89" t="s">
        <v>134</v>
      </c>
      <c r="C89">
        <v>68</v>
      </c>
      <c r="D89">
        <v>74</v>
      </c>
      <c r="E89">
        <v>55.566956489874499</v>
      </c>
      <c r="F89">
        <v>0.92592592592592604</v>
      </c>
      <c r="G89">
        <v>2425.0634268430999</v>
      </c>
      <c r="H89">
        <v>405.76462877480901</v>
      </c>
      <c r="I89">
        <v>0.65955081419455497</v>
      </c>
      <c r="J89">
        <v>0.18509069821462701</v>
      </c>
      <c r="K89">
        <v>0.62515805203264496</v>
      </c>
      <c r="L89" t="s">
        <v>43</v>
      </c>
      <c r="M89" t="s">
        <v>34</v>
      </c>
      <c r="N89" t="s">
        <v>35</v>
      </c>
      <c r="O89">
        <v>0.80934279439369705</v>
      </c>
      <c r="P89" t="s">
        <v>36</v>
      </c>
    </row>
    <row r="90" spans="1:16">
      <c r="A90">
        <v>89</v>
      </c>
      <c r="B90" t="s">
        <v>135</v>
      </c>
      <c r="C90">
        <v>84</v>
      </c>
      <c r="D90">
        <v>43</v>
      </c>
      <c r="E90">
        <v>55.674131823549502</v>
      </c>
      <c r="F90">
        <v>1.93519754644808</v>
      </c>
      <c r="G90">
        <v>2434.4271799621902</v>
      </c>
      <c r="H90">
        <v>249.26178537213301</v>
      </c>
      <c r="I90">
        <v>0.50357012581140803</v>
      </c>
      <c r="J90">
        <v>0.492374156074255</v>
      </c>
      <c r="K90">
        <v>0.85138787815781303</v>
      </c>
      <c r="L90" t="s">
        <v>33</v>
      </c>
      <c r="M90" t="s">
        <v>34</v>
      </c>
      <c r="N90" t="s">
        <v>35</v>
      </c>
      <c r="O90">
        <v>0.84510587791319602</v>
      </c>
      <c r="P90" t="s">
        <v>36</v>
      </c>
    </row>
    <row r="91" spans="1:16">
      <c r="A91">
        <v>90</v>
      </c>
      <c r="B91" t="s">
        <v>136</v>
      </c>
      <c r="C91">
        <v>69</v>
      </c>
      <c r="D91">
        <v>58</v>
      </c>
      <c r="E91">
        <v>55.687726630375302</v>
      </c>
      <c r="F91">
        <v>1.1775700934579401</v>
      </c>
      <c r="G91">
        <v>2435.6162279773198</v>
      </c>
      <c r="H91">
        <v>333.28946307234099</v>
      </c>
      <c r="I91">
        <v>0.69621488066251402</v>
      </c>
      <c r="J91">
        <v>0.27553422753420098</v>
      </c>
      <c r="K91">
        <v>0.73300232599749504</v>
      </c>
      <c r="L91" t="s">
        <v>72</v>
      </c>
      <c r="M91" t="s">
        <v>34</v>
      </c>
      <c r="N91" t="s">
        <v>35</v>
      </c>
      <c r="O91">
        <v>0.81874267686302205</v>
      </c>
      <c r="P91" t="s">
        <v>36</v>
      </c>
    </row>
    <row r="92" spans="1:16">
      <c r="A92">
        <v>91</v>
      </c>
      <c r="B92" t="s">
        <v>137</v>
      </c>
      <c r="C92">
        <v>54</v>
      </c>
      <c r="D92">
        <v>72</v>
      </c>
      <c r="E92">
        <v>55.7081126200626</v>
      </c>
      <c r="F92">
        <v>0.75069007683018096</v>
      </c>
      <c r="G92">
        <v>2437.3998000000001</v>
      </c>
      <c r="H92">
        <v>308.92571968752401</v>
      </c>
      <c r="I92">
        <v>0.75717408788631302</v>
      </c>
      <c r="J92">
        <v>0.32094343832479899</v>
      </c>
      <c r="K92">
        <v>0.77525646480404697</v>
      </c>
      <c r="L92" t="s">
        <v>47</v>
      </c>
      <c r="M92" t="s">
        <v>34</v>
      </c>
      <c r="N92" t="s">
        <v>35</v>
      </c>
      <c r="O92">
        <v>0.91243345639874396</v>
      </c>
      <c r="P92" t="s">
        <v>36</v>
      </c>
    </row>
    <row r="93" spans="1:16">
      <c r="A93">
        <v>92</v>
      </c>
      <c r="B93" t="s">
        <v>138</v>
      </c>
      <c r="C93">
        <v>50</v>
      </c>
      <c r="D93">
        <v>60</v>
      </c>
      <c r="E93">
        <v>55.709257671341803</v>
      </c>
      <c r="F93">
        <v>0.83333333333333304</v>
      </c>
      <c r="G93">
        <v>2437.5</v>
      </c>
      <c r="H93">
        <v>203.63960921764399</v>
      </c>
      <c r="I93">
        <v>0.64615716207026297</v>
      </c>
      <c r="J93">
        <v>0.73863516285964603</v>
      </c>
      <c r="K93">
        <v>0.92857142857142905</v>
      </c>
      <c r="L93" t="s">
        <v>41</v>
      </c>
      <c r="M93" t="s">
        <v>34</v>
      </c>
      <c r="N93" t="s">
        <v>35</v>
      </c>
      <c r="O93">
        <v>0.80012086388588299</v>
      </c>
      <c r="P93" t="s">
        <v>36</v>
      </c>
    </row>
    <row r="94" spans="1:16">
      <c r="A94">
        <v>93</v>
      </c>
      <c r="B94" t="s">
        <v>139</v>
      </c>
      <c r="C94">
        <v>72</v>
      </c>
      <c r="D94">
        <v>56</v>
      </c>
      <c r="E94">
        <v>55.789582086714297</v>
      </c>
      <c r="F94">
        <v>1.2947624966379201</v>
      </c>
      <c r="G94">
        <v>2444.5340880907402</v>
      </c>
      <c r="H94">
        <v>320.31384008272801</v>
      </c>
      <c r="I94">
        <v>0.57468794742764595</v>
      </c>
      <c r="J94">
        <v>0.29940190114708598</v>
      </c>
      <c r="K94">
        <v>0.79007541912859702</v>
      </c>
      <c r="L94" t="s">
        <v>49</v>
      </c>
      <c r="M94" t="s">
        <v>34</v>
      </c>
      <c r="N94" t="s">
        <v>35</v>
      </c>
      <c r="O94">
        <v>0.75448406658663802</v>
      </c>
      <c r="P94" t="s">
        <v>36</v>
      </c>
    </row>
    <row r="95" spans="1:16">
      <c r="A95">
        <v>94</v>
      </c>
      <c r="B95" t="s">
        <v>140</v>
      </c>
      <c r="C95">
        <v>63</v>
      </c>
      <c r="D95">
        <v>58</v>
      </c>
      <c r="E95">
        <v>55.799757406509599</v>
      </c>
      <c r="F95">
        <v>1.08411216152757</v>
      </c>
      <c r="G95">
        <v>2445.4258741020799</v>
      </c>
      <c r="H95">
        <v>458.61196839031999</v>
      </c>
      <c r="I95">
        <v>0.62158727397853197</v>
      </c>
      <c r="J95">
        <v>0.14610786624615699</v>
      </c>
      <c r="K95">
        <v>0.66560135927828801</v>
      </c>
      <c r="L95" t="s">
        <v>33</v>
      </c>
      <c r="M95" t="s">
        <v>34</v>
      </c>
      <c r="N95" t="s">
        <v>35</v>
      </c>
      <c r="O95">
        <v>0.73148111082039702</v>
      </c>
      <c r="P95" t="s">
        <v>36</v>
      </c>
    </row>
    <row r="96" spans="1:16">
      <c r="A96">
        <v>95</v>
      </c>
      <c r="B96" t="s">
        <v>141</v>
      </c>
      <c r="C96">
        <v>34</v>
      </c>
      <c r="D96">
        <v>132</v>
      </c>
      <c r="E96">
        <v>55.859076496542897</v>
      </c>
      <c r="F96">
        <v>0.255144033567833</v>
      </c>
      <c r="G96">
        <v>2450.6279591682401</v>
      </c>
      <c r="H96">
        <v>521.58319977739598</v>
      </c>
      <c r="I96">
        <v>0.886853162261933</v>
      </c>
      <c r="J96">
        <v>0.113198340340323</v>
      </c>
      <c r="K96">
        <v>0.61641991924629902</v>
      </c>
      <c r="L96" t="s">
        <v>33</v>
      </c>
      <c r="M96" t="s">
        <v>34</v>
      </c>
      <c r="N96" t="s">
        <v>35</v>
      </c>
      <c r="O96">
        <v>0.79639727772239699</v>
      </c>
      <c r="P96" t="s">
        <v>36</v>
      </c>
    </row>
    <row r="97" spans="1:16">
      <c r="A97">
        <v>96</v>
      </c>
      <c r="B97" t="s">
        <v>142</v>
      </c>
      <c r="C97">
        <v>88</v>
      </c>
      <c r="D97">
        <v>63</v>
      </c>
      <c r="E97">
        <v>55.898023337482897</v>
      </c>
      <c r="F97">
        <v>1.38793103448276</v>
      </c>
      <c r="G97">
        <v>2454.0464722117199</v>
      </c>
      <c r="H97">
        <v>713.41282459601098</v>
      </c>
      <c r="I97">
        <v>0.47773438913260702</v>
      </c>
      <c r="J97">
        <v>6.0591377010654902E-2</v>
      </c>
      <c r="K97">
        <v>0.54282144853207104</v>
      </c>
      <c r="L97" t="s">
        <v>43</v>
      </c>
      <c r="M97" t="s">
        <v>34</v>
      </c>
      <c r="N97" t="s">
        <v>35</v>
      </c>
      <c r="O97">
        <v>0.82871743341942194</v>
      </c>
      <c r="P97" t="s">
        <v>36</v>
      </c>
    </row>
    <row r="98" spans="1:16">
      <c r="A98">
        <v>97</v>
      </c>
      <c r="B98" t="s">
        <v>143</v>
      </c>
      <c r="C98">
        <v>58</v>
      </c>
      <c r="D98">
        <v>120</v>
      </c>
      <c r="E98">
        <v>55.899716062847403</v>
      </c>
      <c r="F98">
        <v>0.48485592486818802</v>
      </c>
      <c r="G98">
        <v>2454.1951032136099</v>
      </c>
      <c r="H98">
        <v>630.70417272028703</v>
      </c>
      <c r="I98">
        <v>0.41362670652876299</v>
      </c>
      <c r="J98">
        <v>7.7529599532913995E-2</v>
      </c>
      <c r="K98">
        <v>0.50034847428865803</v>
      </c>
      <c r="L98" t="s">
        <v>144</v>
      </c>
      <c r="M98" t="s">
        <v>34</v>
      </c>
      <c r="N98" t="s">
        <v>35</v>
      </c>
      <c r="O98">
        <v>0.66382375094685298</v>
      </c>
      <c r="P98" t="s">
        <v>36</v>
      </c>
    </row>
    <row r="99" spans="1:16">
      <c r="A99">
        <v>98</v>
      </c>
      <c r="B99" t="s">
        <v>145</v>
      </c>
      <c r="C99">
        <v>68</v>
      </c>
      <c r="D99">
        <v>88</v>
      </c>
      <c r="E99">
        <v>55.906486451785597</v>
      </c>
      <c r="F99">
        <v>0.77639751552795</v>
      </c>
      <c r="G99">
        <v>2454.7896272211701</v>
      </c>
      <c r="H99">
        <v>526.31911707525705</v>
      </c>
      <c r="I99">
        <v>0.66335512179925404</v>
      </c>
      <c r="J99">
        <v>0.11135913628373199</v>
      </c>
      <c r="K99">
        <v>0.58341870076654101</v>
      </c>
      <c r="L99" t="s">
        <v>43</v>
      </c>
      <c r="M99" t="s">
        <v>34</v>
      </c>
      <c r="N99" t="s">
        <v>35</v>
      </c>
      <c r="O99">
        <v>0.82879762154898196</v>
      </c>
      <c r="P99" t="s">
        <v>36</v>
      </c>
    </row>
    <row r="100" spans="1:16">
      <c r="A100">
        <v>99</v>
      </c>
      <c r="B100" t="s">
        <v>146</v>
      </c>
      <c r="C100">
        <v>83</v>
      </c>
      <c r="D100">
        <v>68</v>
      </c>
      <c r="E100">
        <v>56.014701382862299</v>
      </c>
      <c r="F100">
        <v>1.2258064516128999</v>
      </c>
      <c r="G100">
        <v>2464.3020113421599</v>
      </c>
      <c r="H100">
        <v>534.745911850722</v>
      </c>
      <c r="I100">
        <v>0.53877203874939505</v>
      </c>
      <c r="J100">
        <v>0.10829511065825401</v>
      </c>
      <c r="K100">
        <v>0.54589753720532097</v>
      </c>
      <c r="L100" t="s">
        <v>38</v>
      </c>
      <c r="M100" t="s">
        <v>34</v>
      </c>
      <c r="N100" t="s">
        <v>35</v>
      </c>
      <c r="O100">
        <v>0.77847020247949805</v>
      </c>
      <c r="P100" t="s">
        <v>36</v>
      </c>
    </row>
    <row r="101" spans="1:16">
      <c r="A101">
        <v>100</v>
      </c>
      <c r="B101" t="s">
        <v>147</v>
      </c>
      <c r="C101">
        <v>58</v>
      </c>
      <c r="D101">
        <v>103</v>
      </c>
      <c r="E101">
        <v>56.163156459543004</v>
      </c>
      <c r="F101">
        <v>0.56382978723404298</v>
      </c>
      <c r="G101">
        <v>2477.3815395085098</v>
      </c>
      <c r="H101">
        <v>526.58370084099101</v>
      </c>
      <c r="I101">
        <v>0.715128046902059</v>
      </c>
      <c r="J101">
        <v>0.11227108927401799</v>
      </c>
      <c r="K101">
        <v>0.60869882773983897</v>
      </c>
      <c r="L101" t="s">
        <v>38</v>
      </c>
      <c r="M101" t="s">
        <v>34</v>
      </c>
      <c r="N101" t="s">
        <v>35</v>
      </c>
      <c r="O101">
        <v>0.82688973325677095</v>
      </c>
      <c r="P101" t="s">
        <v>36</v>
      </c>
    </row>
    <row r="102" spans="1:16">
      <c r="A102">
        <v>101</v>
      </c>
      <c r="B102" t="s">
        <v>148</v>
      </c>
      <c r="C102">
        <v>62</v>
      </c>
      <c r="D102">
        <v>101</v>
      </c>
      <c r="E102">
        <v>56.228823706326502</v>
      </c>
      <c r="F102">
        <v>0.61621621621621603</v>
      </c>
      <c r="G102">
        <v>2483.1781485822298</v>
      </c>
      <c r="H102">
        <v>425.00336522154203</v>
      </c>
      <c r="I102">
        <v>0.82934165448895902</v>
      </c>
      <c r="J102">
        <v>0.172755946058849</v>
      </c>
      <c r="K102">
        <v>0.51766127532998696</v>
      </c>
      <c r="L102" t="s">
        <v>72</v>
      </c>
      <c r="M102" t="s">
        <v>34</v>
      </c>
      <c r="N102" t="s">
        <v>35</v>
      </c>
      <c r="O102">
        <v>0.86035009655943895</v>
      </c>
      <c r="P102" t="s">
        <v>36</v>
      </c>
    </row>
    <row r="103" spans="1:16">
      <c r="A103">
        <v>102</v>
      </c>
      <c r="B103" t="s">
        <v>149</v>
      </c>
      <c r="C103">
        <v>73</v>
      </c>
      <c r="D103">
        <v>54</v>
      </c>
      <c r="E103">
        <v>56.2473313763251</v>
      </c>
      <c r="F103">
        <v>1.35353535353535</v>
      </c>
      <c r="G103">
        <v>2484.8130896030202</v>
      </c>
      <c r="H103">
        <v>313.34225601880502</v>
      </c>
      <c r="I103">
        <v>0.71449463676393299</v>
      </c>
      <c r="J103">
        <v>0.31802821984993801</v>
      </c>
      <c r="K103">
        <v>0.79639862804878003</v>
      </c>
      <c r="L103" t="s">
        <v>33</v>
      </c>
      <c r="M103" t="s">
        <v>34</v>
      </c>
      <c r="N103" t="s">
        <v>35</v>
      </c>
      <c r="O103">
        <v>0.71550729955269099</v>
      </c>
      <c r="P103" t="s">
        <v>36</v>
      </c>
    </row>
    <row r="104" spans="1:16">
      <c r="A104">
        <v>103</v>
      </c>
      <c r="B104" t="s">
        <v>150</v>
      </c>
      <c r="C104">
        <v>68</v>
      </c>
      <c r="D104">
        <v>98</v>
      </c>
      <c r="E104">
        <v>56.398529636723403</v>
      </c>
      <c r="F104">
        <v>0.69832405615849102</v>
      </c>
      <c r="G104">
        <v>2498.1898797731601</v>
      </c>
      <c r="H104">
        <v>661.73341444513096</v>
      </c>
      <c r="I104">
        <v>0.70206942188538801</v>
      </c>
      <c r="J104">
        <v>7.1691749498436805E-2</v>
      </c>
      <c r="K104">
        <v>0.439792767805746</v>
      </c>
      <c r="L104" t="s">
        <v>38</v>
      </c>
      <c r="M104" t="s">
        <v>34</v>
      </c>
      <c r="N104" t="s">
        <v>35</v>
      </c>
      <c r="O104">
        <v>0.71533414862351896</v>
      </c>
      <c r="P104" t="s">
        <v>36</v>
      </c>
    </row>
    <row r="105" spans="1:16">
      <c r="A105">
        <v>104</v>
      </c>
      <c r="B105" t="s">
        <v>151</v>
      </c>
      <c r="C105">
        <v>121</v>
      </c>
      <c r="D105">
        <v>52</v>
      </c>
      <c r="E105">
        <v>56.403562598402502</v>
      </c>
      <c r="F105">
        <v>2.3337910950818399</v>
      </c>
      <c r="G105">
        <v>2498.63577277883</v>
      </c>
      <c r="H105">
        <v>467.75501978096798</v>
      </c>
      <c r="I105">
        <v>0.75851020595227603</v>
      </c>
      <c r="J105">
        <v>0.14350793118605301</v>
      </c>
      <c r="K105">
        <v>0.56227841327179096</v>
      </c>
      <c r="L105" t="s">
        <v>33</v>
      </c>
      <c r="M105" t="s">
        <v>34</v>
      </c>
      <c r="N105" t="s">
        <v>35</v>
      </c>
      <c r="O105">
        <v>0.83743497575902004</v>
      </c>
      <c r="P105" t="s">
        <v>36</v>
      </c>
    </row>
    <row r="106" spans="1:16">
      <c r="A106">
        <v>105</v>
      </c>
      <c r="B106" t="s">
        <v>152</v>
      </c>
      <c r="C106">
        <v>65</v>
      </c>
      <c r="D106">
        <v>55</v>
      </c>
      <c r="E106">
        <v>56.418958354775597</v>
      </c>
      <c r="F106">
        <v>1.1818181818181801</v>
      </c>
      <c r="G106">
        <v>2500</v>
      </c>
      <c r="H106">
        <v>208.99494767189</v>
      </c>
      <c r="I106">
        <v>0.61757550169158504</v>
      </c>
      <c r="J106">
        <v>0.71924739536184601</v>
      </c>
      <c r="K106">
        <v>0.90497737556561098</v>
      </c>
      <c r="L106" t="s">
        <v>74</v>
      </c>
      <c r="M106" t="s">
        <v>34</v>
      </c>
      <c r="N106" t="s">
        <v>35</v>
      </c>
      <c r="O106">
        <v>0.71012294564195599</v>
      </c>
      <c r="P106" t="s">
        <v>36</v>
      </c>
    </row>
    <row r="107" spans="1:16">
      <c r="A107">
        <v>106</v>
      </c>
      <c r="B107" t="s">
        <v>153</v>
      </c>
      <c r="C107">
        <v>49</v>
      </c>
      <c r="D107">
        <v>69</v>
      </c>
      <c r="E107">
        <v>56.4957541023822</v>
      </c>
      <c r="F107">
        <v>0.70634920634920595</v>
      </c>
      <c r="G107">
        <v>2506.8104778828001</v>
      </c>
      <c r="H107">
        <v>229.59796656131701</v>
      </c>
      <c r="I107">
        <v>0.75024749859850903</v>
      </c>
      <c r="J107">
        <v>0.59757894950847801</v>
      </c>
      <c r="K107">
        <v>0.90347118062995502</v>
      </c>
      <c r="L107" t="s">
        <v>144</v>
      </c>
      <c r="M107" t="s">
        <v>34</v>
      </c>
      <c r="N107" t="s">
        <v>35</v>
      </c>
      <c r="O107">
        <v>0.71522201952271702</v>
      </c>
      <c r="P107" t="s">
        <v>36</v>
      </c>
    </row>
    <row r="108" spans="1:16">
      <c r="A108">
        <v>107</v>
      </c>
      <c r="B108" t="s">
        <v>154</v>
      </c>
      <c r="C108">
        <v>83</v>
      </c>
      <c r="D108">
        <v>77</v>
      </c>
      <c r="E108">
        <v>56.554343175552297</v>
      </c>
      <c r="F108">
        <v>1.07746478873239</v>
      </c>
      <c r="G108">
        <v>2512.0125629489598</v>
      </c>
      <c r="H108">
        <v>616.84790151295499</v>
      </c>
      <c r="I108">
        <v>0.698701932153729</v>
      </c>
      <c r="J108">
        <v>8.2961288348728304E-2</v>
      </c>
      <c r="K108">
        <v>0.54649809222013801</v>
      </c>
      <c r="L108" t="s">
        <v>33</v>
      </c>
      <c r="M108" t="s">
        <v>34</v>
      </c>
      <c r="N108" t="s">
        <v>35</v>
      </c>
      <c r="O108">
        <v>0.679638086529751</v>
      </c>
      <c r="P108" t="s">
        <v>36</v>
      </c>
    </row>
    <row r="109" spans="1:16">
      <c r="A109">
        <v>108</v>
      </c>
      <c r="B109" t="s">
        <v>155</v>
      </c>
      <c r="C109">
        <v>74</v>
      </c>
      <c r="D109">
        <v>80</v>
      </c>
      <c r="E109">
        <v>56.647959651626003</v>
      </c>
      <c r="F109">
        <v>0.93131765841190395</v>
      </c>
      <c r="G109">
        <v>2520.3358990548199</v>
      </c>
      <c r="H109">
        <v>421.76966982768897</v>
      </c>
      <c r="I109">
        <v>0.41170904869883601</v>
      </c>
      <c r="J109">
        <v>0.17804000513359899</v>
      </c>
      <c r="K109">
        <v>0.582674730259089</v>
      </c>
      <c r="L109" t="s">
        <v>49</v>
      </c>
      <c r="M109" t="s">
        <v>34</v>
      </c>
      <c r="N109" t="s">
        <v>35</v>
      </c>
      <c r="O109">
        <v>0.71069007192863798</v>
      </c>
      <c r="P109" t="s">
        <v>36</v>
      </c>
    </row>
    <row r="110" spans="1:16">
      <c r="A110">
        <v>109</v>
      </c>
      <c r="B110" t="s">
        <v>156</v>
      </c>
      <c r="C110">
        <v>83</v>
      </c>
      <c r="D110">
        <v>63</v>
      </c>
      <c r="E110">
        <v>56.8596973002685</v>
      </c>
      <c r="F110">
        <v>1.3103447368680701</v>
      </c>
      <c r="G110">
        <v>2539.2120362948999</v>
      </c>
      <c r="H110">
        <v>628.71039223878302</v>
      </c>
      <c r="I110">
        <v>0.60671259338816697</v>
      </c>
      <c r="J110">
        <v>8.0724907110022004E-2</v>
      </c>
      <c r="K110">
        <v>0.53297560366880903</v>
      </c>
      <c r="L110" t="s">
        <v>43</v>
      </c>
      <c r="M110" t="s">
        <v>34</v>
      </c>
      <c r="N110" t="s">
        <v>35</v>
      </c>
      <c r="O110">
        <v>0.72523185070579099</v>
      </c>
      <c r="P110" t="s">
        <v>36</v>
      </c>
    </row>
    <row r="111" spans="1:16">
      <c r="A111">
        <v>110</v>
      </c>
      <c r="B111" t="s">
        <v>157</v>
      </c>
      <c r="C111">
        <v>93</v>
      </c>
      <c r="D111">
        <v>88</v>
      </c>
      <c r="E111">
        <v>56.929547491471801</v>
      </c>
      <c r="F111">
        <v>1.05590062111801</v>
      </c>
      <c r="G111">
        <v>2545.4545383742902</v>
      </c>
      <c r="H111">
        <v>791.946826425013</v>
      </c>
      <c r="I111">
        <v>0.59333093444984197</v>
      </c>
      <c r="J111">
        <v>5.1001525146590301E-2</v>
      </c>
      <c r="K111">
        <v>0.43962419139542003</v>
      </c>
      <c r="L111" t="s">
        <v>33</v>
      </c>
      <c r="M111" t="s">
        <v>34</v>
      </c>
      <c r="N111" t="s">
        <v>35</v>
      </c>
      <c r="O111">
        <v>0.78189980811658599</v>
      </c>
      <c r="P111" t="s">
        <v>36</v>
      </c>
    </row>
    <row r="112" spans="1:16">
      <c r="A112">
        <v>111</v>
      </c>
      <c r="B112" t="s">
        <v>158</v>
      </c>
      <c r="C112">
        <v>90</v>
      </c>
      <c r="D112">
        <v>48</v>
      </c>
      <c r="E112">
        <v>56.934533511668299</v>
      </c>
      <c r="F112">
        <v>1.8936902806489999</v>
      </c>
      <c r="G112">
        <v>2545.9004313799601</v>
      </c>
      <c r="H112">
        <v>295.95009669791102</v>
      </c>
      <c r="I112">
        <v>0.72838631999224002</v>
      </c>
      <c r="J112">
        <v>0.36527025369663801</v>
      </c>
      <c r="K112">
        <v>0.80365018297832402</v>
      </c>
      <c r="L112" t="s">
        <v>47</v>
      </c>
      <c r="M112" t="s">
        <v>34</v>
      </c>
      <c r="N112" t="s">
        <v>35</v>
      </c>
      <c r="O112">
        <v>0.94666345174760802</v>
      </c>
      <c r="P112" t="s">
        <v>36</v>
      </c>
    </row>
    <row r="113" spans="1:16">
      <c r="A113">
        <v>112</v>
      </c>
      <c r="B113" t="s">
        <v>159</v>
      </c>
      <c r="C113">
        <v>78</v>
      </c>
      <c r="D113">
        <v>58</v>
      </c>
      <c r="E113">
        <v>56.939519095254198</v>
      </c>
      <c r="F113">
        <v>1.33644850350474</v>
      </c>
      <c r="G113">
        <v>2546.3463243856299</v>
      </c>
      <c r="H113">
        <v>523.76406934261297</v>
      </c>
      <c r="I113">
        <v>0.61960476281344101</v>
      </c>
      <c r="J113">
        <v>0.11664226135113701</v>
      </c>
      <c r="K113">
        <v>0.60549939916590101</v>
      </c>
      <c r="L113" t="s">
        <v>49</v>
      </c>
      <c r="M113" t="s">
        <v>34</v>
      </c>
      <c r="N113" t="s">
        <v>35</v>
      </c>
      <c r="O113">
        <v>0.80063452944750302</v>
      </c>
      <c r="P113" t="s">
        <v>36</v>
      </c>
    </row>
    <row r="114" spans="1:16">
      <c r="A114">
        <v>113</v>
      </c>
      <c r="B114" t="s">
        <v>160</v>
      </c>
      <c r="C114">
        <v>53</v>
      </c>
      <c r="D114">
        <v>68</v>
      </c>
      <c r="E114">
        <v>57.010931216509498</v>
      </c>
      <c r="F114">
        <v>0.78400000000000003</v>
      </c>
      <c r="G114">
        <v>2552.7374574669202</v>
      </c>
      <c r="H114">
        <v>380.10066404249397</v>
      </c>
      <c r="I114">
        <v>0.65484660599426303</v>
      </c>
      <c r="J114">
        <v>0.22203362958237099</v>
      </c>
      <c r="K114">
        <v>0.78039803707742605</v>
      </c>
      <c r="L114" t="s">
        <v>47</v>
      </c>
      <c r="M114" t="s">
        <v>34</v>
      </c>
      <c r="N114" t="s">
        <v>35</v>
      </c>
      <c r="O114">
        <v>0.94546916315762297</v>
      </c>
      <c r="P114" t="s">
        <v>36</v>
      </c>
    </row>
    <row r="115" spans="1:16">
      <c r="A115">
        <v>114</v>
      </c>
      <c r="B115" t="s">
        <v>161</v>
      </c>
      <c r="C115">
        <v>63</v>
      </c>
      <c r="D115">
        <v>80</v>
      </c>
      <c r="E115">
        <v>57.054067276332397</v>
      </c>
      <c r="F115">
        <v>0.78593270240775404</v>
      </c>
      <c r="G115">
        <v>2556.6018635160699</v>
      </c>
      <c r="H115">
        <v>363.15077533255499</v>
      </c>
      <c r="I115">
        <v>0.84210319608779205</v>
      </c>
      <c r="J115">
        <v>0.24361218873674001</v>
      </c>
      <c r="K115">
        <v>0.68155162849671103</v>
      </c>
      <c r="L115" t="s">
        <v>33</v>
      </c>
      <c r="M115" t="s">
        <v>34</v>
      </c>
      <c r="N115" t="s">
        <v>35</v>
      </c>
      <c r="O115">
        <v>0.741282715099566</v>
      </c>
      <c r="P115" t="s">
        <v>36</v>
      </c>
    </row>
    <row r="116" spans="1:16">
      <c r="A116">
        <v>115</v>
      </c>
      <c r="B116" t="s">
        <v>162</v>
      </c>
      <c r="C116">
        <v>57</v>
      </c>
      <c r="D116">
        <v>106</v>
      </c>
      <c r="E116">
        <v>57.073965231114201</v>
      </c>
      <c r="F116">
        <v>0.54417661033364095</v>
      </c>
      <c r="G116">
        <v>2558.3854355387498</v>
      </c>
      <c r="H116">
        <v>410.258659788111</v>
      </c>
      <c r="I116">
        <v>0.76554379710516895</v>
      </c>
      <c r="J116">
        <v>0.191011855842249</v>
      </c>
      <c r="K116">
        <v>0.58942574393041802</v>
      </c>
      <c r="L116" t="s">
        <v>61</v>
      </c>
      <c r="M116" t="s">
        <v>34</v>
      </c>
      <c r="N116" t="s">
        <v>35</v>
      </c>
      <c r="O116">
        <v>0.64215795682863397</v>
      </c>
      <c r="P116" t="s">
        <v>36</v>
      </c>
    </row>
    <row r="117" spans="1:16">
      <c r="A117">
        <v>116</v>
      </c>
      <c r="B117" t="s">
        <v>163</v>
      </c>
      <c r="C117">
        <v>66</v>
      </c>
      <c r="D117">
        <v>56</v>
      </c>
      <c r="E117">
        <v>57.133617516248101</v>
      </c>
      <c r="F117">
        <v>1.18855216686591</v>
      </c>
      <c r="G117">
        <v>2563.7361516068099</v>
      </c>
      <c r="H117">
        <v>219.49126303662399</v>
      </c>
      <c r="I117">
        <v>0.65083037758747997</v>
      </c>
      <c r="J117">
        <v>0.66872678134813301</v>
      </c>
      <c r="K117">
        <v>0.91366068118014698</v>
      </c>
      <c r="L117" t="s">
        <v>33</v>
      </c>
      <c r="M117" t="s">
        <v>34</v>
      </c>
      <c r="N117" t="s">
        <v>35</v>
      </c>
      <c r="O117">
        <v>0.77250279692920198</v>
      </c>
      <c r="P117" t="s">
        <v>36</v>
      </c>
    </row>
    <row r="118" spans="1:16">
      <c r="A118">
        <v>117</v>
      </c>
      <c r="B118" t="s">
        <v>164</v>
      </c>
      <c r="C118">
        <v>88</v>
      </c>
      <c r="D118">
        <v>63</v>
      </c>
      <c r="E118">
        <v>57.1650755707307</v>
      </c>
      <c r="F118">
        <v>1.3879309539704101</v>
      </c>
      <c r="G118">
        <v>2566.5601406427199</v>
      </c>
      <c r="H118">
        <v>488.71516693509102</v>
      </c>
      <c r="I118">
        <v>0.60443214083447905</v>
      </c>
      <c r="J118">
        <v>0.13503603415584101</v>
      </c>
      <c r="K118">
        <v>0.63294479876841903</v>
      </c>
      <c r="L118" t="s">
        <v>43</v>
      </c>
      <c r="M118" t="s">
        <v>34</v>
      </c>
      <c r="N118" t="s">
        <v>35</v>
      </c>
      <c r="O118">
        <v>0.78692938420367597</v>
      </c>
      <c r="P118" t="s">
        <v>36</v>
      </c>
    </row>
    <row r="119" spans="1:16">
      <c r="A119">
        <v>118</v>
      </c>
      <c r="B119" t="s">
        <v>165</v>
      </c>
      <c r="C119">
        <v>67</v>
      </c>
      <c r="D119">
        <v>70</v>
      </c>
      <c r="E119">
        <v>57.194861977738903</v>
      </c>
      <c r="F119">
        <v>0.95536255294726002</v>
      </c>
      <c r="G119">
        <v>2569.23549867675</v>
      </c>
      <c r="H119">
        <v>346.88115051393902</v>
      </c>
      <c r="I119">
        <v>0.63832614835522306</v>
      </c>
      <c r="J119">
        <v>0.26831958653816801</v>
      </c>
      <c r="K119">
        <v>0.70408537330455001</v>
      </c>
      <c r="L119" t="s">
        <v>49</v>
      </c>
      <c r="M119" t="s">
        <v>34</v>
      </c>
      <c r="N119" t="s">
        <v>35</v>
      </c>
      <c r="O119">
        <v>0.71625429624184</v>
      </c>
      <c r="P119" t="s">
        <v>36</v>
      </c>
    </row>
    <row r="120" spans="1:16">
      <c r="A120">
        <v>119</v>
      </c>
      <c r="B120" t="s">
        <v>166</v>
      </c>
      <c r="C120">
        <v>103</v>
      </c>
      <c r="D120">
        <v>63</v>
      </c>
      <c r="E120">
        <v>57.371606423865302</v>
      </c>
      <c r="F120">
        <v>1.6206896551724099</v>
      </c>
      <c r="G120">
        <v>2585.13901587902</v>
      </c>
      <c r="H120">
        <v>822.61129222092404</v>
      </c>
      <c r="I120">
        <v>0.746156022289299</v>
      </c>
      <c r="J120">
        <v>4.8006985088458201E-2</v>
      </c>
      <c r="K120">
        <v>0.49245448625385801</v>
      </c>
      <c r="L120" t="s">
        <v>144</v>
      </c>
      <c r="M120" t="s">
        <v>34</v>
      </c>
      <c r="N120" t="s">
        <v>35</v>
      </c>
      <c r="O120">
        <v>0.94414425337516406</v>
      </c>
      <c r="P120" t="s">
        <v>36</v>
      </c>
    </row>
    <row r="121" spans="1:16">
      <c r="A121">
        <v>120</v>
      </c>
      <c r="B121" t="s">
        <v>167</v>
      </c>
      <c r="C121">
        <v>77</v>
      </c>
      <c r="D121">
        <v>49</v>
      </c>
      <c r="E121">
        <v>57.447422880728098</v>
      </c>
      <c r="F121">
        <v>1.5777777777777799</v>
      </c>
      <c r="G121">
        <v>2591.9760419659701</v>
      </c>
      <c r="H121">
        <v>254.62316936047199</v>
      </c>
      <c r="I121">
        <v>0.71870033755476204</v>
      </c>
      <c r="J121">
        <v>0.50239465209037704</v>
      </c>
      <c r="K121">
        <v>0.86597477405899304</v>
      </c>
      <c r="L121" t="s">
        <v>33</v>
      </c>
      <c r="M121" t="s">
        <v>34</v>
      </c>
      <c r="N121" t="s">
        <v>35</v>
      </c>
      <c r="O121">
        <v>0.72582794888942903</v>
      </c>
      <c r="P121" t="s">
        <v>36</v>
      </c>
    </row>
    <row r="122" spans="1:16">
      <c r="A122">
        <v>121</v>
      </c>
      <c r="B122" t="s">
        <v>168</v>
      </c>
      <c r="C122">
        <v>103</v>
      </c>
      <c r="D122">
        <v>64</v>
      </c>
      <c r="E122">
        <v>57.500105803824198</v>
      </c>
      <c r="F122">
        <v>1.6016430216812201</v>
      </c>
      <c r="G122">
        <v>2596.73223402647</v>
      </c>
      <c r="H122">
        <v>621.442124689455</v>
      </c>
      <c r="I122">
        <v>0.49256196476937802</v>
      </c>
      <c r="J122">
        <v>8.4495903774592998E-2</v>
      </c>
      <c r="K122">
        <v>0.472036096401167</v>
      </c>
      <c r="L122" t="s">
        <v>47</v>
      </c>
      <c r="M122" t="s">
        <v>34</v>
      </c>
      <c r="N122" t="s">
        <v>35</v>
      </c>
      <c r="O122">
        <v>0.93092573404599399</v>
      </c>
      <c r="P122" t="s">
        <v>36</v>
      </c>
    </row>
    <row r="123" spans="1:16">
      <c r="A123">
        <v>122</v>
      </c>
      <c r="B123" t="s">
        <v>169</v>
      </c>
      <c r="C123">
        <v>68</v>
      </c>
      <c r="D123">
        <v>74</v>
      </c>
      <c r="E123">
        <v>57.521494458596301</v>
      </c>
      <c r="F123">
        <v>0.92592592592592604</v>
      </c>
      <c r="G123">
        <v>2598.6644370510398</v>
      </c>
      <c r="H123">
        <v>364.96686896883898</v>
      </c>
      <c r="I123">
        <v>0.58338912713355395</v>
      </c>
      <c r="J123">
        <v>0.245162015782422</v>
      </c>
      <c r="K123">
        <v>0.73959390862944197</v>
      </c>
      <c r="L123" t="s">
        <v>72</v>
      </c>
      <c r="M123" t="s">
        <v>34</v>
      </c>
      <c r="N123" t="s">
        <v>35</v>
      </c>
      <c r="O123">
        <v>0.87590742528148302</v>
      </c>
      <c r="P123" t="s">
        <v>36</v>
      </c>
    </row>
    <row r="124" spans="1:16">
      <c r="A124">
        <v>123</v>
      </c>
      <c r="B124" t="s">
        <v>170</v>
      </c>
      <c r="C124">
        <v>78</v>
      </c>
      <c r="D124">
        <v>78</v>
      </c>
      <c r="E124">
        <v>57.611897057424201</v>
      </c>
      <c r="F124">
        <v>1</v>
      </c>
      <c r="G124">
        <v>2606.83914215501</v>
      </c>
      <c r="H124">
        <v>513.553280650533</v>
      </c>
      <c r="I124">
        <v>0.74097048066101501</v>
      </c>
      <c r="J124">
        <v>0.124209004659481</v>
      </c>
      <c r="K124">
        <v>0.57789126853377304</v>
      </c>
      <c r="L124" t="s">
        <v>38</v>
      </c>
      <c r="M124" t="s">
        <v>34</v>
      </c>
      <c r="N124" t="s">
        <v>35</v>
      </c>
      <c r="O124">
        <v>0.63719657968050003</v>
      </c>
      <c r="P124" t="s">
        <v>36</v>
      </c>
    </row>
    <row r="125" spans="1:16">
      <c r="A125">
        <v>124</v>
      </c>
      <c r="B125" t="s">
        <v>171</v>
      </c>
      <c r="C125">
        <v>53</v>
      </c>
      <c r="D125">
        <v>117</v>
      </c>
      <c r="E125">
        <v>57.677555403488299</v>
      </c>
      <c r="F125">
        <v>0.45327102803738301</v>
      </c>
      <c r="G125">
        <v>2612.7843822306199</v>
      </c>
      <c r="H125">
        <v>561.95198421509394</v>
      </c>
      <c r="I125">
        <v>0.70929423199454</v>
      </c>
      <c r="J125">
        <v>0.103971669453943</v>
      </c>
      <c r="K125">
        <v>0.50136900347955005</v>
      </c>
      <c r="L125" t="s">
        <v>33</v>
      </c>
      <c r="M125" t="s">
        <v>34</v>
      </c>
      <c r="N125" t="s">
        <v>35</v>
      </c>
      <c r="O125">
        <v>0.75479469460904303</v>
      </c>
      <c r="P125" t="s">
        <v>36</v>
      </c>
    </row>
    <row r="126" spans="1:16">
      <c r="A126">
        <v>125</v>
      </c>
      <c r="B126" t="s">
        <v>172</v>
      </c>
      <c r="C126">
        <v>63</v>
      </c>
      <c r="D126">
        <v>74</v>
      </c>
      <c r="E126">
        <v>57.816831815681503</v>
      </c>
      <c r="F126">
        <v>0.85461777303056596</v>
      </c>
      <c r="G126">
        <v>2625.4180173913001</v>
      </c>
      <c r="H126">
        <v>326.95664094157797</v>
      </c>
      <c r="I126">
        <v>0.61739146477668605</v>
      </c>
      <c r="J126">
        <v>0.308622794623306</v>
      </c>
      <c r="K126">
        <v>0.75837197320968597</v>
      </c>
      <c r="L126" t="s">
        <v>49</v>
      </c>
      <c r="M126" t="s">
        <v>34</v>
      </c>
      <c r="N126" t="s">
        <v>35</v>
      </c>
      <c r="O126">
        <v>0.78184740728470603</v>
      </c>
      <c r="P126" t="s">
        <v>36</v>
      </c>
    </row>
    <row r="127" spans="1:16">
      <c r="A127">
        <v>126</v>
      </c>
      <c r="B127" t="s">
        <v>173</v>
      </c>
      <c r="C127">
        <v>73</v>
      </c>
      <c r="D127">
        <v>59</v>
      </c>
      <c r="E127">
        <v>58.014519116972998</v>
      </c>
      <c r="F127">
        <v>1.23938661446205</v>
      </c>
      <c r="G127">
        <v>2643.4023686200399</v>
      </c>
      <c r="H127">
        <v>308.58364123976799</v>
      </c>
      <c r="I127">
        <v>0.66595381263265097</v>
      </c>
      <c r="J127">
        <v>0.348840853299759</v>
      </c>
      <c r="K127">
        <v>0.79100693826721202</v>
      </c>
      <c r="L127" t="s">
        <v>47</v>
      </c>
      <c r="M127" t="s">
        <v>34</v>
      </c>
      <c r="N127" t="s">
        <v>35</v>
      </c>
      <c r="O127">
        <v>0.94259387321297305</v>
      </c>
      <c r="P127" t="s">
        <v>36</v>
      </c>
    </row>
    <row r="128" spans="1:16">
      <c r="A128">
        <v>127</v>
      </c>
      <c r="B128" t="s">
        <v>174</v>
      </c>
      <c r="C128">
        <v>73</v>
      </c>
      <c r="D128">
        <v>78</v>
      </c>
      <c r="E128">
        <v>58.034087765758798</v>
      </c>
      <c r="F128">
        <v>0.93706293706293697</v>
      </c>
      <c r="G128">
        <v>2645.1859406427202</v>
      </c>
      <c r="H128">
        <v>686.33904411450703</v>
      </c>
      <c r="I128">
        <v>0.58576500290589795</v>
      </c>
      <c r="J128">
        <v>7.0564888348972593E-2</v>
      </c>
      <c r="K128">
        <v>0.55796965136694299</v>
      </c>
      <c r="L128" t="s">
        <v>33</v>
      </c>
      <c r="M128" t="s">
        <v>34</v>
      </c>
      <c r="N128" t="s">
        <v>35</v>
      </c>
      <c r="O128">
        <v>0.74845856319082504</v>
      </c>
      <c r="P128" t="s">
        <v>36</v>
      </c>
    </row>
    <row r="129" spans="1:16">
      <c r="A129">
        <v>128</v>
      </c>
      <c r="B129" t="s">
        <v>175</v>
      </c>
      <c r="C129">
        <v>63</v>
      </c>
      <c r="D129">
        <v>93</v>
      </c>
      <c r="E129">
        <v>58.061798728422602</v>
      </c>
      <c r="F129">
        <v>0.67647058823529405</v>
      </c>
      <c r="G129">
        <v>2647.7126676748599</v>
      </c>
      <c r="H129">
        <v>463.63516693509098</v>
      </c>
      <c r="I129">
        <v>0.67183705178282604</v>
      </c>
      <c r="J129">
        <v>0.154784681316295</v>
      </c>
      <c r="K129">
        <v>0.662969854856718</v>
      </c>
      <c r="L129" t="s">
        <v>43</v>
      </c>
      <c r="M129" t="s">
        <v>34</v>
      </c>
      <c r="N129" t="s">
        <v>35</v>
      </c>
      <c r="O129">
        <v>0.73407815202453897</v>
      </c>
      <c r="P129" t="s">
        <v>36</v>
      </c>
    </row>
    <row r="130" spans="1:16">
      <c r="A130">
        <v>129</v>
      </c>
      <c r="B130" t="s">
        <v>176</v>
      </c>
      <c r="C130">
        <v>63</v>
      </c>
      <c r="D130">
        <v>68</v>
      </c>
      <c r="E130">
        <v>58.0862385993237</v>
      </c>
      <c r="F130">
        <v>0.92800000000000005</v>
      </c>
      <c r="G130">
        <v>2649.9421327032101</v>
      </c>
      <c r="H130">
        <v>449.40471756033298</v>
      </c>
      <c r="I130">
        <v>0.634154489709297</v>
      </c>
      <c r="J130">
        <v>0.164881147086514</v>
      </c>
      <c r="K130">
        <v>0.71821624234611703</v>
      </c>
      <c r="L130" t="s">
        <v>38</v>
      </c>
      <c r="M130" t="s">
        <v>34</v>
      </c>
      <c r="N130" t="s">
        <v>35</v>
      </c>
      <c r="O130">
        <v>0.88695986236640001</v>
      </c>
      <c r="P130" t="s">
        <v>36</v>
      </c>
    </row>
    <row r="131" spans="1:16">
      <c r="A131">
        <v>130</v>
      </c>
      <c r="B131" t="s">
        <v>177</v>
      </c>
      <c r="C131">
        <v>88</v>
      </c>
      <c r="D131">
        <v>88</v>
      </c>
      <c r="E131">
        <v>58.172510575736098</v>
      </c>
      <c r="F131">
        <v>1</v>
      </c>
      <c r="G131">
        <v>2657.8195758033999</v>
      </c>
      <c r="H131">
        <v>867.37391550872599</v>
      </c>
      <c r="I131">
        <v>0.52855506975764899</v>
      </c>
      <c r="J131">
        <v>4.4393833090285301E-2</v>
      </c>
      <c r="K131">
        <v>0.40496410535136002</v>
      </c>
      <c r="L131" t="s">
        <v>33</v>
      </c>
      <c r="M131" t="s">
        <v>34</v>
      </c>
      <c r="N131" t="s">
        <v>35</v>
      </c>
      <c r="O131">
        <v>0.82844815518614701</v>
      </c>
      <c r="P131" t="s">
        <v>36</v>
      </c>
    </row>
    <row r="132" spans="1:16">
      <c r="A132">
        <v>131</v>
      </c>
      <c r="B132" t="s">
        <v>178</v>
      </c>
      <c r="C132">
        <v>58</v>
      </c>
      <c r="D132">
        <v>88</v>
      </c>
      <c r="E132">
        <v>58.1920260956284</v>
      </c>
      <c r="F132">
        <v>0.66459627329192505</v>
      </c>
      <c r="G132">
        <v>2659.6031478260902</v>
      </c>
      <c r="H132">
        <v>501.42620615896999</v>
      </c>
      <c r="I132">
        <v>0.71873880588802197</v>
      </c>
      <c r="J132">
        <v>0.13292682959185201</v>
      </c>
      <c r="K132">
        <v>0.61077926067515398</v>
      </c>
      <c r="L132" t="s">
        <v>38</v>
      </c>
      <c r="M132" t="s">
        <v>34</v>
      </c>
      <c r="N132" t="s">
        <v>35</v>
      </c>
      <c r="O132">
        <v>0.82026415204557401</v>
      </c>
      <c r="P132" t="s">
        <v>36</v>
      </c>
    </row>
    <row r="133" spans="1:16">
      <c r="A133">
        <v>132</v>
      </c>
      <c r="B133" t="s">
        <v>179</v>
      </c>
      <c r="C133">
        <v>83</v>
      </c>
      <c r="D133">
        <v>73</v>
      </c>
      <c r="E133">
        <v>58.231037514152398</v>
      </c>
      <c r="F133">
        <v>1.1343283582089601</v>
      </c>
      <c r="G133">
        <v>2663.17029187146</v>
      </c>
      <c r="H133">
        <v>528.04831379102598</v>
      </c>
      <c r="I133">
        <v>0.69655681557679805</v>
      </c>
      <c r="J133">
        <v>0.120022171867309</v>
      </c>
      <c r="K133">
        <v>0.59235016033587895</v>
      </c>
      <c r="L133" t="s">
        <v>33</v>
      </c>
      <c r="M133" t="s">
        <v>34</v>
      </c>
      <c r="N133" t="s">
        <v>35</v>
      </c>
      <c r="O133">
        <v>0.707132369653519</v>
      </c>
      <c r="P133" t="s">
        <v>36</v>
      </c>
    </row>
    <row r="134" spans="1:16">
      <c r="A134">
        <v>133</v>
      </c>
      <c r="B134" t="s">
        <v>180</v>
      </c>
      <c r="C134">
        <v>51</v>
      </c>
      <c r="D134">
        <v>79</v>
      </c>
      <c r="E134">
        <v>58.253782110204199</v>
      </c>
      <c r="F134">
        <v>0.65196068060752599</v>
      </c>
      <c r="G134">
        <v>2665.2511258979198</v>
      </c>
      <c r="H134">
        <v>292.09482761777002</v>
      </c>
      <c r="I134">
        <v>0.76811879352526402</v>
      </c>
      <c r="J134">
        <v>0.392554776674439</v>
      </c>
      <c r="K134">
        <v>0.78926056338028205</v>
      </c>
      <c r="L134" t="s">
        <v>47</v>
      </c>
      <c r="M134" t="s">
        <v>34</v>
      </c>
      <c r="N134" t="s">
        <v>35</v>
      </c>
      <c r="O134">
        <v>0.95022975026442502</v>
      </c>
      <c r="P134" t="s">
        <v>36</v>
      </c>
    </row>
    <row r="135" spans="1:16">
      <c r="A135">
        <v>134</v>
      </c>
      <c r="B135" t="s">
        <v>181</v>
      </c>
      <c r="C135">
        <v>132</v>
      </c>
      <c r="D135">
        <v>38</v>
      </c>
      <c r="E135">
        <v>58.351158534291102</v>
      </c>
      <c r="F135">
        <v>3.5133017074389601</v>
      </c>
      <c r="G135">
        <v>2674.1689860113402</v>
      </c>
      <c r="H135">
        <v>441.903965964939</v>
      </c>
      <c r="I135">
        <v>0.63676108849380297</v>
      </c>
      <c r="J135">
        <v>0.17208495921501299</v>
      </c>
      <c r="K135">
        <v>0.69674321341439804</v>
      </c>
      <c r="L135" t="s">
        <v>47</v>
      </c>
      <c r="M135" t="s">
        <v>34</v>
      </c>
      <c r="N135" t="s">
        <v>35</v>
      </c>
      <c r="O135">
        <v>0.957815725103489</v>
      </c>
      <c r="P135" t="s">
        <v>36</v>
      </c>
    </row>
    <row r="136" spans="1:16">
      <c r="A136">
        <v>135</v>
      </c>
      <c r="B136" t="s">
        <v>182</v>
      </c>
      <c r="C136">
        <v>65</v>
      </c>
      <c r="D136">
        <v>80</v>
      </c>
      <c r="E136">
        <v>58.383581250875501</v>
      </c>
      <c r="F136">
        <v>0.81084171808505101</v>
      </c>
      <c r="G136">
        <v>2677.1416060491501</v>
      </c>
      <c r="H136">
        <v>376.02620615897001</v>
      </c>
      <c r="I136">
        <v>0.60065197889134903</v>
      </c>
      <c r="J136">
        <v>0.23792768643130699</v>
      </c>
      <c r="K136">
        <v>0.68685173886516204</v>
      </c>
      <c r="L136" t="s">
        <v>43</v>
      </c>
      <c r="M136" t="s">
        <v>34</v>
      </c>
      <c r="N136" t="s">
        <v>35</v>
      </c>
      <c r="O136">
        <v>0.77397546147512097</v>
      </c>
      <c r="P136" t="s">
        <v>36</v>
      </c>
    </row>
    <row r="137" spans="1:16">
      <c r="A137">
        <v>136</v>
      </c>
      <c r="B137" t="s">
        <v>183</v>
      </c>
      <c r="C137">
        <v>90</v>
      </c>
      <c r="D137">
        <v>49</v>
      </c>
      <c r="E137">
        <v>58.506623708220403</v>
      </c>
      <c r="F137">
        <v>1.84890542881302</v>
      </c>
      <c r="G137">
        <v>2688.4375621928202</v>
      </c>
      <c r="H137">
        <v>324.88536577805201</v>
      </c>
      <c r="I137">
        <v>0.58731429085710396</v>
      </c>
      <c r="J137">
        <v>0.32007335344746801</v>
      </c>
      <c r="K137">
        <v>0.79809389339922299</v>
      </c>
      <c r="L137" t="s">
        <v>47</v>
      </c>
      <c r="M137" t="s">
        <v>34</v>
      </c>
      <c r="N137" t="s">
        <v>35</v>
      </c>
      <c r="O137">
        <v>0.93444274429836205</v>
      </c>
      <c r="P137" t="s">
        <v>36</v>
      </c>
    </row>
    <row r="138" spans="1:16">
      <c r="A138">
        <v>137</v>
      </c>
      <c r="B138" t="s">
        <v>184</v>
      </c>
      <c r="C138">
        <v>103</v>
      </c>
      <c r="D138">
        <v>68</v>
      </c>
      <c r="E138">
        <v>58.514709535989297</v>
      </c>
      <c r="F138">
        <v>1.52860106996791</v>
      </c>
      <c r="G138">
        <v>2689.18071720227</v>
      </c>
      <c r="H138">
        <v>588.30950808141597</v>
      </c>
      <c r="I138">
        <v>0.655185168913621</v>
      </c>
      <c r="J138">
        <v>9.7637829793144296E-2</v>
      </c>
      <c r="K138">
        <v>0.47352717946033701</v>
      </c>
      <c r="L138" t="s">
        <v>74</v>
      </c>
      <c r="M138" t="s">
        <v>34</v>
      </c>
      <c r="N138" t="s">
        <v>35</v>
      </c>
      <c r="O138">
        <v>0.74414174073212103</v>
      </c>
      <c r="P138" t="s">
        <v>36</v>
      </c>
    </row>
    <row r="139" spans="1:16">
      <c r="A139">
        <v>138</v>
      </c>
      <c r="B139" t="s">
        <v>185</v>
      </c>
      <c r="C139">
        <v>73</v>
      </c>
      <c r="D139">
        <v>107</v>
      </c>
      <c r="E139">
        <v>58.5195604963737</v>
      </c>
      <c r="F139">
        <v>0.68020304568527901</v>
      </c>
      <c r="G139">
        <v>2689.6266102079398</v>
      </c>
      <c r="H139">
        <v>764.156789328326</v>
      </c>
      <c r="I139">
        <v>0.55652053948707303</v>
      </c>
      <c r="J139">
        <v>5.7881117155242398E-2</v>
      </c>
      <c r="K139">
        <v>0.40202612636630197</v>
      </c>
      <c r="L139" t="s">
        <v>38</v>
      </c>
      <c r="M139" t="s">
        <v>34</v>
      </c>
      <c r="N139" t="s">
        <v>35</v>
      </c>
      <c r="O139">
        <v>0.78208889536542903</v>
      </c>
      <c r="P139" t="s">
        <v>36</v>
      </c>
    </row>
    <row r="140" spans="1:16">
      <c r="A140">
        <v>139</v>
      </c>
      <c r="B140" t="s">
        <v>186</v>
      </c>
      <c r="C140">
        <v>98</v>
      </c>
      <c r="D140">
        <v>53</v>
      </c>
      <c r="E140">
        <v>58.526027818103799</v>
      </c>
      <c r="F140">
        <v>1.8265306122449001</v>
      </c>
      <c r="G140">
        <v>2690.2211342155001</v>
      </c>
      <c r="H140">
        <v>498.60657466059098</v>
      </c>
      <c r="I140">
        <v>0.73657149806872102</v>
      </c>
      <c r="J140">
        <v>0.135982130905968</v>
      </c>
      <c r="K140">
        <v>0.677750318280536</v>
      </c>
      <c r="L140" t="s">
        <v>49</v>
      </c>
      <c r="M140" t="s">
        <v>34</v>
      </c>
      <c r="N140" t="s">
        <v>35</v>
      </c>
      <c r="O140">
        <v>0.62820700656999695</v>
      </c>
      <c r="P140" t="s">
        <v>36</v>
      </c>
    </row>
    <row r="141" spans="1:16">
      <c r="A141">
        <v>140</v>
      </c>
      <c r="B141" t="s">
        <v>187</v>
      </c>
      <c r="C141">
        <v>63</v>
      </c>
      <c r="D141">
        <v>73</v>
      </c>
      <c r="E141">
        <v>58.530877840444198</v>
      </c>
      <c r="F141">
        <v>0.86567164179104505</v>
      </c>
      <c r="G141">
        <v>2690.66702722117</v>
      </c>
      <c r="H141">
        <v>462.86411311906301</v>
      </c>
      <c r="I141">
        <v>0.41787145505071899</v>
      </c>
      <c r="J141">
        <v>0.15782027659158701</v>
      </c>
      <c r="K141">
        <v>0.72296325878594203</v>
      </c>
      <c r="L141" t="s">
        <v>188</v>
      </c>
      <c r="M141" t="s">
        <v>34</v>
      </c>
      <c r="N141" t="s">
        <v>35</v>
      </c>
      <c r="O141">
        <v>0.85507838557016902</v>
      </c>
      <c r="P141" t="s">
        <v>36</v>
      </c>
    </row>
    <row r="142" spans="1:16">
      <c r="A142">
        <v>141</v>
      </c>
      <c r="B142" t="s">
        <v>189</v>
      </c>
      <c r="C142">
        <v>88</v>
      </c>
      <c r="D142">
        <v>98</v>
      </c>
      <c r="E142">
        <v>58.768038614050397</v>
      </c>
      <c r="F142">
        <v>0.89944134078212301</v>
      </c>
      <c r="G142">
        <v>2712.5157844990599</v>
      </c>
      <c r="H142">
        <v>791.38555917387396</v>
      </c>
      <c r="I142">
        <v>0.70658509161025296</v>
      </c>
      <c r="J142">
        <v>5.4425934629118801E-2</v>
      </c>
      <c r="K142">
        <v>0.42766087078783299</v>
      </c>
      <c r="L142" t="s">
        <v>33</v>
      </c>
      <c r="M142" t="s">
        <v>34</v>
      </c>
      <c r="N142" t="s">
        <v>35</v>
      </c>
      <c r="O142">
        <v>0.80794817450024004</v>
      </c>
      <c r="P142" t="s">
        <v>36</v>
      </c>
    </row>
    <row r="143" spans="1:16">
      <c r="A143">
        <v>142</v>
      </c>
      <c r="B143" t="s">
        <v>190</v>
      </c>
      <c r="C143">
        <v>63</v>
      </c>
      <c r="D143">
        <v>78</v>
      </c>
      <c r="E143">
        <v>58.769648675244802</v>
      </c>
      <c r="F143">
        <v>0.81118881118881103</v>
      </c>
      <c r="G143">
        <v>2712.6644155009499</v>
      </c>
      <c r="H143">
        <v>604.401446054811</v>
      </c>
      <c r="I143">
        <v>0.71758561847018298</v>
      </c>
      <c r="J143">
        <v>9.3315748711630994E-2</v>
      </c>
      <c r="K143">
        <v>0.591681255268106</v>
      </c>
      <c r="L143" t="s">
        <v>38</v>
      </c>
      <c r="M143" t="s">
        <v>34</v>
      </c>
      <c r="N143" t="s">
        <v>35</v>
      </c>
      <c r="O143">
        <v>0.67464798250950397</v>
      </c>
      <c r="P143" t="s">
        <v>36</v>
      </c>
    </row>
    <row r="144" spans="1:16">
      <c r="A144">
        <v>143</v>
      </c>
      <c r="B144" t="s">
        <v>191</v>
      </c>
      <c r="C144">
        <v>89</v>
      </c>
      <c r="D144">
        <v>78</v>
      </c>
      <c r="E144">
        <v>58.821147364068601</v>
      </c>
      <c r="F144">
        <v>1.1413660191049699</v>
      </c>
      <c r="G144">
        <v>2717.4206075614402</v>
      </c>
      <c r="H144">
        <v>478.175595037937</v>
      </c>
      <c r="I144">
        <v>0.67710406630415099</v>
      </c>
      <c r="J144">
        <v>0.14934542208496099</v>
      </c>
      <c r="K144">
        <v>0.53138987385921099</v>
      </c>
      <c r="L144" t="s">
        <v>33</v>
      </c>
      <c r="M144" t="s">
        <v>34</v>
      </c>
      <c r="N144" t="s">
        <v>35</v>
      </c>
      <c r="O144">
        <v>0.749259361740649</v>
      </c>
      <c r="P144" t="s">
        <v>36</v>
      </c>
    </row>
    <row r="145" spans="1:16">
      <c r="A145">
        <v>144</v>
      </c>
      <c r="B145" t="s">
        <v>192</v>
      </c>
      <c r="C145">
        <v>92</v>
      </c>
      <c r="D145">
        <v>54</v>
      </c>
      <c r="E145">
        <v>58.846879807958899</v>
      </c>
      <c r="F145">
        <v>1.69201003443299</v>
      </c>
      <c r="G145">
        <v>2719.7987035916799</v>
      </c>
      <c r="H145">
        <v>389.80498268428101</v>
      </c>
      <c r="I145">
        <v>0.51336575285622899</v>
      </c>
      <c r="J145">
        <v>0.22493231554507101</v>
      </c>
      <c r="K145">
        <v>0.74253367959746797</v>
      </c>
      <c r="L145" t="s">
        <v>144</v>
      </c>
      <c r="M145" t="s">
        <v>34</v>
      </c>
      <c r="N145" t="s">
        <v>35</v>
      </c>
      <c r="O145">
        <v>0.698526715685309</v>
      </c>
      <c r="P145" t="s">
        <v>36</v>
      </c>
    </row>
    <row r="146" spans="1:16">
      <c r="A146">
        <v>145</v>
      </c>
      <c r="B146" t="s">
        <v>193</v>
      </c>
      <c r="C146">
        <v>103</v>
      </c>
      <c r="D146">
        <v>63</v>
      </c>
      <c r="E146">
        <v>58.901523924975798</v>
      </c>
      <c r="F146">
        <v>1.62068960527744</v>
      </c>
      <c r="G146">
        <v>2724.8521576559601</v>
      </c>
      <c r="H146">
        <v>733.04065068296802</v>
      </c>
      <c r="I146">
        <v>0.58179933726410205</v>
      </c>
      <c r="J146">
        <v>6.3723069839155294E-2</v>
      </c>
      <c r="K146">
        <v>0.52738622633910603</v>
      </c>
      <c r="L146" t="s">
        <v>38</v>
      </c>
      <c r="M146" t="s">
        <v>34</v>
      </c>
      <c r="N146" t="s">
        <v>35</v>
      </c>
      <c r="O146">
        <v>0.84530776784476502</v>
      </c>
      <c r="P146" t="s">
        <v>36</v>
      </c>
    </row>
    <row r="147" spans="1:16">
      <c r="A147">
        <v>146</v>
      </c>
      <c r="B147" t="s">
        <v>194</v>
      </c>
      <c r="C147">
        <v>55</v>
      </c>
      <c r="D147">
        <v>75</v>
      </c>
      <c r="E147">
        <v>58.930432650115002</v>
      </c>
      <c r="F147">
        <v>0.72820515459388302</v>
      </c>
      <c r="G147">
        <v>2727.5275156899802</v>
      </c>
      <c r="H147">
        <v>280.94859350712397</v>
      </c>
      <c r="I147">
        <v>0.67687790129594805</v>
      </c>
      <c r="J147">
        <v>0.43423545462639002</v>
      </c>
      <c r="K147">
        <v>0.87707307747454999</v>
      </c>
      <c r="L147" t="s">
        <v>47</v>
      </c>
      <c r="M147" t="s">
        <v>34</v>
      </c>
      <c r="N147" t="s">
        <v>35</v>
      </c>
      <c r="O147">
        <v>0.88504661898642401</v>
      </c>
      <c r="P147" t="s">
        <v>36</v>
      </c>
    </row>
    <row r="148" spans="1:16">
      <c r="A148">
        <v>147</v>
      </c>
      <c r="B148" t="s">
        <v>195</v>
      </c>
      <c r="C148">
        <v>45</v>
      </c>
      <c r="D148">
        <v>103</v>
      </c>
      <c r="E148">
        <v>58.988207597961797</v>
      </c>
      <c r="F148">
        <v>0.433862433862434</v>
      </c>
      <c r="G148">
        <v>2732.8782317580299</v>
      </c>
      <c r="H148">
        <v>530.09689147337599</v>
      </c>
      <c r="I148">
        <v>0.75098108859150803</v>
      </c>
      <c r="J148">
        <v>0.12221362624078901</v>
      </c>
      <c r="K148">
        <v>0.68416744186046496</v>
      </c>
      <c r="L148" t="s">
        <v>33</v>
      </c>
      <c r="M148" t="s">
        <v>34</v>
      </c>
      <c r="N148" t="s">
        <v>35</v>
      </c>
      <c r="O148">
        <v>0.75191117732368795</v>
      </c>
      <c r="P148" t="s">
        <v>36</v>
      </c>
    </row>
    <row r="149" spans="1:16">
      <c r="A149">
        <v>148</v>
      </c>
      <c r="B149" t="s">
        <v>196</v>
      </c>
      <c r="C149">
        <v>93</v>
      </c>
      <c r="D149">
        <v>49</v>
      </c>
      <c r="E149">
        <v>59.020280353483997</v>
      </c>
      <c r="F149">
        <v>1.91011234413959</v>
      </c>
      <c r="G149">
        <v>2735.8508517958398</v>
      </c>
      <c r="H149">
        <v>374.274311962024</v>
      </c>
      <c r="I149">
        <v>0.83989881631944596</v>
      </c>
      <c r="J149">
        <v>0.24542694435597201</v>
      </c>
      <c r="K149">
        <v>0.66593104446293505</v>
      </c>
      <c r="L149" t="s">
        <v>47</v>
      </c>
      <c r="M149" t="s">
        <v>34</v>
      </c>
      <c r="N149" t="s">
        <v>35</v>
      </c>
      <c r="O149">
        <v>0.85214340364101404</v>
      </c>
      <c r="P149" t="s">
        <v>36</v>
      </c>
    </row>
    <row r="150" spans="1:16">
      <c r="A150">
        <v>149</v>
      </c>
      <c r="B150" t="s">
        <v>197</v>
      </c>
      <c r="C150">
        <v>98</v>
      </c>
      <c r="D150">
        <v>58</v>
      </c>
      <c r="E150">
        <v>59.036310197162997</v>
      </c>
      <c r="F150">
        <v>1.6728971962616801</v>
      </c>
      <c r="G150">
        <v>2737.3371618147498</v>
      </c>
      <c r="H150">
        <v>476.29140895812401</v>
      </c>
      <c r="I150">
        <v>0.67099945618537904</v>
      </c>
      <c r="J150">
        <v>0.15163262777310199</v>
      </c>
      <c r="K150">
        <v>0.64593855218855201</v>
      </c>
      <c r="L150" t="s">
        <v>33</v>
      </c>
      <c r="M150" t="s">
        <v>34</v>
      </c>
      <c r="N150" t="s">
        <v>35</v>
      </c>
      <c r="O150">
        <v>0.77187496573552605</v>
      </c>
      <c r="P150" t="s">
        <v>36</v>
      </c>
    </row>
    <row r="151" spans="1:16">
      <c r="A151">
        <v>150</v>
      </c>
      <c r="B151" t="s">
        <v>198</v>
      </c>
      <c r="C151">
        <v>73</v>
      </c>
      <c r="D151">
        <v>73</v>
      </c>
      <c r="E151">
        <v>59.052335689517399</v>
      </c>
      <c r="F151">
        <v>1</v>
      </c>
      <c r="G151">
        <v>2738.8234718336498</v>
      </c>
      <c r="H151">
        <v>529.95519735201503</v>
      </c>
      <c r="I151">
        <v>0.53410961093932996</v>
      </c>
      <c r="J151">
        <v>0.122544999321042</v>
      </c>
      <c r="K151">
        <v>0.60254398011902399</v>
      </c>
      <c r="L151" t="s">
        <v>47</v>
      </c>
      <c r="M151" t="s">
        <v>34</v>
      </c>
      <c r="N151" t="s">
        <v>35</v>
      </c>
      <c r="O151">
        <v>0.94870474618634204</v>
      </c>
      <c r="P151" t="s">
        <v>36</v>
      </c>
    </row>
    <row r="152" spans="1:16">
      <c r="A152">
        <v>151</v>
      </c>
      <c r="B152" t="s">
        <v>199</v>
      </c>
      <c r="C152">
        <v>93</v>
      </c>
      <c r="D152">
        <v>57</v>
      </c>
      <c r="E152">
        <v>59.068356834088902</v>
      </c>
      <c r="F152">
        <v>1.6474273620845901</v>
      </c>
      <c r="G152">
        <v>2740.3097818525498</v>
      </c>
      <c r="H152">
        <v>473.73636122548101</v>
      </c>
      <c r="I152">
        <v>0.64179449176542502</v>
      </c>
      <c r="J152">
        <v>0.153439115091588</v>
      </c>
      <c r="K152">
        <v>0.66552358950294199</v>
      </c>
      <c r="L152" t="s">
        <v>58</v>
      </c>
      <c r="M152" t="s">
        <v>34</v>
      </c>
      <c r="N152" t="s">
        <v>35</v>
      </c>
      <c r="O152">
        <v>0.67297271047217599</v>
      </c>
      <c r="P152" t="s">
        <v>36</v>
      </c>
    </row>
    <row r="153" spans="1:16">
      <c r="A153">
        <v>152</v>
      </c>
      <c r="B153" t="s">
        <v>200</v>
      </c>
      <c r="C153">
        <v>89</v>
      </c>
      <c r="D153">
        <v>88</v>
      </c>
      <c r="E153">
        <v>59.2874105705164</v>
      </c>
      <c r="F153">
        <v>1.01586428374787</v>
      </c>
      <c r="G153">
        <v>2760.6722291115302</v>
      </c>
      <c r="H153">
        <v>669.92772517453102</v>
      </c>
      <c r="I153">
        <v>0.425936759183975</v>
      </c>
      <c r="J153">
        <v>7.7298097925519005E-2</v>
      </c>
      <c r="K153">
        <v>0.48810869051060402</v>
      </c>
      <c r="L153" t="s">
        <v>74</v>
      </c>
      <c r="M153" t="s">
        <v>34</v>
      </c>
      <c r="N153" t="s">
        <v>35</v>
      </c>
      <c r="O153">
        <v>0.71564877381866399</v>
      </c>
      <c r="P153" t="s">
        <v>36</v>
      </c>
    </row>
    <row r="154" spans="1:16">
      <c r="A154">
        <v>153</v>
      </c>
      <c r="B154" t="s">
        <v>201</v>
      </c>
      <c r="C154">
        <v>50</v>
      </c>
      <c r="D154">
        <v>80</v>
      </c>
      <c r="E154">
        <v>59.3070336665971</v>
      </c>
      <c r="F154">
        <v>0.625</v>
      </c>
      <c r="G154">
        <v>2762.5</v>
      </c>
      <c r="H154">
        <v>250.208150744438</v>
      </c>
      <c r="I154">
        <v>0.79542373840463698</v>
      </c>
      <c r="J154">
        <v>0.55450982369229695</v>
      </c>
      <c r="K154">
        <v>0.82462686567164201</v>
      </c>
      <c r="L154" t="s">
        <v>33</v>
      </c>
      <c r="M154" t="s">
        <v>34</v>
      </c>
      <c r="N154" t="s">
        <v>35</v>
      </c>
      <c r="O154">
        <v>0.84400199440031498</v>
      </c>
      <c r="P154" t="s">
        <v>36</v>
      </c>
    </row>
    <row r="155" spans="1:16">
      <c r="A155">
        <v>154</v>
      </c>
      <c r="B155" t="s">
        <v>202</v>
      </c>
      <c r="C155">
        <v>62</v>
      </c>
      <c r="D155">
        <v>65</v>
      </c>
      <c r="E155">
        <v>59.410173817990703</v>
      </c>
      <c r="F155">
        <v>0.95266267656065895</v>
      </c>
      <c r="G155">
        <v>2772.1168162570898</v>
      </c>
      <c r="H155">
        <v>266.695446651189</v>
      </c>
      <c r="I155">
        <v>0.69625418308057996</v>
      </c>
      <c r="J155">
        <v>0.48976775562967401</v>
      </c>
      <c r="K155">
        <v>0.85830648872526505</v>
      </c>
      <c r="L155" t="s">
        <v>41</v>
      </c>
      <c r="M155" t="s">
        <v>34</v>
      </c>
      <c r="N155" t="s">
        <v>35</v>
      </c>
      <c r="O155">
        <v>0.772088742569911</v>
      </c>
      <c r="P155" t="s">
        <v>36</v>
      </c>
    </row>
    <row r="156" spans="1:16">
      <c r="A156">
        <v>155</v>
      </c>
      <c r="B156" t="s">
        <v>203</v>
      </c>
      <c r="C156">
        <v>77</v>
      </c>
      <c r="D156">
        <v>54</v>
      </c>
      <c r="E156">
        <v>59.445202465849498</v>
      </c>
      <c r="F156">
        <v>1.43434343434343</v>
      </c>
      <c r="G156">
        <v>2775.3866982986801</v>
      </c>
      <c r="H156">
        <v>318.771732450672</v>
      </c>
      <c r="I156">
        <v>0.72089464525953795</v>
      </c>
      <c r="J156">
        <v>0.34322092786766401</v>
      </c>
      <c r="K156">
        <v>0.79490017453492801</v>
      </c>
      <c r="L156" t="s">
        <v>38</v>
      </c>
      <c r="M156" t="s">
        <v>34</v>
      </c>
      <c r="N156" t="s">
        <v>35</v>
      </c>
      <c r="O156">
        <v>0.71041738074887895</v>
      </c>
      <c r="P156" t="s">
        <v>36</v>
      </c>
    </row>
    <row r="157" spans="1:16">
      <c r="A157">
        <v>156</v>
      </c>
      <c r="B157" t="s">
        <v>204</v>
      </c>
      <c r="C157">
        <v>92</v>
      </c>
      <c r="D157">
        <v>66</v>
      </c>
      <c r="E157">
        <v>59.659700665903401</v>
      </c>
      <c r="F157">
        <v>1.3983309137739599</v>
      </c>
      <c r="G157">
        <v>2795.4518835538802</v>
      </c>
      <c r="H157">
        <v>559.00006083384801</v>
      </c>
      <c r="I157">
        <v>0.65200356873312904</v>
      </c>
      <c r="J157">
        <v>0.112418600674937</v>
      </c>
      <c r="K157">
        <v>0.62224574869317795</v>
      </c>
      <c r="L157" t="s">
        <v>74</v>
      </c>
      <c r="M157" t="s">
        <v>34</v>
      </c>
      <c r="N157" t="s">
        <v>35</v>
      </c>
      <c r="O157">
        <v>0.63677001557848001</v>
      </c>
      <c r="P157" t="s">
        <v>36</v>
      </c>
    </row>
    <row r="158" spans="1:16">
      <c r="A158">
        <v>157</v>
      </c>
      <c r="B158" t="s">
        <v>205</v>
      </c>
      <c r="C158">
        <v>73</v>
      </c>
      <c r="D158">
        <v>58</v>
      </c>
      <c r="E158">
        <v>59.770618905845502</v>
      </c>
      <c r="F158">
        <v>1.25233634197718</v>
      </c>
      <c r="G158">
        <v>2805.8560536862001</v>
      </c>
      <c r="H158">
        <v>570.46567591107396</v>
      </c>
      <c r="I158">
        <v>0.63864815266479602</v>
      </c>
      <c r="J158">
        <v>0.108346831102274</v>
      </c>
      <c r="K158">
        <v>0.69427384060902497</v>
      </c>
      <c r="L158" t="s">
        <v>43</v>
      </c>
      <c r="M158" t="s">
        <v>34</v>
      </c>
      <c r="N158" t="s">
        <v>35</v>
      </c>
      <c r="O158">
        <v>0.74981137283867005</v>
      </c>
      <c r="P158" t="s">
        <v>36</v>
      </c>
    </row>
    <row r="159" spans="1:16">
      <c r="A159">
        <v>158</v>
      </c>
      <c r="B159" t="s">
        <v>206</v>
      </c>
      <c r="C159">
        <v>68</v>
      </c>
      <c r="D159">
        <v>73</v>
      </c>
      <c r="E159">
        <v>60.034410495489603</v>
      </c>
      <c r="F159">
        <v>0.93283591947092503</v>
      </c>
      <c r="G159">
        <v>2830.67743100189</v>
      </c>
      <c r="H159">
        <v>585.27068777965496</v>
      </c>
      <c r="I159">
        <v>0.63938593028705804</v>
      </c>
      <c r="J159">
        <v>0.103845264942732</v>
      </c>
      <c r="K159">
        <v>0.63702043683312704</v>
      </c>
      <c r="L159" t="s">
        <v>47</v>
      </c>
      <c r="M159" t="s">
        <v>34</v>
      </c>
      <c r="N159" t="s">
        <v>35</v>
      </c>
      <c r="O159">
        <v>0.94695380881554803</v>
      </c>
      <c r="P159" t="s">
        <v>36</v>
      </c>
    </row>
    <row r="160" spans="1:16">
      <c r="A160">
        <v>159</v>
      </c>
      <c r="B160" t="s">
        <v>207</v>
      </c>
      <c r="C160">
        <v>140</v>
      </c>
      <c r="D160">
        <v>74</v>
      </c>
      <c r="E160">
        <v>60.226390175577997</v>
      </c>
      <c r="F160">
        <v>1.8941019129052901</v>
      </c>
      <c r="G160">
        <v>2848.8104132325102</v>
      </c>
      <c r="H160">
        <v>624.403450309194</v>
      </c>
      <c r="I160">
        <v>0.69650155239568201</v>
      </c>
      <c r="J160">
        <v>9.1821170303045097E-2</v>
      </c>
      <c r="K160">
        <v>0.43329942353340101</v>
      </c>
      <c r="L160" t="s">
        <v>49</v>
      </c>
      <c r="M160" t="s">
        <v>34</v>
      </c>
      <c r="N160" t="s">
        <v>35</v>
      </c>
      <c r="O160">
        <v>0.80521823674682702</v>
      </c>
      <c r="P160" t="s">
        <v>36</v>
      </c>
    </row>
    <row r="161" spans="1:16">
      <c r="A161">
        <v>160</v>
      </c>
      <c r="B161" t="s">
        <v>208</v>
      </c>
      <c r="C161">
        <v>78</v>
      </c>
      <c r="D161">
        <v>88</v>
      </c>
      <c r="E161">
        <v>60.345675335011897</v>
      </c>
      <c r="F161">
        <v>0.88819875776397506</v>
      </c>
      <c r="G161">
        <v>2860.1063693761798</v>
      </c>
      <c r="H161">
        <v>644.82502769335497</v>
      </c>
      <c r="I161">
        <v>0.63336253407954102</v>
      </c>
      <c r="J161">
        <v>8.6438710266430699E-2</v>
      </c>
      <c r="K161">
        <v>0.59939571392972801</v>
      </c>
      <c r="L161" t="s">
        <v>49</v>
      </c>
      <c r="M161" t="s">
        <v>34</v>
      </c>
      <c r="N161" t="s">
        <v>35</v>
      </c>
      <c r="O161">
        <v>0.70350008851036105</v>
      </c>
      <c r="P161" t="s">
        <v>36</v>
      </c>
    </row>
    <row r="162" spans="1:16">
      <c r="A162">
        <v>161</v>
      </c>
      <c r="B162" t="s">
        <v>209</v>
      </c>
      <c r="C162">
        <v>58</v>
      </c>
      <c r="D162">
        <v>92</v>
      </c>
      <c r="E162">
        <v>60.351946970378599</v>
      </c>
      <c r="F162">
        <v>0.63313611871592801</v>
      </c>
      <c r="G162">
        <v>2860.7008933837401</v>
      </c>
      <c r="H162">
        <v>572.70134267713695</v>
      </c>
      <c r="I162">
        <v>0.63744310576943297</v>
      </c>
      <c r="J162">
        <v>0.109603876084893</v>
      </c>
      <c r="K162">
        <v>0.60767846430713901</v>
      </c>
      <c r="L162" t="s">
        <v>47</v>
      </c>
      <c r="M162" t="s">
        <v>34</v>
      </c>
      <c r="N162" t="s">
        <v>35</v>
      </c>
      <c r="O162">
        <v>0.92597130806660499</v>
      </c>
      <c r="P162" t="s">
        <v>36</v>
      </c>
    </row>
    <row r="163" spans="1:16">
      <c r="A163">
        <v>162</v>
      </c>
      <c r="B163" t="s">
        <v>210</v>
      </c>
      <c r="C163">
        <v>88</v>
      </c>
      <c r="D163">
        <v>64</v>
      </c>
      <c r="E163">
        <v>60.608525255618801</v>
      </c>
      <c r="F163">
        <v>1.3760683760683801</v>
      </c>
      <c r="G163">
        <v>2885.0763776937602</v>
      </c>
      <c r="H163">
        <v>429.88648587506799</v>
      </c>
      <c r="I163">
        <v>0.61514417416927902</v>
      </c>
      <c r="J163">
        <v>0.19618219692963601</v>
      </c>
      <c r="K163">
        <v>0.66523869906439603</v>
      </c>
      <c r="L163" t="s">
        <v>211</v>
      </c>
      <c r="M163" t="s">
        <v>34</v>
      </c>
      <c r="N163" t="s">
        <v>35</v>
      </c>
      <c r="O163">
        <v>0.70425482082528501</v>
      </c>
      <c r="P163" t="s">
        <v>36</v>
      </c>
    </row>
    <row r="164" spans="1:16">
      <c r="A164">
        <v>163</v>
      </c>
      <c r="B164" t="s">
        <v>212</v>
      </c>
      <c r="C164">
        <v>79</v>
      </c>
      <c r="D164">
        <v>74</v>
      </c>
      <c r="E164">
        <v>60.644421999489197</v>
      </c>
      <c r="F164">
        <v>1.07407407407407</v>
      </c>
      <c r="G164">
        <v>2888.49489073724</v>
      </c>
      <c r="H164">
        <v>369.245604182948</v>
      </c>
      <c r="I164">
        <v>0.47481896341596103</v>
      </c>
      <c r="J164">
        <v>0.266226204190322</v>
      </c>
      <c r="K164">
        <v>0.67563621193158097</v>
      </c>
      <c r="L164" t="s">
        <v>47</v>
      </c>
      <c r="M164" t="s">
        <v>34</v>
      </c>
      <c r="N164" t="s">
        <v>35</v>
      </c>
      <c r="O164">
        <v>0.95233567654663898</v>
      </c>
      <c r="P164" t="s">
        <v>36</v>
      </c>
    </row>
    <row r="165" spans="1:16">
      <c r="A165">
        <v>164</v>
      </c>
      <c r="B165" t="s">
        <v>213</v>
      </c>
      <c r="C165">
        <v>98</v>
      </c>
      <c r="D165">
        <v>64</v>
      </c>
      <c r="E165">
        <v>60.653782873512597</v>
      </c>
      <c r="F165">
        <v>1.52991452991453</v>
      </c>
      <c r="G165">
        <v>2889.3866767485802</v>
      </c>
      <c r="H165">
        <v>584.56383340296497</v>
      </c>
      <c r="I165">
        <v>0.68929655065276096</v>
      </c>
      <c r="J165">
        <v>0.106255555289825</v>
      </c>
      <c r="K165">
        <v>0.62504019034145697</v>
      </c>
      <c r="L165" t="s">
        <v>33</v>
      </c>
      <c r="M165" t="s">
        <v>34</v>
      </c>
      <c r="N165" t="s">
        <v>35</v>
      </c>
      <c r="O165">
        <v>0.84691683531917505</v>
      </c>
      <c r="P165" t="s">
        <v>36</v>
      </c>
    </row>
    <row r="166" spans="1:16">
      <c r="A166">
        <v>165</v>
      </c>
      <c r="B166" t="s">
        <v>214</v>
      </c>
      <c r="C166">
        <v>68</v>
      </c>
      <c r="D166">
        <v>88</v>
      </c>
      <c r="E166">
        <v>60.660022653671398</v>
      </c>
      <c r="F166">
        <v>0.76543214876757004</v>
      </c>
      <c r="G166">
        <v>2889.98120075614</v>
      </c>
      <c r="H166">
        <v>420.12737003243501</v>
      </c>
      <c r="I166">
        <v>0.47572904209492201</v>
      </c>
      <c r="J166">
        <v>0.20575146247235801</v>
      </c>
      <c r="K166">
        <v>0.62639734544634496</v>
      </c>
      <c r="L166" t="s">
        <v>38</v>
      </c>
      <c r="M166" t="s">
        <v>34</v>
      </c>
      <c r="N166" t="s">
        <v>35</v>
      </c>
      <c r="O166">
        <v>0.753147477431104</v>
      </c>
      <c r="P166" t="s">
        <v>36</v>
      </c>
    </row>
    <row r="167" spans="1:16">
      <c r="A167">
        <v>166</v>
      </c>
      <c r="B167" t="s">
        <v>215</v>
      </c>
      <c r="C167">
        <v>78</v>
      </c>
      <c r="D167">
        <v>79</v>
      </c>
      <c r="E167">
        <v>60.720826906770398</v>
      </c>
      <c r="F167">
        <v>0.99305555555555602</v>
      </c>
      <c r="G167">
        <v>2895.77780982987</v>
      </c>
      <c r="H167">
        <v>621.022551559676</v>
      </c>
      <c r="I167">
        <v>0.48278902114948102</v>
      </c>
      <c r="J167">
        <v>9.4354008941566994E-2</v>
      </c>
      <c r="K167">
        <v>0.57928225254957899</v>
      </c>
      <c r="L167" t="s">
        <v>47</v>
      </c>
      <c r="M167" t="s">
        <v>34</v>
      </c>
      <c r="N167" t="s">
        <v>35</v>
      </c>
      <c r="O167">
        <v>0.93676946048127396</v>
      </c>
      <c r="P167" t="s">
        <v>36</v>
      </c>
    </row>
    <row r="168" spans="1:16">
      <c r="A168">
        <v>167</v>
      </c>
      <c r="B168" t="s">
        <v>216</v>
      </c>
      <c r="C168">
        <v>60</v>
      </c>
      <c r="D168">
        <v>85</v>
      </c>
      <c r="E168">
        <v>60.765077797464997</v>
      </c>
      <c r="F168">
        <v>0.70833334269930004</v>
      </c>
      <c r="G168">
        <v>2900</v>
      </c>
      <c r="H168">
        <v>271.42135381698603</v>
      </c>
      <c r="I168">
        <v>0.69953568857668702</v>
      </c>
      <c r="J168">
        <v>0.49467485731463401</v>
      </c>
      <c r="K168">
        <v>0.83154121863799302</v>
      </c>
      <c r="L168" t="s">
        <v>33</v>
      </c>
      <c r="M168" t="s">
        <v>34</v>
      </c>
      <c r="N168" t="s">
        <v>35</v>
      </c>
      <c r="O168">
        <v>0.70006539105985199</v>
      </c>
      <c r="P168" t="s">
        <v>36</v>
      </c>
    </row>
    <row r="169" spans="1:16">
      <c r="A169">
        <v>168</v>
      </c>
      <c r="B169" t="s">
        <v>217</v>
      </c>
      <c r="C169">
        <v>77</v>
      </c>
      <c r="D169">
        <v>64</v>
      </c>
      <c r="E169">
        <v>60.780013567543897</v>
      </c>
      <c r="F169">
        <v>1.21735588828223</v>
      </c>
      <c r="G169">
        <v>2901.4257879017</v>
      </c>
      <c r="H169">
        <v>348.36846094514999</v>
      </c>
      <c r="I169">
        <v>0.697078737898569</v>
      </c>
      <c r="J169">
        <v>0.30043025819811398</v>
      </c>
      <c r="K169">
        <v>0.77258875212728095</v>
      </c>
      <c r="L169" t="s">
        <v>43</v>
      </c>
      <c r="M169" t="s">
        <v>34</v>
      </c>
      <c r="N169" t="s">
        <v>35</v>
      </c>
      <c r="O169">
        <v>0.78960192393422102</v>
      </c>
      <c r="P169" t="s">
        <v>36</v>
      </c>
    </row>
    <row r="170" spans="1:16">
      <c r="A170">
        <v>169</v>
      </c>
      <c r="B170" t="s">
        <v>218</v>
      </c>
      <c r="C170">
        <v>67</v>
      </c>
      <c r="D170">
        <v>137</v>
      </c>
      <c r="E170">
        <v>60.784683744166699</v>
      </c>
      <c r="F170">
        <v>0.49164883790623798</v>
      </c>
      <c r="G170">
        <v>2901.8716809073699</v>
      </c>
      <c r="H170">
        <v>745.16772517453103</v>
      </c>
      <c r="I170">
        <v>0.755654260225746</v>
      </c>
      <c r="J170">
        <v>6.5671962625923896E-2</v>
      </c>
      <c r="K170">
        <v>0.49731271810285499</v>
      </c>
      <c r="L170" t="s">
        <v>41</v>
      </c>
      <c r="M170" t="s">
        <v>34</v>
      </c>
      <c r="N170" t="s">
        <v>35</v>
      </c>
      <c r="O170">
        <v>0.68921336788607301</v>
      </c>
      <c r="P170" t="s">
        <v>36</v>
      </c>
    </row>
    <row r="171" spans="1:16">
      <c r="A171">
        <v>170</v>
      </c>
      <c r="B171" t="s">
        <v>219</v>
      </c>
      <c r="C171">
        <v>83</v>
      </c>
      <c r="D171">
        <v>56</v>
      </c>
      <c r="E171">
        <v>60.845363420530298</v>
      </c>
      <c r="F171">
        <v>1.4836206402840599</v>
      </c>
      <c r="G171">
        <v>2907.6682899810999</v>
      </c>
      <c r="H171">
        <v>333.92822500550199</v>
      </c>
      <c r="I171">
        <v>0.62957220578098605</v>
      </c>
      <c r="J171">
        <v>0.32767889185769</v>
      </c>
      <c r="K171">
        <v>0.81265317991110397</v>
      </c>
      <c r="L171" t="s">
        <v>33</v>
      </c>
      <c r="M171" t="s">
        <v>34</v>
      </c>
      <c r="N171" t="s">
        <v>35</v>
      </c>
      <c r="O171">
        <v>0.74202192759851704</v>
      </c>
      <c r="P171" t="s">
        <v>36</v>
      </c>
    </row>
    <row r="172" spans="1:16">
      <c r="A172">
        <v>171</v>
      </c>
      <c r="B172" t="s">
        <v>220</v>
      </c>
      <c r="C172">
        <v>121</v>
      </c>
      <c r="D172">
        <v>56</v>
      </c>
      <c r="E172">
        <v>60.895896200328302</v>
      </c>
      <c r="F172">
        <v>2.1714286497693198</v>
      </c>
      <c r="G172">
        <v>2912.5</v>
      </c>
      <c r="H172">
        <v>420.91882765293099</v>
      </c>
      <c r="I172">
        <v>0.47495126707507201</v>
      </c>
      <c r="J172">
        <v>0.20657563375322499</v>
      </c>
      <c r="K172">
        <v>0.581047381546135</v>
      </c>
      <c r="L172" t="s">
        <v>33</v>
      </c>
      <c r="M172" t="s">
        <v>34</v>
      </c>
      <c r="N172" t="s">
        <v>35</v>
      </c>
      <c r="O172">
        <v>0.72912653803684402</v>
      </c>
      <c r="P172" t="s">
        <v>36</v>
      </c>
    </row>
    <row r="173" spans="1:16">
      <c r="A173">
        <v>172</v>
      </c>
      <c r="B173" t="s">
        <v>221</v>
      </c>
      <c r="C173">
        <v>82</v>
      </c>
      <c r="D173">
        <v>71</v>
      </c>
      <c r="E173">
        <v>60.9075361884194</v>
      </c>
      <c r="F173">
        <v>1.1580755792139601</v>
      </c>
      <c r="G173">
        <v>2913.6135300567098</v>
      </c>
      <c r="H173">
        <v>444.40421649673698</v>
      </c>
      <c r="I173">
        <v>0.63955390593402295</v>
      </c>
      <c r="J173">
        <v>0.18538964272689501</v>
      </c>
      <c r="K173">
        <v>0.65132737482141101</v>
      </c>
      <c r="L173" t="s">
        <v>33</v>
      </c>
      <c r="M173" t="s">
        <v>34</v>
      </c>
      <c r="N173" t="s">
        <v>35</v>
      </c>
      <c r="O173">
        <v>0.79261235127114504</v>
      </c>
      <c r="P173" t="s">
        <v>36</v>
      </c>
    </row>
    <row r="174" spans="1:16">
      <c r="A174">
        <v>173</v>
      </c>
      <c r="B174" t="s">
        <v>222</v>
      </c>
      <c r="C174">
        <v>68</v>
      </c>
      <c r="D174">
        <v>78</v>
      </c>
      <c r="E174">
        <v>60.960333185570398</v>
      </c>
      <c r="F174">
        <v>0.87412587412587395</v>
      </c>
      <c r="G174">
        <v>2918.66698412098</v>
      </c>
      <c r="H174">
        <v>589.24495349998097</v>
      </c>
      <c r="I174">
        <v>0.54072184577292304</v>
      </c>
      <c r="J174">
        <v>0.10563374231030501</v>
      </c>
      <c r="K174">
        <v>0.61388645742153303</v>
      </c>
      <c r="L174" t="s">
        <v>33</v>
      </c>
      <c r="M174" t="s">
        <v>34</v>
      </c>
      <c r="N174" t="s">
        <v>35</v>
      </c>
      <c r="O174">
        <v>0.67168141415339899</v>
      </c>
      <c r="P174" t="s">
        <v>36</v>
      </c>
    </row>
    <row r="175" spans="1:16">
      <c r="A175">
        <v>174</v>
      </c>
      <c r="B175" t="s">
        <v>223</v>
      </c>
      <c r="C175">
        <v>96</v>
      </c>
      <c r="D175">
        <v>55</v>
      </c>
      <c r="E175">
        <v>60.986714544003902</v>
      </c>
      <c r="F175">
        <v>1.7514351900005101</v>
      </c>
      <c r="G175">
        <v>2921.1937111531201</v>
      </c>
      <c r="H175">
        <v>359.966367905244</v>
      </c>
      <c r="I175">
        <v>0.60382715253651298</v>
      </c>
      <c r="J175">
        <v>0.28329986595026102</v>
      </c>
      <c r="K175">
        <v>0.66644060899935598</v>
      </c>
      <c r="L175" t="s">
        <v>47</v>
      </c>
      <c r="M175" t="s">
        <v>34</v>
      </c>
      <c r="N175" t="s">
        <v>35</v>
      </c>
      <c r="O175">
        <v>0.94424658895900804</v>
      </c>
      <c r="P175" t="s">
        <v>36</v>
      </c>
    </row>
    <row r="176" spans="1:16">
      <c r="A176">
        <v>175</v>
      </c>
      <c r="B176" t="s">
        <v>224</v>
      </c>
      <c r="C176">
        <v>88</v>
      </c>
      <c r="D176">
        <v>68</v>
      </c>
      <c r="E176">
        <v>61.095223640759698</v>
      </c>
      <c r="F176">
        <v>1.2879999130859301</v>
      </c>
      <c r="G176">
        <v>2931.5978812854401</v>
      </c>
      <c r="H176">
        <v>696.58193252625699</v>
      </c>
      <c r="I176">
        <v>0.62707348200738999</v>
      </c>
      <c r="J176">
        <v>7.5922386590578303E-2</v>
      </c>
      <c r="K176">
        <v>0.57141201691870902</v>
      </c>
      <c r="L176" t="s">
        <v>43</v>
      </c>
      <c r="M176" t="s">
        <v>34</v>
      </c>
      <c r="N176" t="s">
        <v>35</v>
      </c>
      <c r="O176">
        <v>0.81763585772095904</v>
      </c>
      <c r="P176" t="s">
        <v>36</v>
      </c>
    </row>
    <row r="177" spans="1:16">
      <c r="A177">
        <v>176</v>
      </c>
      <c r="B177" t="s">
        <v>225</v>
      </c>
      <c r="C177">
        <v>83</v>
      </c>
      <c r="D177">
        <v>112</v>
      </c>
      <c r="E177">
        <v>61.171065482826798</v>
      </c>
      <c r="F177">
        <v>0.73786407766990303</v>
      </c>
      <c r="G177">
        <v>2938.88080037807</v>
      </c>
      <c r="H177">
        <v>836.59985531112397</v>
      </c>
      <c r="I177">
        <v>0.62703672421239698</v>
      </c>
      <c r="J177">
        <v>5.2766254208443199E-2</v>
      </c>
      <c r="K177">
        <v>0.392664230677576</v>
      </c>
      <c r="L177" t="s">
        <v>33</v>
      </c>
      <c r="M177" t="s">
        <v>34</v>
      </c>
      <c r="N177" t="s">
        <v>35</v>
      </c>
      <c r="O177">
        <v>0.72244901429003605</v>
      </c>
      <c r="P177" t="s">
        <v>36</v>
      </c>
    </row>
    <row r="178" spans="1:16">
      <c r="A178">
        <v>177</v>
      </c>
      <c r="B178" t="s">
        <v>226</v>
      </c>
      <c r="C178">
        <v>61</v>
      </c>
      <c r="D178">
        <v>111</v>
      </c>
      <c r="E178">
        <v>61.192717315648103</v>
      </c>
      <c r="F178">
        <v>0.55130214625655305</v>
      </c>
      <c r="G178">
        <v>2940.9616344045398</v>
      </c>
      <c r="H178">
        <v>596.65880817485902</v>
      </c>
      <c r="I178">
        <v>0.53219791529141602</v>
      </c>
      <c r="J178">
        <v>0.103811893022032</v>
      </c>
      <c r="K178">
        <v>0.58638572783309595</v>
      </c>
      <c r="L178" t="s">
        <v>33</v>
      </c>
      <c r="M178" t="s">
        <v>34</v>
      </c>
      <c r="N178" t="s">
        <v>35</v>
      </c>
      <c r="O178">
        <v>0.68154627138915802</v>
      </c>
      <c r="P178" t="s">
        <v>36</v>
      </c>
    </row>
    <row r="179" spans="1:16">
      <c r="A179">
        <v>178</v>
      </c>
      <c r="B179" t="s">
        <v>227</v>
      </c>
      <c r="C179">
        <v>83</v>
      </c>
      <c r="D179">
        <v>122</v>
      </c>
      <c r="E179">
        <v>61.201994327700604</v>
      </c>
      <c r="F179">
        <v>0.67857142857142905</v>
      </c>
      <c r="G179">
        <v>2941.85342041588</v>
      </c>
      <c r="H179">
        <v>764.10199212748103</v>
      </c>
      <c r="I179">
        <v>0.66378151465951696</v>
      </c>
      <c r="J179">
        <v>6.3318151851645493E-2</v>
      </c>
      <c r="K179">
        <v>0.37305865500603103</v>
      </c>
      <c r="L179" t="s">
        <v>33</v>
      </c>
      <c r="M179" t="s">
        <v>34</v>
      </c>
      <c r="N179" t="s">
        <v>35</v>
      </c>
      <c r="O179">
        <v>0.82980720914145101</v>
      </c>
      <c r="P179" t="s">
        <v>36</v>
      </c>
    </row>
    <row r="180" spans="1:16">
      <c r="A180">
        <v>179</v>
      </c>
      <c r="B180" t="s">
        <v>228</v>
      </c>
      <c r="C180">
        <v>64</v>
      </c>
      <c r="D180">
        <v>68</v>
      </c>
      <c r="E180">
        <v>61.232907550364601</v>
      </c>
      <c r="F180">
        <v>0.93748681093458297</v>
      </c>
      <c r="G180">
        <v>2944.82604045369</v>
      </c>
      <c r="H180">
        <v>302.86688356098898</v>
      </c>
      <c r="I180">
        <v>0.70560365776212397</v>
      </c>
      <c r="J180">
        <v>0.40342790161237002</v>
      </c>
      <c r="K180">
        <v>0.83800702110561298</v>
      </c>
      <c r="L180" t="s">
        <v>49</v>
      </c>
      <c r="M180" t="s">
        <v>34</v>
      </c>
      <c r="N180" t="s">
        <v>35</v>
      </c>
      <c r="O180">
        <v>0.79554657071480706</v>
      </c>
      <c r="P180" t="s">
        <v>36</v>
      </c>
    </row>
    <row r="181" spans="1:16">
      <c r="A181">
        <v>180</v>
      </c>
      <c r="B181" t="s">
        <v>229</v>
      </c>
      <c r="C181">
        <v>64</v>
      </c>
      <c r="D181">
        <v>73</v>
      </c>
      <c r="E181">
        <v>61.431924088341702</v>
      </c>
      <c r="F181">
        <v>0.87313441333700503</v>
      </c>
      <c r="G181">
        <v>2963.9994396975399</v>
      </c>
      <c r="H181">
        <v>508.685071469805</v>
      </c>
      <c r="I181">
        <v>0.63260622006776501</v>
      </c>
      <c r="J181">
        <v>0.14394281654767399</v>
      </c>
      <c r="K181">
        <v>0.72261477696851095</v>
      </c>
      <c r="L181" t="s">
        <v>33</v>
      </c>
      <c r="M181" t="s">
        <v>34</v>
      </c>
      <c r="N181" t="s">
        <v>35</v>
      </c>
      <c r="O181">
        <v>0.716843885024678</v>
      </c>
      <c r="P181" t="s">
        <v>36</v>
      </c>
    </row>
    <row r="182" spans="1:16">
      <c r="A182">
        <v>181</v>
      </c>
      <c r="B182" t="s">
        <v>230</v>
      </c>
      <c r="C182">
        <v>78</v>
      </c>
      <c r="D182">
        <v>98</v>
      </c>
      <c r="E182">
        <v>61.684010308518097</v>
      </c>
      <c r="F182">
        <v>0.79888268156424602</v>
      </c>
      <c r="G182">
        <v>2988.3749240075599</v>
      </c>
      <c r="H182">
        <v>729.18538160282606</v>
      </c>
      <c r="I182">
        <v>0.49692951608001801</v>
      </c>
      <c r="J182">
        <v>7.0626720486677702E-2</v>
      </c>
      <c r="K182">
        <v>0.54445016111998701</v>
      </c>
      <c r="L182" t="s">
        <v>43</v>
      </c>
      <c r="M182" t="s">
        <v>34</v>
      </c>
      <c r="N182" t="s">
        <v>35</v>
      </c>
      <c r="O182">
        <v>0.85540426239232903</v>
      </c>
      <c r="P182" t="s">
        <v>36</v>
      </c>
    </row>
    <row r="183" spans="1:16">
      <c r="A183">
        <v>182</v>
      </c>
      <c r="B183" t="s">
        <v>231</v>
      </c>
      <c r="C183">
        <v>122</v>
      </c>
      <c r="D183">
        <v>73</v>
      </c>
      <c r="E183">
        <v>61.691679682816797</v>
      </c>
      <c r="F183">
        <v>1.67000226732297</v>
      </c>
      <c r="G183">
        <v>2989.1180790170101</v>
      </c>
      <c r="H183">
        <v>866.94494014045495</v>
      </c>
      <c r="I183">
        <v>0.56108095738281505</v>
      </c>
      <c r="J183">
        <v>4.9976967775700099E-2</v>
      </c>
      <c r="K183">
        <v>0.44686145983779602</v>
      </c>
      <c r="L183" t="s">
        <v>33</v>
      </c>
      <c r="M183" t="s">
        <v>34</v>
      </c>
      <c r="N183" t="s">
        <v>35</v>
      </c>
      <c r="O183">
        <v>0.88230534382575998</v>
      </c>
      <c r="P183" t="s">
        <v>36</v>
      </c>
    </row>
    <row r="184" spans="1:16">
      <c r="A184">
        <v>183</v>
      </c>
      <c r="B184" t="s">
        <v>232</v>
      </c>
      <c r="C184">
        <v>64</v>
      </c>
      <c r="D184">
        <v>98</v>
      </c>
      <c r="E184">
        <v>61.783637916831097</v>
      </c>
      <c r="F184">
        <v>0.65</v>
      </c>
      <c r="G184">
        <v>2998.0359391304401</v>
      </c>
      <c r="H184">
        <v>353.85273457786298</v>
      </c>
      <c r="I184">
        <v>0.48728590505102998</v>
      </c>
      <c r="J184">
        <v>0.30088572669043701</v>
      </c>
      <c r="K184">
        <v>0.71864757018668901</v>
      </c>
      <c r="L184" t="s">
        <v>38</v>
      </c>
      <c r="M184" t="s">
        <v>34</v>
      </c>
      <c r="N184" t="s">
        <v>35</v>
      </c>
      <c r="O184">
        <v>0.80145309721174796</v>
      </c>
      <c r="P184" t="s">
        <v>36</v>
      </c>
    </row>
    <row r="185" spans="1:16">
      <c r="A185">
        <v>184</v>
      </c>
      <c r="B185" t="s">
        <v>233</v>
      </c>
      <c r="C185">
        <v>73</v>
      </c>
      <c r="D185">
        <v>78</v>
      </c>
      <c r="E185">
        <v>61.8066060973728</v>
      </c>
      <c r="F185">
        <v>0.93706293706293697</v>
      </c>
      <c r="G185">
        <v>3000.2654041587898</v>
      </c>
      <c r="H185">
        <v>575.20159320893504</v>
      </c>
      <c r="I185">
        <v>0.66349421848247603</v>
      </c>
      <c r="J185">
        <v>0.113953948387406</v>
      </c>
      <c r="K185">
        <v>0.61409753277965395</v>
      </c>
      <c r="L185" t="s">
        <v>33</v>
      </c>
      <c r="M185" t="s">
        <v>34</v>
      </c>
      <c r="N185" t="s">
        <v>35</v>
      </c>
      <c r="O185">
        <v>0.82413470541204303</v>
      </c>
      <c r="P185" t="s">
        <v>36</v>
      </c>
    </row>
    <row r="186" spans="1:16">
      <c r="A186">
        <v>185</v>
      </c>
      <c r="B186" t="s">
        <v>234</v>
      </c>
      <c r="C186">
        <v>73</v>
      </c>
      <c r="D186">
        <v>86</v>
      </c>
      <c r="E186">
        <v>61.957982547244498</v>
      </c>
      <c r="F186">
        <v>0.84810123648365598</v>
      </c>
      <c r="G186">
        <v>3014.9798733459402</v>
      </c>
      <c r="H186">
        <v>576.05014170698496</v>
      </c>
      <c r="I186">
        <v>0.61388519501074901</v>
      </c>
      <c r="J186">
        <v>0.114175706008858</v>
      </c>
      <c r="K186">
        <v>0.64558734604245605</v>
      </c>
      <c r="L186" t="s">
        <v>72</v>
      </c>
      <c r="M186" t="s">
        <v>34</v>
      </c>
      <c r="N186" t="s">
        <v>35</v>
      </c>
      <c r="O186">
        <v>0.678254667055601</v>
      </c>
      <c r="P186" t="s">
        <v>36</v>
      </c>
    </row>
    <row r="187" spans="1:16">
      <c r="A187">
        <v>186</v>
      </c>
      <c r="B187" t="s">
        <v>235</v>
      </c>
      <c r="C187">
        <v>87</v>
      </c>
      <c r="D187">
        <v>63</v>
      </c>
      <c r="E187">
        <v>62.060854190253202</v>
      </c>
      <c r="F187">
        <v>1.3888888720086101</v>
      </c>
      <c r="G187">
        <v>3025</v>
      </c>
      <c r="H187">
        <v>323.84775996208202</v>
      </c>
      <c r="I187">
        <v>0.52513186060821904</v>
      </c>
      <c r="J187">
        <v>0.36245446006840898</v>
      </c>
      <c r="K187">
        <v>0.699421965317919</v>
      </c>
      <c r="L187" t="s">
        <v>43</v>
      </c>
      <c r="M187" t="s">
        <v>34</v>
      </c>
      <c r="N187" t="s">
        <v>35</v>
      </c>
      <c r="O187">
        <v>0.86762808695054305</v>
      </c>
      <c r="P187" t="s">
        <v>36</v>
      </c>
    </row>
    <row r="188" spans="1:16">
      <c r="A188">
        <v>187</v>
      </c>
      <c r="B188" t="s">
        <v>236</v>
      </c>
      <c r="C188">
        <v>71</v>
      </c>
      <c r="D188">
        <v>91</v>
      </c>
      <c r="E188">
        <v>62.0739402598415</v>
      </c>
      <c r="F188">
        <v>0.77888540159935105</v>
      </c>
      <c r="G188">
        <v>3026.2758294895998</v>
      </c>
      <c r="H188">
        <v>549.53762847661994</v>
      </c>
      <c r="I188">
        <v>0.692170427940761</v>
      </c>
      <c r="J188">
        <v>0.12592834704983399</v>
      </c>
      <c r="K188">
        <v>0.623537698291174</v>
      </c>
      <c r="L188" t="s">
        <v>33</v>
      </c>
      <c r="M188" t="s">
        <v>34</v>
      </c>
      <c r="N188" t="s">
        <v>35</v>
      </c>
      <c r="O188">
        <v>0.86160593703492905</v>
      </c>
      <c r="P188" t="s">
        <v>36</v>
      </c>
    </row>
    <row r="189" spans="1:16">
      <c r="A189">
        <v>188</v>
      </c>
      <c r="B189" t="s">
        <v>237</v>
      </c>
      <c r="C189">
        <v>87</v>
      </c>
      <c r="D189">
        <v>73</v>
      </c>
      <c r="E189">
        <v>62.1028958575749</v>
      </c>
      <c r="F189">
        <v>1.1940298507462701</v>
      </c>
      <c r="G189">
        <v>3029.0998185255198</v>
      </c>
      <c r="H189">
        <v>632.43336943605698</v>
      </c>
      <c r="I189">
        <v>0.62380745261175796</v>
      </c>
      <c r="J189">
        <v>9.5168647078644794E-2</v>
      </c>
      <c r="K189">
        <v>0.58942619157797305</v>
      </c>
      <c r="L189" t="s">
        <v>49</v>
      </c>
      <c r="M189" t="s">
        <v>34</v>
      </c>
      <c r="N189" t="s">
        <v>35</v>
      </c>
      <c r="O189">
        <v>0.69664436450022404</v>
      </c>
      <c r="P189" t="s">
        <v>36</v>
      </c>
    </row>
    <row r="190" spans="1:16">
      <c r="A190">
        <v>189</v>
      </c>
      <c r="B190" t="s">
        <v>238</v>
      </c>
      <c r="C190">
        <v>44</v>
      </c>
      <c r="D190">
        <v>107</v>
      </c>
      <c r="E190">
        <v>62.177508590217997</v>
      </c>
      <c r="F190">
        <v>0.40609135601084101</v>
      </c>
      <c r="G190">
        <v>3036.3827376181498</v>
      </c>
      <c r="H190">
        <v>519.42502769335499</v>
      </c>
      <c r="I190">
        <v>0.81739576555039695</v>
      </c>
      <c r="J190">
        <v>0.14142319175273499</v>
      </c>
      <c r="K190">
        <v>0.68947013162335502</v>
      </c>
      <c r="L190" t="s">
        <v>43</v>
      </c>
      <c r="M190" t="s">
        <v>34</v>
      </c>
      <c r="N190" t="s">
        <v>35</v>
      </c>
      <c r="O190">
        <v>0.69535152076392903</v>
      </c>
      <c r="P190" t="s">
        <v>36</v>
      </c>
    </row>
    <row r="191" spans="1:16">
      <c r="A191">
        <v>190</v>
      </c>
      <c r="B191" t="s">
        <v>239</v>
      </c>
      <c r="C191">
        <v>79</v>
      </c>
      <c r="D191">
        <v>62</v>
      </c>
      <c r="E191">
        <v>62.198810074270398</v>
      </c>
      <c r="F191">
        <v>1.27329181640857</v>
      </c>
      <c r="G191">
        <v>3038.4635716446101</v>
      </c>
      <c r="H191">
        <v>446.13341321250698</v>
      </c>
      <c r="I191">
        <v>0.65744643616003695</v>
      </c>
      <c r="J191">
        <v>0.19183789306048299</v>
      </c>
      <c r="K191">
        <v>0.70127954444101404</v>
      </c>
      <c r="L191" t="s">
        <v>43</v>
      </c>
      <c r="M191" t="s">
        <v>34</v>
      </c>
      <c r="N191" t="s">
        <v>35</v>
      </c>
      <c r="O191">
        <v>0.72625521026233797</v>
      </c>
      <c r="P191" t="s">
        <v>36</v>
      </c>
    </row>
    <row r="192" spans="1:16">
      <c r="A192">
        <v>191</v>
      </c>
      <c r="B192" t="s">
        <v>240</v>
      </c>
      <c r="C192">
        <v>103</v>
      </c>
      <c r="D192">
        <v>68</v>
      </c>
      <c r="E192">
        <v>62.247471807848797</v>
      </c>
      <c r="F192">
        <v>1.5161289727154399</v>
      </c>
      <c r="G192">
        <v>3043.2197637050999</v>
      </c>
      <c r="H192">
        <v>520.81214596136795</v>
      </c>
      <c r="I192">
        <v>0.69308557868993403</v>
      </c>
      <c r="J192">
        <v>0.140987617580284</v>
      </c>
      <c r="K192">
        <v>0.60335936348902297</v>
      </c>
      <c r="L192" t="s">
        <v>33</v>
      </c>
      <c r="M192" t="s">
        <v>34</v>
      </c>
      <c r="N192" t="s">
        <v>35</v>
      </c>
      <c r="O192">
        <v>0.78109858297875701</v>
      </c>
      <c r="P192" t="s">
        <v>36</v>
      </c>
    </row>
    <row r="193" spans="1:16">
      <c r="A193">
        <v>192</v>
      </c>
      <c r="B193" t="s">
        <v>241</v>
      </c>
      <c r="C193">
        <v>76</v>
      </c>
      <c r="D193">
        <v>59</v>
      </c>
      <c r="E193">
        <v>62.324947916521701</v>
      </c>
      <c r="F193">
        <v>1.28456998322581</v>
      </c>
      <c r="G193">
        <v>3050.7999448015098</v>
      </c>
      <c r="H193">
        <v>273.10576346397397</v>
      </c>
      <c r="I193">
        <v>0.57997081921927995</v>
      </c>
      <c r="J193">
        <v>0.51399851375093897</v>
      </c>
      <c r="K193">
        <v>0.86574718461343803</v>
      </c>
      <c r="L193" t="s">
        <v>33</v>
      </c>
      <c r="M193" t="s">
        <v>34</v>
      </c>
      <c r="N193" t="s">
        <v>35</v>
      </c>
      <c r="O193">
        <v>0.78696746733100598</v>
      </c>
      <c r="P193" t="s">
        <v>36</v>
      </c>
    </row>
    <row r="194" spans="1:16">
      <c r="A194">
        <v>193</v>
      </c>
      <c r="B194" t="s">
        <v>242</v>
      </c>
      <c r="C194">
        <v>87</v>
      </c>
      <c r="D194">
        <v>73</v>
      </c>
      <c r="E194">
        <v>62.334056421928899</v>
      </c>
      <c r="F194">
        <v>1.20300751879699</v>
      </c>
      <c r="G194">
        <v>3051.69173081285</v>
      </c>
      <c r="H194">
        <v>441.45229311549099</v>
      </c>
      <c r="I194">
        <v>0.72243494983875201</v>
      </c>
      <c r="J194">
        <v>0.19678091276642301</v>
      </c>
      <c r="K194">
        <v>0.65017891636847303</v>
      </c>
      <c r="L194" t="s">
        <v>33</v>
      </c>
      <c r="M194" t="s">
        <v>34</v>
      </c>
      <c r="N194" t="s">
        <v>35</v>
      </c>
      <c r="O194">
        <v>0.822515370288741</v>
      </c>
      <c r="P194" t="s">
        <v>36</v>
      </c>
    </row>
    <row r="195" spans="1:16">
      <c r="A195">
        <v>194</v>
      </c>
      <c r="B195" t="s">
        <v>243</v>
      </c>
      <c r="C195">
        <v>117</v>
      </c>
      <c r="D195">
        <v>58</v>
      </c>
      <c r="E195">
        <v>62.397778730639097</v>
      </c>
      <c r="F195">
        <v>2.0283018908665298</v>
      </c>
      <c r="G195">
        <v>3057.9342328922498</v>
      </c>
      <c r="H195">
        <v>623.70989117518695</v>
      </c>
      <c r="I195">
        <v>0.77070028472182905</v>
      </c>
      <c r="J195">
        <v>9.87808461506436E-2</v>
      </c>
      <c r="K195">
        <v>0.53643782754934399</v>
      </c>
      <c r="L195" t="s">
        <v>144</v>
      </c>
      <c r="M195" t="s">
        <v>34</v>
      </c>
      <c r="N195" t="s">
        <v>35</v>
      </c>
      <c r="O195">
        <v>0.76227679924409497</v>
      </c>
      <c r="P195" t="s">
        <v>36</v>
      </c>
    </row>
    <row r="196" spans="1:16">
      <c r="A196">
        <v>195</v>
      </c>
      <c r="B196" t="s">
        <v>244</v>
      </c>
      <c r="C196">
        <v>47</v>
      </c>
      <c r="D196">
        <v>98</v>
      </c>
      <c r="E196">
        <v>62.428099826131202</v>
      </c>
      <c r="F196">
        <v>0.484042280205981</v>
      </c>
      <c r="G196">
        <v>3060.9068529300598</v>
      </c>
      <c r="H196">
        <v>439.42641291431801</v>
      </c>
      <c r="I196">
        <v>0.85609497874398699</v>
      </c>
      <c r="J196">
        <v>0.19919923309735801</v>
      </c>
      <c r="K196">
        <v>0.74223311468319797</v>
      </c>
      <c r="L196" t="s">
        <v>47</v>
      </c>
      <c r="M196" t="s">
        <v>34</v>
      </c>
      <c r="N196" t="s">
        <v>35</v>
      </c>
      <c r="O196">
        <v>0.92366488229908905</v>
      </c>
      <c r="P196" t="s">
        <v>36</v>
      </c>
    </row>
    <row r="197" spans="1:16">
      <c r="A197">
        <v>196</v>
      </c>
      <c r="B197" t="s">
        <v>245</v>
      </c>
      <c r="C197">
        <v>62</v>
      </c>
      <c r="D197">
        <v>63</v>
      </c>
      <c r="E197">
        <v>62.4296154943356</v>
      </c>
      <c r="F197">
        <v>0.98407988047643902</v>
      </c>
      <c r="G197">
        <v>3061.0554839319502</v>
      </c>
      <c r="H197">
        <v>218.02665008659</v>
      </c>
      <c r="I197">
        <v>0.53756555863773103</v>
      </c>
      <c r="J197">
        <v>0.80921123070359102</v>
      </c>
      <c r="K197">
        <v>0.96972407948017703</v>
      </c>
      <c r="L197" t="s">
        <v>144</v>
      </c>
      <c r="M197" t="s">
        <v>34</v>
      </c>
      <c r="N197" t="s">
        <v>35</v>
      </c>
      <c r="O197">
        <v>0.75365340567142203</v>
      </c>
      <c r="P197" t="s">
        <v>36</v>
      </c>
    </row>
    <row r="198" spans="1:16">
      <c r="A198">
        <v>197</v>
      </c>
      <c r="B198" t="s">
        <v>246</v>
      </c>
      <c r="C198">
        <v>74</v>
      </c>
      <c r="D198">
        <v>73</v>
      </c>
      <c r="E198">
        <v>62.441739515519799</v>
      </c>
      <c r="F198">
        <v>1.0150375939849601</v>
      </c>
      <c r="G198">
        <v>3062.2445319470698</v>
      </c>
      <c r="H198">
        <v>630.57188083742005</v>
      </c>
      <c r="I198">
        <v>0.51946427230335301</v>
      </c>
      <c r="J198">
        <v>9.6778866503197503E-2</v>
      </c>
      <c r="K198">
        <v>0.62541359317609202</v>
      </c>
      <c r="L198" t="s">
        <v>33</v>
      </c>
      <c r="M198" t="s">
        <v>34</v>
      </c>
      <c r="N198" t="s">
        <v>35</v>
      </c>
      <c r="O198">
        <v>0.68841748188031904</v>
      </c>
      <c r="P198" t="s">
        <v>36</v>
      </c>
    </row>
    <row r="199" spans="1:16">
      <c r="A199">
        <v>198</v>
      </c>
      <c r="B199" t="s">
        <v>247</v>
      </c>
      <c r="C199">
        <v>92</v>
      </c>
      <c r="D199">
        <v>73</v>
      </c>
      <c r="E199">
        <v>62.450830986778001</v>
      </c>
      <c r="F199">
        <v>1.26119402985075</v>
      </c>
      <c r="G199">
        <v>3063.13631795841</v>
      </c>
      <c r="H199">
        <v>715.25161571347201</v>
      </c>
      <c r="I199">
        <v>0.57930488068251296</v>
      </c>
      <c r="J199">
        <v>7.5241681657435097E-2</v>
      </c>
      <c r="K199">
        <v>0.52623649873605205</v>
      </c>
      <c r="L199" t="s">
        <v>33</v>
      </c>
      <c r="M199" t="s">
        <v>34</v>
      </c>
      <c r="N199" t="s">
        <v>35</v>
      </c>
      <c r="O199">
        <v>0.83553217910323396</v>
      </c>
      <c r="P199" t="s">
        <v>36</v>
      </c>
    </row>
    <row r="200" spans="1:16">
      <c r="A200">
        <v>199</v>
      </c>
      <c r="B200" t="s">
        <v>248</v>
      </c>
      <c r="C200">
        <v>78</v>
      </c>
      <c r="D200">
        <v>78</v>
      </c>
      <c r="E200">
        <v>62.6520198600181</v>
      </c>
      <c r="F200">
        <v>1</v>
      </c>
      <c r="G200">
        <v>3082.9042412098302</v>
      </c>
      <c r="H200">
        <v>660.86216846590503</v>
      </c>
      <c r="I200">
        <v>0.60942649255910797</v>
      </c>
      <c r="J200">
        <v>8.8705003441794106E-2</v>
      </c>
      <c r="K200">
        <v>0.56342695713587199</v>
      </c>
      <c r="L200" t="s">
        <v>41</v>
      </c>
      <c r="M200" t="s">
        <v>34</v>
      </c>
      <c r="N200" t="s">
        <v>35</v>
      </c>
      <c r="O200">
        <v>0.67559973128898398</v>
      </c>
      <c r="P200" t="s">
        <v>36</v>
      </c>
    </row>
    <row r="201" spans="1:16">
      <c r="A201">
        <v>200</v>
      </c>
      <c r="B201" t="s">
        <v>249</v>
      </c>
      <c r="C201">
        <v>63</v>
      </c>
      <c r="D201">
        <v>69</v>
      </c>
      <c r="E201">
        <v>62.745586700813398</v>
      </c>
      <c r="F201">
        <v>0.92063492063492103</v>
      </c>
      <c r="G201">
        <v>3092.11936332703</v>
      </c>
      <c r="H201">
        <v>280.36462877480898</v>
      </c>
      <c r="I201">
        <v>0.731347615588545</v>
      </c>
      <c r="J201">
        <v>0.49433307734366</v>
      </c>
      <c r="K201">
        <v>0.88354709929499697</v>
      </c>
      <c r="L201" t="s">
        <v>47</v>
      </c>
      <c r="M201" t="s">
        <v>34</v>
      </c>
      <c r="N201" t="s">
        <v>35</v>
      </c>
      <c r="O201">
        <v>0.92931687602189395</v>
      </c>
      <c r="P201" t="s">
        <v>36</v>
      </c>
    </row>
    <row r="202" spans="1:16">
      <c r="A202">
        <v>201</v>
      </c>
      <c r="B202" t="s">
        <v>250</v>
      </c>
      <c r="C202">
        <v>83</v>
      </c>
      <c r="D202">
        <v>83</v>
      </c>
      <c r="E202">
        <v>62.783275815768</v>
      </c>
      <c r="F202">
        <v>1</v>
      </c>
      <c r="G202">
        <v>3095.8351383742902</v>
      </c>
      <c r="H202">
        <v>628.28141687051095</v>
      </c>
      <c r="I202">
        <v>0.62699553553130105</v>
      </c>
      <c r="J202">
        <v>9.8555135722662196E-2</v>
      </c>
      <c r="K202">
        <v>0.52045176282451699</v>
      </c>
      <c r="L202" t="s">
        <v>33</v>
      </c>
      <c r="M202" t="s">
        <v>34</v>
      </c>
      <c r="N202" t="s">
        <v>35</v>
      </c>
      <c r="O202">
        <v>0.82996711627562203</v>
      </c>
      <c r="P202" t="s">
        <v>36</v>
      </c>
    </row>
    <row r="203" spans="1:16">
      <c r="A203">
        <v>202</v>
      </c>
      <c r="B203" t="s">
        <v>251</v>
      </c>
      <c r="C203">
        <v>88</v>
      </c>
      <c r="D203">
        <v>59</v>
      </c>
      <c r="E203">
        <v>62.786289967612902</v>
      </c>
      <c r="F203">
        <v>1.49074074074074</v>
      </c>
      <c r="G203">
        <v>3096.1324003780701</v>
      </c>
      <c r="H203">
        <v>524.722212242355</v>
      </c>
      <c r="I203">
        <v>0.63764429708447201</v>
      </c>
      <c r="J203">
        <v>0.141309217157737</v>
      </c>
      <c r="K203">
        <v>0.69930844635423695</v>
      </c>
      <c r="L203" t="s">
        <v>38</v>
      </c>
      <c r="M203" t="s">
        <v>34</v>
      </c>
      <c r="N203" t="s">
        <v>35</v>
      </c>
      <c r="O203">
        <v>0.76972241395781305</v>
      </c>
      <c r="P203" t="s">
        <v>36</v>
      </c>
    </row>
    <row r="204" spans="1:16">
      <c r="A204">
        <v>203</v>
      </c>
      <c r="B204" t="s">
        <v>252</v>
      </c>
      <c r="C204">
        <v>83</v>
      </c>
      <c r="D204">
        <v>73</v>
      </c>
      <c r="E204">
        <v>62.840519978654399</v>
      </c>
      <c r="F204">
        <v>1.1371447830174499</v>
      </c>
      <c r="G204">
        <v>3101.4831164461302</v>
      </c>
      <c r="H204">
        <v>470.62004624169799</v>
      </c>
      <c r="I204">
        <v>0.62769464230467698</v>
      </c>
      <c r="J204">
        <v>0.17596992178892501</v>
      </c>
      <c r="K204">
        <v>0.644620184733249</v>
      </c>
      <c r="L204" t="s">
        <v>33</v>
      </c>
      <c r="M204" t="s">
        <v>34</v>
      </c>
      <c r="N204" t="s">
        <v>35</v>
      </c>
      <c r="O204">
        <v>0.83941825098692102</v>
      </c>
      <c r="P204" t="s">
        <v>36</v>
      </c>
    </row>
    <row r="205" spans="1:16">
      <c r="A205">
        <v>204</v>
      </c>
      <c r="B205" t="s">
        <v>253</v>
      </c>
      <c r="C205">
        <v>67</v>
      </c>
      <c r="D205">
        <v>103</v>
      </c>
      <c r="E205">
        <v>62.846542646866297</v>
      </c>
      <c r="F205">
        <v>0.64761605710469405</v>
      </c>
      <c r="G205">
        <v>3102.07764045369</v>
      </c>
      <c r="H205">
        <v>487.35074614825498</v>
      </c>
      <c r="I205">
        <v>0.76858983169433004</v>
      </c>
      <c r="J205">
        <v>0.16412670728377601</v>
      </c>
      <c r="K205">
        <v>0.58929327723974401</v>
      </c>
      <c r="L205" t="s">
        <v>49</v>
      </c>
      <c r="M205" t="s">
        <v>34</v>
      </c>
      <c r="N205" t="s">
        <v>35</v>
      </c>
      <c r="O205">
        <v>0.80353097126569695</v>
      </c>
      <c r="P205" t="s">
        <v>36</v>
      </c>
    </row>
    <row r="206" spans="1:16">
      <c r="A206">
        <v>205</v>
      </c>
      <c r="B206" t="s">
        <v>254</v>
      </c>
      <c r="C206">
        <v>118</v>
      </c>
      <c r="D206">
        <v>57</v>
      </c>
      <c r="E206">
        <v>62.906737615549602</v>
      </c>
      <c r="F206">
        <v>2.06782654602313</v>
      </c>
      <c r="G206">
        <v>3108.0228805293</v>
      </c>
      <c r="H206">
        <v>453.656862289076</v>
      </c>
      <c r="I206">
        <v>0.81590024134558103</v>
      </c>
      <c r="J206">
        <v>0.18977504453119801</v>
      </c>
      <c r="K206">
        <v>0.56829546689857602</v>
      </c>
      <c r="L206" t="s">
        <v>144</v>
      </c>
      <c r="M206" t="s">
        <v>34</v>
      </c>
      <c r="N206" t="s">
        <v>35</v>
      </c>
      <c r="O206">
        <v>0.75991402546146802</v>
      </c>
      <c r="P206" t="s">
        <v>36</v>
      </c>
    </row>
    <row r="207" spans="1:16">
      <c r="A207">
        <v>206</v>
      </c>
      <c r="B207" t="s">
        <v>255</v>
      </c>
      <c r="C207">
        <v>83</v>
      </c>
      <c r="D207">
        <v>58</v>
      </c>
      <c r="E207">
        <v>62.933806567510601</v>
      </c>
      <c r="F207">
        <v>1.4395155795491099</v>
      </c>
      <c r="G207">
        <v>3110.6982385633301</v>
      </c>
      <c r="H207">
        <v>278.05146732672398</v>
      </c>
      <c r="I207">
        <v>0.66115846866861905</v>
      </c>
      <c r="J207">
        <v>0.50561199067454798</v>
      </c>
      <c r="K207">
        <v>0.90195655921392903</v>
      </c>
      <c r="L207" t="s">
        <v>47</v>
      </c>
      <c r="M207" t="s">
        <v>34</v>
      </c>
      <c r="N207" t="s">
        <v>35</v>
      </c>
      <c r="O207">
        <v>0.94346621169100497</v>
      </c>
      <c r="P207" t="s">
        <v>36</v>
      </c>
    </row>
    <row r="208" spans="1:16">
      <c r="A208">
        <v>207</v>
      </c>
      <c r="B208" t="s">
        <v>256</v>
      </c>
      <c r="C208">
        <v>83</v>
      </c>
      <c r="D208">
        <v>78</v>
      </c>
      <c r="E208">
        <v>62.9803980459114</v>
      </c>
      <c r="F208">
        <v>1.06993006993007</v>
      </c>
      <c r="G208">
        <v>3115.30579962193</v>
      </c>
      <c r="H208">
        <v>549.10865310834799</v>
      </c>
      <c r="I208">
        <v>0.66058908674253802</v>
      </c>
      <c r="J208">
        <v>0.12983565477294401</v>
      </c>
      <c r="K208">
        <v>0.62087147131135401</v>
      </c>
      <c r="L208" t="s">
        <v>33</v>
      </c>
      <c r="M208" t="s">
        <v>34</v>
      </c>
      <c r="N208" t="s">
        <v>35</v>
      </c>
      <c r="O208">
        <v>0.82701605595414496</v>
      </c>
      <c r="P208" t="s">
        <v>36</v>
      </c>
    </row>
    <row r="209" spans="1:16">
      <c r="A209">
        <v>208</v>
      </c>
      <c r="B209" t="s">
        <v>257</v>
      </c>
      <c r="C209">
        <v>68</v>
      </c>
      <c r="D209">
        <v>79</v>
      </c>
      <c r="E209">
        <v>63.011940442064002</v>
      </c>
      <c r="F209">
        <v>0.86805555555555602</v>
      </c>
      <c r="G209">
        <v>3118.4270506616299</v>
      </c>
      <c r="H209">
        <v>325.39183582834602</v>
      </c>
      <c r="I209">
        <v>0.71704807404305004</v>
      </c>
      <c r="J209">
        <v>0.37011113283618902</v>
      </c>
      <c r="K209">
        <v>0.79778698809840698</v>
      </c>
      <c r="L209" t="s">
        <v>33</v>
      </c>
      <c r="M209" t="s">
        <v>34</v>
      </c>
      <c r="N209" t="s">
        <v>35</v>
      </c>
      <c r="O209">
        <v>0.77434291423760304</v>
      </c>
      <c r="P209" t="s">
        <v>36</v>
      </c>
    </row>
    <row r="210" spans="1:16">
      <c r="A210">
        <v>209</v>
      </c>
      <c r="B210" t="s">
        <v>258</v>
      </c>
      <c r="C210">
        <v>74</v>
      </c>
      <c r="D210">
        <v>72</v>
      </c>
      <c r="E210">
        <v>63.049470338804099</v>
      </c>
      <c r="F210">
        <v>1.02324505874024</v>
      </c>
      <c r="G210">
        <v>3122.1428257088901</v>
      </c>
      <c r="H210">
        <v>372.11613987798302</v>
      </c>
      <c r="I210">
        <v>0.64454119643666696</v>
      </c>
      <c r="J210">
        <v>0.28333851675662403</v>
      </c>
      <c r="K210">
        <v>0.748610121168924</v>
      </c>
      <c r="L210" t="s">
        <v>33</v>
      </c>
      <c r="M210" t="s">
        <v>34</v>
      </c>
      <c r="N210" t="s">
        <v>35</v>
      </c>
      <c r="O210">
        <v>0.67849921708370997</v>
      </c>
      <c r="P210" t="s">
        <v>36</v>
      </c>
    </row>
    <row r="211" spans="1:16">
      <c r="A211">
        <v>210</v>
      </c>
      <c r="B211" t="s">
        <v>259</v>
      </c>
      <c r="C211">
        <v>58</v>
      </c>
      <c r="D211">
        <v>93</v>
      </c>
      <c r="E211">
        <v>63.097476033653699</v>
      </c>
      <c r="F211">
        <v>0.629411764705882</v>
      </c>
      <c r="G211">
        <v>3126.89901776938</v>
      </c>
      <c r="H211">
        <v>632.62045851976995</v>
      </c>
      <c r="I211">
        <v>0.74767686493024499</v>
      </c>
      <c r="J211">
        <v>9.8183216347936406E-2</v>
      </c>
      <c r="K211">
        <v>0.64525825052140795</v>
      </c>
      <c r="L211" t="s">
        <v>33</v>
      </c>
      <c r="M211" t="s">
        <v>34</v>
      </c>
      <c r="N211" t="s">
        <v>35</v>
      </c>
      <c r="O211">
        <v>0.83081482722630895</v>
      </c>
      <c r="P211" t="s">
        <v>36</v>
      </c>
    </row>
    <row r="212" spans="1:16">
      <c r="A212">
        <v>211</v>
      </c>
      <c r="B212" t="s">
        <v>260</v>
      </c>
      <c r="C212">
        <v>78</v>
      </c>
      <c r="D212">
        <v>86</v>
      </c>
      <c r="E212">
        <v>63.269695840688698</v>
      </c>
      <c r="F212">
        <v>0.90233594901616898</v>
      </c>
      <c r="G212">
        <v>3143.99158298677</v>
      </c>
      <c r="H212">
        <v>442.90199459272901</v>
      </c>
      <c r="I212">
        <v>0.71875442254592703</v>
      </c>
      <c r="J212">
        <v>0.20140765198408001</v>
      </c>
      <c r="K212">
        <v>0.62181786113234205</v>
      </c>
      <c r="L212" t="s">
        <v>33</v>
      </c>
      <c r="M212" t="s">
        <v>34</v>
      </c>
      <c r="N212" t="s">
        <v>35</v>
      </c>
      <c r="O212">
        <v>0.72653694963012305</v>
      </c>
      <c r="P212" t="s">
        <v>36</v>
      </c>
    </row>
    <row r="213" spans="1:16">
      <c r="A213">
        <v>212</v>
      </c>
      <c r="B213" t="s">
        <v>261</v>
      </c>
      <c r="C213">
        <v>69</v>
      </c>
      <c r="D213">
        <v>93</v>
      </c>
      <c r="E213">
        <v>63.365337175784099</v>
      </c>
      <c r="F213">
        <v>0.74117647058823499</v>
      </c>
      <c r="G213">
        <v>3153.5039671077502</v>
      </c>
      <c r="H213">
        <v>584.69612528583298</v>
      </c>
      <c r="I213">
        <v>0.59204928096079101</v>
      </c>
      <c r="J213">
        <v>0.115915847287552</v>
      </c>
      <c r="K213">
        <v>0.59093694295900201</v>
      </c>
      <c r="L213" t="s">
        <v>33</v>
      </c>
      <c r="M213" t="s">
        <v>34</v>
      </c>
      <c r="N213" t="s">
        <v>35</v>
      </c>
      <c r="O213">
        <v>0.79611583250552598</v>
      </c>
      <c r="P213" t="s">
        <v>36</v>
      </c>
    </row>
    <row r="214" spans="1:16">
      <c r="A214">
        <v>213</v>
      </c>
      <c r="B214" t="s">
        <v>262</v>
      </c>
      <c r="C214">
        <v>109</v>
      </c>
      <c r="D214">
        <v>53</v>
      </c>
      <c r="E214">
        <v>63.374296150851897</v>
      </c>
      <c r="F214">
        <v>2.0474049851216898</v>
      </c>
      <c r="G214">
        <v>3154.3957531190899</v>
      </c>
      <c r="H214">
        <v>389.24371543314197</v>
      </c>
      <c r="I214">
        <v>0.72733865536338804</v>
      </c>
      <c r="J214">
        <v>0.261627158648016</v>
      </c>
      <c r="K214">
        <v>0.71830366208623797</v>
      </c>
      <c r="L214" t="s">
        <v>33</v>
      </c>
      <c r="M214" t="s">
        <v>34</v>
      </c>
      <c r="N214" t="s">
        <v>35</v>
      </c>
      <c r="O214">
        <v>0.820259148984534</v>
      </c>
      <c r="P214" t="s">
        <v>36</v>
      </c>
    </row>
    <row r="215" spans="1:16">
      <c r="A215">
        <v>214</v>
      </c>
      <c r="B215" t="s">
        <v>263</v>
      </c>
      <c r="C215">
        <v>58</v>
      </c>
      <c r="D215">
        <v>119</v>
      </c>
      <c r="E215">
        <v>63.390717649959399</v>
      </c>
      <c r="F215">
        <v>0.48510531336835899</v>
      </c>
      <c r="G215">
        <v>3156.0306941398899</v>
      </c>
      <c r="H215">
        <v>473.79115842632598</v>
      </c>
      <c r="I215">
        <v>0.58184407605086796</v>
      </c>
      <c r="J215">
        <v>0.17667584553392701</v>
      </c>
      <c r="K215">
        <v>0.60117210724498205</v>
      </c>
      <c r="L215" t="s">
        <v>47</v>
      </c>
      <c r="M215" t="s">
        <v>34</v>
      </c>
      <c r="N215" t="s">
        <v>35</v>
      </c>
      <c r="O215">
        <v>0.92250193880635201</v>
      </c>
      <c r="P215" t="s">
        <v>36</v>
      </c>
    </row>
    <row r="216" spans="1:16">
      <c r="A216">
        <v>215</v>
      </c>
      <c r="B216" t="s">
        <v>264</v>
      </c>
      <c r="C216">
        <v>64</v>
      </c>
      <c r="D216">
        <v>122</v>
      </c>
      <c r="E216">
        <v>63.502569234365602</v>
      </c>
      <c r="F216">
        <v>0.52232142857142905</v>
      </c>
      <c r="G216">
        <v>3167.17801928166</v>
      </c>
      <c r="H216">
        <v>617.48666344611502</v>
      </c>
      <c r="I216">
        <v>0.74862288095549201</v>
      </c>
      <c r="J216">
        <v>0.104382375107475</v>
      </c>
      <c r="K216">
        <v>0.566562973598149</v>
      </c>
      <c r="L216" t="s">
        <v>33</v>
      </c>
      <c r="M216" t="s">
        <v>34</v>
      </c>
      <c r="N216" t="s">
        <v>35</v>
      </c>
      <c r="O216">
        <v>0.77636805053259805</v>
      </c>
      <c r="P216" t="s">
        <v>36</v>
      </c>
    </row>
    <row r="217" spans="1:16">
      <c r="A217">
        <v>216</v>
      </c>
      <c r="B217" t="s">
        <v>265</v>
      </c>
      <c r="C217">
        <v>79</v>
      </c>
      <c r="D217">
        <v>71</v>
      </c>
      <c r="E217">
        <v>63.580937037245199</v>
      </c>
      <c r="F217">
        <v>1.1151078247064801</v>
      </c>
      <c r="G217">
        <v>3175</v>
      </c>
      <c r="H217">
        <v>313.13708305358898</v>
      </c>
      <c r="I217">
        <v>0.52046342963922998</v>
      </c>
      <c r="J217">
        <v>0.40689709592142997</v>
      </c>
      <c r="K217">
        <v>0.72779369627507196</v>
      </c>
      <c r="L217" t="s">
        <v>38</v>
      </c>
      <c r="M217" t="s">
        <v>34</v>
      </c>
      <c r="N217" t="s">
        <v>35</v>
      </c>
      <c r="O217">
        <v>0.76764372211374998</v>
      </c>
      <c r="P217" t="s">
        <v>36</v>
      </c>
    </row>
    <row r="218" spans="1:16">
      <c r="A218">
        <v>217</v>
      </c>
      <c r="B218" t="s">
        <v>266</v>
      </c>
      <c r="C218">
        <v>128</v>
      </c>
      <c r="D218">
        <v>58</v>
      </c>
      <c r="E218">
        <v>63.582980539615697</v>
      </c>
      <c r="F218">
        <v>2.2073896070501902</v>
      </c>
      <c r="G218">
        <v>3175.2040933837402</v>
      </c>
      <c r="H218">
        <v>777.93556585363694</v>
      </c>
      <c r="I218">
        <v>0.61452616052092601</v>
      </c>
      <c r="J218">
        <v>6.5931697221549193E-2</v>
      </c>
      <c r="K218">
        <v>0.57778438903012896</v>
      </c>
      <c r="L218" t="s">
        <v>43</v>
      </c>
      <c r="M218" t="s">
        <v>34</v>
      </c>
      <c r="N218" t="s">
        <v>35</v>
      </c>
      <c r="O218">
        <v>0.84431353963979305</v>
      </c>
      <c r="P218" t="s">
        <v>36</v>
      </c>
    </row>
    <row r="219" spans="1:16">
      <c r="A219">
        <v>218</v>
      </c>
      <c r="B219" t="s">
        <v>267</v>
      </c>
      <c r="C219">
        <v>88</v>
      </c>
      <c r="D219">
        <v>73</v>
      </c>
      <c r="E219">
        <v>63.608274171503901</v>
      </c>
      <c r="F219">
        <v>1.20149253731343</v>
      </c>
      <c r="G219">
        <v>3177.7308204158799</v>
      </c>
      <c r="H219">
        <v>541.43021466773496</v>
      </c>
      <c r="I219">
        <v>0.617757759739199</v>
      </c>
      <c r="J219">
        <v>0.13622035072101099</v>
      </c>
      <c r="K219">
        <v>0.65633154259401405</v>
      </c>
      <c r="L219" t="s">
        <v>33</v>
      </c>
      <c r="M219" t="s">
        <v>34</v>
      </c>
      <c r="N219" t="s">
        <v>35</v>
      </c>
      <c r="O219">
        <v>0.78009907116286203</v>
      </c>
      <c r="P219" t="s">
        <v>36</v>
      </c>
    </row>
    <row r="220" spans="1:16">
      <c r="A220">
        <v>219</v>
      </c>
      <c r="B220" t="s">
        <v>268</v>
      </c>
      <c r="C220">
        <v>54</v>
      </c>
      <c r="D220">
        <v>111</v>
      </c>
      <c r="E220">
        <v>63.629096671615102</v>
      </c>
      <c r="F220">
        <v>0.483897993370206</v>
      </c>
      <c r="G220">
        <v>3179.8116544423401</v>
      </c>
      <c r="H220">
        <v>495.70944848019099</v>
      </c>
      <c r="I220">
        <v>0.68347731378014098</v>
      </c>
      <c r="J220">
        <v>0.16261360095920499</v>
      </c>
      <c r="K220">
        <v>0.67228105458316301</v>
      </c>
      <c r="L220" t="s">
        <v>47</v>
      </c>
      <c r="M220" t="s">
        <v>34</v>
      </c>
      <c r="N220" t="s">
        <v>35</v>
      </c>
      <c r="O220">
        <v>0.92788188018780904</v>
      </c>
      <c r="P220" t="s">
        <v>36</v>
      </c>
    </row>
    <row r="221" spans="1:16">
      <c r="A221">
        <v>220</v>
      </c>
      <c r="B221" t="s">
        <v>269</v>
      </c>
      <c r="C221">
        <v>78</v>
      </c>
      <c r="D221">
        <v>68</v>
      </c>
      <c r="E221">
        <v>63.6692351195898</v>
      </c>
      <c r="F221">
        <v>1.1439999999999999</v>
      </c>
      <c r="G221">
        <v>3183.8246914933802</v>
      </c>
      <c r="H221">
        <v>714.98703194773702</v>
      </c>
      <c r="I221">
        <v>0.64102102713425102</v>
      </c>
      <c r="J221">
        <v>7.8264115381055405E-2</v>
      </c>
      <c r="K221">
        <v>0.62579608530528796</v>
      </c>
      <c r="L221" t="s">
        <v>47</v>
      </c>
      <c r="M221" t="s">
        <v>34</v>
      </c>
      <c r="N221" t="s">
        <v>35</v>
      </c>
      <c r="O221">
        <v>0.93759273264255905</v>
      </c>
      <c r="P221" t="s">
        <v>36</v>
      </c>
    </row>
    <row r="222" spans="1:16">
      <c r="A222">
        <v>221</v>
      </c>
      <c r="B222" t="s">
        <v>270</v>
      </c>
      <c r="C222">
        <v>68</v>
      </c>
      <c r="D222">
        <v>78</v>
      </c>
      <c r="E222">
        <v>63.7093482793654</v>
      </c>
      <c r="F222">
        <v>0.86713286713286697</v>
      </c>
      <c r="G222">
        <v>3187.8377285444199</v>
      </c>
      <c r="H222">
        <v>549.03115842632599</v>
      </c>
      <c r="I222">
        <v>0.65571997492159095</v>
      </c>
      <c r="J222">
        <v>0.13289605407038299</v>
      </c>
      <c r="K222">
        <v>0.71766044301679699</v>
      </c>
      <c r="L222" t="s">
        <v>33</v>
      </c>
      <c r="M222" t="s">
        <v>34</v>
      </c>
      <c r="N222" t="s">
        <v>35</v>
      </c>
      <c r="O222">
        <v>0.70407661139576405</v>
      </c>
      <c r="P222" t="s">
        <v>36</v>
      </c>
    </row>
    <row r="223" spans="1:16">
      <c r="A223">
        <v>222</v>
      </c>
      <c r="B223" t="s">
        <v>271</v>
      </c>
      <c r="C223">
        <v>58</v>
      </c>
      <c r="D223">
        <v>78</v>
      </c>
      <c r="E223">
        <v>63.789498925114799</v>
      </c>
      <c r="F223">
        <v>0.74356377453740596</v>
      </c>
      <c r="G223">
        <v>3195.8638026465001</v>
      </c>
      <c r="H223">
        <v>297.35991244709999</v>
      </c>
      <c r="I223">
        <v>0.76102963425008496</v>
      </c>
      <c r="J223">
        <v>0.45418552224537401</v>
      </c>
      <c r="K223">
        <v>0.88481955475083296</v>
      </c>
      <c r="L223" t="s">
        <v>33</v>
      </c>
      <c r="M223" t="s">
        <v>34</v>
      </c>
      <c r="N223" t="s">
        <v>35</v>
      </c>
      <c r="O223">
        <v>0.70015614389625702</v>
      </c>
      <c r="P223" t="s">
        <v>36</v>
      </c>
    </row>
    <row r="224" spans="1:16">
      <c r="A224">
        <v>223</v>
      </c>
      <c r="B224" t="s">
        <v>272</v>
      </c>
      <c r="C224">
        <v>42</v>
      </c>
      <c r="D224">
        <v>143</v>
      </c>
      <c r="E224">
        <v>63.931740853495803</v>
      </c>
      <c r="F224">
        <v>0.291953045342291</v>
      </c>
      <c r="G224">
        <v>3210.1323788279801</v>
      </c>
      <c r="H224">
        <v>489.96059108174398</v>
      </c>
      <c r="I224">
        <v>0.82294997173182904</v>
      </c>
      <c r="J224">
        <v>0.168039161721315</v>
      </c>
      <c r="K224">
        <v>0.68304870335230905</v>
      </c>
      <c r="L224" t="s">
        <v>49</v>
      </c>
      <c r="M224" t="s">
        <v>34</v>
      </c>
      <c r="N224" t="s">
        <v>35</v>
      </c>
      <c r="O224">
        <v>0.81062721118230896</v>
      </c>
      <c r="P224" t="s">
        <v>36</v>
      </c>
    </row>
    <row r="225" spans="1:16">
      <c r="A225">
        <v>224</v>
      </c>
      <c r="B225" t="s">
        <v>273</v>
      </c>
      <c r="C225">
        <v>59</v>
      </c>
      <c r="D225">
        <v>73</v>
      </c>
      <c r="E225">
        <v>64.088432908689995</v>
      </c>
      <c r="F225">
        <v>0.80597014925373101</v>
      </c>
      <c r="G225">
        <v>3225.8872650283602</v>
      </c>
      <c r="H225">
        <v>290.44312558402203</v>
      </c>
      <c r="I225">
        <v>0.670619428348462</v>
      </c>
      <c r="J225">
        <v>0.48054808021032402</v>
      </c>
      <c r="K225">
        <v>0.91293009169681205</v>
      </c>
      <c r="L225" t="s">
        <v>49</v>
      </c>
      <c r="M225" t="s">
        <v>34</v>
      </c>
      <c r="N225" t="s">
        <v>35</v>
      </c>
      <c r="O225">
        <v>0.85573960702772101</v>
      </c>
      <c r="P225" t="s">
        <v>36</v>
      </c>
    </row>
    <row r="226" spans="1:16">
      <c r="A226">
        <v>225</v>
      </c>
      <c r="B226" t="s">
        <v>274</v>
      </c>
      <c r="C226">
        <v>110</v>
      </c>
      <c r="D226">
        <v>81</v>
      </c>
      <c r="E226">
        <v>64.318342020638298</v>
      </c>
      <c r="F226">
        <v>1.3707886708692301</v>
      </c>
      <c r="G226">
        <v>3249.0737013232501</v>
      </c>
      <c r="H226">
        <v>644.31855764306101</v>
      </c>
      <c r="I226">
        <v>0.59821277358955605</v>
      </c>
      <c r="J226">
        <v>9.8348592010001304E-2</v>
      </c>
      <c r="K226">
        <v>0.47908128602423899</v>
      </c>
      <c r="L226" t="s">
        <v>33</v>
      </c>
      <c r="M226" t="s">
        <v>34</v>
      </c>
      <c r="N226" t="s">
        <v>35</v>
      </c>
      <c r="O226">
        <v>0.70527860465996495</v>
      </c>
      <c r="P226" t="s">
        <v>36</v>
      </c>
    </row>
    <row r="227" spans="1:16">
      <c r="A227">
        <v>226</v>
      </c>
      <c r="B227" t="s">
        <v>275</v>
      </c>
      <c r="C227">
        <v>56</v>
      </c>
      <c r="D227">
        <v>85</v>
      </c>
      <c r="E227">
        <v>64.451097854873396</v>
      </c>
      <c r="F227">
        <v>0.657303405353859</v>
      </c>
      <c r="G227">
        <v>3262.5</v>
      </c>
      <c r="H227">
        <v>284.35028612613701</v>
      </c>
      <c r="I227">
        <v>0.75201641695999999</v>
      </c>
      <c r="J227">
        <v>0.50705263642709897</v>
      </c>
      <c r="K227">
        <v>0.84193548387096795</v>
      </c>
      <c r="L227" t="s">
        <v>38</v>
      </c>
      <c r="M227" t="s">
        <v>34</v>
      </c>
      <c r="N227" t="s">
        <v>35</v>
      </c>
      <c r="O227">
        <v>0.77232555208122899</v>
      </c>
      <c r="P227" t="s">
        <v>36</v>
      </c>
    </row>
    <row r="228" spans="1:16">
      <c r="A228">
        <v>227</v>
      </c>
      <c r="B228" t="s">
        <v>276</v>
      </c>
      <c r="C228">
        <v>95</v>
      </c>
      <c r="D228">
        <v>51</v>
      </c>
      <c r="E228">
        <v>64.518107152119299</v>
      </c>
      <c r="F228">
        <v>1.85937851684596</v>
      </c>
      <c r="G228">
        <v>3269.2875175803401</v>
      </c>
      <c r="H228">
        <v>347.33282336338698</v>
      </c>
      <c r="I228">
        <v>0.54063178238336995</v>
      </c>
      <c r="J228">
        <v>0.34054250562656502</v>
      </c>
      <c r="K228">
        <v>0.81085265602536205</v>
      </c>
      <c r="L228" t="s">
        <v>33</v>
      </c>
      <c r="M228" t="s">
        <v>34</v>
      </c>
      <c r="N228" t="s">
        <v>35</v>
      </c>
      <c r="O228">
        <v>0.75446665973879001</v>
      </c>
      <c r="P228" t="s">
        <v>36</v>
      </c>
    </row>
    <row r="229" spans="1:16">
      <c r="A229">
        <v>228</v>
      </c>
      <c r="B229" t="s">
        <v>277</v>
      </c>
      <c r="C229">
        <v>69</v>
      </c>
      <c r="D229">
        <v>67</v>
      </c>
      <c r="E229">
        <v>64.574449351176497</v>
      </c>
      <c r="F229">
        <v>1.0232557313886701</v>
      </c>
      <c r="G229">
        <v>3275</v>
      </c>
      <c r="H229">
        <v>277.27921843528702</v>
      </c>
      <c r="I229">
        <v>0.67111914159857999</v>
      </c>
      <c r="J229">
        <v>0.53528679006326396</v>
      </c>
      <c r="K229">
        <v>0.82389937106918198</v>
      </c>
      <c r="L229" t="s">
        <v>33</v>
      </c>
      <c r="M229" t="s">
        <v>34</v>
      </c>
      <c r="N229" t="s">
        <v>35</v>
      </c>
      <c r="O229">
        <v>0.79609841709098506</v>
      </c>
      <c r="P229" t="s">
        <v>36</v>
      </c>
    </row>
    <row r="230" spans="1:16">
      <c r="A230">
        <v>229</v>
      </c>
      <c r="B230" t="s">
        <v>278</v>
      </c>
      <c r="C230">
        <v>98</v>
      </c>
      <c r="D230">
        <v>63</v>
      </c>
      <c r="E230">
        <v>64.588464977989702</v>
      </c>
      <c r="F230">
        <v>1.54310338817509</v>
      </c>
      <c r="G230">
        <v>3276.4218056710802</v>
      </c>
      <c r="H230">
        <v>645.64147647173502</v>
      </c>
      <c r="I230">
        <v>0.70551777868487298</v>
      </c>
      <c r="J230">
        <v>9.8770403432042506E-2</v>
      </c>
      <c r="K230">
        <v>0.66990822342430001</v>
      </c>
      <c r="L230" t="s">
        <v>47</v>
      </c>
      <c r="M230" t="s">
        <v>34</v>
      </c>
      <c r="N230" t="s">
        <v>35</v>
      </c>
      <c r="O230">
        <v>0.94849450978570005</v>
      </c>
      <c r="P230" t="s">
        <v>36</v>
      </c>
    </row>
    <row r="231" spans="1:16">
      <c r="A231">
        <v>230</v>
      </c>
      <c r="B231" t="s">
        <v>279</v>
      </c>
      <c r="C231">
        <v>90</v>
      </c>
      <c r="D231">
        <v>58</v>
      </c>
      <c r="E231">
        <v>64.633863702842305</v>
      </c>
      <c r="F231">
        <v>1.5509024718276001</v>
      </c>
      <c r="G231">
        <v>3281.0293667296801</v>
      </c>
      <c r="H231">
        <v>468.20669263041498</v>
      </c>
      <c r="I231">
        <v>0.63135747966046796</v>
      </c>
      <c r="J231">
        <v>0.188080922818011</v>
      </c>
      <c r="K231">
        <v>0.75277067348678595</v>
      </c>
      <c r="L231" t="s">
        <v>49</v>
      </c>
      <c r="M231" t="s">
        <v>34</v>
      </c>
      <c r="N231" t="s">
        <v>35</v>
      </c>
      <c r="O231">
        <v>0.810727685105046</v>
      </c>
      <c r="P231" t="s">
        <v>36</v>
      </c>
    </row>
    <row r="232" spans="1:16">
      <c r="A232">
        <v>231</v>
      </c>
      <c r="B232" t="s">
        <v>280</v>
      </c>
      <c r="C232">
        <v>62</v>
      </c>
      <c r="D232">
        <v>109</v>
      </c>
      <c r="E232">
        <v>64.712869292694293</v>
      </c>
      <c r="F232">
        <v>0.56758061064850296</v>
      </c>
      <c r="G232">
        <v>3289.0554408317598</v>
      </c>
      <c r="H232">
        <v>390.895417466889</v>
      </c>
      <c r="I232">
        <v>0.58644061532044101</v>
      </c>
      <c r="J232">
        <v>0.27049540985822002</v>
      </c>
      <c r="K232">
        <v>0.69354687059265996</v>
      </c>
      <c r="L232" t="s">
        <v>33</v>
      </c>
      <c r="M232" t="s">
        <v>34</v>
      </c>
      <c r="N232" t="s">
        <v>35</v>
      </c>
      <c r="O232">
        <v>0.76162332500657404</v>
      </c>
      <c r="P232" t="s">
        <v>36</v>
      </c>
    </row>
    <row r="233" spans="1:16">
      <c r="A233">
        <v>232</v>
      </c>
      <c r="B233" t="s">
        <v>281</v>
      </c>
      <c r="C233">
        <v>71</v>
      </c>
      <c r="D233">
        <v>122</v>
      </c>
      <c r="E233">
        <v>64.742106155707901</v>
      </c>
      <c r="F233">
        <v>0.58095861846544605</v>
      </c>
      <c r="G233">
        <v>3292.0280608695698</v>
      </c>
      <c r="H233">
        <v>807.50019462844602</v>
      </c>
      <c r="I233">
        <v>0.715734633738766</v>
      </c>
      <c r="J233">
        <v>6.3443644231360494E-2</v>
      </c>
      <c r="K233">
        <v>0.50498164656528599</v>
      </c>
      <c r="L233" t="s">
        <v>41</v>
      </c>
      <c r="M233" t="s">
        <v>34</v>
      </c>
      <c r="N233" t="s">
        <v>35</v>
      </c>
      <c r="O233">
        <v>0.74394220196024496</v>
      </c>
      <c r="P233" t="s">
        <v>36</v>
      </c>
    </row>
    <row r="234" spans="1:16">
      <c r="A234">
        <v>233</v>
      </c>
      <c r="B234" t="s">
        <v>282</v>
      </c>
      <c r="C234">
        <v>66</v>
      </c>
      <c r="D234">
        <v>87</v>
      </c>
      <c r="E234">
        <v>64.905589210985198</v>
      </c>
      <c r="F234">
        <v>0.75774641863415504</v>
      </c>
      <c r="G234">
        <v>3308.67473308129</v>
      </c>
      <c r="H234">
        <v>388.869537265715</v>
      </c>
      <c r="I234">
        <v>0.81395285185132504</v>
      </c>
      <c r="J234">
        <v>0.27495149937968499</v>
      </c>
      <c r="K234">
        <v>0.78029373619825404</v>
      </c>
      <c r="L234" t="s">
        <v>47</v>
      </c>
      <c r="M234" t="s">
        <v>34</v>
      </c>
      <c r="N234" t="s">
        <v>35</v>
      </c>
      <c r="O234">
        <v>0.89404905688167702</v>
      </c>
      <c r="P234" t="s">
        <v>36</v>
      </c>
    </row>
    <row r="235" spans="1:16">
      <c r="A235">
        <v>234</v>
      </c>
      <c r="B235" t="s">
        <v>283</v>
      </c>
      <c r="C235">
        <v>135</v>
      </c>
      <c r="D235">
        <v>56</v>
      </c>
      <c r="E235">
        <v>65.017745360417095</v>
      </c>
      <c r="F235">
        <v>2.4100660811811099</v>
      </c>
      <c r="G235">
        <v>3320.11932022684</v>
      </c>
      <c r="H235">
        <v>452.16955185786497</v>
      </c>
      <c r="I235">
        <v>0.77930559774809105</v>
      </c>
      <c r="J235">
        <v>0.20406143053666501</v>
      </c>
      <c r="K235">
        <v>0.64898314933178403</v>
      </c>
      <c r="L235" t="s">
        <v>47</v>
      </c>
      <c r="M235" t="s">
        <v>34</v>
      </c>
      <c r="N235" t="s">
        <v>35</v>
      </c>
      <c r="O235">
        <v>0.93416268613856501</v>
      </c>
      <c r="P235" t="s">
        <v>36</v>
      </c>
    </row>
    <row r="236" spans="1:16">
      <c r="A236">
        <v>235</v>
      </c>
      <c r="B236" t="s">
        <v>284</v>
      </c>
      <c r="C236">
        <v>112</v>
      </c>
      <c r="D236">
        <v>82</v>
      </c>
      <c r="E236">
        <v>65.045390507448502</v>
      </c>
      <c r="F236">
        <v>1.3642384105960299</v>
      </c>
      <c r="G236">
        <v>3322.9433092627601</v>
      </c>
      <c r="H236">
        <v>671.49253028776297</v>
      </c>
      <c r="I236">
        <v>0.70087874841411502</v>
      </c>
      <c r="J236">
        <v>9.2608409243157594E-2</v>
      </c>
      <c r="K236">
        <v>0.49962009475283797</v>
      </c>
      <c r="L236" t="s">
        <v>33</v>
      </c>
      <c r="M236" t="s">
        <v>34</v>
      </c>
      <c r="N236" t="s">
        <v>35</v>
      </c>
      <c r="O236">
        <v>0.79035914740145496</v>
      </c>
      <c r="P236" t="s">
        <v>36</v>
      </c>
    </row>
    <row r="237" spans="1:16">
      <c r="A237">
        <v>236</v>
      </c>
      <c r="B237" t="s">
        <v>285</v>
      </c>
      <c r="C237">
        <v>68</v>
      </c>
      <c r="D237">
        <v>107</v>
      </c>
      <c r="E237">
        <v>65.067207326764702</v>
      </c>
      <c r="F237">
        <v>0.63451776649746205</v>
      </c>
      <c r="G237">
        <v>3325.1727742911198</v>
      </c>
      <c r="H237">
        <v>624.90992035948705</v>
      </c>
      <c r="I237">
        <v>0.74660694874108102</v>
      </c>
      <c r="J237">
        <v>0.10700134623687101</v>
      </c>
      <c r="K237">
        <v>0.58955912193322302</v>
      </c>
      <c r="L237" t="s">
        <v>61</v>
      </c>
      <c r="M237" t="s">
        <v>34</v>
      </c>
      <c r="N237" t="s">
        <v>35</v>
      </c>
      <c r="O237">
        <v>0.80867104222400799</v>
      </c>
      <c r="P237" t="s">
        <v>36</v>
      </c>
    </row>
    <row r="238" spans="1:16">
      <c r="A238">
        <v>237</v>
      </c>
      <c r="B238" t="s">
        <v>286</v>
      </c>
      <c r="C238">
        <v>132</v>
      </c>
      <c r="D238">
        <v>56</v>
      </c>
      <c r="E238">
        <v>65.091924215529602</v>
      </c>
      <c r="F238">
        <v>2.3584903338068299</v>
      </c>
      <c r="G238">
        <v>3327.6995013232499</v>
      </c>
      <c r="H238">
        <v>514.98579388089797</v>
      </c>
      <c r="I238">
        <v>0.60433199358090595</v>
      </c>
      <c r="J238">
        <v>0.157675228001454</v>
      </c>
      <c r="K238">
        <v>0.65135426061152601</v>
      </c>
      <c r="L238" t="s">
        <v>33</v>
      </c>
      <c r="M238" t="s">
        <v>34</v>
      </c>
      <c r="N238" t="s">
        <v>35</v>
      </c>
      <c r="O238">
        <v>0.71089415270850798</v>
      </c>
      <c r="P238" t="s">
        <v>36</v>
      </c>
    </row>
    <row r="239" spans="1:16">
      <c r="A239">
        <v>238</v>
      </c>
      <c r="B239" t="s">
        <v>287</v>
      </c>
      <c r="C239">
        <v>52</v>
      </c>
      <c r="D239">
        <v>120</v>
      </c>
      <c r="E239">
        <v>65.455775591192307</v>
      </c>
      <c r="F239">
        <v>0.43038635989215202</v>
      </c>
      <c r="G239">
        <v>3365.00588279773</v>
      </c>
      <c r="H239">
        <v>542.37895532898301</v>
      </c>
      <c r="I239">
        <v>0.72557219911418902</v>
      </c>
      <c r="J239">
        <v>0.143744101078147</v>
      </c>
      <c r="K239">
        <v>0.69771025301241996</v>
      </c>
      <c r="L239" t="s">
        <v>288</v>
      </c>
      <c r="M239" t="s">
        <v>34</v>
      </c>
      <c r="N239" t="s">
        <v>35</v>
      </c>
      <c r="O239">
        <v>0.70119814085307597</v>
      </c>
      <c r="P239" t="s">
        <v>36</v>
      </c>
    </row>
    <row r="240" spans="1:16">
      <c r="A240">
        <v>239</v>
      </c>
      <c r="B240" t="s">
        <v>289</v>
      </c>
      <c r="C240">
        <v>99</v>
      </c>
      <c r="D240">
        <v>65</v>
      </c>
      <c r="E240">
        <v>65.569876810238</v>
      </c>
      <c r="F240">
        <v>1.5182266495552801</v>
      </c>
      <c r="G240">
        <v>3376.74773194707</v>
      </c>
      <c r="H240">
        <v>444.18502769335498</v>
      </c>
      <c r="I240">
        <v>0.659452559080689</v>
      </c>
      <c r="J240">
        <v>0.21507040344245101</v>
      </c>
      <c r="K240">
        <v>0.68094353195060497</v>
      </c>
      <c r="L240" t="s">
        <v>49</v>
      </c>
      <c r="M240" t="s">
        <v>34</v>
      </c>
      <c r="N240" t="s">
        <v>35</v>
      </c>
      <c r="O240">
        <v>0.76086847752290698</v>
      </c>
      <c r="P240" t="s">
        <v>36</v>
      </c>
    </row>
    <row r="241" spans="1:16">
      <c r="A241">
        <v>240</v>
      </c>
      <c r="B241" t="s">
        <v>290</v>
      </c>
      <c r="C241">
        <v>83</v>
      </c>
      <c r="D241">
        <v>56</v>
      </c>
      <c r="E241">
        <v>65.594404286385995</v>
      </c>
      <c r="F241">
        <v>1.48471609214224</v>
      </c>
      <c r="G241">
        <v>3379.2744589792101</v>
      </c>
      <c r="H241">
        <v>270.47322104930902</v>
      </c>
      <c r="I241">
        <v>0.60803122328583503</v>
      </c>
      <c r="J241">
        <v>0.58047668892809301</v>
      </c>
      <c r="K241">
        <v>0.92475392499796605</v>
      </c>
      <c r="L241" t="s">
        <v>47</v>
      </c>
      <c r="M241" t="s">
        <v>34</v>
      </c>
      <c r="N241" t="s">
        <v>35</v>
      </c>
      <c r="O241">
        <v>0.89046267820358105</v>
      </c>
      <c r="P241" t="s">
        <v>36</v>
      </c>
    </row>
    <row r="242" spans="1:16">
      <c r="A242">
        <v>241</v>
      </c>
      <c r="B242" t="s">
        <v>291</v>
      </c>
      <c r="C242">
        <v>115</v>
      </c>
      <c r="D242">
        <v>51</v>
      </c>
      <c r="E242">
        <v>65.711144763194199</v>
      </c>
      <c r="F242">
        <v>2.25659060890401</v>
      </c>
      <c r="G242">
        <v>3391.3135701323299</v>
      </c>
      <c r="H242">
        <v>359.45989785494999</v>
      </c>
      <c r="I242">
        <v>0.58296431978653995</v>
      </c>
      <c r="J242">
        <v>0.32981994777794399</v>
      </c>
      <c r="K242">
        <v>0.76567114093959698</v>
      </c>
      <c r="L242" t="s">
        <v>41</v>
      </c>
      <c r="M242" t="s">
        <v>34</v>
      </c>
      <c r="N242" t="s">
        <v>35</v>
      </c>
      <c r="O242">
        <v>0.83096725090650503</v>
      </c>
      <c r="P242" t="s">
        <v>36</v>
      </c>
    </row>
    <row r="243" spans="1:16">
      <c r="A243">
        <v>242</v>
      </c>
      <c r="B243" t="s">
        <v>292</v>
      </c>
      <c r="C243">
        <v>63</v>
      </c>
      <c r="D243">
        <v>117</v>
      </c>
      <c r="E243">
        <v>65.873659305574094</v>
      </c>
      <c r="F243">
        <v>0.53488372093023295</v>
      </c>
      <c r="G243">
        <v>3408.1088733459401</v>
      </c>
      <c r="H243">
        <v>791.23056980983097</v>
      </c>
      <c r="I243">
        <v>0.70909779624005398</v>
      </c>
      <c r="J243">
        <v>6.84096246595087E-2</v>
      </c>
      <c r="K243">
        <v>0.55683722285630999</v>
      </c>
      <c r="L243" t="s">
        <v>33</v>
      </c>
      <c r="M243" t="s">
        <v>34</v>
      </c>
      <c r="N243" t="s">
        <v>35</v>
      </c>
      <c r="O243">
        <v>0.73114823790399996</v>
      </c>
      <c r="P243" t="s">
        <v>36</v>
      </c>
    </row>
    <row r="244" spans="1:16">
      <c r="A244">
        <v>243</v>
      </c>
      <c r="B244" t="s">
        <v>293</v>
      </c>
      <c r="C244">
        <v>88</v>
      </c>
      <c r="D244">
        <v>78</v>
      </c>
      <c r="E244">
        <v>65.999942142358904</v>
      </c>
      <c r="F244">
        <v>1.12587412587413</v>
      </c>
      <c r="G244">
        <v>3421.1884015122901</v>
      </c>
      <c r="H244">
        <v>540.49476924916996</v>
      </c>
      <c r="I244">
        <v>0.61892788356607598</v>
      </c>
      <c r="J244">
        <v>0.14716477282929799</v>
      </c>
      <c r="K244">
        <v>0.62146984178411402</v>
      </c>
      <c r="L244" t="s">
        <v>74</v>
      </c>
      <c r="M244" t="s">
        <v>34</v>
      </c>
      <c r="N244" t="s">
        <v>35</v>
      </c>
      <c r="O244">
        <v>0.79065998148356198</v>
      </c>
      <c r="P244" t="s">
        <v>36</v>
      </c>
    </row>
    <row r="245" spans="1:16">
      <c r="A245">
        <v>244</v>
      </c>
      <c r="B245" t="s">
        <v>294</v>
      </c>
      <c r="C245">
        <v>81</v>
      </c>
      <c r="D245">
        <v>71</v>
      </c>
      <c r="E245">
        <v>66.001375786144806</v>
      </c>
      <c r="F245">
        <v>1.1452184266554699</v>
      </c>
      <c r="G245">
        <v>3421.33703251418</v>
      </c>
      <c r="H245">
        <v>351.26558712554998</v>
      </c>
      <c r="I245">
        <v>0.68096982508001103</v>
      </c>
      <c r="J245">
        <v>0.34844522113194998</v>
      </c>
      <c r="K245">
        <v>0.80847850519808895</v>
      </c>
      <c r="L245" t="s">
        <v>33</v>
      </c>
      <c r="M245" t="s">
        <v>34</v>
      </c>
      <c r="N245" t="s">
        <v>35</v>
      </c>
      <c r="O245">
        <v>0.75602533985396903</v>
      </c>
      <c r="P245" t="s">
        <v>36</v>
      </c>
    </row>
    <row r="246" spans="1:16">
      <c r="A246">
        <v>245</v>
      </c>
      <c r="B246" t="s">
        <v>295</v>
      </c>
      <c r="C246">
        <v>73</v>
      </c>
      <c r="D246">
        <v>112</v>
      </c>
      <c r="E246">
        <v>66.051533714859502</v>
      </c>
      <c r="F246">
        <v>0.65048543689320404</v>
      </c>
      <c r="G246">
        <v>3426.5391175803402</v>
      </c>
      <c r="H246">
        <v>936.94255279230003</v>
      </c>
      <c r="I246">
        <v>0.68443545506435699</v>
      </c>
      <c r="J246">
        <v>4.9050069936257802E-2</v>
      </c>
      <c r="K246">
        <v>0.47744687901255001</v>
      </c>
      <c r="L246" t="s">
        <v>41</v>
      </c>
      <c r="M246" t="s">
        <v>34</v>
      </c>
      <c r="N246" t="s">
        <v>35</v>
      </c>
      <c r="O246">
        <v>0.68920898453903501</v>
      </c>
      <c r="P246" t="s">
        <v>36</v>
      </c>
    </row>
    <row r="247" spans="1:16">
      <c r="A247">
        <v>246</v>
      </c>
      <c r="B247" t="s">
        <v>296</v>
      </c>
      <c r="C247">
        <v>68</v>
      </c>
      <c r="D247">
        <v>132</v>
      </c>
      <c r="E247">
        <v>66.131707272376701</v>
      </c>
      <c r="F247">
        <v>0.51652892561983499</v>
      </c>
      <c r="G247">
        <v>3434.8624536861998</v>
      </c>
      <c r="H247">
        <v>858.19876439840903</v>
      </c>
      <c r="I247">
        <v>0.69048829007289902</v>
      </c>
      <c r="J247">
        <v>5.8606184093297799E-2</v>
      </c>
      <c r="K247">
        <v>0.55637142788357397</v>
      </c>
      <c r="L247" t="s">
        <v>72</v>
      </c>
      <c r="M247" t="s">
        <v>34</v>
      </c>
      <c r="N247" t="s">
        <v>35</v>
      </c>
      <c r="O247">
        <v>0.81158471569658097</v>
      </c>
      <c r="P247" t="s">
        <v>36</v>
      </c>
    </row>
    <row r="248" spans="1:16">
      <c r="A248">
        <v>247</v>
      </c>
      <c r="B248" t="s">
        <v>297</v>
      </c>
      <c r="C248">
        <v>63</v>
      </c>
      <c r="D248">
        <v>103</v>
      </c>
      <c r="E248">
        <v>66.248929214230401</v>
      </c>
      <c r="F248">
        <v>0.61702127659574502</v>
      </c>
      <c r="G248">
        <v>3447.0501958412101</v>
      </c>
      <c r="H248">
        <v>590.91935301490503</v>
      </c>
      <c r="I248">
        <v>0.57449781255875099</v>
      </c>
      <c r="J248">
        <v>0.12405122131002901</v>
      </c>
      <c r="K248">
        <v>0.630645819170632</v>
      </c>
      <c r="L248" t="s">
        <v>298</v>
      </c>
      <c r="M248" t="s">
        <v>34</v>
      </c>
      <c r="N248" t="s">
        <v>35</v>
      </c>
      <c r="O248">
        <v>0.76481518209467403</v>
      </c>
      <c r="P248" t="s">
        <v>36</v>
      </c>
    </row>
    <row r="249" spans="1:16">
      <c r="A249">
        <v>248</v>
      </c>
      <c r="B249" t="s">
        <v>299</v>
      </c>
      <c r="C249">
        <v>63</v>
      </c>
      <c r="D249">
        <v>107</v>
      </c>
      <c r="E249">
        <v>66.323157729630907</v>
      </c>
      <c r="F249">
        <v>0.58883248730964499</v>
      </c>
      <c r="G249">
        <v>3454.7790079395099</v>
      </c>
      <c r="H249">
        <v>669.61774644644402</v>
      </c>
      <c r="I249">
        <v>0.64876512319313795</v>
      </c>
      <c r="J249">
        <v>9.6822485291465796E-2</v>
      </c>
      <c r="K249">
        <v>0.58588964787134801</v>
      </c>
      <c r="L249" t="s">
        <v>33</v>
      </c>
      <c r="M249" t="s">
        <v>34</v>
      </c>
      <c r="N249" t="s">
        <v>35</v>
      </c>
      <c r="O249">
        <v>0.76130702210093004</v>
      </c>
      <c r="P249" t="s">
        <v>36</v>
      </c>
    </row>
    <row r="250" spans="1:16">
      <c r="A250">
        <v>249</v>
      </c>
      <c r="B250" t="s">
        <v>300</v>
      </c>
      <c r="C250">
        <v>56</v>
      </c>
      <c r="D250">
        <v>89</v>
      </c>
      <c r="E250">
        <v>66.328864174703199</v>
      </c>
      <c r="F250">
        <v>0.62605518616557698</v>
      </c>
      <c r="G250">
        <v>3455.3735319470702</v>
      </c>
      <c r="H250">
        <v>350.68162239323499</v>
      </c>
      <c r="I250">
        <v>0.78560587561105</v>
      </c>
      <c r="J250">
        <v>0.353084661866015</v>
      </c>
      <c r="K250">
        <v>0.84608945663645996</v>
      </c>
      <c r="L250" t="s">
        <v>47</v>
      </c>
      <c r="M250" t="s">
        <v>34</v>
      </c>
      <c r="N250" t="s">
        <v>35</v>
      </c>
      <c r="O250">
        <v>0.93727058359668403</v>
      </c>
      <c r="P250" t="s">
        <v>36</v>
      </c>
    </row>
    <row r="251" spans="1:16">
      <c r="A251">
        <v>250</v>
      </c>
      <c r="B251" t="s">
        <v>301</v>
      </c>
      <c r="C251">
        <v>74</v>
      </c>
      <c r="D251">
        <v>131</v>
      </c>
      <c r="E251">
        <v>66.414402013848203</v>
      </c>
      <c r="F251">
        <v>0.56431535269709499</v>
      </c>
      <c r="G251">
        <v>3464.2913920604901</v>
      </c>
      <c r="H251">
        <v>550.48475290775298</v>
      </c>
      <c r="I251">
        <v>0.77102619010778495</v>
      </c>
      <c r="J251">
        <v>0.14365928135912201</v>
      </c>
      <c r="K251">
        <v>0.51857784897432502</v>
      </c>
      <c r="L251" t="s">
        <v>47</v>
      </c>
      <c r="M251" t="s">
        <v>34</v>
      </c>
      <c r="N251" t="s">
        <v>35</v>
      </c>
      <c r="O251">
        <v>0.96176581172953202</v>
      </c>
      <c r="P251" t="s">
        <v>36</v>
      </c>
    </row>
    <row r="252" spans="1:16">
      <c r="A252">
        <v>251</v>
      </c>
      <c r="B252" t="s">
        <v>302</v>
      </c>
      <c r="C252">
        <v>114</v>
      </c>
      <c r="D252">
        <v>62</v>
      </c>
      <c r="E252">
        <v>66.475636425925302</v>
      </c>
      <c r="F252">
        <v>1.8201563386402799</v>
      </c>
      <c r="G252">
        <v>3470.6825251417799</v>
      </c>
      <c r="H252">
        <v>631.39773185429397</v>
      </c>
      <c r="I252">
        <v>0.55409298799080198</v>
      </c>
      <c r="J252">
        <v>0.109400351716036</v>
      </c>
      <c r="K252">
        <v>0.62640163098878698</v>
      </c>
      <c r="L252" t="s">
        <v>72</v>
      </c>
      <c r="M252" t="s">
        <v>34</v>
      </c>
      <c r="N252" t="s">
        <v>35</v>
      </c>
      <c r="O252">
        <v>0.67790056268697496</v>
      </c>
      <c r="P252" t="s">
        <v>36</v>
      </c>
    </row>
    <row r="253" spans="1:16">
      <c r="A253">
        <v>252</v>
      </c>
      <c r="B253" t="s">
        <v>303</v>
      </c>
      <c r="C253">
        <v>73</v>
      </c>
      <c r="D253">
        <v>93</v>
      </c>
      <c r="E253">
        <v>66.568093143250906</v>
      </c>
      <c r="F253">
        <v>0.782352902105516</v>
      </c>
      <c r="G253">
        <v>3480.3435402646501</v>
      </c>
      <c r="H253">
        <v>528.12580847304798</v>
      </c>
      <c r="I253">
        <v>0.72596525574021298</v>
      </c>
      <c r="J253">
        <v>0.15680402142347799</v>
      </c>
      <c r="K253">
        <v>0.69037089451028999</v>
      </c>
      <c r="L253" t="s">
        <v>74</v>
      </c>
      <c r="M253" t="s">
        <v>34</v>
      </c>
      <c r="N253" t="s">
        <v>35</v>
      </c>
      <c r="O253">
        <v>0.67020370644134597</v>
      </c>
      <c r="P253" t="s">
        <v>36</v>
      </c>
    </row>
    <row r="254" spans="1:16">
      <c r="A254">
        <v>253</v>
      </c>
      <c r="B254" t="s">
        <v>304</v>
      </c>
      <c r="C254">
        <v>93</v>
      </c>
      <c r="D254">
        <v>69</v>
      </c>
      <c r="E254">
        <v>66.712920767906198</v>
      </c>
      <c r="F254">
        <v>1.3571428571428601</v>
      </c>
      <c r="G254">
        <v>3495.5039024574698</v>
      </c>
      <c r="H254">
        <v>578.924570406209</v>
      </c>
      <c r="I254">
        <v>0.57279627966096203</v>
      </c>
      <c r="J254">
        <v>0.131061668118162</v>
      </c>
      <c r="K254">
        <v>0.67119495419389796</v>
      </c>
      <c r="L254" t="s">
        <v>33</v>
      </c>
      <c r="M254" t="s">
        <v>34</v>
      </c>
      <c r="N254" t="s">
        <v>35</v>
      </c>
      <c r="O254">
        <v>0.73893243682373599</v>
      </c>
      <c r="P254" t="s">
        <v>36</v>
      </c>
    </row>
    <row r="255" spans="1:16">
      <c r="A255">
        <v>254</v>
      </c>
      <c r="B255" t="s">
        <v>305</v>
      </c>
      <c r="C255">
        <v>123</v>
      </c>
      <c r="D255">
        <v>79</v>
      </c>
      <c r="E255">
        <v>66.728520656057697</v>
      </c>
      <c r="F255">
        <v>1.5625</v>
      </c>
      <c r="G255">
        <v>3497.1388434782598</v>
      </c>
      <c r="H255">
        <v>699.68884527154603</v>
      </c>
      <c r="I255">
        <v>0.62208581111026495</v>
      </c>
      <c r="J255">
        <v>8.9766199498984803E-2</v>
      </c>
      <c r="K255">
        <v>0.52344827586206899</v>
      </c>
      <c r="L255" t="s">
        <v>33</v>
      </c>
      <c r="M255" t="s">
        <v>34</v>
      </c>
      <c r="N255" t="s">
        <v>35</v>
      </c>
      <c r="O255">
        <v>0.82021791326339399</v>
      </c>
      <c r="P255" t="s">
        <v>36</v>
      </c>
    </row>
    <row r="256" spans="1:16">
      <c r="A256">
        <v>255</v>
      </c>
      <c r="B256" t="s">
        <v>306</v>
      </c>
      <c r="C256">
        <v>72</v>
      </c>
      <c r="D256">
        <v>114</v>
      </c>
      <c r="E256">
        <v>66.755811781245498</v>
      </c>
      <c r="F256">
        <v>0.62559235425987103</v>
      </c>
      <c r="G256">
        <v>3500</v>
      </c>
      <c r="H256">
        <v>685.26911377906799</v>
      </c>
      <c r="I256">
        <v>0.70268464963983801</v>
      </c>
      <c r="J256">
        <v>9.3660310370226901E-2</v>
      </c>
      <c r="K256">
        <v>0.46822742474916401</v>
      </c>
      <c r="L256" t="s">
        <v>33</v>
      </c>
      <c r="M256" t="s">
        <v>34</v>
      </c>
      <c r="N256" t="s">
        <v>35</v>
      </c>
      <c r="O256">
        <v>0.83739802514330197</v>
      </c>
      <c r="P256" t="s">
        <v>36</v>
      </c>
    </row>
    <row r="257" spans="1:16">
      <c r="A257">
        <v>256</v>
      </c>
      <c r="B257" t="s">
        <v>307</v>
      </c>
      <c r="C257">
        <v>64</v>
      </c>
      <c r="D257">
        <v>93</v>
      </c>
      <c r="E257">
        <v>66.932402034499702</v>
      </c>
      <c r="F257">
        <v>0.68421052631578905</v>
      </c>
      <c r="G257">
        <v>3518.5417077504699</v>
      </c>
      <c r="H257">
        <v>377.81020007558499</v>
      </c>
      <c r="I257">
        <v>0.64945099382112803</v>
      </c>
      <c r="J257">
        <v>0.30975991029782601</v>
      </c>
      <c r="K257">
        <v>0.79165969969568295</v>
      </c>
      <c r="L257" t="s">
        <v>49</v>
      </c>
      <c r="M257" t="s">
        <v>34</v>
      </c>
      <c r="N257" t="s">
        <v>35</v>
      </c>
      <c r="O257">
        <v>0.79537922560758001</v>
      </c>
      <c r="P257" t="s">
        <v>36</v>
      </c>
    </row>
    <row r="258" spans="1:16">
      <c r="A258">
        <v>257</v>
      </c>
      <c r="B258" t="s">
        <v>308</v>
      </c>
      <c r="C258">
        <v>70</v>
      </c>
      <c r="D258">
        <v>105</v>
      </c>
      <c r="E258">
        <v>67.059513123300604</v>
      </c>
      <c r="F258">
        <v>0.67279002879366201</v>
      </c>
      <c r="G258">
        <v>3531.9184979206102</v>
      </c>
      <c r="H258">
        <v>642.42496932475501</v>
      </c>
      <c r="I258">
        <v>0.60690799802766304</v>
      </c>
      <c r="J258">
        <v>0.107541406558783</v>
      </c>
      <c r="K258">
        <v>0.62219836614997903</v>
      </c>
      <c r="L258" t="s">
        <v>41</v>
      </c>
      <c r="M258" t="s">
        <v>34</v>
      </c>
      <c r="N258" t="s">
        <v>35</v>
      </c>
      <c r="O258">
        <v>0.75962996851185904</v>
      </c>
      <c r="P258" t="s">
        <v>36</v>
      </c>
    </row>
    <row r="259" spans="1:16">
      <c r="A259">
        <v>258</v>
      </c>
      <c r="B259" t="s">
        <v>309</v>
      </c>
      <c r="C259">
        <v>57</v>
      </c>
      <c r="D259">
        <v>128</v>
      </c>
      <c r="E259">
        <v>67.079264310982595</v>
      </c>
      <c r="F259">
        <v>0.44579397476056498</v>
      </c>
      <c r="G259">
        <v>3533.99933194707</v>
      </c>
      <c r="H259">
        <v>571.57880817485898</v>
      </c>
      <c r="I259">
        <v>0.73416477851634498</v>
      </c>
      <c r="J259">
        <v>0.13593274592986801</v>
      </c>
      <c r="K259">
        <v>0.65615255125976202</v>
      </c>
      <c r="L259" t="s">
        <v>47</v>
      </c>
      <c r="M259" t="s">
        <v>34</v>
      </c>
      <c r="N259" t="s">
        <v>35</v>
      </c>
      <c r="O259">
        <v>0.90921299940571998</v>
      </c>
      <c r="P259" t="s">
        <v>36</v>
      </c>
    </row>
    <row r="260" spans="1:16">
      <c r="A260">
        <v>259</v>
      </c>
      <c r="B260" t="s">
        <v>310</v>
      </c>
      <c r="C260">
        <v>60</v>
      </c>
      <c r="D260">
        <v>113</v>
      </c>
      <c r="E260">
        <v>67.183566984955505</v>
      </c>
      <c r="F260">
        <v>0.533319766777685</v>
      </c>
      <c r="G260">
        <v>3544.9980260869602</v>
      </c>
      <c r="H260">
        <v>456.92816663690201</v>
      </c>
      <c r="I260">
        <v>0.57863262328482501</v>
      </c>
      <c r="J260">
        <v>0.213368351149097</v>
      </c>
      <c r="K260">
        <v>0.69705117339334199</v>
      </c>
      <c r="L260" t="s">
        <v>33</v>
      </c>
      <c r="M260" t="s">
        <v>34</v>
      </c>
      <c r="N260" t="s">
        <v>35</v>
      </c>
      <c r="O260">
        <v>0.761535642206708</v>
      </c>
      <c r="P260" t="s">
        <v>36</v>
      </c>
    </row>
    <row r="261" spans="1:16">
      <c r="A261">
        <v>260</v>
      </c>
      <c r="B261" t="s">
        <v>311</v>
      </c>
      <c r="C261">
        <v>91</v>
      </c>
      <c r="D261">
        <v>58</v>
      </c>
      <c r="E261">
        <v>67.331286740162298</v>
      </c>
      <c r="F261">
        <v>1.58431800727286</v>
      </c>
      <c r="G261">
        <v>3560.6042812854398</v>
      </c>
      <c r="H261">
        <v>301.98623534326998</v>
      </c>
      <c r="I261">
        <v>0.65858825939810595</v>
      </c>
      <c r="J261">
        <v>0.49063584920519598</v>
      </c>
      <c r="K261">
        <v>0.87638558624474105</v>
      </c>
      <c r="L261" t="s">
        <v>47</v>
      </c>
      <c r="M261" t="s">
        <v>34</v>
      </c>
      <c r="N261" t="s">
        <v>35</v>
      </c>
      <c r="O261">
        <v>0.95034398309905099</v>
      </c>
      <c r="P261" t="s">
        <v>36</v>
      </c>
    </row>
    <row r="262" spans="1:16">
      <c r="A262">
        <v>261</v>
      </c>
      <c r="B262" t="s">
        <v>312</v>
      </c>
      <c r="C262">
        <v>69</v>
      </c>
      <c r="D262">
        <v>124</v>
      </c>
      <c r="E262">
        <v>67.380454692049</v>
      </c>
      <c r="F262">
        <v>0.55380485921553402</v>
      </c>
      <c r="G262">
        <v>3565.80636635161</v>
      </c>
      <c r="H262">
        <v>580.67646460315495</v>
      </c>
      <c r="I262">
        <v>0.83109691022295695</v>
      </c>
      <c r="J262">
        <v>0.132892102362655</v>
      </c>
      <c r="K262">
        <v>0.65285185588331296</v>
      </c>
      <c r="L262" t="s">
        <v>47</v>
      </c>
      <c r="M262" t="s">
        <v>34</v>
      </c>
      <c r="N262" t="s">
        <v>35</v>
      </c>
      <c r="O262">
        <v>0.94053503522547599</v>
      </c>
      <c r="P262" t="s">
        <v>36</v>
      </c>
    </row>
    <row r="263" spans="1:16">
      <c r="A263">
        <v>262</v>
      </c>
      <c r="B263" t="s">
        <v>313</v>
      </c>
      <c r="C263">
        <v>91</v>
      </c>
      <c r="D263">
        <v>103</v>
      </c>
      <c r="E263">
        <v>67.4646592421402</v>
      </c>
      <c r="F263">
        <v>0.87543394065784297</v>
      </c>
      <c r="G263">
        <v>3574.7242264650299</v>
      </c>
      <c r="H263">
        <v>572.06258074397601</v>
      </c>
      <c r="I263">
        <v>0.54695017409742097</v>
      </c>
      <c r="J263">
        <v>0.13726674190906599</v>
      </c>
      <c r="K263">
        <v>0.55224908727698596</v>
      </c>
      <c r="L263" t="s">
        <v>47</v>
      </c>
      <c r="M263" t="s">
        <v>34</v>
      </c>
      <c r="N263" t="s">
        <v>35</v>
      </c>
      <c r="O263">
        <v>0.95709240063236101</v>
      </c>
      <c r="P263" t="s">
        <v>36</v>
      </c>
    </row>
    <row r="264" spans="1:16">
      <c r="A264">
        <v>263</v>
      </c>
      <c r="B264" t="s">
        <v>314</v>
      </c>
      <c r="C264">
        <v>88</v>
      </c>
      <c r="D264">
        <v>68</v>
      </c>
      <c r="E264">
        <v>67.551560341322102</v>
      </c>
      <c r="F264">
        <v>1.2879999130859301</v>
      </c>
      <c r="G264">
        <v>3583.9393485822302</v>
      </c>
      <c r="H264">
        <v>778.69721743117202</v>
      </c>
      <c r="I264">
        <v>0.65312559661507796</v>
      </c>
      <c r="J264">
        <v>7.4273393989515296E-2</v>
      </c>
      <c r="K264">
        <v>0.65414247734794595</v>
      </c>
      <c r="L264" t="s">
        <v>47</v>
      </c>
      <c r="M264" t="s">
        <v>34</v>
      </c>
      <c r="N264" t="s">
        <v>35</v>
      </c>
      <c r="O264">
        <v>0.93741052707418104</v>
      </c>
      <c r="P264" t="s">
        <v>36</v>
      </c>
    </row>
    <row r="265" spans="1:16">
      <c r="A265">
        <v>264</v>
      </c>
      <c r="B265" t="s">
        <v>315</v>
      </c>
      <c r="C265">
        <v>97</v>
      </c>
      <c r="D265">
        <v>107</v>
      </c>
      <c r="E265">
        <v>67.635551869546404</v>
      </c>
      <c r="F265">
        <v>0.90355329949238605</v>
      </c>
      <c r="G265">
        <v>3592.8572086956501</v>
      </c>
      <c r="H265">
        <v>797.04751965180697</v>
      </c>
      <c r="I265">
        <v>0.62507267694019697</v>
      </c>
      <c r="J265">
        <v>7.1069194325284302E-2</v>
      </c>
      <c r="K265">
        <v>0.45575037707390598</v>
      </c>
      <c r="L265" t="s">
        <v>33</v>
      </c>
      <c r="M265" t="s">
        <v>34</v>
      </c>
      <c r="N265" t="s">
        <v>35</v>
      </c>
      <c r="O265">
        <v>0.75122052833930797</v>
      </c>
      <c r="P265" t="s">
        <v>36</v>
      </c>
    </row>
    <row r="266" spans="1:16">
      <c r="A266">
        <v>265</v>
      </c>
      <c r="B266" t="s">
        <v>316</v>
      </c>
      <c r="C266">
        <v>98</v>
      </c>
      <c r="D266">
        <v>77</v>
      </c>
      <c r="E266">
        <v>67.745981898289401</v>
      </c>
      <c r="F266">
        <v>1.2775368154954201</v>
      </c>
      <c r="G266">
        <v>3604.5990578449901</v>
      </c>
      <c r="H266">
        <v>536.92678141593899</v>
      </c>
      <c r="I266">
        <v>0.71132076545517298</v>
      </c>
      <c r="J266">
        <v>0.157121890324525</v>
      </c>
      <c r="K266">
        <v>0.58489291915878805</v>
      </c>
      <c r="L266" t="s">
        <v>33</v>
      </c>
      <c r="M266" t="s">
        <v>34</v>
      </c>
      <c r="N266" t="s">
        <v>35</v>
      </c>
      <c r="O266">
        <v>0.82888800210414604</v>
      </c>
      <c r="P266" t="s">
        <v>36</v>
      </c>
    </row>
    <row r="267" spans="1:16">
      <c r="A267">
        <v>266</v>
      </c>
      <c r="B267" t="s">
        <v>317</v>
      </c>
      <c r="C267">
        <v>69</v>
      </c>
      <c r="D267">
        <v>67</v>
      </c>
      <c r="E267">
        <v>67.820187668243605</v>
      </c>
      <c r="F267">
        <v>1.0333333759829499</v>
      </c>
      <c r="G267">
        <v>3612.5</v>
      </c>
      <c r="H267">
        <v>230.208150744438</v>
      </c>
      <c r="I267">
        <v>0.62080900337047895</v>
      </c>
      <c r="J267">
        <v>0.85659656282069296</v>
      </c>
      <c r="K267">
        <v>0.95695364238410596</v>
      </c>
      <c r="L267" t="s">
        <v>33</v>
      </c>
      <c r="M267" t="s">
        <v>34</v>
      </c>
      <c r="N267" t="s">
        <v>35</v>
      </c>
      <c r="O267">
        <v>0.77625441359631797</v>
      </c>
      <c r="P267" t="s">
        <v>36</v>
      </c>
    </row>
    <row r="268" spans="1:16">
      <c r="A268">
        <v>267</v>
      </c>
      <c r="B268" t="s">
        <v>318</v>
      </c>
      <c r="C268">
        <v>83</v>
      </c>
      <c r="D268">
        <v>98</v>
      </c>
      <c r="E268">
        <v>67.824152512489604</v>
      </c>
      <c r="F268">
        <v>0.84916201117318402</v>
      </c>
      <c r="G268">
        <v>3612.9223939508502</v>
      </c>
      <c r="H268">
        <v>658.86838798439999</v>
      </c>
      <c r="I268">
        <v>0.60535051986694899</v>
      </c>
      <c r="J268">
        <v>0.10458542248914</v>
      </c>
      <c r="K268">
        <v>0.57246479204936196</v>
      </c>
      <c r="L268" t="s">
        <v>33</v>
      </c>
      <c r="M268" t="s">
        <v>34</v>
      </c>
      <c r="N268" t="s">
        <v>35</v>
      </c>
      <c r="O268">
        <v>0.649483469699218</v>
      </c>
      <c r="P268" t="s">
        <v>36</v>
      </c>
    </row>
    <row r="269" spans="1:16">
      <c r="A269">
        <v>268</v>
      </c>
      <c r="B269" t="s">
        <v>319</v>
      </c>
      <c r="C269">
        <v>68</v>
      </c>
      <c r="D269">
        <v>103</v>
      </c>
      <c r="E269">
        <v>68.017794898493506</v>
      </c>
      <c r="F269">
        <v>0.66489361702127703</v>
      </c>
      <c r="G269">
        <v>3633.58210321361</v>
      </c>
      <c r="H269">
        <v>774.81925086985495</v>
      </c>
      <c r="I269">
        <v>0.69529377887978205</v>
      </c>
      <c r="J269">
        <v>7.6057848634884406E-2</v>
      </c>
      <c r="K269">
        <v>0.61571590479788396</v>
      </c>
      <c r="L269" t="s">
        <v>33</v>
      </c>
      <c r="M269" t="s">
        <v>34</v>
      </c>
      <c r="N269" t="s">
        <v>35</v>
      </c>
      <c r="O269">
        <v>0.80323543940179998</v>
      </c>
      <c r="P269" t="s">
        <v>36</v>
      </c>
    </row>
    <row r="270" spans="1:16">
      <c r="A270">
        <v>269</v>
      </c>
      <c r="B270" t="s">
        <v>320</v>
      </c>
      <c r="C270">
        <v>117</v>
      </c>
      <c r="D270">
        <v>68</v>
      </c>
      <c r="E270">
        <v>68.048392824338606</v>
      </c>
      <c r="F270">
        <v>1.72</v>
      </c>
      <c r="G270">
        <v>3636.8519852551999</v>
      </c>
      <c r="H270">
        <v>610.11820373358898</v>
      </c>
      <c r="I270">
        <v>0.65707629825254898</v>
      </c>
      <c r="J270">
        <v>0.12277431629703101</v>
      </c>
      <c r="K270">
        <v>0.60444148016402399</v>
      </c>
      <c r="L270" t="s">
        <v>49</v>
      </c>
      <c r="M270" t="s">
        <v>34</v>
      </c>
      <c r="N270" t="s">
        <v>35</v>
      </c>
      <c r="O270">
        <v>0.79496033794946197</v>
      </c>
      <c r="P270" t="s">
        <v>36</v>
      </c>
    </row>
    <row r="271" spans="1:16">
      <c r="A271">
        <v>270</v>
      </c>
      <c r="B271" t="s">
        <v>321</v>
      </c>
      <c r="C271">
        <v>73</v>
      </c>
      <c r="D271">
        <v>93</v>
      </c>
      <c r="E271">
        <v>68.105379549723494</v>
      </c>
      <c r="F271">
        <v>0.78823529411764703</v>
      </c>
      <c r="G271">
        <v>3642.9458563326998</v>
      </c>
      <c r="H271">
        <v>761.22756342825699</v>
      </c>
      <c r="I271">
        <v>0.73173856586058905</v>
      </c>
      <c r="J271">
        <v>7.9001178489430404E-2</v>
      </c>
      <c r="K271">
        <v>0.58588707749677305</v>
      </c>
      <c r="L271" t="s">
        <v>43</v>
      </c>
      <c r="M271" t="s">
        <v>34</v>
      </c>
      <c r="N271" t="s">
        <v>35</v>
      </c>
      <c r="O271">
        <v>0.78978499636786503</v>
      </c>
      <c r="P271" t="s">
        <v>36</v>
      </c>
    </row>
    <row r="272" spans="1:16">
      <c r="A272">
        <v>271</v>
      </c>
      <c r="B272" t="s">
        <v>322</v>
      </c>
      <c r="C272">
        <v>78</v>
      </c>
      <c r="D272">
        <v>78</v>
      </c>
      <c r="E272">
        <v>68.307921813741601</v>
      </c>
      <c r="F272">
        <v>1</v>
      </c>
      <c r="G272">
        <v>3664.6459826086998</v>
      </c>
      <c r="H272">
        <v>593.364806345857</v>
      </c>
      <c r="I272">
        <v>0.54510054066052205</v>
      </c>
      <c r="J272">
        <v>0.130797162619185</v>
      </c>
      <c r="K272">
        <v>0.68025934611670602</v>
      </c>
      <c r="L272" t="s">
        <v>47</v>
      </c>
      <c r="M272" t="s">
        <v>34</v>
      </c>
      <c r="N272" t="s">
        <v>35</v>
      </c>
      <c r="O272">
        <v>0.94671014671609199</v>
      </c>
      <c r="P272" t="s">
        <v>36</v>
      </c>
    </row>
    <row r="273" spans="1:16">
      <c r="A273">
        <v>272</v>
      </c>
      <c r="B273" t="s">
        <v>323</v>
      </c>
      <c r="C273">
        <v>98</v>
      </c>
      <c r="D273">
        <v>77</v>
      </c>
      <c r="E273">
        <v>68.328696940231097</v>
      </c>
      <c r="F273">
        <v>1.2676056338028201</v>
      </c>
      <c r="G273">
        <v>3666.87544763705</v>
      </c>
      <c r="H273">
        <v>764.55366497692899</v>
      </c>
      <c r="I273">
        <v>0.61176956114745296</v>
      </c>
      <c r="J273">
        <v>7.8829736272443496E-2</v>
      </c>
      <c r="K273">
        <v>0.55555305350387296</v>
      </c>
      <c r="L273" t="s">
        <v>33</v>
      </c>
      <c r="M273" t="s">
        <v>34</v>
      </c>
      <c r="N273" t="s">
        <v>35</v>
      </c>
      <c r="O273">
        <v>0.81165159734605796</v>
      </c>
      <c r="P273" t="s">
        <v>36</v>
      </c>
    </row>
    <row r="274" spans="1:16">
      <c r="A274">
        <v>273</v>
      </c>
      <c r="B274" t="s">
        <v>324</v>
      </c>
      <c r="C274">
        <v>75</v>
      </c>
      <c r="D274">
        <v>89</v>
      </c>
      <c r="E274">
        <v>68.3799152654463</v>
      </c>
      <c r="F274">
        <v>0.84049079754601197</v>
      </c>
      <c r="G274">
        <v>3672.3747947069901</v>
      </c>
      <c r="H274">
        <v>380.49203045679201</v>
      </c>
      <c r="I274">
        <v>0.64309981060902199</v>
      </c>
      <c r="J274">
        <v>0.31876140506855999</v>
      </c>
      <c r="K274">
        <v>0.75649857628364103</v>
      </c>
      <c r="L274" t="s">
        <v>43</v>
      </c>
      <c r="M274" t="s">
        <v>34</v>
      </c>
      <c r="N274" t="s">
        <v>35</v>
      </c>
      <c r="O274">
        <v>0.74549385406232804</v>
      </c>
      <c r="P274" t="s">
        <v>36</v>
      </c>
    </row>
    <row r="275" spans="1:16">
      <c r="A275">
        <v>274</v>
      </c>
      <c r="B275" t="s">
        <v>325</v>
      </c>
      <c r="C275">
        <v>69</v>
      </c>
      <c r="D275">
        <v>74</v>
      </c>
      <c r="E275">
        <v>68.384066421332093</v>
      </c>
      <c r="F275">
        <v>0.93333333333333302</v>
      </c>
      <c r="G275">
        <v>3672.82068771267</v>
      </c>
      <c r="H275">
        <v>276.32227061095398</v>
      </c>
      <c r="I275">
        <v>0.66393475692648496</v>
      </c>
      <c r="J275">
        <v>0.60447425980165304</v>
      </c>
      <c r="K275">
        <v>0.91349672840190799</v>
      </c>
      <c r="L275" t="s">
        <v>72</v>
      </c>
      <c r="M275" t="s">
        <v>34</v>
      </c>
      <c r="N275" t="s">
        <v>35</v>
      </c>
      <c r="O275">
        <v>0.73541214154712298</v>
      </c>
      <c r="P275" t="s">
        <v>36</v>
      </c>
    </row>
    <row r="276" spans="1:16">
      <c r="A276">
        <v>275</v>
      </c>
      <c r="B276" t="s">
        <v>326</v>
      </c>
      <c r="C276">
        <v>137</v>
      </c>
      <c r="D276">
        <v>53</v>
      </c>
      <c r="E276">
        <v>68.450450678120603</v>
      </c>
      <c r="F276">
        <v>2.56122448979592</v>
      </c>
      <c r="G276">
        <v>3679.9549758034</v>
      </c>
      <c r="H276">
        <v>1006.41099791268</v>
      </c>
      <c r="I276">
        <v>0.83409777813094899</v>
      </c>
      <c r="J276">
        <v>4.5656395439692098E-2</v>
      </c>
      <c r="K276">
        <v>0.56656750572082404</v>
      </c>
      <c r="L276" t="s">
        <v>33</v>
      </c>
      <c r="M276" t="s">
        <v>34</v>
      </c>
      <c r="N276" t="s">
        <v>35</v>
      </c>
      <c r="O276">
        <v>0.82011449055835395</v>
      </c>
      <c r="P276" t="s">
        <v>36</v>
      </c>
    </row>
    <row r="277" spans="1:16">
      <c r="A277">
        <v>276</v>
      </c>
      <c r="B277" t="s">
        <v>327</v>
      </c>
      <c r="C277">
        <v>62</v>
      </c>
      <c r="D277">
        <v>117</v>
      </c>
      <c r="E277">
        <v>68.511246407299893</v>
      </c>
      <c r="F277">
        <v>0.53255482333715998</v>
      </c>
      <c r="G277">
        <v>3686.4947398865802</v>
      </c>
      <c r="H277">
        <v>446.28840257655003</v>
      </c>
      <c r="I277">
        <v>0.87961909631193802</v>
      </c>
      <c r="J277">
        <v>0.232590664848395</v>
      </c>
      <c r="K277">
        <v>0.73814058686982897</v>
      </c>
      <c r="L277" t="s">
        <v>47</v>
      </c>
      <c r="M277" t="s">
        <v>34</v>
      </c>
      <c r="N277" t="s">
        <v>35</v>
      </c>
      <c r="O277">
        <v>0.94145786032729994</v>
      </c>
      <c r="P277" t="s">
        <v>36</v>
      </c>
    </row>
    <row r="278" spans="1:16">
      <c r="A278">
        <v>277</v>
      </c>
      <c r="B278" t="s">
        <v>328</v>
      </c>
      <c r="C278">
        <v>85</v>
      </c>
      <c r="D278">
        <v>72</v>
      </c>
      <c r="E278">
        <v>68.613372287048506</v>
      </c>
      <c r="F278">
        <v>1.18579701040073</v>
      </c>
      <c r="G278">
        <v>3697.4934340264699</v>
      </c>
      <c r="H278">
        <v>490.43496141236801</v>
      </c>
      <c r="I278">
        <v>0.65944286423245502</v>
      </c>
      <c r="J278">
        <v>0.19317656153995599</v>
      </c>
      <c r="K278">
        <v>0.74625029997600201</v>
      </c>
      <c r="L278" t="s">
        <v>33</v>
      </c>
      <c r="M278" t="s">
        <v>34</v>
      </c>
      <c r="N278" t="s">
        <v>35</v>
      </c>
      <c r="O278">
        <v>0.71702747050741</v>
      </c>
      <c r="P278" t="s">
        <v>36</v>
      </c>
    </row>
    <row r="279" spans="1:16">
      <c r="A279">
        <v>278</v>
      </c>
      <c r="B279" t="s">
        <v>329</v>
      </c>
      <c r="C279">
        <v>107</v>
      </c>
      <c r="D279">
        <v>64</v>
      </c>
      <c r="E279">
        <v>68.614751325573494</v>
      </c>
      <c r="F279">
        <v>1.68376068376068</v>
      </c>
      <c r="G279">
        <v>3697.6420650283599</v>
      </c>
      <c r="H279">
        <v>544.85650837960497</v>
      </c>
      <c r="I279">
        <v>0.69789980030376597</v>
      </c>
      <c r="J279">
        <v>0.156520218991996</v>
      </c>
      <c r="K279">
        <v>0.69520748917144104</v>
      </c>
      <c r="L279" t="s">
        <v>74</v>
      </c>
      <c r="M279" t="s">
        <v>34</v>
      </c>
      <c r="N279" t="s">
        <v>35</v>
      </c>
      <c r="O279">
        <v>0.74922333407060804</v>
      </c>
      <c r="P279" t="s">
        <v>36</v>
      </c>
    </row>
    <row r="280" spans="1:16">
      <c r="A280">
        <v>279</v>
      </c>
      <c r="B280" t="s">
        <v>330</v>
      </c>
      <c r="C280">
        <v>68</v>
      </c>
      <c r="D280">
        <v>83</v>
      </c>
      <c r="E280">
        <v>68.638190741353</v>
      </c>
      <c r="F280">
        <v>0.81699346405228801</v>
      </c>
      <c r="G280">
        <v>3700.16879206049</v>
      </c>
      <c r="H280">
        <v>348.742639112576</v>
      </c>
      <c r="I280">
        <v>0.69788015538554304</v>
      </c>
      <c r="J280">
        <v>0.38231496713362201</v>
      </c>
      <c r="K280">
        <v>0.78232040726541396</v>
      </c>
      <c r="L280" t="s">
        <v>331</v>
      </c>
      <c r="M280" t="s">
        <v>34</v>
      </c>
      <c r="N280" t="s">
        <v>35</v>
      </c>
      <c r="O280">
        <v>0.67762752317119201</v>
      </c>
      <c r="P280" t="s">
        <v>36</v>
      </c>
    </row>
    <row r="281" spans="1:16">
      <c r="A281">
        <v>280</v>
      </c>
      <c r="B281" t="s">
        <v>332</v>
      </c>
      <c r="C281">
        <v>74</v>
      </c>
      <c r="D281">
        <v>103</v>
      </c>
      <c r="E281">
        <v>69.034072562541994</v>
      </c>
      <c r="F281">
        <v>0.720306447567723</v>
      </c>
      <c r="G281">
        <v>3742.9745206049201</v>
      </c>
      <c r="H281">
        <v>470.65214596136798</v>
      </c>
      <c r="I281">
        <v>0.74720252760217398</v>
      </c>
      <c r="J281">
        <v>0.21233747485297999</v>
      </c>
      <c r="K281">
        <v>0.68947296372347699</v>
      </c>
      <c r="L281" t="s">
        <v>49</v>
      </c>
      <c r="M281" t="s">
        <v>34</v>
      </c>
      <c r="N281" t="s">
        <v>35</v>
      </c>
      <c r="O281">
        <v>0.76196981160413102</v>
      </c>
      <c r="P281" t="s">
        <v>36</v>
      </c>
    </row>
    <row r="282" spans="1:16">
      <c r="A282">
        <v>281</v>
      </c>
      <c r="B282" t="s">
        <v>333</v>
      </c>
      <c r="C282">
        <v>97</v>
      </c>
      <c r="D282">
        <v>79</v>
      </c>
      <c r="E282">
        <v>69.047777685180606</v>
      </c>
      <c r="F282">
        <v>1.22474957432955</v>
      </c>
      <c r="G282">
        <v>3744.4608306238201</v>
      </c>
      <c r="H282">
        <v>480.46605900484599</v>
      </c>
      <c r="I282">
        <v>0.69903680776035604</v>
      </c>
      <c r="J282">
        <v>0.203832639575564</v>
      </c>
      <c r="K282">
        <v>0.66486329568246605</v>
      </c>
      <c r="L282" t="s">
        <v>101</v>
      </c>
      <c r="M282" t="s">
        <v>34</v>
      </c>
      <c r="N282" t="s">
        <v>35</v>
      </c>
      <c r="O282">
        <v>0.73505335742439704</v>
      </c>
      <c r="P282" t="s">
        <v>36</v>
      </c>
    </row>
    <row r="283" spans="1:16">
      <c r="A283">
        <v>282</v>
      </c>
      <c r="B283" t="s">
        <v>334</v>
      </c>
      <c r="C283">
        <v>112</v>
      </c>
      <c r="D283">
        <v>68</v>
      </c>
      <c r="E283">
        <v>69.098829894267098</v>
      </c>
      <c r="F283">
        <v>1.64935053997327</v>
      </c>
      <c r="G283">
        <v>3750</v>
      </c>
      <c r="H283">
        <v>337.98989534378097</v>
      </c>
      <c r="I283">
        <v>0.59185320285091503</v>
      </c>
      <c r="J283">
        <v>0.41250925657666199</v>
      </c>
      <c r="K283">
        <v>0.75376884422110602</v>
      </c>
      <c r="L283" t="s">
        <v>47</v>
      </c>
      <c r="M283" t="s">
        <v>34</v>
      </c>
      <c r="N283" t="s">
        <v>35</v>
      </c>
      <c r="O283">
        <v>0.95553348369556901</v>
      </c>
      <c r="P283" t="s">
        <v>36</v>
      </c>
    </row>
    <row r="284" spans="1:16">
      <c r="A284">
        <v>283</v>
      </c>
      <c r="B284" t="s">
        <v>335</v>
      </c>
      <c r="C284">
        <v>68</v>
      </c>
      <c r="D284">
        <v>112</v>
      </c>
      <c r="E284">
        <v>69.127213813913997</v>
      </c>
      <c r="F284">
        <v>0.60679611650485399</v>
      </c>
      <c r="G284">
        <v>3753.0814287334601</v>
      </c>
      <c r="H284">
        <v>864.01571424038502</v>
      </c>
      <c r="I284">
        <v>0.61530161269832995</v>
      </c>
      <c r="J284">
        <v>6.3176355479298105E-2</v>
      </c>
      <c r="K284">
        <v>0.57806419120003705</v>
      </c>
      <c r="L284" t="s">
        <v>43</v>
      </c>
      <c r="M284" t="s">
        <v>34</v>
      </c>
      <c r="N284" t="s">
        <v>35</v>
      </c>
      <c r="O284">
        <v>0.77421970316530098</v>
      </c>
      <c r="P284" t="s">
        <v>36</v>
      </c>
    </row>
    <row r="285" spans="1:16">
      <c r="A285">
        <v>284</v>
      </c>
      <c r="B285" t="s">
        <v>336</v>
      </c>
      <c r="C285">
        <v>78</v>
      </c>
      <c r="D285">
        <v>83</v>
      </c>
      <c r="E285">
        <v>69.135426135156393</v>
      </c>
      <c r="F285">
        <v>0.94078947368421095</v>
      </c>
      <c r="G285">
        <v>3753.9732147447999</v>
      </c>
      <c r="H285">
        <v>804.48017880367195</v>
      </c>
      <c r="I285">
        <v>0.54249060912787495</v>
      </c>
      <c r="J285">
        <v>7.2890400612625098E-2</v>
      </c>
      <c r="K285">
        <v>0.62100759755108104</v>
      </c>
      <c r="L285" t="s">
        <v>33</v>
      </c>
      <c r="M285" t="s">
        <v>34</v>
      </c>
      <c r="N285" t="s">
        <v>35</v>
      </c>
      <c r="O285">
        <v>0.64948753457860797</v>
      </c>
      <c r="P285" t="s">
        <v>36</v>
      </c>
    </row>
    <row r="286" spans="1:16">
      <c r="A286">
        <v>285</v>
      </c>
      <c r="B286" t="s">
        <v>337</v>
      </c>
      <c r="C286">
        <v>92</v>
      </c>
      <c r="D286">
        <v>77</v>
      </c>
      <c r="E286">
        <v>69.147742788266697</v>
      </c>
      <c r="F286">
        <v>1.19404944575468</v>
      </c>
      <c r="G286">
        <v>3755.3108937618199</v>
      </c>
      <c r="H286">
        <v>421.94184743860501</v>
      </c>
      <c r="I286">
        <v>0.51285428379842501</v>
      </c>
      <c r="J286">
        <v>0.26506388616744198</v>
      </c>
      <c r="K286">
        <v>0.74476050110537995</v>
      </c>
      <c r="L286" t="s">
        <v>41</v>
      </c>
      <c r="M286" t="s">
        <v>34</v>
      </c>
      <c r="N286" t="s">
        <v>35</v>
      </c>
      <c r="O286">
        <v>0.81989799284921705</v>
      </c>
      <c r="P286" t="s">
        <v>36</v>
      </c>
    </row>
    <row r="287" spans="1:16">
      <c r="A287">
        <v>286</v>
      </c>
      <c r="B287" t="s">
        <v>338</v>
      </c>
      <c r="C287">
        <v>73</v>
      </c>
      <c r="D287">
        <v>78</v>
      </c>
      <c r="E287">
        <v>69.299468188372998</v>
      </c>
      <c r="F287">
        <v>0.93706292363155796</v>
      </c>
      <c r="G287">
        <v>3771.8089349716502</v>
      </c>
      <c r="H287">
        <v>567.70084161354202</v>
      </c>
      <c r="I287">
        <v>0.59806830571818903</v>
      </c>
      <c r="J287">
        <v>0.14706877427335499</v>
      </c>
      <c r="K287">
        <v>0.702749854614937</v>
      </c>
      <c r="L287" t="s">
        <v>33</v>
      </c>
      <c r="M287" t="s">
        <v>34</v>
      </c>
      <c r="N287" t="s">
        <v>35</v>
      </c>
      <c r="O287">
        <v>0.82682885795731698</v>
      </c>
      <c r="P287" t="s">
        <v>36</v>
      </c>
    </row>
    <row r="288" spans="1:16">
      <c r="A288">
        <v>287</v>
      </c>
      <c r="B288" t="s">
        <v>339</v>
      </c>
      <c r="C288">
        <v>74</v>
      </c>
      <c r="D288">
        <v>83</v>
      </c>
      <c r="E288">
        <v>69.300833574066701</v>
      </c>
      <c r="F288">
        <v>0.89289953757523999</v>
      </c>
      <c r="G288">
        <v>3771.9575659735401</v>
      </c>
      <c r="H288">
        <v>364.67018548343498</v>
      </c>
      <c r="I288">
        <v>0.72478977224969598</v>
      </c>
      <c r="J288">
        <v>0.35643155596808901</v>
      </c>
      <c r="K288">
        <v>0.77317734515431302</v>
      </c>
      <c r="L288" t="s">
        <v>43</v>
      </c>
      <c r="M288" t="s">
        <v>34</v>
      </c>
      <c r="N288" t="s">
        <v>35</v>
      </c>
      <c r="O288">
        <v>0.79302999550625097</v>
      </c>
      <c r="P288" t="s">
        <v>36</v>
      </c>
    </row>
    <row r="289" spans="1:16">
      <c r="A289">
        <v>288</v>
      </c>
      <c r="B289" t="s">
        <v>340</v>
      </c>
      <c r="C289">
        <v>85</v>
      </c>
      <c r="D289">
        <v>76</v>
      </c>
      <c r="E289">
        <v>69.311755691325104</v>
      </c>
      <c r="F289">
        <v>1.1209419059391501</v>
      </c>
      <c r="G289">
        <v>3773.1466139886602</v>
      </c>
      <c r="H289">
        <v>420.81152692794802</v>
      </c>
      <c r="I289">
        <v>0.78840982430669604</v>
      </c>
      <c r="J289">
        <v>0.26775543181557598</v>
      </c>
      <c r="K289">
        <v>0.69690065061630102</v>
      </c>
      <c r="L289" t="s">
        <v>47</v>
      </c>
      <c r="M289" t="s">
        <v>34</v>
      </c>
      <c r="N289" t="s">
        <v>35</v>
      </c>
      <c r="O289">
        <v>0.94279269823998502</v>
      </c>
      <c r="P289" t="s">
        <v>36</v>
      </c>
    </row>
    <row r="290" spans="1:16">
      <c r="A290">
        <v>289</v>
      </c>
      <c r="B290" t="s">
        <v>341</v>
      </c>
      <c r="C290">
        <v>53</v>
      </c>
      <c r="D290">
        <v>107</v>
      </c>
      <c r="E290">
        <v>69.390889628440405</v>
      </c>
      <c r="F290">
        <v>0.49746192893400998</v>
      </c>
      <c r="G290">
        <v>3781.7672120983002</v>
      </c>
      <c r="H290">
        <v>665.03681851262604</v>
      </c>
      <c r="I290">
        <v>0.70834306885674203</v>
      </c>
      <c r="J290">
        <v>0.107451696438043</v>
      </c>
      <c r="K290">
        <v>0.69711498945176598</v>
      </c>
      <c r="L290" t="s">
        <v>33</v>
      </c>
      <c r="M290" t="s">
        <v>34</v>
      </c>
      <c r="N290" t="s">
        <v>35</v>
      </c>
      <c r="O290">
        <v>0.73709142110177495</v>
      </c>
      <c r="P290" t="s">
        <v>36</v>
      </c>
    </row>
    <row r="291" spans="1:16">
      <c r="A291">
        <v>290</v>
      </c>
      <c r="B291" t="s">
        <v>342</v>
      </c>
      <c r="C291">
        <v>153</v>
      </c>
      <c r="D291">
        <v>60</v>
      </c>
      <c r="E291">
        <v>69.409977406673505</v>
      </c>
      <c r="F291">
        <v>2.5626186019267099</v>
      </c>
      <c r="G291">
        <v>3783.84804612476</v>
      </c>
      <c r="H291">
        <v>779.87454913429599</v>
      </c>
      <c r="I291">
        <v>0.64722047003699801</v>
      </c>
      <c r="J291">
        <v>7.8179710218388099E-2</v>
      </c>
      <c r="K291">
        <v>0.54013111832474103</v>
      </c>
      <c r="L291" t="s">
        <v>33</v>
      </c>
      <c r="M291" t="s">
        <v>34</v>
      </c>
      <c r="N291" t="s">
        <v>35</v>
      </c>
      <c r="O291">
        <v>0.79841719655955401</v>
      </c>
      <c r="P291" t="s">
        <v>36</v>
      </c>
    </row>
    <row r="292" spans="1:16">
      <c r="A292">
        <v>291</v>
      </c>
      <c r="B292" t="s">
        <v>343</v>
      </c>
      <c r="C292">
        <v>88</v>
      </c>
      <c r="D292">
        <v>107</v>
      </c>
      <c r="E292">
        <v>69.467209272436605</v>
      </c>
      <c r="F292">
        <v>0.81725888324873097</v>
      </c>
      <c r="G292">
        <v>3790.0905482041599</v>
      </c>
      <c r="H292">
        <v>875.98779936790504</v>
      </c>
      <c r="I292">
        <v>0.46168915260979398</v>
      </c>
      <c r="J292">
        <v>6.2067368803529401E-2</v>
      </c>
      <c r="K292">
        <v>0.54170030165271699</v>
      </c>
      <c r="L292" t="s">
        <v>38</v>
      </c>
      <c r="M292" t="s">
        <v>34</v>
      </c>
      <c r="N292" t="s">
        <v>35</v>
      </c>
      <c r="O292">
        <v>0.70015366011048696</v>
      </c>
      <c r="P292" t="s">
        <v>36</v>
      </c>
    </row>
    <row r="293" spans="1:16">
      <c r="A293">
        <v>292</v>
      </c>
      <c r="B293" t="s">
        <v>344</v>
      </c>
      <c r="C293">
        <v>95</v>
      </c>
      <c r="D293">
        <v>82</v>
      </c>
      <c r="E293">
        <v>69.595129095386199</v>
      </c>
      <c r="F293">
        <v>1.15172814346769</v>
      </c>
      <c r="G293">
        <v>3804.06186238185</v>
      </c>
      <c r="H293">
        <v>620.25149774364797</v>
      </c>
      <c r="I293">
        <v>0.63537071687769997</v>
      </c>
      <c r="J293">
        <v>0.124257265400879</v>
      </c>
      <c r="K293">
        <v>0.62292209214593397</v>
      </c>
      <c r="L293" t="s">
        <v>33</v>
      </c>
      <c r="M293" t="s">
        <v>34</v>
      </c>
      <c r="N293" t="s">
        <v>35</v>
      </c>
      <c r="O293">
        <v>0.766871442898163</v>
      </c>
      <c r="P293" t="s">
        <v>36</v>
      </c>
    </row>
    <row r="294" spans="1:16">
      <c r="A294">
        <v>293</v>
      </c>
      <c r="B294" t="s">
        <v>345</v>
      </c>
      <c r="C294">
        <v>107</v>
      </c>
      <c r="D294">
        <v>83</v>
      </c>
      <c r="E294">
        <v>69.603286208472596</v>
      </c>
      <c r="F294">
        <v>1.29605263157895</v>
      </c>
      <c r="G294">
        <v>3804.9536483932002</v>
      </c>
      <c r="H294">
        <v>553.09621407135705</v>
      </c>
      <c r="I294">
        <v>0.62958827026754405</v>
      </c>
      <c r="J294">
        <v>0.156299598759785</v>
      </c>
      <c r="K294">
        <v>0.62102760661782497</v>
      </c>
      <c r="L294" t="s">
        <v>33</v>
      </c>
      <c r="M294" t="s">
        <v>34</v>
      </c>
      <c r="N294" t="s">
        <v>35</v>
      </c>
      <c r="O294">
        <v>0.721632280002101</v>
      </c>
      <c r="P294" t="s">
        <v>36</v>
      </c>
    </row>
    <row r="295" spans="1:16">
      <c r="A295">
        <v>294</v>
      </c>
      <c r="B295" t="s">
        <v>346</v>
      </c>
      <c r="C295">
        <v>72</v>
      </c>
      <c r="D295">
        <v>123</v>
      </c>
      <c r="E295">
        <v>69.664434111902906</v>
      </c>
      <c r="F295">
        <v>0.587325337950096</v>
      </c>
      <c r="G295">
        <v>3811.6420434782599</v>
      </c>
      <c r="H295">
        <v>595.55735492364204</v>
      </c>
      <c r="I295">
        <v>0.86105092215021894</v>
      </c>
      <c r="J295">
        <v>0.13504384286315099</v>
      </c>
      <c r="K295">
        <v>0.63378889355707702</v>
      </c>
      <c r="L295" t="s">
        <v>41</v>
      </c>
      <c r="M295" t="s">
        <v>34</v>
      </c>
      <c r="N295" t="s">
        <v>35</v>
      </c>
      <c r="O295">
        <v>0.700156522549087</v>
      </c>
      <c r="P295" t="s">
        <v>36</v>
      </c>
    </row>
    <row r="296" spans="1:16">
      <c r="A296">
        <v>295</v>
      </c>
      <c r="B296" t="s">
        <v>347</v>
      </c>
      <c r="C296">
        <v>70</v>
      </c>
      <c r="D296">
        <v>70</v>
      </c>
      <c r="E296">
        <v>69.672273999797099</v>
      </c>
      <c r="F296">
        <v>1</v>
      </c>
      <c r="G296">
        <v>3812.5</v>
      </c>
      <c r="H296">
        <v>241.92387998104101</v>
      </c>
      <c r="I296">
        <v>0.64080019473792504</v>
      </c>
      <c r="J296">
        <v>0.81858208965429602</v>
      </c>
      <c r="K296">
        <v>0.93846153846153801</v>
      </c>
      <c r="L296" t="s">
        <v>49</v>
      </c>
      <c r="M296" t="s">
        <v>34</v>
      </c>
      <c r="N296" t="s">
        <v>35</v>
      </c>
      <c r="O296">
        <v>0.79731831544625398</v>
      </c>
      <c r="P296" t="s">
        <v>36</v>
      </c>
    </row>
    <row r="297" spans="1:16">
      <c r="A297">
        <v>296</v>
      </c>
      <c r="B297" t="s">
        <v>348</v>
      </c>
      <c r="C297">
        <v>103</v>
      </c>
      <c r="D297">
        <v>88</v>
      </c>
      <c r="E297">
        <v>69.813681293436403</v>
      </c>
      <c r="F297">
        <v>1.1604938271604901</v>
      </c>
      <c r="G297">
        <v>3827.9914536862002</v>
      </c>
      <c r="H297">
        <v>689.98452662975899</v>
      </c>
      <c r="I297">
        <v>0.67795449712710398</v>
      </c>
      <c r="J297">
        <v>0.101042043410074</v>
      </c>
      <c r="K297">
        <v>0.54115100960225204</v>
      </c>
      <c r="L297" t="s">
        <v>61</v>
      </c>
      <c r="M297" t="s">
        <v>34</v>
      </c>
      <c r="N297" t="s">
        <v>35</v>
      </c>
      <c r="O297">
        <v>0.77047519752897797</v>
      </c>
      <c r="P297" t="s">
        <v>36</v>
      </c>
    </row>
    <row r="298" spans="1:16">
      <c r="A298">
        <v>297</v>
      </c>
      <c r="B298" t="s">
        <v>349</v>
      </c>
      <c r="C298">
        <v>77</v>
      </c>
      <c r="D298">
        <v>92</v>
      </c>
      <c r="E298">
        <v>70.130114267194301</v>
      </c>
      <c r="F298">
        <v>0.84287515305428296</v>
      </c>
      <c r="G298">
        <v>3862.7711081285402</v>
      </c>
      <c r="H298">
        <v>513.89535909828896</v>
      </c>
      <c r="I298">
        <v>0.68499159773677198</v>
      </c>
      <c r="J298">
        <v>0.18380589973682401</v>
      </c>
      <c r="K298">
        <v>0.69228310380650504</v>
      </c>
      <c r="L298" t="s">
        <v>47</v>
      </c>
      <c r="M298" t="s">
        <v>34</v>
      </c>
      <c r="N298" t="s">
        <v>35</v>
      </c>
      <c r="O298">
        <v>0.93002832397830504</v>
      </c>
      <c r="P298" t="s">
        <v>36</v>
      </c>
    </row>
    <row r="299" spans="1:16">
      <c r="A299">
        <v>298</v>
      </c>
      <c r="B299" t="s">
        <v>350</v>
      </c>
      <c r="C299">
        <v>102</v>
      </c>
      <c r="D299">
        <v>82</v>
      </c>
      <c r="E299">
        <v>70.262214086302507</v>
      </c>
      <c r="F299">
        <v>1.24452560996017</v>
      </c>
      <c r="G299">
        <v>3877.3369463138001</v>
      </c>
      <c r="H299">
        <v>617.53205840846795</v>
      </c>
      <c r="I299">
        <v>0.63873498119734096</v>
      </c>
      <c r="J299">
        <v>0.127768674912245</v>
      </c>
      <c r="K299">
        <v>0.63094374304648604</v>
      </c>
      <c r="L299" t="s">
        <v>72</v>
      </c>
      <c r="M299" t="s">
        <v>34</v>
      </c>
      <c r="N299" t="s">
        <v>35</v>
      </c>
      <c r="O299">
        <v>0.79028657873319796</v>
      </c>
      <c r="P299" t="s">
        <v>36</v>
      </c>
    </row>
    <row r="300" spans="1:16">
      <c r="A300">
        <v>299</v>
      </c>
      <c r="B300" t="s">
        <v>351</v>
      </c>
      <c r="C300">
        <v>83</v>
      </c>
      <c r="D300">
        <v>69</v>
      </c>
      <c r="E300">
        <v>70.264907415065807</v>
      </c>
      <c r="F300">
        <v>1.2063492063492101</v>
      </c>
      <c r="G300">
        <v>3877.63420831758</v>
      </c>
      <c r="H300">
        <v>338.367458817959</v>
      </c>
      <c r="I300">
        <v>0.75778996464150605</v>
      </c>
      <c r="J300">
        <v>0.42559794521001698</v>
      </c>
      <c r="K300">
        <v>0.85610684517949698</v>
      </c>
      <c r="L300" t="s">
        <v>74</v>
      </c>
      <c r="M300" t="s">
        <v>34</v>
      </c>
      <c r="N300" t="s">
        <v>35</v>
      </c>
      <c r="O300">
        <v>0.74362648186090696</v>
      </c>
      <c r="P300" t="s">
        <v>36</v>
      </c>
    </row>
    <row r="301" spans="1:16">
      <c r="A301">
        <v>300</v>
      </c>
      <c r="B301" t="s">
        <v>352</v>
      </c>
      <c r="C301">
        <v>73</v>
      </c>
      <c r="D301">
        <v>68</v>
      </c>
      <c r="E301">
        <v>70.365832825571701</v>
      </c>
      <c r="F301">
        <v>1.0720000000000001</v>
      </c>
      <c r="G301">
        <v>3888.7815334593602</v>
      </c>
      <c r="H301">
        <v>532.33255823943898</v>
      </c>
      <c r="I301">
        <v>0.633746949818353</v>
      </c>
      <c r="J301">
        <v>0.172447678254286</v>
      </c>
      <c r="K301">
        <v>0.78101492537313399</v>
      </c>
      <c r="L301" t="s">
        <v>74</v>
      </c>
      <c r="M301" t="s">
        <v>34</v>
      </c>
      <c r="N301" t="s">
        <v>35</v>
      </c>
      <c r="O301">
        <v>0.72494323992663501</v>
      </c>
      <c r="P301" t="s">
        <v>36</v>
      </c>
    </row>
    <row r="302" spans="1:16">
      <c r="A302">
        <v>301</v>
      </c>
      <c r="B302" t="s">
        <v>353</v>
      </c>
      <c r="C302">
        <v>73</v>
      </c>
      <c r="D302">
        <v>93</v>
      </c>
      <c r="E302">
        <v>70.540428140391597</v>
      </c>
      <c r="F302">
        <v>0.78823529411764703</v>
      </c>
      <c r="G302">
        <v>3908.1035637051</v>
      </c>
      <c r="H302">
        <v>443.82025176442198</v>
      </c>
      <c r="I302">
        <v>0.69691533983929599</v>
      </c>
      <c r="J302">
        <v>0.24932262861191301</v>
      </c>
      <c r="K302">
        <v>0.75509735224857799</v>
      </c>
      <c r="L302" t="s">
        <v>43</v>
      </c>
      <c r="M302" t="s">
        <v>34</v>
      </c>
      <c r="N302" t="s">
        <v>35</v>
      </c>
      <c r="O302">
        <v>0.809795832736107</v>
      </c>
      <c r="P302" t="s">
        <v>36</v>
      </c>
    </row>
    <row r="303" spans="1:16">
      <c r="A303">
        <v>302</v>
      </c>
      <c r="B303" t="s">
        <v>354</v>
      </c>
      <c r="C303">
        <v>61</v>
      </c>
      <c r="D303">
        <v>94</v>
      </c>
      <c r="E303">
        <v>71.029653638554905</v>
      </c>
      <c r="F303">
        <v>0.64705874916691697</v>
      </c>
      <c r="G303">
        <v>3962.5</v>
      </c>
      <c r="H303">
        <v>294.35028612613701</v>
      </c>
      <c r="I303">
        <v>0.76606499796539795</v>
      </c>
      <c r="J303">
        <v>0.57471193293825296</v>
      </c>
      <c r="K303">
        <v>0.856756756756757</v>
      </c>
      <c r="L303" t="s">
        <v>33</v>
      </c>
      <c r="M303" t="s">
        <v>34</v>
      </c>
      <c r="N303" t="s">
        <v>35</v>
      </c>
      <c r="O303">
        <v>0.81209911603017904</v>
      </c>
      <c r="P303" t="s">
        <v>36</v>
      </c>
    </row>
    <row r="304" spans="1:16">
      <c r="A304">
        <v>303</v>
      </c>
      <c r="B304" t="s">
        <v>355</v>
      </c>
      <c r="C304">
        <v>74</v>
      </c>
      <c r="D304">
        <v>123</v>
      </c>
      <c r="E304">
        <v>71.357955975751906</v>
      </c>
      <c r="F304">
        <v>0.60577054176932299</v>
      </c>
      <c r="G304">
        <v>3999.2143678638899</v>
      </c>
      <c r="H304">
        <v>617.93833629556298</v>
      </c>
      <c r="I304">
        <v>0.80243746174527497</v>
      </c>
      <c r="J304">
        <v>0.13161163050505201</v>
      </c>
      <c r="K304">
        <v>0.60885208064625596</v>
      </c>
      <c r="L304" t="s">
        <v>41</v>
      </c>
      <c r="M304" t="s">
        <v>34</v>
      </c>
      <c r="N304" t="s">
        <v>35</v>
      </c>
      <c r="O304">
        <v>0.64312799011869703</v>
      </c>
      <c r="P304" t="s">
        <v>36</v>
      </c>
    </row>
    <row r="305" spans="1:16">
      <c r="A305">
        <v>304</v>
      </c>
      <c r="B305" t="s">
        <v>356</v>
      </c>
      <c r="C305">
        <v>68</v>
      </c>
      <c r="D305">
        <v>73</v>
      </c>
      <c r="E305">
        <v>71.364585722774606</v>
      </c>
      <c r="F305">
        <v>0.93283582089552197</v>
      </c>
      <c r="G305">
        <v>3999.9575228733502</v>
      </c>
      <c r="H305">
        <v>349.17161448084801</v>
      </c>
      <c r="I305">
        <v>0.59111269120201104</v>
      </c>
      <c r="J305">
        <v>0.41227536178930202</v>
      </c>
      <c r="K305">
        <v>0.89790471106365899</v>
      </c>
      <c r="L305" t="s">
        <v>47</v>
      </c>
      <c r="M305" t="s">
        <v>34</v>
      </c>
      <c r="N305" t="s">
        <v>35</v>
      </c>
      <c r="O305">
        <v>0.94259488692490001</v>
      </c>
      <c r="P305" t="s">
        <v>36</v>
      </c>
    </row>
    <row r="306" spans="1:16">
      <c r="A306">
        <v>305</v>
      </c>
      <c r="B306" t="s">
        <v>357</v>
      </c>
      <c r="C306">
        <v>85</v>
      </c>
      <c r="D306">
        <v>86</v>
      </c>
      <c r="E306">
        <v>71.403026116471295</v>
      </c>
      <c r="F306">
        <v>0.99150486178001096</v>
      </c>
      <c r="G306">
        <v>4004.2678219281702</v>
      </c>
      <c r="H306">
        <v>551.68639832216797</v>
      </c>
      <c r="I306">
        <v>0.57985255070757502</v>
      </c>
      <c r="J306">
        <v>0.165328767381859</v>
      </c>
      <c r="K306">
        <v>0.69483919222139101</v>
      </c>
      <c r="L306" t="s">
        <v>33</v>
      </c>
      <c r="M306" t="s">
        <v>34</v>
      </c>
      <c r="N306" t="s">
        <v>35</v>
      </c>
      <c r="O306">
        <v>0.81299234917764396</v>
      </c>
      <c r="P306" t="s">
        <v>36</v>
      </c>
    </row>
    <row r="307" spans="1:16">
      <c r="A307">
        <v>306</v>
      </c>
      <c r="B307" t="s">
        <v>358</v>
      </c>
      <c r="C307">
        <v>71</v>
      </c>
      <c r="D307">
        <v>120</v>
      </c>
      <c r="E307">
        <v>71.573769418088901</v>
      </c>
      <c r="F307">
        <v>0.59185305177619696</v>
      </c>
      <c r="G307">
        <v>4023.4412211720201</v>
      </c>
      <c r="H307">
        <v>746.33565463916102</v>
      </c>
      <c r="I307">
        <v>0.72089680049667804</v>
      </c>
      <c r="J307">
        <v>9.0769333351298498E-2</v>
      </c>
      <c r="K307">
        <v>0.60662423807816401</v>
      </c>
      <c r="L307" t="s">
        <v>43</v>
      </c>
      <c r="M307" t="s">
        <v>34</v>
      </c>
      <c r="N307" t="s">
        <v>35</v>
      </c>
      <c r="O307">
        <v>0.815339084737562</v>
      </c>
      <c r="P307" t="s">
        <v>36</v>
      </c>
    </row>
    <row r="308" spans="1:16">
      <c r="A308">
        <v>307</v>
      </c>
      <c r="B308" t="s">
        <v>359</v>
      </c>
      <c r="C308">
        <v>84</v>
      </c>
      <c r="D308">
        <v>93</v>
      </c>
      <c r="E308">
        <v>71.653046277632697</v>
      </c>
      <c r="F308">
        <v>0.90781852892069204</v>
      </c>
      <c r="G308">
        <v>4032.35908128544</v>
      </c>
      <c r="H308">
        <v>495.864437844235</v>
      </c>
      <c r="I308">
        <v>0.67671345990010401</v>
      </c>
      <c r="J308">
        <v>0.20608346001705699</v>
      </c>
      <c r="K308">
        <v>0.72644995447973004</v>
      </c>
      <c r="L308" t="s">
        <v>47</v>
      </c>
      <c r="M308" t="s">
        <v>34</v>
      </c>
      <c r="N308" t="s">
        <v>35</v>
      </c>
      <c r="O308">
        <v>0.89972324612288002</v>
      </c>
      <c r="P308" t="s">
        <v>36</v>
      </c>
    </row>
    <row r="309" spans="1:16">
      <c r="A309">
        <v>308</v>
      </c>
      <c r="B309" t="s">
        <v>360</v>
      </c>
      <c r="C309">
        <v>83</v>
      </c>
      <c r="D309">
        <v>88</v>
      </c>
      <c r="E309">
        <v>71.915355605263301</v>
      </c>
      <c r="F309">
        <v>0.94409937888198803</v>
      </c>
      <c r="G309">
        <v>4061.9366506616302</v>
      </c>
      <c r="H309">
        <v>743.79000914501103</v>
      </c>
      <c r="I309">
        <v>0.65474181934035802</v>
      </c>
      <c r="J309">
        <v>9.2266135106012198E-2</v>
      </c>
      <c r="K309">
        <v>0.63245469903496798</v>
      </c>
      <c r="L309" t="s">
        <v>47</v>
      </c>
      <c r="M309" t="s">
        <v>34</v>
      </c>
      <c r="N309" t="s">
        <v>35</v>
      </c>
      <c r="O309">
        <v>0.93284732961957295</v>
      </c>
      <c r="P309" t="s">
        <v>36</v>
      </c>
    </row>
    <row r="310" spans="1:16">
      <c r="A310">
        <v>309</v>
      </c>
      <c r="B310" t="s">
        <v>361</v>
      </c>
      <c r="C310">
        <v>98</v>
      </c>
      <c r="D310">
        <v>93</v>
      </c>
      <c r="E310">
        <v>71.916671326617006</v>
      </c>
      <c r="F310">
        <v>1.05294117647059</v>
      </c>
      <c r="G310">
        <v>4062.0852816635202</v>
      </c>
      <c r="H310">
        <v>795.405219856553</v>
      </c>
      <c r="I310">
        <v>0.63422242599243595</v>
      </c>
      <c r="J310">
        <v>8.0682998057050107E-2</v>
      </c>
      <c r="K310">
        <v>0.59061243895059901</v>
      </c>
      <c r="L310" t="s">
        <v>144</v>
      </c>
      <c r="M310" t="s">
        <v>34</v>
      </c>
      <c r="N310" t="s">
        <v>35</v>
      </c>
      <c r="O310">
        <v>0.688721643664715</v>
      </c>
      <c r="P310" t="s">
        <v>36</v>
      </c>
    </row>
    <row r="311" spans="1:16">
      <c r="A311">
        <v>310</v>
      </c>
      <c r="B311" t="s">
        <v>362</v>
      </c>
      <c r="C311">
        <v>125</v>
      </c>
      <c r="D311">
        <v>61</v>
      </c>
      <c r="E311">
        <v>71.999513300153794</v>
      </c>
      <c r="F311">
        <v>2.05561079550814</v>
      </c>
      <c r="G311">
        <v>4071.4490347826099</v>
      </c>
      <c r="H311">
        <v>739.78364370501595</v>
      </c>
      <c r="I311">
        <v>0.81992869279425595</v>
      </c>
      <c r="J311">
        <v>9.3486611083476098E-2</v>
      </c>
      <c r="K311">
        <v>0.59984233691724897</v>
      </c>
      <c r="L311" t="s">
        <v>33</v>
      </c>
      <c r="M311" t="s">
        <v>34</v>
      </c>
      <c r="N311" t="s">
        <v>35</v>
      </c>
      <c r="O311">
        <v>0.71946937073148598</v>
      </c>
      <c r="P311" t="s">
        <v>36</v>
      </c>
    </row>
    <row r="312" spans="1:16">
      <c r="A312">
        <v>311</v>
      </c>
      <c r="B312" t="s">
        <v>363</v>
      </c>
      <c r="C312">
        <v>70</v>
      </c>
      <c r="D312">
        <v>120</v>
      </c>
      <c r="E312">
        <v>72.030904095365798</v>
      </c>
      <c r="F312">
        <v>0.58333333333333304</v>
      </c>
      <c r="G312">
        <v>4075</v>
      </c>
      <c r="H312">
        <v>476.27416610717802</v>
      </c>
      <c r="I312">
        <v>0.54406146300771396</v>
      </c>
      <c r="J312">
        <v>0.22574774794225</v>
      </c>
      <c r="K312">
        <v>0.64299802761341196</v>
      </c>
      <c r="L312" t="s">
        <v>33</v>
      </c>
      <c r="M312" t="s">
        <v>34</v>
      </c>
      <c r="N312" t="s">
        <v>35</v>
      </c>
      <c r="O312">
        <v>0.80245122679355796</v>
      </c>
      <c r="P312" t="s">
        <v>36</v>
      </c>
    </row>
    <row r="313" spans="1:16">
      <c r="A313">
        <v>312</v>
      </c>
      <c r="B313" t="s">
        <v>364</v>
      </c>
      <c r="C313">
        <v>146</v>
      </c>
      <c r="D313">
        <v>66</v>
      </c>
      <c r="E313">
        <v>72.073070672291493</v>
      </c>
      <c r="F313">
        <v>2.1964295343148401</v>
      </c>
      <c r="G313">
        <v>4079.77237088847</v>
      </c>
      <c r="H313">
        <v>689.98452662975899</v>
      </c>
      <c r="I313">
        <v>0.82107574487564405</v>
      </c>
      <c r="J313">
        <v>0.10768794601293399</v>
      </c>
      <c r="K313">
        <v>0.53979272777329801</v>
      </c>
      <c r="L313" t="s">
        <v>298</v>
      </c>
      <c r="M313" t="s">
        <v>34</v>
      </c>
      <c r="N313" t="s">
        <v>35</v>
      </c>
      <c r="O313">
        <v>0.67195584008779996</v>
      </c>
      <c r="P313" t="s">
        <v>36</v>
      </c>
    </row>
    <row r="314" spans="1:16">
      <c r="A314">
        <v>313</v>
      </c>
      <c r="B314" t="s">
        <v>365</v>
      </c>
      <c r="C314">
        <v>131</v>
      </c>
      <c r="D314">
        <v>90</v>
      </c>
      <c r="E314">
        <v>72.213409441290295</v>
      </c>
      <c r="F314">
        <v>1.45507915818088</v>
      </c>
      <c r="G314">
        <v>4095.67588809074</v>
      </c>
      <c r="H314">
        <v>588.58577085971797</v>
      </c>
      <c r="I314">
        <v>0.65734580274107202</v>
      </c>
      <c r="J314">
        <v>0.14856480178899001</v>
      </c>
      <c r="K314">
        <v>0.50630213500900301</v>
      </c>
      <c r="L314" t="s">
        <v>33</v>
      </c>
      <c r="M314" t="s">
        <v>34</v>
      </c>
      <c r="N314" t="s">
        <v>35</v>
      </c>
      <c r="O314">
        <v>0.76901199920957997</v>
      </c>
      <c r="P314" t="s">
        <v>36</v>
      </c>
    </row>
    <row r="315" spans="1:16">
      <c r="A315">
        <v>314</v>
      </c>
      <c r="B315" t="s">
        <v>366</v>
      </c>
      <c r="C315">
        <v>68</v>
      </c>
      <c r="D315">
        <v>117</v>
      </c>
      <c r="E315">
        <v>72.235681154893996</v>
      </c>
      <c r="F315">
        <v>0.581395348837209</v>
      </c>
      <c r="G315">
        <v>4098.2026151228702</v>
      </c>
      <c r="H315">
        <v>630.04271330594997</v>
      </c>
      <c r="I315">
        <v>0.62362644100654496</v>
      </c>
      <c r="J315">
        <v>0.12973683648600501</v>
      </c>
      <c r="K315">
        <v>0.63649584487534605</v>
      </c>
      <c r="L315" t="s">
        <v>188</v>
      </c>
      <c r="M315" t="s">
        <v>34</v>
      </c>
      <c r="N315" t="s">
        <v>35</v>
      </c>
      <c r="O315">
        <v>0.77864982360002</v>
      </c>
      <c r="P315" t="s">
        <v>36</v>
      </c>
    </row>
    <row r="316" spans="1:16">
      <c r="A316">
        <v>315</v>
      </c>
      <c r="B316" t="s">
        <v>367</v>
      </c>
      <c r="C316">
        <v>78</v>
      </c>
      <c r="D316">
        <v>93</v>
      </c>
      <c r="E316">
        <v>72.353476005909599</v>
      </c>
      <c r="F316">
        <v>0.83691107902735395</v>
      </c>
      <c r="G316">
        <v>4111.5794052930096</v>
      </c>
      <c r="H316">
        <v>396.42508606195503</v>
      </c>
      <c r="I316">
        <v>0.75551957324920305</v>
      </c>
      <c r="J316">
        <v>0.32877310842490898</v>
      </c>
      <c r="K316">
        <v>0.80841053216049596</v>
      </c>
      <c r="L316" t="s">
        <v>41</v>
      </c>
      <c r="M316" t="s">
        <v>34</v>
      </c>
      <c r="N316" t="s">
        <v>35</v>
      </c>
      <c r="O316">
        <v>0.76163134906474195</v>
      </c>
      <c r="P316" t="s">
        <v>36</v>
      </c>
    </row>
    <row r="317" spans="1:16">
      <c r="A317">
        <v>316</v>
      </c>
      <c r="B317" t="s">
        <v>368</v>
      </c>
      <c r="C317">
        <v>78</v>
      </c>
      <c r="D317">
        <v>73</v>
      </c>
      <c r="E317">
        <v>72.384855591470696</v>
      </c>
      <c r="F317">
        <v>1.0671641791044799</v>
      </c>
      <c r="G317">
        <v>4115.1465493383703</v>
      </c>
      <c r="H317">
        <v>322.12053148052001</v>
      </c>
      <c r="I317">
        <v>0.603070523756986</v>
      </c>
      <c r="J317">
        <v>0.49837741833639998</v>
      </c>
      <c r="K317">
        <v>0.89154725487039099</v>
      </c>
      <c r="L317" t="s">
        <v>47</v>
      </c>
      <c r="M317" t="s">
        <v>34</v>
      </c>
      <c r="N317" t="s">
        <v>35</v>
      </c>
      <c r="O317">
        <v>0.90453877701116003</v>
      </c>
      <c r="P317" t="s">
        <v>36</v>
      </c>
    </row>
    <row r="318" spans="1:16">
      <c r="A318">
        <v>317</v>
      </c>
      <c r="B318" t="s">
        <v>369</v>
      </c>
      <c r="C318">
        <v>88</v>
      </c>
      <c r="D318">
        <v>76</v>
      </c>
      <c r="E318">
        <v>72.407074569921207</v>
      </c>
      <c r="F318">
        <v>1.1683736381759799</v>
      </c>
      <c r="G318">
        <v>4117.6732763705104</v>
      </c>
      <c r="H318">
        <v>399.04271700382202</v>
      </c>
      <c r="I318">
        <v>0.56731180856770302</v>
      </c>
      <c r="J318">
        <v>0.324954810285419</v>
      </c>
      <c r="K318">
        <v>0.76906420897759797</v>
      </c>
      <c r="L318" t="s">
        <v>74</v>
      </c>
      <c r="M318" t="s">
        <v>34</v>
      </c>
      <c r="N318" t="s">
        <v>35</v>
      </c>
      <c r="O318">
        <v>0.71007109654654399</v>
      </c>
      <c r="P318" t="s">
        <v>36</v>
      </c>
    </row>
    <row r="319" spans="1:16">
      <c r="A319">
        <v>318</v>
      </c>
      <c r="B319" t="s">
        <v>370</v>
      </c>
      <c r="C319">
        <v>70</v>
      </c>
      <c r="D319">
        <v>75</v>
      </c>
      <c r="E319">
        <v>72.471464191311497</v>
      </c>
      <c r="F319">
        <v>0.93333333333333302</v>
      </c>
      <c r="G319">
        <v>4125</v>
      </c>
      <c r="H319">
        <v>253.13708305358901</v>
      </c>
      <c r="I319">
        <v>0.60572347404288096</v>
      </c>
      <c r="J319">
        <v>0.80895110808846504</v>
      </c>
      <c r="K319">
        <v>0.94827586206896597</v>
      </c>
      <c r="L319" t="s">
        <v>74</v>
      </c>
      <c r="M319" t="s">
        <v>34</v>
      </c>
      <c r="N319" t="s">
        <v>35</v>
      </c>
      <c r="O319">
        <v>0.73505250804085798</v>
      </c>
      <c r="P319" t="s">
        <v>36</v>
      </c>
    </row>
    <row r="320" spans="1:16">
      <c r="A320">
        <v>319</v>
      </c>
      <c r="B320" t="s">
        <v>371</v>
      </c>
      <c r="C320">
        <v>98</v>
      </c>
      <c r="D320">
        <v>73</v>
      </c>
      <c r="E320">
        <v>72.518067346382495</v>
      </c>
      <c r="F320">
        <v>1.3533835397324001</v>
      </c>
      <c r="G320">
        <v>4130.3069115311901</v>
      </c>
      <c r="H320">
        <v>659.60734208075905</v>
      </c>
      <c r="I320">
        <v>0.57282066708572799</v>
      </c>
      <c r="J320">
        <v>0.119294721007358</v>
      </c>
      <c r="K320">
        <v>0.71847044831687301</v>
      </c>
      <c r="L320" t="s">
        <v>43</v>
      </c>
      <c r="M320" t="s">
        <v>34</v>
      </c>
      <c r="N320" t="s">
        <v>35</v>
      </c>
      <c r="O320">
        <v>0.74904858499692195</v>
      </c>
      <c r="P320" t="s">
        <v>36</v>
      </c>
    </row>
    <row r="321" spans="1:16">
      <c r="A321">
        <v>320</v>
      </c>
      <c r="B321" t="s">
        <v>372</v>
      </c>
      <c r="C321">
        <v>118</v>
      </c>
      <c r="D321">
        <v>73</v>
      </c>
      <c r="E321">
        <v>72.519372132718104</v>
      </c>
      <c r="F321">
        <v>1.6005844922732899</v>
      </c>
      <c r="G321">
        <v>4130.45554253308</v>
      </c>
      <c r="H321">
        <v>474.42992035948703</v>
      </c>
      <c r="I321">
        <v>0.71448239080164699</v>
      </c>
      <c r="J321">
        <v>0.23060232161395799</v>
      </c>
      <c r="K321">
        <v>0.68308630140353499</v>
      </c>
      <c r="L321" t="s">
        <v>43</v>
      </c>
      <c r="M321" t="s">
        <v>34</v>
      </c>
      <c r="N321" t="s">
        <v>35</v>
      </c>
      <c r="O321">
        <v>0.74016173328375101</v>
      </c>
      <c r="P321" t="s">
        <v>36</v>
      </c>
    </row>
    <row r="322" spans="1:16">
      <c r="A322">
        <v>321</v>
      </c>
      <c r="B322" t="s">
        <v>373</v>
      </c>
      <c r="C322">
        <v>69</v>
      </c>
      <c r="D322">
        <v>113</v>
      </c>
      <c r="E322">
        <v>72.635404245317602</v>
      </c>
      <c r="F322">
        <v>0.60986107916840804</v>
      </c>
      <c r="G322">
        <v>4143.6837017013204</v>
      </c>
      <c r="H322">
        <v>347.00793316250298</v>
      </c>
      <c r="I322">
        <v>0.61182219181645803</v>
      </c>
      <c r="J322">
        <v>0.43243183046090999</v>
      </c>
      <c r="K322">
        <v>0.85523651757776598</v>
      </c>
      <c r="L322" t="s">
        <v>43</v>
      </c>
      <c r="M322" t="s">
        <v>34</v>
      </c>
      <c r="N322" t="s">
        <v>35</v>
      </c>
      <c r="O322">
        <v>0.75198877274631104</v>
      </c>
      <c r="P322" t="s">
        <v>36</v>
      </c>
    </row>
    <row r="323" spans="1:16">
      <c r="A323">
        <v>322</v>
      </c>
      <c r="B323" t="s">
        <v>374</v>
      </c>
      <c r="C323">
        <v>78</v>
      </c>
      <c r="D323">
        <v>90</v>
      </c>
      <c r="E323">
        <v>72.888986200734706</v>
      </c>
      <c r="F323">
        <v>0.86462617999925495</v>
      </c>
      <c r="G323">
        <v>4172.6667470699404</v>
      </c>
      <c r="H323">
        <v>411.74597021932198</v>
      </c>
      <c r="I323">
        <v>0.74615757879179401</v>
      </c>
      <c r="J323">
        <v>0.30928926755222502</v>
      </c>
      <c r="K323">
        <v>0.77187869456435099</v>
      </c>
      <c r="L323" t="s">
        <v>47</v>
      </c>
      <c r="M323" t="s">
        <v>34</v>
      </c>
      <c r="N323" t="s">
        <v>35</v>
      </c>
      <c r="O323">
        <v>0.90559686089847602</v>
      </c>
      <c r="P323" t="s">
        <v>36</v>
      </c>
    </row>
    <row r="324" spans="1:16">
      <c r="A324">
        <v>323</v>
      </c>
      <c r="B324" t="s">
        <v>375</v>
      </c>
      <c r="C324">
        <v>64</v>
      </c>
      <c r="D324">
        <v>145</v>
      </c>
      <c r="E324">
        <v>72.905860304026504</v>
      </c>
      <c r="F324">
        <v>0.44013645003791801</v>
      </c>
      <c r="G324">
        <v>4174.5989500945198</v>
      </c>
      <c r="H324">
        <v>625.38429069011102</v>
      </c>
      <c r="I324">
        <v>0.79814777177663099</v>
      </c>
      <c r="J324">
        <v>0.13413147115580401</v>
      </c>
      <c r="K324">
        <v>0.59510138356251496</v>
      </c>
      <c r="L324" t="s">
        <v>33</v>
      </c>
      <c r="M324" t="s">
        <v>34</v>
      </c>
      <c r="N324" t="s">
        <v>35</v>
      </c>
      <c r="O324">
        <v>0.70826720286369205</v>
      </c>
      <c r="P324" t="s">
        <v>36</v>
      </c>
    </row>
    <row r="325" spans="1:16">
      <c r="A325">
        <v>324</v>
      </c>
      <c r="B325" t="s">
        <v>376</v>
      </c>
      <c r="C325">
        <v>166</v>
      </c>
      <c r="D325">
        <v>49</v>
      </c>
      <c r="E325">
        <v>72.909362219603196</v>
      </c>
      <c r="F325">
        <v>3.39024380291906</v>
      </c>
      <c r="G325">
        <v>4175</v>
      </c>
      <c r="H325">
        <v>407.98989534378097</v>
      </c>
      <c r="I325">
        <v>0.53716625583428101</v>
      </c>
      <c r="J325">
        <v>0.31518644344064201</v>
      </c>
      <c r="K325">
        <v>0.681632653061224</v>
      </c>
      <c r="L325" t="s">
        <v>33</v>
      </c>
      <c r="M325" t="s">
        <v>34</v>
      </c>
      <c r="N325" t="s">
        <v>35</v>
      </c>
      <c r="O325">
        <v>0.89359246786167701</v>
      </c>
      <c r="P325" t="s">
        <v>36</v>
      </c>
    </row>
    <row r="326" spans="1:16">
      <c r="A326">
        <v>325</v>
      </c>
      <c r="B326" t="s">
        <v>377</v>
      </c>
      <c r="C326">
        <v>112</v>
      </c>
      <c r="D326">
        <v>73</v>
      </c>
      <c r="E326">
        <v>72.951271182149696</v>
      </c>
      <c r="F326">
        <v>1.53731343283582</v>
      </c>
      <c r="G326">
        <v>4179.8010351606799</v>
      </c>
      <c r="H326">
        <v>958.067091548961</v>
      </c>
      <c r="I326">
        <v>0.51401216536805105</v>
      </c>
      <c r="J326">
        <v>5.7223395911500601E-2</v>
      </c>
      <c r="K326">
        <v>0.53891113964317905</v>
      </c>
      <c r="L326" t="s">
        <v>33</v>
      </c>
      <c r="M326" t="s">
        <v>34</v>
      </c>
      <c r="N326" t="s">
        <v>35</v>
      </c>
      <c r="O326">
        <v>0.79657537115700505</v>
      </c>
      <c r="P326" t="s">
        <v>36</v>
      </c>
    </row>
    <row r="327" spans="1:16">
      <c r="A327">
        <v>326</v>
      </c>
      <c r="B327" t="s">
        <v>378</v>
      </c>
      <c r="C327">
        <v>73</v>
      </c>
      <c r="D327">
        <v>97</v>
      </c>
      <c r="E327">
        <v>72.990172305365604</v>
      </c>
      <c r="F327">
        <v>0.75685151287153196</v>
      </c>
      <c r="G327">
        <v>4184.2599652173903</v>
      </c>
      <c r="H327">
        <v>451.15661175727797</v>
      </c>
      <c r="I327">
        <v>0.79260285589110702</v>
      </c>
      <c r="J327">
        <v>0.25832942088133798</v>
      </c>
      <c r="K327">
        <v>0.77607167470709904</v>
      </c>
      <c r="L327" t="s">
        <v>33</v>
      </c>
      <c r="M327" t="s">
        <v>34</v>
      </c>
      <c r="N327" t="s">
        <v>35</v>
      </c>
      <c r="O327">
        <v>0.79380191701684</v>
      </c>
      <c r="P327" t="s">
        <v>36</v>
      </c>
    </row>
    <row r="328" spans="1:16">
      <c r="A328">
        <v>327</v>
      </c>
      <c r="B328" t="s">
        <v>379</v>
      </c>
      <c r="C328">
        <v>126</v>
      </c>
      <c r="D328">
        <v>91</v>
      </c>
      <c r="E328">
        <v>73.109340012966598</v>
      </c>
      <c r="F328">
        <v>1.389274033085</v>
      </c>
      <c r="G328">
        <v>4197.9340173913097</v>
      </c>
      <c r="H328">
        <v>771.33815995713996</v>
      </c>
      <c r="I328">
        <v>0.66354442603674202</v>
      </c>
      <c r="J328">
        <v>8.8665738803168095E-2</v>
      </c>
      <c r="K328">
        <v>0.49597864643697498</v>
      </c>
      <c r="L328" t="s">
        <v>33</v>
      </c>
      <c r="M328" t="s">
        <v>34</v>
      </c>
      <c r="N328" t="s">
        <v>35</v>
      </c>
      <c r="O328">
        <v>0.79071828984848502</v>
      </c>
      <c r="P328" t="s">
        <v>36</v>
      </c>
    </row>
    <row r="329" spans="1:16">
      <c r="A329">
        <v>328</v>
      </c>
      <c r="B329" t="s">
        <v>380</v>
      </c>
      <c r="C329">
        <v>115</v>
      </c>
      <c r="D329">
        <v>77</v>
      </c>
      <c r="E329">
        <v>73.424456805696394</v>
      </c>
      <c r="F329">
        <v>1.49952380175679</v>
      </c>
      <c r="G329">
        <v>4234.1999818525501</v>
      </c>
      <c r="H329">
        <v>732.23749714727001</v>
      </c>
      <c r="I329">
        <v>0.59047892607858099</v>
      </c>
      <c r="J329">
        <v>9.9237839379118203E-2</v>
      </c>
      <c r="K329">
        <v>0.604442935647451</v>
      </c>
      <c r="L329" t="s">
        <v>43</v>
      </c>
      <c r="M329" t="s">
        <v>34</v>
      </c>
      <c r="N329" t="s">
        <v>35</v>
      </c>
      <c r="O329">
        <v>0.822481325907086</v>
      </c>
      <c r="P329" t="s">
        <v>36</v>
      </c>
    </row>
    <row r="330" spans="1:16">
      <c r="A330">
        <v>329</v>
      </c>
      <c r="B330" t="s">
        <v>381</v>
      </c>
      <c r="C330">
        <v>120</v>
      </c>
      <c r="D330">
        <v>64</v>
      </c>
      <c r="E330">
        <v>73.453063726540705</v>
      </c>
      <c r="F330">
        <v>1.88235287053436</v>
      </c>
      <c r="G330">
        <v>4237.5</v>
      </c>
      <c r="H330">
        <v>443.34523379802698</v>
      </c>
      <c r="I330">
        <v>0.70842934673275904</v>
      </c>
      <c r="J330">
        <v>0.270916519407921</v>
      </c>
      <c r="K330">
        <v>0.69325153374233095</v>
      </c>
      <c r="L330" t="s">
        <v>33</v>
      </c>
      <c r="M330" t="s">
        <v>34</v>
      </c>
      <c r="N330" t="s">
        <v>35</v>
      </c>
      <c r="O330">
        <v>0.72381068769850199</v>
      </c>
      <c r="P330" t="s">
        <v>36</v>
      </c>
    </row>
    <row r="331" spans="1:16">
      <c r="A331">
        <v>330</v>
      </c>
      <c r="B331" t="s">
        <v>382</v>
      </c>
      <c r="C331">
        <v>78</v>
      </c>
      <c r="D331">
        <v>87</v>
      </c>
      <c r="E331">
        <v>73.494013172144307</v>
      </c>
      <c r="F331">
        <v>0.89375000000000004</v>
      </c>
      <c r="G331">
        <v>4242.2260559546303</v>
      </c>
      <c r="H331">
        <v>398.738247510039</v>
      </c>
      <c r="I331">
        <v>0.69454775226591103</v>
      </c>
      <c r="J331">
        <v>0.33529561948821202</v>
      </c>
      <c r="K331">
        <v>0.80345681792590895</v>
      </c>
      <c r="L331" t="s">
        <v>288</v>
      </c>
      <c r="M331" t="s">
        <v>34</v>
      </c>
      <c r="N331" t="s">
        <v>35</v>
      </c>
      <c r="O331">
        <v>0.73084388186435201</v>
      </c>
      <c r="P331" t="s">
        <v>36</v>
      </c>
    </row>
    <row r="332" spans="1:16">
      <c r="A332">
        <v>331</v>
      </c>
      <c r="B332" t="s">
        <v>383</v>
      </c>
      <c r="C332">
        <v>112</v>
      </c>
      <c r="D332">
        <v>74</v>
      </c>
      <c r="E332">
        <v>73.517184003419004</v>
      </c>
      <c r="F332">
        <v>1.5094340471163801</v>
      </c>
      <c r="G332">
        <v>4244.9014139886604</v>
      </c>
      <c r="H332">
        <v>579.34414353598697</v>
      </c>
      <c r="I332">
        <v>0.67157293903355297</v>
      </c>
      <c r="J332">
        <v>0.15892939499667</v>
      </c>
      <c r="K332">
        <v>0.68338437978560496</v>
      </c>
      <c r="L332" t="s">
        <v>38</v>
      </c>
      <c r="M332" t="s">
        <v>34</v>
      </c>
      <c r="N332" t="s">
        <v>35</v>
      </c>
      <c r="O332">
        <v>0.82761061216332499</v>
      </c>
      <c r="P332" t="s">
        <v>36</v>
      </c>
    </row>
    <row r="333" spans="1:16">
      <c r="A333">
        <v>332</v>
      </c>
      <c r="B333" t="s">
        <v>384</v>
      </c>
      <c r="C333">
        <v>73</v>
      </c>
      <c r="D333">
        <v>88</v>
      </c>
      <c r="E333">
        <v>73.582795068689606</v>
      </c>
      <c r="F333">
        <v>0.82941172797385998</v>
      </c>
      <c r="G333">
        <v>4252.4815950850698</v>
      </c>
      <c r="H333">
        <v>384.53989785495003</v>
      </c>
      <c r="I333">
        <v>0.61996081901766997</v>
      </c>
      <c r="J333">
        <v>0.36138447668613299</v>
      </c>
      <c r="K333">
        <v>0.80539916676050005</v>
      </c>
      <c r="L333" t="s">
        <v>43</v>
      </c>
      <c r="M333" t="s">
        <v>34</v>
      </c>
      <c r="N333" t="s">
        <v>35</v>
      </c>
      <c r="O333">
        <v>0.88039731025186296</v>
      </c>
      <c r="P333" t="s">
        <v>36</v>
      </c>
    </row>
    <row r="334" spans="1:16">
      <c r="A334">
        <v>333</v>
      </c>
      <c r="B334" t="s">
        <v>385</v>
      </c>
      <c r="C334">
        <v>98</v>
      </c>
      <c r="D334">
        <v>98</v>
      </c>
      <c r="E334">
        <v>73.587938560592207</v>
      </c>
      <c r="F334">
        <v>1</v>
      </c>
      <c r="G334">
        <v>4253.0761190926296</v>
      </c>
      <c r="H334">
        <v>796.09877899055903</v>
      </c>
      <c r="I334">
        <v>0.58137376414628095</v>
      </c>
      <c r="J334">
        <v>8.4329418166348105E-2</v>
      </c>
      <c r="K334">
        <v>0.55397452278623105</v>
      </c>
      <c r="L334" t="s">
        <v>47</v>
      </c>
      <c r="M334" t="s">
        <v>34</v>
      </c>
      <c r="N334" t="s">
        <v>35</v>
      </c>
      <c r="O334">
        <v>0.93160347935773802</v>
      </c>
      <c r="P334" t="s">
        <v>36</v>
      </c>
    </row>
    <row r="335" spans="1:16">
      <c r="A335">
        <v>334</v>
      </c>
      <c r="B335" t="s">
        <v>386</v>
      </c>
      <c r="C335">
        <v>98</v>
      </c>
      <c r="D335">
        <v>58</v>
      </c>
      <c r="E335">
        <v>73.744642731777503</v>
      </c>
      <c r="F335">
        <v>1.6728971962616801</v>
      </c>
      <c r="G335">
        <v>4271.2091013232503</v>
      </c>
      <c r="H335">
        <v>468.12919794839399</v>
      </c>
      <c r="I335">
        <v>0.72379020142125505</v>
      </c>
      <c r="J335">
        <v>0.24492281261899301</v>
      </c>
      <c r="K335">
        <v>0.83319802841403301</v>
      </c>
      <c r="L335" t="s">
        <v>298</v>
      </c>
      <c r="M335" t="s">
        <v>34</v>
      </c>
      <c r="N335" t="s">
        <v>35</v>
      </c>
      <c r="O335">
        <v>0.63094169264292699</v>
      </c>
      <c r="P335" t="s">
        <v>36</v>
      </c>
    </row>
    <row r="336" spans="1:16">
      <c r="A336">
        <v>335</v>
      </c>
      <c r="B336" t="s">
        <v>387</v>
      </c>
      <c r="C336">
        <v>67</v>
      </c>
      <c r="D336">
        <v>121</v>
      </c>
      <c r="E336">
        <v>73.822870078706003</v>
      </c>
      <c r="F336">
        <v>0.55418429614811404</v>
      </c>
      <c r="G336">
        <v>4280.2755924385601</v>
      </c>
      <c r="H336">
        <v>573.54989117518699</v>
      </c>
      <c r="I336">
        <v>0.78639326591644498</v>
      </c>
      <c r="J336">
        <v>0.16350807037885601</v>
      </c>
      <c r="K336">
        <v>0.65769880783812196</v>
      </c>
      <c r="L336" t="s">
        <v>47</v>
      </c>
      <c r="M336" t="s">
        <v>34</v>
      </c>
      <c r="N336" t="s">
        <v>35</v>
      </c>
      <c r="O336">
        <v>0.85283174934794703</v>
      </c>
      <c r="P336" t="s">
        <v>36</v>
      </c>
    </row>
    <row r="337" spans="1:16">
      <c r="A337">
        <v>336</v>
      </c>
      <c r="B337" t="s">
        <v>388</v>
      </c>
      <c r="C337">
        <v>118</v>
      </c>
      <c r="D337">
        <v>79</v>
      </c>
      <c r="E337">
        <v>74.002095567238896</v>
      </c>
      <c r="F337">
        <v>1.5</v>
      </c>
      <c r="G337">
        <v>4301.0839327032099</v>
      </c>
      <c r="H337">
        <v>861.81214719399202</v>
      </c>
      <c r="I337">
        <v>0.69021600422463902</v>
      </c>
      <c r="J337">
        <v>7.2771706507838804E-2</v>
      </c>
      <c r="K337">
        <v>0.516805372004143</v>
      </c>
      <c r="L337" t="s">
        <v>33</v>
      </c>
      <c r="M337" t="s">
        <v>34</v>
      </c>
      <c r="N337" t="s">
        <v>35</v>
      </c>
      <c r="O337">
        <v>0.72818020654827198</v>
      </c>
      <c r="P337" t="s">
        <v>36</v>
      </c>
    </row>
    <row r="338" spans="1:16">
      <c r="A338">
        <v>337</v>
      </c>
      <c r="B338" t="s">
        <v>389</v>
      </c>
      <c r="C338">
        <v>78</v>
      </c>
      <c r="D338">
        <v>112</v>
      </c>
      <c r="E338">
        <v>74.007209917814706</v>
      </c>
      <c r="F338">
        <v>0.69417475728155298</v>
      </c>
      <c r="G338">
        <v>4301.6784567107798</v>
      </c>
      <c r="H338">
        <v>803.22535241852597</v>
      </c>
      <c r="I338">
        <v>0.64117965909487296</v>
      </c>
      <c r="J338">
        <v>8.3786296245847394E-2</v>
      </c>
      <c r="K338">
        <v>0.60729798350714503</v>
      </c>
      <c r="L338" t="s">
        <v>41</v>
      </c>
      <c r="M338" t="s">
        <v>34</v>
      </c>
      <c r="N338" t="s">
        <v>35</v>
      </c>
      <c r="O338">
        <v>0.69335878642562299</v>
      </c>
      <c r="P338" t="s">
        <v>36</v>
      </c>
    </row>
    <row r="339" spans="1:16">
      <c r="A339">
        <v>338</v>
      </c>
      <c r="B339" t="s">
        <v>390</v>
      </c>
      <c r="C339">
        <v>77</v>
      </c>
      <c r="D339">
        <v>91</v>
      </c>
      <c r="E339">
        <v>74.080051048597198</v>
      </c>
      <c r="F339">
        <v>0.84726328657598804</v>
      </c>
      <c r="G339">
        <v>4310.1504238185298</v>
      </c>
      <c r="H339">
        <v>423.68595562717201</v>
      </c>
      <c r="I339">
        <v>0.74681118724554296</v>
      </c>
      <c r="J339">
        <v>0.301726986212631</v>
      </c>
      <c r="K339">
        <v>0.75423949230128995</v>
      </c>
      <c r="L339" t="s">
        <v>33</v>
      </c>
      <c r="M339" t="s">
        <v>34</v>
      </c>
      <c r="N339" t="s">
        <v>35</v>
      </c>
      <c r="O339">
        <v>0.77749642912913997</v>
      </c>
      <c r="P339" t="s">
        <v>36</v>
      </c>
    </row>
    <row r="340" spans="1:16">
      <c r="A340">
        <v>339</v>
      </c>
      <c r="B340" t="s">
        <v>391</v>
      </c>
      <c r="C340">
        <v>123</v>
      </c>
      <c r="D340">
        <v>73</v>
      </c>
      <c r="E340">
        <v>74.174510013090895</v>
      </c>
      <c r="F340">
        <v>1.6791044776119399</v>
      </c>
      <c r="G340">
        <v>4321.14911795841</v>
      </c>
      <c r="H340">
        <v>746.235462475963</v>
      </c>
      <c r="I340">
        <v>0.62929978992189695</v>
      </c>
      <c r="J340">
        <v>9.75118397387887E-2</v>
      </c>
      <c r="K340">
        <v>0.570853541204422</v>
      </c>
      <c r="L340" t="s">
        <v>33</v>
      </c>
      <c r="M340" t="s">
        <v>34</v>
      </c>
      <c r="N340" t="s">
        <v>35</v>
      </c>
      <c r="O340">
        <v>0.79596644680300699</v>
      </c>
      <c r="P340" t="s">
        <v>36</v>
      </c>
    </row>
    <row r="341" spans="1:16">
      <c r="A341">
        <v>340</v>
      </c>
      <c r="B341" t="s">
        <v>392</v>
      </c>
      <c r="C341">
        <v>128</v>
      </c>
      <c r="D341">
        <v>73</v>
      </c>
      <c r="E341">
        <v>74.177061288652297</v>
      </c>
      <c r="F341">
        <v>1.7462686567164201</v>
      </c>
      <c r="G341">
        <v>4321.4463799621899</v>
      </c>
      <c r="H341">
        <v>799.55717242209801</v>
      </c>
      <c r="I341">
        <v>0.63833139815439299</v>
      </c>
      <c r="J341">
        <v>8.4945415655432496E-2</v>
      </c>
      <c r="K341">
        <v>0.52786855482933903</v>
      </c>
      <c r="L341" t="s">
        <v>33</v>
      </c>
      <c r="M341" t="s">
        <v>34</v>
      </c>
      <c r="N341" t="s">
        <v>35</v>
      </c>
      <c r="O341">
        <v>0.84539791106056805</v>
      </c>
      <c r="P341" t="s">
        <v>36</v>
      </c>
    </row>
    <row r="342" spans="1:16">
      <c r="A342">
        <v>341</v>
      </c>
      <c r="B342" t="s">
        <v>393</v>
      </c>
      <c r="C342">
        <v>64</v>
      </c>
      <c r="D342">
        <v>106</v>
      </c>
      <c r="E342">
        <v>74.314712710800194</v>
      </c>
      <c r="F342">
        <v>0.60483876464919795</v>
      </c>
      <c r="G342">
        <v>4337.5</v>
      </c>
      <c r="H342">
        <v>326.776692271233</v>
      </c>
      <c r="I342">
        <v>0.80687789051333503</v>
      </c>
      <c r="J342">
        <v>0.51044294658206901</v>
      </c>
      <c r="K342">
        <v>0.78153153153153199</v>
      </c>
      <c r="L342" t="s">
        <v>33</v>
      </c>
      <c r="M342" t="s">
        <v>34</v>
      </c>
      <c r="N342" t="s">
        <v>35</v>
      </c>
      <c r="O342">
        <v>0.82809785900783595</v>
      </c>
      <c r="P342" t="s">
        <v>36</v>
      </c>
    </row>
    <row r="343" spans="1:16">
      <c r="A343">
        <v>342</v>
      </c>
      <c r="B343" t="s">
        <v>394</v>
      </c>
      <c r="C343">
        <v>83</v>
      </c>
      <c r="D343">
        <v>87</v>
      </c>
      <c r="E343">
        <v>74.3350693629787</v>
      </c>
      <c r="F343">
        <v>0.94999999046325501</v>
      </c>
      <c r="G343">
        <v>4339.8766241965996</v>
      </c>
      <c r="H343">
        <v>507.46234480432798</v>
      </c>
      <c r="I343">
        <v>0.64715288213448896</v>
      </c>
      <c r="J343">
        <v>0.21177739587774</v>
      </c>
      <c r="K343">
        <v>0.78034635736811198</v>
      </c>
      <c r="L343" t="s">
        <v>47</v>
      </c>
      <c r="M343" t="s">
        <v>34</v>
      </c>
      <c r="N343" t="s">
        <v>35</v>
      </c>
      <c r="O343">
        <v>0.94240117280097901</v>
      </c>
      <c r="P343" t="s">
        <v>36</v>
      </c>
    </row>
    <row r="344" spans="1:16">
      <c r="A344">
        <v>343</v>
      </c>
      <c r="B344" t="s">
        <v>395</v>
      </c>
      <c r="C344">
        <v>93</v>
      </c>
      <c r="D344">
        <v>83</v>
      </c>
      <c r="E344">
        <v>74.702032946848206</v>
      </c>
      <c r="F344">
        <v>1.1184210526315801</v>
      </c>
      <c r="G344">
        <v>4382.8309837429097</v>
      </c>
      <c r="H344">
        <v>828.22785773650503</v>
      </c>
      <c r="I344">
        <v>0.54146979066893197</v>
      </c>
      <c r="J344">
        <v>8.0290639881340206E-2</v>
      </c>
      <c r="K344">
        <v>0.59710438392224396</v>
      </c>
      <c r="L344" t="s">
        <v>33</v>
      </c>
      <c r="M344" t="s">
        <v>34</v>
      </c>
      <c r="N344" t="s">
        <v>35</v>
      </c>
      <c r="O344">
        <v>0.72020683198563495</v>
      </c>
      <c r="P344" t="s">
        <v>36</v>
      </c>
    </row>
    <row r="345" spans="1:16">
      <c r="A345">
        <v>344</v>
      </c>
      <c r="B345" t="s">
        <v>396</v>
      </c>
      <c r="C345">
        <v>78</v>
      </c>
      <c r="D345">
        <v>78</v>
      </c>
      <c r="E345">
        <v>75.0520752621469</v>
      </c>
      <c r="F345">
        <v>1</v>
      </c>
      <c r="G345">
        <v>4424.0017712665403</v>
      </c>
      <c r="H345">
        <v>587.81244026961497</v>
      </c>
      <c r="I345">
        <v>0.62028817466773301</v>
      </c>
      <c r="J345">
        <v>0.16089687531542701</v>
      </c>
      <c r="K345">
        <v>0.72778619981417203</v>
      </c>
      <c r="L345" t="s">
        <v>47</v>
      </c>
      <c r="M345" t="s">
        <v>34</v>
      </c>
      <c r="N345" t="s">
        <v>35</v>
      </c>
      <c r="O345">
        <v>0.94385709348597502</v>
      </c>
      <c r="P345" t="s">
        <v>36</v>
      </c>
    </row>
    <row r="346" spans="1:16">
      <c r="A346">
        <v>345</v>
      </c>
      <c r="B346" t="s">
        <v>397</v>
      </c>
      <c r="C346">
        <v>98</v>
      </c>
      <c r="D346">
        <v>88</v>
      </c>
      <c r="E346">
        <v>75.107527501568697</v>
      </c>
      <c r="F346">
        <v>1.1118012634279699</v>
      </c>
      <c r="G346">
        <v>4430.5415353497201</v>
      </c>
      <c r="H346">
        <v>681.37064277058096</v>
      </c>
      <c r="I346">
        <v>0.59047952640067403</v>
      </c>
      <c r="J346">
        <v>0.119922270018262</v>
      </c>
      <c r="K346">
        <v>0.66800376479024703</v>
      </c>
      <c r="L346" t="s">
        <v>33</v>
      </c>
      <c r="M346" t="s">
        <v>34</v>
      </c>
      <c r="N346" t="s">
        <v>35</v>
      </c>
      <c r="O346">
        <v>0.807956899450335</v>
      </c>
      <c r="P346" t="s">
        <v>36</v>
      </c>
    </row>
    <row r="347" spans="1:16">
      <c r="A347">
        <v>346</v>
      </c>
      <c r="B347" t="s">
        <v>398</v>
      </c>
      <c r="C347">
        <v>52</v>
      </c>
      <c r="D347">
        <v>194</v>
      </c>
      <c r="E347">
        <v>75.369113064891707</v>
      </c>
      <c r="F347">
        <v>0.26699159410437101</v>
      </c>
      <c r="G347">
        <v>4461.4567837429104</v>
      </c>
      <c r="H347">
        <v>601.50431987441095</v>
      </c>
      <c r="I347">
        <v>0.95390375210238998</v>
      </c>
      <c r="J347">
        <v>0.15495623408541501</v>
      </c>
      <c r="K347">
        <v>0.613480757832778</v>
      </c>
      <c r="L347" t="s">
        <v>49</v>
      </c>
      <c r="M347" t="s">
        <v>34</v>
      </c>
      <c r="N347" t="s">
        <v>35</v>
      </c>
      <c r="O347">
        <v>0.79986559144390901</v>
      </c>
      <c r="P347" t="s">
        <v>36</v>
      </c>
    </row>
    <row r="348" spans="1:16">
      <c r="A348">
        <v>347</v>
      </c>
      <c r="B348" t="s">
        <v>399</v>
      </c>
      <c r="C348">
        <v>97</v>
      </c>
      <c r="D348">
        <v>77</v>
      </c>
      <c r="E348">
        <v>75.547175272223399</v>
      </c>
      <c r="F348">
        <v>1.2624113475177301</v>
      </c>
      <c r="G348">
        <v>4482.5623860113401</v>
      </c>
      <c r="H348">
        <v>593.12292006129803</v>
      </c>
      <c r="I348">
        <v>0.64705078124045401</v>
      </c>
      <c r="J348">
        <v>0.160120446682221</v>
      </c>
      <c r="K348">
        <v>0.69590197978679202</v>
      </c>
      <c r="L348" t="s">
        <v>47</v>
      </c>
      <c r="M348" t="s">
        <v>34</v>
      </c>
      <c r="N348" t="s">
        <v>35</v>
      </c>
      <c r="O348">
        <v>0.86156753818004805</v>
      </c>
      <c r="P348" t="s">
        <v>36</v>
      </c>
    </row>
    <row r="349" spans="1:16">
      <c r="A349">
        <v>348</v>
      </c>
      <c r="B349" t="s">
        <v>400</v>
      </c>
      <c r="C349">
        <v>110</v>
      </c>
      <c r="D349">
        <v>85</v>
      </c>
      <c r="E349">
        <v>75.674820543351501</v>
      </c>
      <c r="F349">
        <v>1.29411767003374</v>
      </c>
      <c r="G349">
        <v>4497.7227482041599</v>
      </c>
      <c r="H349">
        <v>653.47101127220196</v>
      </c>
      <c r="I349">
        <v>0.68722533700367305</v>
      </c>
      <c r="J349">
        <v>0.132357907249121</v>
      </c>
      <c r="K349">
        <v>0.60888549065373598</v>
      </c>
      <c r="L349" t="s">
        <v>43</v>
      </c>
      <c r="M349" t="s">
        <v>34</v>
      </c>
      <c r="N349" t="s">
        <v>35</v>
      </c>
      <c r="O349">
        <v>0.82996196647824105</v>
      </c>
      <c r="P349" t="s">
        <v>36</v>
      </c>
    </row>
    <row r="350" spans="1:16">
      <c r="A350">
        <v>349</v>
      </c>
      <c r="B350" t="s">
        <v>401</v>
      </c>
      <c r="C350">
        <v>97</v>
      </c>
      <c r="D350">
        <v>92</v>
      </c>
      <c r="E350">
        <v>75.797257638044698</v>
      </c>
      <c r="F350">
        <v>1.05467970744949</v>
      </c>
      <c r="G350">
        <v>4512.2885863894098</v>
      </c>
      <c r="H350">
        <v>755.26891946492003</v>
      </c>
      <c r="I350">
        <v>0.65602943777849998</v>
      </c>
      <c r="J350">
        <v>9.9403918630677296E-2</v>
      </c>
      <c r="K350">
        <v>0.66506747283561196</v>
      </c>
      <c r="L350" t="s">
        <v>33</v>
      </c>
      <c r="M350" t="s">
        <v>34</v>
      </c>
      <c r="N350" t="s">
        <v>35</v>
      </c>
      <c r="O350">
        <v>0.75350539140996398</v>
      </c>
      <c r="P350" t="s">
        <v>36</v>
      </c>
    </row>
    <row r="351" spans="1:16">
      <c r="A351">
        <v>350</v>
      </c>
      <c r="B351" t="s">
        <v>402</v>
      </c>
      <c r="C351">
        <v>107</v>
      </c>
      <c r="D351">
        <v>83</v>
      </c>
      <c r="E351">
        <v>75.809740100728007</v>
      </c>
      <c r="F351">
        <v>1.28758169934641</v>
      </c>
      <c r="G351">
        <v>4513.7748964083203</v>
      </c>
      <c r="H351">
        <v>796.09877899055903</v>
      </c>
      <c r="I351">
        <v>0.57570355903251202</v>
      </c>
      <c r="J351">
        <v>8.9498518269922306E-2</v>
      </c>
      <c r="K351">
        <v>0.63536131218879499</v>
      </c>
      <c r="L351" t="s">
        <v>33</v>
      </c>
      <c r="M351" t="s">
        <v>34</v>
      </c>
      <c r="N351" t="s">
        <v>35</v>
      </c>
      <c r="O351">
        <v>0.83012326661125502</v>
      </c>
      <c r="P351" t="s">
        <v>36</v>
      </c>
    </row>
    <row r="352" spans="1:16">
      <c r="A352">
        <v>351</v>
      </c>
      <c r="B352" t="s">
        <v>403</v>
      </c>
      <c r="C352">
        <v>105</v>
      </c>
      <c r="D352">
        <v>84</v>
      </c>
      <c r="E352">
        <v>75.913265324855502</v>
      </c>
      <c r="F352">
        <v>1.24175816905235</v>
      </c>
      <c r="G352">
        <v>4526.11126956522</v>
      </c>
      <c r="H352">
        <v>713.46762179685697</v>
      </c>
      <c r="I352">
        <v>0.60078611047586605</v>
      </c>
      <c r="J352">
        <v>0.11173431027331999</v>
      </c>
      <c r="K352">
        <v>0.63813914501257296</v>
      </c>
      <c r="L352" t="s">
        <v>33</v>
      </c>
      <c r="M352" t="s">
        <v>34</v>
      </c>
      <c r="N352" t="s">
        <v>35</v>
      </c>
      <c r="O352">
        <v>0.81215024605281005</v>
      </c>
      <c r="P352" t="s">
        <v>36</v>
      </c>
    </row>
    <row r="353" spans="1:16">
      <c r="A353">
        <v>352</v>
      </c>
      <c r="B353" t="s">
        <v>404</v>
      </c>
      <c r="C353">
        <v>73</v>
      </c>
      <c r="D353">
        <v>107</v>
      </c>
      <c r="E353">
        <v>76.025362284622801</v>
      </c>
      <c r="F353">
        <v>0.68020304568527901</v>
      </c>
      <c r="G353">
        <v>4539.4880597353504</v>
      </c>
      <c r="H353">
        <v>803.038263334813</v>
      </c>
      <c r="I353">
        <v>0.67352181818534396</v>
      </c>
      <c r="J353">
        <v>8.8459455922623595E-2</v>
      </c>
      <c r="K353">
        <v>0.70578176272126403</v>
      </c>
      <c r="L353" t="s">
        <v>47</v>
      </c>
      <c r="M353" t="s">
        <v>34</v>
      </c>
      <c r="N353" t="s">
        <v>35</v>
      </c>
      <c r="O353">
        <v>0.92879189396353801</v>
      </c>
      <c r="P353" t="s">
        <v>36</v>
      </c>
    </row>
    <row r="354" spans="1:16">
      <c r="A354">
        <v>353</v>
      </c>
      <c r="B354" t="s">
        <v>405</v>
      </c>
      <c r="C354">
        <v>83</v>
      </c>
      <c r="D354">
        <v>93</v>
      </c>
      <c r="E354">
        <v>76.068910935608002</v>
      </c>
      <c r="F354">
        <v>0.89411762805133199</v>
      </c>
      <c r="G354">
        <v>4544.6901448015096</v>
      </c>
      <c r="H354">
        <v>810.00984739873695</v>
      </c>
      <c r="I354">
        <v>0.55625075084088305</v>
      </c>
      <c r="J354">
        <v>8.7042938730666694E-2</v>
      </c>
      <c r="K354">
        <v>0.62449196331924095</v>
      </c>
      <c r="L354" t="s">
        <v>47</v>
      </c>
      <c r="M354" t="s">
        <v>34</v>
      </c>
      <c r="N354" t="s">
        <v>35</v>
      </c>
      <c r="O354">
        <v>0.92721758345528205</v>
      </c>
      <c r="P354" t="s">
        <v>36</v>
      </c>
    </row>
    <row r="355" spans="1:16">
      <c r="A355">
        <v>354</v>
      </c>
      <c r="B355" t="s">
        <v>406</v>
      </c>
      <c r="C355">
        <v>103</v>
      </c>
      <c r="D355">
        <v>63</v>
      </c>
      <c r="E355">
        <v>76.129837196195894</v>
      </c>
      <c r="F355">
        <v>1.62068960527744</v>
      </c>
      <c r="G355">
        <v>4551.9730638941401</v>
      </c>
      <c r="H355">
        <v>383.69134935689999</v>
      </c>
      <c r="I355">
        <v>0.75183692584315298</v>
      </c>
      <c r="J355">
        <v>0.388548764150698</v>
      </c>
      <c r="K355">
        <v>0.81693296700365403</v>
      </c>
      <c r="L355" t="s">
        <v>33</v>
      </c>
      <c r="M355" t="s">
        <v>34</v>
      </c>
      <c r="N355" t="s">
        <v>35</v>
      </c>
      <c r="O355">
        <v>0.70871520718660497</v>
      </c>
      <c r="P355" t="s">
        <v>36</v>
      </c>
    </row>
    <row r="356" spans="1:16">
      <c r="A356">
        <v>355</v>
      </c>
      <c r="B356" t="s">
        <v>407</v>
      </c>
      <c r="C356">
        <v>93</v>
      </c>
      <c r="D356">
        <v>93</v>
      </c>
      <c r="E356">
        <v>76.150963488949799</v>
      </c>
      <c r="F356">
        <v>1</v>
      </c>
      <c r="G356">
        <v>4554.4997909262802</v>
      </c>
      <c r="H356">
        <v>829.947652213781</v>
      </c>
      <c r="I356">
        <v>0.71771053936965001</v>
      </c>
      <c r="J356">
        <v>8.3090074631063701E-2</v>
      </c>
      <c r="K356">
        <v>0.63440437248975201</v>
      </c>
      <c r="L356" t="s">
        <v>47</v>
      </c>
      <c r="M356" t="s">
        <v>34</v>
      </c>
      <c r="N356" t="s">
        <v>35</v>
      </c>
      <c r="O356">
        <v>0.95072454713433796</v>
      </c>
      <c r="P356" t="s">
        <v>36</v>
      </c>
    </row>
    <row r="357" spans="1:16">
      <c r="A357">
        <v>356</v>
      </c>
      <c r="B357" t="s">
        <v>408</v>
      </c>
      <c r="C357">
        <v>98</v>
      </c>
      <c r="D357">
        <v>83</v>
      </c>
      <c r="E357">
        <v>76.318523489613696</v>
      </c>
      <c r="F357">
        <v>1.1776315789473699</v>
      </c>
      <c r="G357">
        <v>4574.5649761814702</v>
      </c>
      <c r="H357">
        <v>1023.58396843019</v>
      </c>
      <c r="I357">
        <v>0.58768519020621002</v>
      </c>
      <c r="J357">
        <v>5.4867189436638597E-2</v>
      </c>
      <c r="K357">
        <v>0.59316219549799598</v>
      </c>
      <c r="L357" t="s">
        <v>33</v>
      </c>
      <c r="M357" t="s">
        <v>34</v>
      </c>
      <c r="N357" t="s">
        <v>35</v>
      </c>
      <c r="O357">
        <v>0.72677047719836396</v>
      </c>
      <c r="P357" t="s">
        <v>36</v>
      </c>
    </row>
    <row r="358" spans="1:16">
      <c r="A358">
        <v>357</v>
      </c>
      <c r="B358" t="s">
        <v>409</v>
      </c>
      <c r="C358">
        <v>102</v>
      </c>
      <c r="D358">
        <v>118</v>
      </c>
      <c r="E358">
        <v>76.368100293263396</v>
      </c>
      <c r="F358">
        <v>0.86574074074074103</v>
      </c>
      <c r="G358">
        <v>4580.5102162570902</v>
      </c>
      <c r="H358">
        <v>909.12041597594396</v>
      </c>
      <c r="I358">
        <v>0.506024683891663</v>
      </c>
      <c r="J358">
        <v>6.9643549671578597E-2</v>
      </c>
      <c r="K358">
        <v>0.45886749750599298</v>
      </c>
      <c r="L358" t="s">
        <v>47</v>
      </c>
      <c r="M358" t="s">
        <v>34</v>
      </c>
      <c r="N358" t="s">
        <v>35</v>
      </c>
      <c r="O358">
        <v>0.90018808639543102</v>
      </c>
      <c r="P358" t="s">
        <v>36</v>
      </c>
    </row>
    <row r="359" spans="1:16">
      <c r="A359">
        <v>358</v>
      </c>
      <c r="B359" t="s">
        <v>410</v>
      </c>
      <c r="C359">
        <v>93</v>
      </c>
      <c r="D359">
        <v>73</v>
      </c>
      <c r="E359">
        <v>76.485716411458696</v>
      </c>
      <c r="F359">
        <v>1.2686567776026401</v>
      </c>
      <c r="G359">
        <v>4594.6301614366703</v>
      </c>
      <c r="H359">
        <v>400.33515234294202</v>
      </c>
      <c r="I359">
        <v>0.62646465506010396</v>
      </c>
      <c r="J359">
        <v>0.36025745046865398</v>
      </c>
      <c r="K359">
        <v>0.87189395007756298</v>
      </c>
      <c r="L359" t="s">
        <v>33</v>
      </c>
      <c r="M359" t="s">
        <v>34</v>
      </c>
      <c r="N359" t="s">
        <v>35</v>
      </c>
      <c r="O359">
        <v>0.707919417959604</v>
      </c>
      <c r="P359" t="s">
        <v>36</v>
      </c>
    </row>
    <row r="360" spans="1:16">
      <c r="A360">
        <v>359</v>
      </c>
      <c r="B360" t="s">
        <v>411</v>
      </c>
      <c r="C360">
        <v>135</v>
      </c>
      <c r="D360">
        <v>97</v>
      </c>
      <c r="E360">
        <v>76.515401350541197</v>
      </c>
      <c r="F360">
        <v>1.3979019793276</v>
      </c>
      <c r="G360">
        <v>4598.1973054820401</v>
      </c>
      <c r="H360">
        <v>922.18293588607196</v>
      </c>
      <c r="I360">
        <v>0.65794199969812195</v>
      </c>
      <c r="J360">
        <v>6.7945907434337802E-2</v>
      </c>
      <c r="K360">
        <v>0.49128183954773602</v>
      </c>
      <c r="L360" t="s">
        <v>43</v>
      </c>
      <c r="M360" t="s">
        <v>34</v>
      </c>
      <c r="N360" t="s">
        <v>35</v>
      </c>
      <c r="O360">
        <v>0.76380617212448798</v>
      </c>
      <c r="P360" t="s">
        <v>36</v>
      </c>
    </row>
    <row r="361" spans="1:16">
      <c r="A361">
        <v>360</v>
      </c>
      <c r="B361" t="s">
        <v>412</v>
      </c>
      <c r="C361">
        <v>132</v>
      </c>
      <c r="D361">
        <v>49</v>
      </c>
      <c r="E361">
        <v>76.667356265516304</v>
      </c>
      <c r="F361">
        <v>2.71910112359551</v>
      </c>
      <c r="G361">
        <v>4616.4789187145598</v>
      </c>
      <c r="H361">
        <v>502.40704653988701</v>
      </c>
      <c r="I361">
        <v>0.84928294226235801</v>
      </c>
      <c r="J361">
        <v>0.22983135458179699</v>
      </c>
      <c r="K361">
        <v>0.79354129940471596</v>
      </c>
      <c r="L361" t="s">
        <v>33</v>
      </c>
      <c r="M361" t="s">
        <v>34</v>
      </c>
      <c r="N361" t="s">
        <v>35</v>
      </c>
      <c r="O361">
        <v>0.86855128993662201</v>
      </c>
      <c r="P361" t="s">
        <v>36</v>
      </c>
    </row>
    <row r="362" spans="1:16">
      <c r="A362">
        <v>361</v>
      </c>
      <c r="B362" t="s">
        <v>413</v>
      </c>
      <c r="C362">
        <v>152</v>
      </c>
      <c r="D362">
        <v>65</v>
      </c>
      <c r="E362">
        <v>76.731506866091095</v>
      </c>
      <c r="F362">
        <v>2.35744245431952</v>
      </c>
      <c r="G362">
        <v>4624.2077308128501</v>
      </c>
      <c r="H362">
        <v>1027.0744615814001</v>
      </c>
      <c r="I362">
        <v>0.70170373773712202</v>
      </c>
      <c r="J362">
        <v>5.5086266442810498E-2</v>
      </c>
      <c r="K362">
        <v>0.57258539458186097</v>
      </c>
      <c r="L362" t="s">
        <v>43</v>
      </c>
      <c r="M362" t="s">
        <v>34</v>
      </c>
      <c r="N362" t="s">
        <v>35</v>
      </c>
      <c r="O362">
        <v>0.86688202030801298</v>
      </c>
      <c r="P362" t="s">
        <v>36</v>
      </c>
    </row>
    <row r="363" spans="1:16">
      <c r="A363">
        <v>362</v>
      </c>
      <c r="B363" t="s">
        <v>414</v>
      </c>
      <c r="C363">
        <v>112</v>
      </c>
      <c r="D363">
        <v>78</v>
      </c>
      <c r="E363">
        <v>76.844872892767398</v>
      </c>
      <c r="F363">
        <v>1.4400976744862699</v>
      </c>
      <c r="G363">
        <v>4637.8817829867703</v>
      </c>
      <c r="H363">
        <v>696.54983280658701</v>
      </c>
      <c r="I363">
        <v>0.62628750757874996</v>
      </c>
      <c r="J363">
        <v>0.120122718982153</v>
      </c>
      <c r="K363">
        <v>0.64367341887041496</v>
      </c>
      <c r="L363" t="s">
        <v>43</v>
      </c>
      <c r="M363" t="s">
        <v>34</v>
      </c>
      <c r="N363" t="s">
        <v>35</v>
      </c>
      <c r="O363">
        <v>0.72703051414937703</v>
      </c>
      <c r="P363" t="s">
        <v>36</v>
      </c>
    </row>
    <row r="364" spans="1:16">
      <c r="A364">
        <v>363</v>
      </c>
      <c r="B364" t="s">
        <v>415</v>
      </c>
      <c r="C364">
        <v>78</v>
      </c>
      <c r="D364">
        <v>120</v>
      </c>
      <c r="E364">
        <v>77.007236988723307</v>
      </c>
      <c r="F364">
        <v>0.64448874097368702</v>
      </c>
      <c r="G364">
        <v>4657.5010752362996</v>
      </c>
      <c r="H364">
        <v>623.22611860607003</v>
      </c>
      <c r="I364">
        <v>0.61691519050754895</v>
      </c>
      <c r="J364">
        <v>0.15068552526027901</v>
      </c>
      <c r="K364">
        <v>0.64486654456403203</v>
      </c>
      <c r="L364" t="s">
        <v>33</v>
      </c>
      <c r="M364" t="s">
        <v>34</v>
      </c>
      <c r="N364" t="s">
        <v>35</v>
      </c>
      <c r="O364">
        <v>0.84972267776682397</v>
      </c>
      <c r="P364" t="s">
        <v>36</v>
      </c>
    </row>
    <row r="365" spans="1:16">
      <c r="A365">
        <v>364</v>
      </c>
      <c r="B365" t="s">
        <v>416</v>
      </c>
      <c r="C365">
        <v>118</v>
      </c>
      <c r="D365">
        <v>73</v>
      </c>
      <c r="E365">
        <v>77.039177456902294</v>
      </c>
      <c r="F365">
        <v>1.6240602935699899</v>
      </c>
      <c r="G365">
        <v>4661.3654812854402</v>
      </c>
      <c r="H365">
        <v>654.506648853966</v>
      </c>
      <c r="I365">
        <v>0.64309193451652102</v>
      </c>
      <c r="J365">
        <v>0.13673978551633401</v>
      </c>
      <c r="K365">
        <v>0.70029474812433001</v>
      </c>
      <c r="L365" t="s">
        <v>43</v>
      </c>
      <c r="M365" t="s">
        <v>34</v>
      </c>
      <c r="N365" t="s">
        <v>35</v>
      </c>
      <c r="O365">
        <v>0.78828608622111596</v>
      </c>
      <c r="P365" t="s">
        <v>36</v>
      </c>
    </row>
    <row r="366" spans="1:16">
      <c r="A366">
        <v>365</v>
      </c>
      <c r="B366" t="s">
        <v>417</v>
      </c>
      <c r="C366">
        <v>70</v>
      </c>
      <c r="D366">
        <v>104</v>
      </c>
      <c r="E366">
        <v>77.0477745513804</v>
      </c>
      <c r="F366">
        <v>0.67183670604599799</v>
      </c>
      <c r="G366">
        <v>4662.4058982986799</v>
      </c>
      <c r="H366">
        <v>386.61117301847599</v>
      </c>
      <c r="I366">
        <v>0.80754375688890401</v>
      </c>
      <c r="J366">
        <v>0.39198652840079801</v>
      </c>
      <c r="K366">
        <v>0.81172208565144299</v>
      </c>
      <c r="L366" t="s">
        <v>33</v>
      </c>
      <c r="M366" t="s">
        <v>34</v>
      </c>
      <c r="N366" t="s">
        <v>35</v>
      </c>
      <c r="O366">
        <v>0.84951915368523701</v>
      </c>
      <c r="P366" t="s">
        <v>36</v>
      </c>
    </row>
    <row r="367" spans="1:16">
      <c r="A367">
        <v>366</v>
      </c>
      <c r="B367" t="s">
        <v>418</v>
      </c>
      <c r="C367">
        <v>93</v>
      </c>
      <c r="D367">
        <v>83</v>
      </c>
      <c r="E367">
        <v>77.101791480900602</v>
      </c>
      <c r="F367">
        <v>1.1111111111111101</v>
      </c>
      <c r="G367">
        <v>4668.9456623818496</v>
      </c>
      <c r="H367">
        <v>535.89114383417598</v>
      </c>
      <c r="I367">
        <v>0.58886753555778804</v>
      </c>
      <c r="J367">
        <v>0.20430336687282899</v>
      </c>
      <c r="K367">
        <v>0.75891476613838404</v>
      </c>
      <c r="L367" t="s">
        <v>33</v>
      </c>
      <c r="M367" t="s">
        <v>34</v>
      </c>
      <c r="N367" t="s">
        <v>35</v>
      </c>
      <c r="O367">
        <v>0.67336198318012797</v>
      </c>
      <c r="P367" t="s">
        <v>36</v>
      </c>
    </row>
    <row r="368" spans="1:16">
      <c r="A368">
        <v>367</v>
      </c>
      <c r="B368" t="s">
        <v>419</v>
      </c>
      <c r="C368">
        <v>96</v>
      </c>
      <c r="D368">
        <v>93</v>
      </c>
      <c r="E368">
        <v>77.202358544522994</v>
      </c>
      <c r="F368">
        <v>1.0333333692986399</v>
      </c>
      <c r="G368">
        <v>4681.1334045368603</v>
      </c>
      <c r="H368">
        <v>584.32194711840702</v>
      </c>
      <c r="I368">
        <v>0.58489063140692699</v>
      </c>
      <c r="J368">
        <v>0.17228857722998001</v>
      </c>
      <c r="K368">
        <v>0.68424254274479102</v>
      </c>
      <c r="L368" t="s">
        <v>47</v>
      </c>
      <c r="M368" t="s">
        <v>34</v>
      </c>
      <c r="N368" t="s">
        <v>35</v>
      </c>
      <c r="O368">
        <v>0.94555290570994499</v>
      </c>
      <c r="P368" t="s">
        <v>36</v>
      </c>
    </row>
    <row r="369" spans="1:16">
      <c r="A369">
        <v>368</v>
      </c>
      <c r="B369" t="s">
        <v>420</v>
      </c>
      <c r="C369">
        <v>110</v>
      </c>
      <c r="D369">
        <v>82</v>
      </c>
      <c r="E369">
        <v>77.212162952416506</v>
      </c>
      <c r="F369">
        <v>1.34598045756537</v>
      </c>
      <c r="G369">
        <v>4682.32245255199</v>
      </c>
      <c r="H369">
        <v>611.92489513138105</v>
      </c>
      <c r="I369">
        <v>0.63235358778640305</v>
      </c>
      <c r="J369">
        <v>0.15713572669129999</v>
      </c>
      <c r="K369">
        <v>0.658039854618373</v>
      </c>
      <c r="L369" t="s">
        <v>41</v>
      </c>
      <c r="M369" t="s">
        <v>34</v>
      </c>
      <c r="N369" t="s">
        <v>35</v>
      </c>
      <c r="O369">
        <v>0.74041677100127401</v>
      </c>
      <c r="P369" t="s">
        <v>36</v>
      </c>
    </row>
    <row r="370" spans="1:16">
      <c r="A370">
        <v>369</v>
      </c>
      <c r="B370" t="s">
        <v>421</v>
      </c>
      <c r="C370">
        <v>122</v>
      </c>
      <c r="D370">
        <v>83</v>
      </c>
      <c r="E370">
        <v>77.247693499526306</v>
      </c>
      <c r="F370">
        <v>1.4736842105263199</v>
      </c>
      <c r="G370">
        <v>4686.6327516068104</v>
      </c>
      <c r="H370">
        <v>912.61090912715304</v>
      </c>
      <c r="I370">
        <v>0.48174842759348802</v>
      </c>
      <c r="J370">
        <v>7.0713034646074299E-2</v>
      </c>
      <c r="K370">
        <v>0.56857441667568298</v>
      </c>
      <c r="L370" t="s">
        <v>33</v>
      </c>
      <c r="M370" t="s">
        <v>34</v>
      </c>
      <c r="N370" t="s">
        <v>35</v>
      </c>
      <c r="O370">
        <v>0.77961786666978095</v>
      </c>
      <c r="P370" t="s">
        <v>36</v>
      </c>
    </row>
    <row r="371" spans="1:16">
      <c r="A371">
        <v>370</v>
      </c>
      <c r="B371" t="s">
        <v>422</v>
      </c>
      <c r="C371">
        <v>77</v>
      </c>
      <c r="D371">
        <v>103</v>
      </c>
      <c r="E371">
        <v>77.281983355331903</v>
      </c>
      <c r="F371">
        <v>0.75132275132275095</v>
      </c>
      <c r="G371">
        <v>4690.79441965974</v>
      </c>
      <c r="H371">
        <v>492.25105504865201</v>
      </c>
      <c r="I371">
        <v>0.55279706050849198</v>
      </c>
      <c r="J371">
        <v>0.24326686174154</v>
      </c>
      <c r="K371">
        <v>0.80761553815445997</v>
      </c>
      <c r="L371" t="s">
        <v>47</v>
      </c>
      <c r="M371" t="s">
        <v>34</v>
      </c>
      <c r="N371" t="s">
        <v>35</v>
      </c>
      <c r="O371">
        <v>0.89454561455583503</v>
      </c>
      <c r="P371" t="s">
        <v>36</v>
      </c>
    </row>
    <row r="372" spans="1:16">
      <c r="A372">
        <v>371</v>
      </c>
      <c r="B372" t="s">
        <v>423</v>
      </c>
      <c r="C372">
        <v>103</v>
      </c>
      <c r="D372">
        <v>98</v>
      </c>
      <c r="E372">
        <v>77.345624184766805</v>
      </c>
      <c r="F372">
        <v>1.05586592178771</v>
      </c>
      <c r="G372">
        <v>4698.5232317580303</v>
      </c>
      <c r="H372">
        <v>591.63560963008695</v>
      </c>
      <c r="I372">
        <v>0.69694287644476705</v>
      </c>
      <c r="J372">
        <v>0.168679626744281</v>
      </c>
      <c r="K372">
        <v>0.69499835110476005</v>
      </c>
      <c r="L372" t="s">
        <v>47</v>
      </c>
      <c r="M372" t="s">
        <v>34</v>
      </c>
      <c r="N372" t="s">
        <v>35</v>
      </c>
      <c r="O372">
        <v>0.93025930847490501</v>
      </c>
      <c r="P372" t="s">
        <v>36</v>
      </c>
    </row>
    <row r="373" spans="1:16">
      <c r="A373">
        <v>372</v>
      </c>
      <c r="B373" t="s">
        <v>424</v>
      </c>
      <c r="C373">
        <v>90</v>
      </c>
      <c r="D373">
        <v>98</v>
      </c>
      <c r="E373">
        <v>77.429989916728204</v>
      </c>
      <c r="F373">
        <v>0.92341827298374901</v>
      </c>
      <c r="G373">
        <v>4708.7787708884698</v>
      </c>
      <c r="H373">
        <v>529.05185165312002</v>
      </c>
      <c r="I373">
        <v>0.69150602805566297</v>
      </c>
      <c r="J373">
        <v>0.21140812446696999</v>
      </c>
      <c r="K373">
        <v>0.70124839523661997</v>
      </c>
      <c r="L373" t="s">
        <v>43</v>
      </c>
      <c r="M373" t="s">
        <v>34</v>
      </c>
      <c r="N373" t="s">
        <v>35</v>
      </c>
      <c r="O373">
        <v>0.71687900765908197</v>
      </c>
      <c r="P373" t="s">
        <v>36</v>
      </c>
    </row>
    <row r="374" spans="1:16">
      <c r="A374">
        <v>373</v>
      </c>
      <c r="B374" t="s">
        <v>425</v>
      </c>
      <c r="C374">
        <v>146</v>
      </c>
      <c r="D374">
        <v>53</v>
      </c>
      <c r="E374">
        <v>77.513043119264097</v>
      </c>
      <c r="F374">
        <v>2.7346936805403899</v>
      </c>
      <c r="G374">
        <v>4718.8856790170103</v>
      </c>
      <c r="H374">
        <v>682.474372795872</v>
      </c>
      <c r="I374">
        <v>0.78893358377783795</v>
      </c>
      <c r="J374">
        <v>0.127314135090456</v>
      </c>
      <c r="K374">
        <v>0.68066632364291202</v>
      </c>
      <c r="L374" t="s">
        <v>38</v>
      </c>
      <c r="M374" t="s">
        <v>34</v>
      </c>
      <c r="N374" t="s">
        <v>35</v>
      </c>
      <c r="O374">
        <v>0.73720020794921004</v>
      </c>
      <c r="P374" t="s">
        <v>36</v>
      </c>
    </row>
    <row r="375" spans="1:16">
      <c r="A375">
        <v>374</v>
      </c>
      <c r="B375" t="s">
        <v>426</v>
      </c>
      <c r="C375">
        <v>102</v>
      </c>
      <c r="D375">
        <v>97</v>
      </c>
      <c r="E375">
        <v>77.548435811530894</v>
      </c>
      <c r="F375">
        <v>1.0505617977528099</v>
      </c>
      <c r="G375">
        <v>4723.1959780718298</v>
      </c>
      <c r="H375">
        <v>861.01839589678696</v>
      </c>
      <c r="I375">
        <v>0.77566597431509898</v>
      </c>
      <c r="J375">
        <v>8.00609924267148E-2</v>
      </c>
      <c r="K375">
        <v>0.57526112850962197</v>
      </c>
      <c r="L375" t="s">
        <v>33</v>
      </c>
      <c r="M375" t="s">
        <v>34</v>
      </c>
      <c r="N375" t="s">
        <v>35</v>
      </c>
      <c r="O375">
        <v>0.79471228254722304</v>
      </c>
      <c r="P375" t="s">
        <v>36</v>
      </c>
    </row>
    <row r="376" spans="1:16">
      <c r="A376">
        <v>375</v>
      </c>
      <c r="B376" t="s">
        <v>427</v>
      </c>
      <c r="C376">
        <v>135</v>
      </c>
      <c r="D376">
        <v>68</v>
      </c>
      <c r="E376">
        <v>77.841938749543104</v>
      </c>
      <c r="F376">
        <v>1.9841813073702499</v>
      </c>
      <c r="G376">
        <v>4759.0160495274104</v>
      </c>
      <c r="H376">
        <v>520.81214596136795</v>
      </c>
      <c r="I376">
        <v>0.68036981763337601</v>
      </c>
      <c r="J376">
        <v>0.22047777911126301</v>
      </c>
      <c r="K376">
        <v>0.71965746651083295</v>
      </c>
      <c r="L376" t="s">
        <v>33</v>
      </c>
      <c r="M376" t="s">
        <v>34</v>
      </c>
      <c r="N376" t="s">
        <v>35</v>
      </c>
      <c r="O376">
        <v>0.734330139058192</v>
      </c>
      <c r="P376" t="s">
        <v>36</v>
      </c>
    </row>
    <row r="377" spans="1:16">
      <c r="A377">
        <v>376</v>
      </c>
      <c r="B377" t="s">
        <v>428</v>
      </c>
      <c r="C377">
        <v>86</v>
      </c>
      <c r="D377">
        <v>88</v>
      </c>
      <c r="E377">
        <v>77.8954049641669</v>
      </c>
      <c r="F377">
        <v>0.98616176220776797</v>
      </c>
      <c r="G377">
        <v>4765.5558136105901</v>
      </c>
      <c r="H377">
        <v>444.217127413024</v>
      </c>
      <c r="I377">
        <v>0.732256433958556</v>
      </c>
      <c r="J377">
        <v>0.303481921823544</v>
      </c>
      <c r="K377">
        <v>0.76200774770064394</v>
      </c>
      <c r="L377" t="s">
        <v>49</v>
      </c>
      <c r="M377" t="s">
        <v>34</v>
      </c>
      <c r="N377" t="s">
        <v>35</v>
      </c>
      <c r="O377">
        <v>0.78232287899570596</v>
      </c>
      <c r="P377" t="s">
        <v>36</v>
      </c>
    </row>
    <row r="378" spans="1:16">
      <c r="A378">
        <v>377</v>
      </c>
      <c r="B378" t="s">
        <v>429</v>
      </c>
      <c r="C378">
        <v>73</v>
      </c>
      <c r="D378">
        <v>73</v>
      </c>
      <c r="E378">
        <v>77.926981393675504</v>
      </c>
      <c r="F378">
        <v>1</v>
      </c>
      <c r="G378">
        <v>4769.4202196597398</v>
      </c>
      <c r="H378">
        <v>436.91286713983698</v>
      </c>
      <c r="I378">
        <v>0.43246333291779598</v>
      </c>
      <c r="J378">
        <v>0.31396828642693497</v>
      </c>
      <c r="K378">
        <v>0.89354533303631101</v>
      </c>
      <c r="L378" t="s">
        <v>41</v>
      </c>
      <c r="M378" t="s">
        <v>34</v>
      </c>
      <c r="N378" t="s">
        <v>35</v>
      </c>
      <c r="O378">
        <v>0.71638151338784295</v>
      </c>
      <c r="P378" t="s">
        <v>36</v>
      </c>
    </row>
    <row r="379" spans="1:16">
      <c r="A379">
        <v>378</v>
      </c>
      <c r="B379" t="s">
        <v>430</v>
      </c>
      <c r="C379">
        <v>85</v>
      </c>
      <c r="D379">
        <v>78</v>
      </c>
      <c r="E379">
        <v>78.074543357099401</v>
      </c>
      <c r="F379">
        <v>1.0909090686165399</v>
      </c>
      <c r="G379">
        <v>4787.5</v>
      </c>
      <c r="H379">
        <v>296.776692271233</v>
      </c>
      <c r="I379">
        <v>0.62691844727296397</v>
      </c>
      <c r="J379">
        <v>0.68306034135595095</v>
      </c>
      <c r="K379">
        <v>0.90543735224586297</v>
      </c>
      <c r="L379" t="s">
        <v>43</v>
      </c>
      <c r="M379" t="s">
        <v>34</v>
      </c>
      <c r="N379" t="s">
        <v>35</v>
      </c>
      <c r="O379">
        <v>0.65609114826216397</v>
      </c>
      <c r="P379" t="s">
        <v>36</v>
      </c>
    </row>
    <row r="380" spans="1:16">
      <c r="A380">
        <v>379</v>
      </c>
      <c r="B380" t="s">
        <v>431</v>
      </c>
      <c r="C380">
        <v>112</v>
      </c>
      <c r="D380">
        <v>76</v>
      </c>
      <c r="E380">
        <v>78.074543357099401</v>
      </c>
      <c r="F380">
        <v>1.47598248572793</v>
      </c>
      <c r="G380">
        <v>4787.5</v>
      </c>
      <c r="H380">
        <v>402.634556889534</v>
      </c>
      <c r="I380">
        <v>0.56548539421822097</v>
      </c>
      <c r="J380">
        <v>0.37110478860425999</v>
      </c>
      <c r="K380">
        <v>0.71322160148975799</v>
      </c>
      <c r="L380" t="s">
        <v>41</v>
      </c>
      <c r="M380" t="s">
        <v>34</v>
      </c>
      <c r="N380" t="s">
        <v>35</v>
      </c>
      <c r="O380">
        <v>0.73514848772294705</v>
      </c>
      <c r="P380" t="s">
        <v>36</v>
      </c>
    </row>
    <row r="381" spans="1:16">
      <c r="A381">
        <v>380</v>
      </c>
      <c r="B381" t="s">
        <v>432</v>
      </c>
      <c r="C381">
        <v>90</v>
      </c>
      <c r="D381">
        <v>106</v>
      </c>
      <c r="E381">
        <v>78.0774009871526</v>
      </c>
      <c r="F381">
        <v>0.84608640199060903</v>
      </c>
      <c r="G381">
        <v>4787.8504638941404</v>
      </c>
      <c r="H381">
        <v>449.98706606253302</v>
      </c>
      <c r="I381">
        <v>0.537937011319228</v>
      </c>
      <c r="J381">
        <v>0.29713265240172698</v>
      </c>
      <c r="K381">
        <v>0.67481565275682898</v>
      </c>
      <c r="L381" t="s">
        <v>33</v>
      </c>
      <c r="M381" t="s">
        <v>34</v>
      </c>
      <c r="N381" t="s">
        <v>35</v>
      </c>
      <c r="O381">
        <v>0.70334030483666099</v>
      </c>
      <c r="P381" t="s">
        <v>36</v>
      </c>
    </row>
    <row r="382" spans="1:16">
      <c r="A382">
        <v>381</v>
      </c>
      <c r="B382" t="s">
        <v>433</v>
      </c>
      <c r="C382">
        <v>107</v>
      </c>
      <c r="D382">
        <v>73</v>
      </c>
      <c r="E382">
        <v>78.182764561809293</v>
      </c>
      <c r="F382">
        <v>1.4812030075188001</v>
      </c>
      <c r="G382">
        <v>4800.7813610585999</v>
      </c>
      <c r="H382">
        <v>813.14885986369598</v>
      </c>
      <c r="I382">
        <v>0.74292870957075496</v>
      </c>
      <c r="J382">
        <v>9.1239243736335393E-2</v>
      </c>
      <c r="K382">
        <v>0.67114093959731502</v>
      </c>
      <c r="L382" t="s">
        <v>41</v>
      </c>
      <c r="M382" t="s">
        <v>34</v>
      </c>
      <c r="N382" t="s">
        <v>35</v>
      </c>
      <c r="O382">
        <v>0.693735453097999</v>
      </c>
      <c r="P382" t="s">
        <v>36</v>
      </c>
    </row>
    <row r="383" spans="1:16">
      <c r="A383">
        <v>382</v>
      </c>
      <c r="B383" t="s">
        <v>434</v>
      </c>
      <c r="C383">
        <v>71</v>
      </c>
      <c r="D383">
        <v>113</v>
      </c>
      <c r="E383">
        <v>78.186395256047305</v>
      </c>
      <c r="F383">
        <v>0.625289036129553</v>
      </c>
      <c r="G383">
        <v>4801.2272540642698</v>
      </c>
      <c r="H383">
        <v>493.81586016188498</v>
      </c>
      <c r="I383">
        <v>0.54031497254910898</v>
      </c>
      <c r="J383">
        <v>0.24741843647965001</v>
      </c>
      <c r="K383">
        <v>0.76051795173631598</v>
      </c>
      <c r="L383" t="s">
        <v>33</v>
      </c>
      <c r="M383" t="s">
        <v>34</v>
      </c>
      <c r="N383" t="s">
        <v>35</v>
      </c>
      <c r="O383">
        <v>0.83001334752455003</v>
      </c>
      <c r="P383" t="s">
        <v>36</v>
      </c>
    </row>
    <row r="384" spans="1:16">
      <c r="A384">
        <v>383</v>
      </c>
      <c r="B384" t="s">
        <v>435</v>
      </c>
      <c r="C384">
        <v>71</v>
      </c>
      <c r="D384">
        <v>116</v>
      </c>
      <c r="E384">
        <v>78.372544969451098</v>
      </c>
      <c r="F384">
        <v>0.61112072680606599</v>
      </c>
      <c r="G384">
        <v>4824.1164283553899</v>
      </c>
      <c r="H384">
        <v>541.07873398148502</v>
      </c>
      <c r="I384">
        <v>0.79633449758560504</v>
      </c>
      <c r="J384">
        <v>0.20706500845315601</v>
      </c>
      <c r="K384">
        <v>0.71207301287817304</v>
      </c>
      <c r="L384" t="s">
        <v>47</v>
      </c>
      <c r="M384" t="s">
        <v>34</v>
      </c>
      <c r="N384" t="s">
        <v>35</v>
      </c>
      <c r="O384">
        <v>0.93679745343858301</v>
      </c>
      <c r="P384" t="s">
        <v>36</v>
      </c>
    </row>
    <row r="385" spans="1:16">
      <c r="A385">
        <v>384</v>
      </c>
      <c r="B385" t="s">
        <v>436</v>
      </c>
      <c r="C385">
        <v>76</v>
      </c>
      <c r="D385">
        <v>98</v>
      </c>
      <c r="E385">
        <v>78.379721888682198</v>
      </c>
      <c r="F385">
        <v>0.77272715376658097</v>
      </c>
      <c r="G385">
        <v>4825</v>
      </c>
      <c r="H385">
        <v>315.56348919868498</v>
      </c>
      <c r="I385">
        <v>0.65233570252430495</v>
      </c>
      <c r="J385">
        <v>0.60888276743029601</v>
      </c>
      <c r="K385">
        <v>0.85209713024282596</v>
      </c>
      <c r="L385" t="s">
        <v>33</v>
      </c>
      <c r="M385" t="s">
        <v>34</v>
      </c>
      <c r="N385" t="s">
        <v>35</v>
      </c>
      <c r="O385">
        <v>0.74873911350129496</v>
      </c>
      <c r="P385" t="s">
        <v>36</v>
      </c>
    </row>
    <row r="386" spans="1:16">
      <c r="A386">
        <v>385</v>
      </c>
      <c r="B386" t="s">
        <v>437</v>
      </c>
      <c r="C386">
        <v>74</v>
      </c>
      <c r="D386">
        <v>124</v>
      </c>
      <c r="E386">
        <v>78.379721888682198</v>
      </c>
      <c r="F386">
        <v>0.59428578518875497</v>
      </c>
      <c r="G386">
        <v>4825</v>
      </c>
      <c r="H386">
        <v>412.13203072547901</v>
      </c>
      <c r="I386">
        <v>0.75972627823943695</v>
      </c>
      <c r="J386">
        <v>0.35697223935586903</v>
      </c>
      <c r="K386">
        <v>0.69675090252707605</v>
      </c>
      <c r="L386" t="s">
        <v>33</v>
      </c>
      <c r="M386" t="s">
        <v>34</v>
      </c>
      <c r="N386" t="s">
        <v>35</v>
      </c>
      <c r="O386">
        <v>0.75560403623965899</v>
      </c>
      <c r="P386" t="s">
        <v>36</v>
      </c>
    </row>
    <row r="387" spans="1:16">
      <c r="A387">
        <v>386</v>
      </c>
      <c r="B387" t="s">
        <v>438</v>
      </c>
      <c r="C387">
        <v>76</v>
      </c>
      <c r="D387">
        <v>116</v>
      </c>
      <c r="E387">
        <v>78.481184354317406</v>
      </c>
      <c r="F387">
        <v>0.653846097064124</v>
      </c>
      <c r="G387">
        <v>4837.5</v>
      </c>
      <c r="H387">
        <v>463.34523379802698</v>
      </c>
      <c r="I387">
        <v>0.83206923788209097</v>
      </c>
      <c r="J387">
        <v>0.28315317910251703</v>
      </c>
      <c r="K387">
        <v>0.72201492537313405</v>
      </c>
      <c r="L387" t="s">
        <v>49</v>
      </c>
      <c r="M387" t="s">
        <v>34</v>
      </c>
      <c r="N387" t="s">
        <v>35</v>
      </c>
      <c r="O387">
        <v>0.70787100766423205</v>
      </c>
      <c r="P387" t="s">
        <v>36</v>
      </c>
    </row>
    <row r="388" spans="1:16">
      <c r="A388">
        <v>387</v>
      </c>
      <c r="B388" t="s">
        <v>439</v>
      </c>
      <c r="C388">
        <v>88</v>
      </c>
      <c r="D388">
        <v>107</v>
      </c>
      <c r="E388">
        <v>78.620861328529102</v>
      </c>
      <c r="F388">
        <v>0.81725885494001405</v>
      </c>
      <c r="G388">
        <v>4854.7344147448002</v>
      </c>
      <c r="H388">
        <v>1014.94738708983</v>
      </c>
      <c r="I388">
        <v>0.61285022569390701</v>
      </c>
      <c r="J388">
        <v>5.9222710534790599E-2</v>
      </c>
      <c r="K388">
        <v>0.56507447710326497</v>
      </c>
      <c r="L388" t="s">
        <v>33</v>
      </c>
      <c r="M388" t="s">
        <v>34</v>
      </c>
      <c r="N388" t="s">
        <v>35</v>
      </c>
      <c r="O388">
        <v>0.78604098392675903</v>
      </c>
      <c r="P388" t="s">
        <v>36</v>
      </c>
    </row>
    <row r="389" spans="1:16">
      <c r="A389">
        <v>388</v>
      </c>
      <c r="B389" t="s">
        <v>440</v>
      </c>
      <c r="C389">
        <v>64</v>
      </c>
      <c r="D389">
        <v>122</v>
      </c>
      <c r="E389">
        <v>78.660567317575001</v>
      </c>
      <c r="F389">
        <v>0.52232142857142905</v>
      </c>
      <c r="G389">
        <v>4859.6392378071796</v>
      </c>
      <c r="H389">
        <v>606.60501310120503</v>
      </c>
      <c r="I389">
        <v>0.76178325057394503</v>
      </c>
      <c r="J389">
        <v>0.16595941827104499</v>
      </c>
      <c r="K389">
        <v>0.77383319132822104</v>
      </c>
      <c r="L389" t="s">
        <v>74</v>
      </c>
      <c r="M389" t="s">
        <v>34</v>
      </c>
      <c r="N389" t="s">
        <v>35</v>
      </c>
      <c r="O389">
        <v>0.72808366757192899</v>
      </c>
      <c r="P389" t="s">
        <v>36</v>
      </c>
    </row>
    <row r="390" spans="1:16">
      <c r="A390">
        <v>389</v>
      </c>
      <c r="B390" t="s">
        <v>441</v>
      </c>
      <c r="C390">
        <v>75</v>
      </c>
      <c r="D390">
        <v>92</v>
      </c>
      <c r="E390">
        <v>78.793976985565195</v>
      </c>
      <c r="F390">
        <v>0.81128575095534705</v>
      </c>
      <c r="G390">
        <v>4876.1372790170099</v>
      </c>
      <c r="H390">
        <v>380.44274249025</v>
      </c>
      <c r="I390">
        <v>0.80122529358727002</v>
      </c>
      <c r="J390">
        <v>0.42335742454433101</v>
      </c>
      <c r="K390">
        <v>0.80749729250763003</v>
      </c>
      <c r="L390" t="s">
        <v>33</v>
      </c>
      <c r="M390" t="s">
        <v>34</v>
      </c>
      <c r="N390" t="s">
        <v>35</v>
      </c>
      <c r="O390">
        <v>0.71187847072690702</v>
      </c>
      <c r="P390" t="s">
        <v>36</v>
      </c>
    </row>
    <row r="391" spans="1:16">
      <c r="A391">
        <v>390</v>
      </c>
      <c r="B391" t="s">
        <v>442</v>
      </c>
      <c r="C391">
        <v>101</v>
      </c>
      <c r="D391">
        <v>122</v>
      </c>
      <c r="E391">
        <v>78.798780324815297</v>
      </c>
      <c r="F391">
        <v>0.83074067315481004</v>
      </c>
      <c r="G391">
        <v>4876.7318030245797</v>
      </c>
      <c r="H391">
        <v>662.83325146623304</v>
      </c>
      <c r="I391">
        <v>0.70285650416813505</v>
      </c>
      <c r="J391">
        <v>0.13948585287111701</v>
      </c>
      <c r="K391">
        <v>0.55934197067848601</v>
      </c>
      <c r="L391" t="s">
        <v>47</v>
      </c>
      <c r="M391" t="s">
        <v>34</v>
      </c>
      <c r="N391" t="s">
        <v>35</v>
      </c>
      <c r="O391">
        <v>0.92495231694352098</v>
      </c>
      <c r="P391" t="s">
        <v>36</v>
      </c>
    </row>
    <row r="392" spans="1:16">
      <c r="A392">
        <v>391</v>
      </c>
      <c r="B392" t="s">
        <v>443</v>
      </c>
      <c r="C392">
        <v>98</v>
      </c>
      <c r="D392">
        <v>87</v>
      </c>
      <c r="E392">
        <v>78.8491977206114</v>
      </c>
      <c r="F392">
        <v>1.1238986891335701</v>
      </c>
      <c r="G392">
        <v>4882.9743051039704</v>
      </c>
      <c r="H392">
        <v>501.93267620926298</v>
      </c>
      <c r="I392">
        <v>0.51254482952340696</v>
      </c>
      <c r="J392">
        <v>0.24355854108582101</v>
      </c>
      <c r="K392">
        <v>0.77119718309859198</v>
      </c>
      <c r="L392" t="s">
        <v>33</v>
      </c>
      <c r="M392" t="s">
        <v>34</v>
      </c>
      <c r="N392" t="s">
        <v>35</v>
      </c>
      <c r="O392">
        <v>0.70676767506957106</v>
      </c>
      <c r="P392" t="s">
        <v>36</v>
      </c>
    </row>
    <row r="393" spans="1:16">
      <c r="A393">
        <v>392</v>
      </c>
      <c r="B393" t="s">
        <v>444</v>
      </c>
      <c r="C393">
        <v>111</v>
      </c>
      <c r="D393">
        <v>83</v>
      </c>
      <c r="E393">
        <v>78.892386986797206</v>
      </c>
      <c r="F393">
        <v>1.33092493077105</v>
      </c>
      <c r="G393">
        <v>4888.3250211720197</v>
      </c>
      <c r="H393">
        <v>598.20091580691599</v>
      </c>
      <c r="I393">
        <v>0.80309213977259097</v>
      </c>
      <c r="J393">
        <v>0.17166264147815999</v>
      </c>
      <c r="K393">
        <v>0.66940079785068796</v>
      </c>
      <c r="L393" t="s">
        <v>43</v>
      </c>
      <c r="M393" t="s">
        <v>34</v>
      </c>
      <c r="N393" t="s">
        <v>35</v>
      </c>
      <c r="O393">
        <v>0.74748560674734399</v>
      </c>
      <c r="P393" t="s">
        <v>36</v>
      </c>
    </row>
    <row r="394" spans="1:16">
      <c r="A394">
        <v>393</v>
      </c>
      <c r="B394" t="s">
        <v>445</v>
      </c>
      <c r="C394">
        <v>130</v>
      </c>
      <c r="D394">
        <v>66</v>
      </c>
      <c r="E394">
        <v>78.941545982524104</v>
      </c>
      <c r="F394">
        <v>1.9784052638262499</v>
      </c>
      <c r="G394">
        <v>4894.4188922495296</v>
      </c>
      <c r="H394">
        <v>503.49748132249601</v>
      </c>
      <c r="I394">
        <v>0.42705444894481098</v>
      </c>
      <c r="J394">
        <v>0.24261430003891199</v>
      </c>
      <c r="K394">
        <v>0.70364751383576596</v>
      </c>
      <c r="L394" t="s">
        <v>38</v>
      </c>
      <c r="M394" t="s">
        <v>34</v>
      </c>
      <c r="N394" t="s">
        <v>35</v>
      </c>
      <c r="O394">
        <v>0.79443510562269004</v>
      </c>
      <c r="P394" t="s">
        <v>36</v>
      </c>
    </row>
    <row r="395" spans="1:16">
      <c r="A395">
        <v>394</v>
      </c>
      <c r="B395" t="s">
        <v>446</v>
      </c>
      <c r="C395">
        <v>122</v>
      </c>
      <c r="D395">
        <v>67</v>
      </c>
      <c r="E395">
        <v>79.032589102019699</v>
      </c>
      <c r="F395">
        <v>1.8300147287522901</v>
      </c>
      <c r="G395">
        <v>4905.7148483931996</v>
      </c>
      <c r="H395">
        <v>491.50269871379999</v>
      </c>
      <c r="I395">
        <v>0.518715491951665</v>
      </c>
      <c r="J395">
        <v>0.25518806046400999</v>
      </c>
      <c r="K395">
        <v>0.72308636025062401</v>
      </c>
      <c r="L395" t="s">
        <v>38</v>
      </c>
      <c r="M395" t="s">
        <v>34</v>
      </c>
      <c r="N395" t="s">
        <v>35</v>
      </c>
      <c r="O395">
        <v>0.72661342385677696</v>
      </c>
      <c r="P395" t="s">
        <v>36</v>
      </c>
    </row>
    <row r="396" spans="1:16">
      <c r="A396">
        <v>395</v>
      </c>
      <c r="B396" t="s">
        <v>447</v>
      </c>
      <c r="C396">
        <v>165</v>
      </c>
      <c r="D396">
        <v>65</v>
      </c>
      <c r="E396">
        <v>79.0601209596838</v>
      </c>
      <c r="F396">
        <v>2.5543092399790699</v>
      </c>
      <c r="G396">
        <v>4909.1333614366704</v>
      </c>
      <c r="H396">
        <v>563.22950808141502</v>
      </c>
      <c r="I396">
        <v>0.67945664755345203</v>
      </c>
      <c r="J396">
        <v>0.19446609560311401</v>
      </c>
      <c r="K396">
        <v>0.66684837472239</v>
      </c>
      <c r="L396" t="s">
        <v>144</v>
      </c>
      <c r="M396" t="s">
        <v>34</v>
      </c>
      <c r="N396" t="s">
        <v>35</v>
      </c>
      <c r="O396">
        <v>0.80400341370959905</v>
      </c>
      <c r="P396" t="s">
        <v>36</v>
      </c>
    </row>
    <row r="397" spans="1:16">
      <c r="A397">
        <v>396</v>
      </c>
      <c r="B397" t="s">
        <v>448</v>
      </c>
      <c r="C397">
        <v>93</v>
      </c>
      <c r="D397">
        <v>118</v>
      </c>
      <c r="E397">
        <v>79.237053647889596</v>
      </c>
      <c r="F397">
        <v>0.78710209446090296</v>
      </c>
      <c r="G397">
        <v>4931.1307497164498</v>
      </c>
      <c r="H397">
        <v>870.06125512423705</v>
      </c>
      <c r="I397">
        <v>0.61278467431473604</v>
      </c>
      <c r="J397">
        <v>8.1857169486015804E-2</v>
      </c>
      <c r="K397">
        <v>0.59936047982078999</v>
      </c>
      <c r="L397" t="s">
        <v>33</v>
      </c>
      <c r="M397" t="s">
        <v>34</v>
      </c>
      <c r="N397" t="s">
        <v>35</v>
      </c>
      <c r="O397">
        <v>0.83062625106482901</v>
      </c>
      <c r="P397" t="s">
        <v>36</v>
      </c>
    </row>
    <row r="398" spans="1:16">
      <c r="A398">
        <v>397</v>
      </c>
      <c r="B398" t="s">
        <v>449</v>
      </c>
      <c r="C398">
        <v>111</v>
      </c>
      <c r="D398">
        <v>81</v>
      </c>
      <c r="E398">
        <v>79.256157847232402</v>
      </c>
      <c r="F398">
        <v>1.3753023079708599</v>
      </c>
      <c r="G398">
        <v>4933.50884574669</v>
      </c>
      <c r="H398">
        <v>511.71448953307203</v>
      </c>
      <c r="I398">
        <v>0.63375554116089505</v>
      </c>
      <c r="J398">
        <v>0.236761098492831</v>
      </c>
      <c r="K398">
        <v>0.732042432128443</v>
      </c>
      <c r="L398" t="s">
        <v>49</v>
      </c>
      <c r="M398" t="s">
        <v>34</v>
      </c>
      <c r="N398" t="s">
        <v>35</v>
      </c>
      <c r="O398">
        <v>0.81235739619889702</v>
      </c>
      <c r="P398" t="s">
        <v>36</v>
      </c>
    </row>
    <row r="399" spans="1:16">
      <c r="A399">
        <v>398</v>
      </c>
      <c r="B399" t="s">
        <v>450</v>
      </c>
      <c r="C399">
        <v>71</v>
      </c>
      <c r="D399">
        <v>98</v>
      </c>
      <c r="E399">
        <v>79.284805515090596</v>
      </c>
      <c r="F399">
        <v>0.73184357541899403</v>
      </c>
      <c r="G399">
        <v>4937.0759897920598</v>
      </c>
      <c r="H399">
        <v>413.072782052185</v>
      </c>
      <c r="I399">
        <v>0.64338821317003003</v>
      </c>
      <c r="J399">
        <v>0.36360221191525799</v>
      </c>
      <c r="K399">
        <v>0.85202380341661099</v>
      </c>
      <c r="L399" t="s">
        <v>188</v>
      </c>
      <c r="M399" t="s">
        <v>34</v>
      </c>
      <c r="N399" t="s">
        <v>35</v>
      </c>
      <c r="O399">
        <v>0.84367656173345296</v>
      </c>
      <c r="P399" t="s">
        <v>36</v>
      </c>
    </row>
    <row r="400" spans="1:16">
      <c r="A400">
        <v>399</v>
      </c>
      <c r="B400" t="s">
        <v>451</v>
      </c>
      <c r="C400">
        <v>69</v>
      </c>
      <c r="D400">
        <v>151</v>
      </c>
      <c r="E400">
        <v>79.464810191757095</v>
      </c>
      <c r="F400">
        <v>0.45768988921922099</v>
      </c>
      <c r="G400">
        <v>4959.51927107751</v>
      </c>
      <c r="H400">
        <v>676.31534450613901</v>
      </c>
      <c r="I400">
        <v>0.66009108068230704</v>
      </c>
      <c r="J400">
        <v>0.13625453445093699</v>
      </c>
      <c r="K400">
        <v>0.61619146107253697</v>
      </c>
      <c r="L400" t="s">
        <v>47</v>
      </c>
      <c r="M400" t="s">
        <v>34</v>
      </c>
      <c r="N400" t="s">
        <v>35</v>
      </c>
      <c r="O400">
        <v>0.87171088056614399</v>
      </c>
      <c r="P400" t="s">
        <v>36</v>
      </c>
    </row>
    <row r="401" spans="1:16">
      <c r="A401">
        <v>400</v>
      </c>
      <c r="B401" t="s">
        <v>452</v>
      </c>
      <c r="C401">
        <v>78</v>
      </c>
      <c r="D401">
        <v>103</v>
      </c>
      <c r="E401">
        <v>79.691915818515994</v>
      </c>
      <c r="F401">
        <v>0.76063825901733695</v>
      </c>
      <c r="G401">
        <v>4987.9077924385601</v>
      </c>
      <c r="H401">
        <v>752.82346613396805</v>
      </c>
      <c r="I401">
        <v>0.63272744633487898</v>
      </c>
      <c r="J401">
        <v>0.110596653121597</v>
      </c>
      <c r="K401">
        <v>0.63966986256981095</v>
      </c>
      <c r="L401" t="s">
        <v>47</v>
      </c>
      <c r="M401" t="s">
        <v>34</v>
      </c>
      <c r="N401" t="s">
        <v>35</v>
      </c>
      <c r="O401">
        <v>0.94681455784118995</v>
      </c>
      <c r="P401" t="s">
        <v>36</v>
      </c>
    </row>
    <row r="402" spans="1:16">
      <c r="A402">
        <v>401</v>
      </c>
      <c r="B402" t="s">
        <v>453</v>
      </c>
      <c r="C402">
        <v>68</v>
      </c>
      <c r="D402">
        <v>131</v>
      </c>
      <c r="E402">
        <v>79.914824070577595</v>
      </c>
      <c r="F402">
        <v>0.51867219917012497</v>
      </c>
      <c r="G402">
        <v>5015.8504207939504</v>
      </c>
      <c r="H402">
        <v>549.35053939290697</v>
      </c>
      <c r="I402">
        <v>0.67190654367489699</v>
      </c>
      <c r="J402">
        <v>0.20886002721652799</v>
      </c>
      <c r="K402">
        <v>0.75728743576509705</v>
      </c>
      <c r="L402" t="s">
        <v>33</v>
      </c>
      <c r="M402" t="s">
        <v>34</v>
      </c>
      <c r="N402" t="s">
        <v>35</v>
      </c>
      <c r="O402">
        <v>0.70189755618695804</v>
      </c>
      <c r="P402" t="s">
        <v>36</v>
      </c>
    </row>
    <row r="403" spans="1:16">
      <c r="A403">
        <v>402</v>
      </c>
      <c r="B403" t="s">
        <v>454</v>
      </c>
      <c r="C403">
        <v>74</v>
      </c>
      <c r="D403">
        <v>112</v>
      </c>
      <c r="E403">
        <v>79.951520530731401</v>
      </c>
      <c r="F403">
        <v>0.65533980582524298</v>
      </c>
      <c r="G403">
        <v>5020.4579818525499</v>
      </c>
      <c r="H403">
        <v>586.74470296818299</v>
      </c>
      <c r="I403">
        <v>0.50144963381559204</v>
      </c>
      <c r="J403">
        <v>0.18325458337279901</v>
      </c>
      <c r="K403">
        <v>0.71218031162369</v>
      </c>
      <c r="L403" t="s">
        <v>33</v>
      </c>
      <c r="M403" t="s">
        <v>34</v>
      </c>
      <c r="N403" t="s">
        <v>35</v>
      </c>
      <c r="O403">
        <v>0.85738569885479299</v>
      </c>
      <c r="P403" t="s">
        <v>36</v>
      </c>
    </row>
    <row r="404" spans="1:16">
      <c r="A404">
        <v>403</v>
      </c>
      <c r="B404" t="s">
        <v>455</v>
      </c>
      <c r="C404">
        <v>117</v>
      </c>
      <c r="D404">
        <v>71</v>
      </c>
      <c r="E404">
        <v>79.956254331057096</v>
      </c>
      <c r="F404">
        <v>1.6552463566100799</v>
      </c>
      <c r="G404">
        <v>5021.0525058601097</v>
      </c>
      <c r="H404">
        <v>483.79216055351799</v>
      </c>
      <c r="I404">
        <v>0.65730642418034402</v>
      </c>
      <c r="J404">
        <v>0.26957956829014001</v>
      </c>
      <c r="K404">
        <v>0.791017865923619</v>
      </c>
      <c r="L404" t="s">
        <v>74</v>
      </c>
      <c r="M404" t="s">
        <v>34</v>
      </c>
      <c r="N404" t="s">
        <v>35</v>
      </c>
      <c r="O404">
        <v>0.740851432146438</v>
      </c>
      <c r="P404" t="s">
        <v>36</v>
      </c>
    </row>
    <row r="405" spans="1:16">
      <c r="A405">
        <v>404</v>
      </c>
      <c r="B405" t="s">
        <v>456</v>
      </c>
      <c r="C405">
        <v>91</v>
      </c>
      <c r="D405">
        <v>86</v>
      </c>
      <c r="E405">
        <v>79.964537807311501</v>
      </c>
      <c r="F405">
        <v>1.0693705936033999</v>
      </c>
      <c r="G405">
        <v>5022.0929228733503</v>
      </c>
      <c r="H405">
        <v>482.19525572061502</v>
      </c>
      <c r="I405">
        <v>0.675967344478413</v>
      </c>
      <c r="J405">
        <v>0.27142430970870901</v>
      </c>
      <c r="K405">
        <v>0.75597368892070904</v>
      </c>
      <c r="L405" t="s">
        <v>33</v>
      </c>
      <c r="M405" t="s">
        <v>34</v>
      </c>
      <c r="N405" t="s">
        <v>35</v>
      </c>
      <c r="O405">
        <v>0.81332650264546902</v>
      </c>
      <c r="P405" t="s">
        <v>36</v>
      </c>
    </row>
    <row r="406" spans="1:16">
      <c r="A406">
        <v>405</v>
      </c>
      <c r="B406" t="s">
        <v>457</v>
      </c>
      <c r="C406">
        <v>184</v>
      </c>
      <c r="D406">
        <v>82</v>
      </c>
      <c r="E406">
        <v>80.196127768716494</v>
      </c>
      <c r="F406">
        <v>2.2476015934263001</v>
      </c>
      <c r="G406">
        <v>5051.2245992438602</v>
      </c>
      <c r="H406">
        <v>1294.1064774460399</v>
      </c>
      <c r="I406">
        <v>0.48472543887258501</v>
      </c>
      <c r="J406">
        <v>3.7902383502476801E-2</v>
      </c>
      <c r="K406">
        <v>0.44814990637444901</v>
      </c>
      <c r="L406" t="s">
        <v>43</v>
      </c>
      <c r="M406" t="s">
        <v>34</v>
      </c>
      <c r="N406" t="s">
        <v>35</v>
      </c>
      <c r="O406">
        <v>0.75392925836674396</v>
      </c>
      <c r="P406" t="s">
        <v>36</v>
      </c>
    </row>
    <row r="407" spans="1:16">
      <c r="A407">
        <v>406</v>
      </c>
      <c r="B407" t="s">
        <v>458</v>
      </c>
      <c r="C407">
        <v>70</v>
      </c>
      <c r="D407">
        <v>115</v>
      </c>
      <c r="E407">
        <v>80.197307635390601</v>
      </c>
      <c r="F407">
        <v>0.605748613223972</v>
      </c>
      <c r="G407">
        <v>5051.3732302457502</v>
      </c>
      <c r="H407">
        <v>453.97624325565698</v>
      </c>
      <c r="I407">
        <v>0.80269999043937801</v>
      </c>
      <c r="J407">
        <v>0.308001668434425</v>
      </c>
      <c r="K407">
        <v>0.79818689964536504</v>
      </c>
      <c r="L407" t="s">
        <v>33</v>
      </c>
      <c r="M407" t="s">
        <v>34</v>
      </c>
      <c r="N407" t="s">
        <v>35</v>
      </c>
      <c r="O407">
        <v>0.732708854781149</v>
      </c>
      <c r="P407" t="s">
        <v>36</v>
      </c>
    </row>
    <row r="408" spans="1:16">
      <c r="A408">
        <v>407</v>
      </c>
      <c r="B408" t="s">
        <v>459</v>
      </c>
      <c r="C408">
        <v>142</v>
      </c>
      <c r="D408">
        <v>80</v>
      </c>
      <c r="E408">
        <v>80.199667316665597</v>
      </c>
      <c r="F408">
        <v>1.77682153325046</v>
      </c>
      <c r="G408">
        <v>5051.6704922495301</v>
      </c>
      <c r="H408">
        <v>800.88949348926599</v>
      </c>
      <c r="I408">
        <v>0.45595059571587598</v>
      </c>
      <c r="J408">
        <v>9.8969114858920904E-2</v>
      </c>
      <c r="K408">
        <v>0.62635681772109897</v>
      </c>
      <c r="L408" t="s">
        <v>49</v>
      </c>
      <c r="M408" t="s">
        <v>34</v>
      </c>
      <c r="N408" t="s">
        <v>35</v>
      </c>
      <c r="O408">
        <v>0.69705980054994399</v>
      </c>
      <c r="P408" t="s">
        <v>36</v>
      </c>
    </row>
    <row r="409" spans="1:16">
      <c r="A409">
        <v>408</v>
      </c>
      <c r="B409" t="s">
        <v>460</v>
      </c>
      <c r="C409">
        <v>107</v>
      </c>
      <c r="D409">
        <v>83</v>
      </c>
      <c r="E409">
        <v>80.235054208115699</v>
      </c>
      <c r="F409">
        <v>1.28758169934641</v>
      </c>
      <c r="G409">
        <v>5056.1294223062396</v>
      </c>
      <c r="H409">
        <v>577.19537369043906</v>
      </c>
      <c r="I409">
        <v>0.56051359272939005</v>
      </c>
      <c r="J409">
        <v>0.19071390693343401</v>
      </c>
      <c r="K409">
        <v>0.75101554221123301</v>
      </c>
      <c r="L409" t="s">
        <v>33</v>
      </c>
      <c r="M409" t="s">
        <v>34</v>
      </c>
      <c r="N409" t="s">
        <v>35</v>
      </c>
      <c r="O409">
        <v>0.74810885717624098</v>
      </c>
      <c r="P409" t="s">
        <v>36</v>
      </c>
    </row>
    <row r="410" spans="1:16">
      <c r="A410">
        <v>409</v>
      </c>
      <c r="B410" t="s">
        <v>461</v>
      </c>
      <c r="C410">
        <v>70</v>
      </c>
      <c r="D410">
        <v>105</v>
      </c>
      <c r="E410">
        <v>80.281033847835403</v>
      </c>
      <c r="F410">
        <v>0.66629334879204105</v>
      </c>
      <c r="G410">
        <v>5061.9260313799596</v>
      </c>
      <c r="H410">
        <v>439.40371543314097</v>
      </c>
      <c r="I410">
        <v>0.72222926845774205</v>
      </c>
      <c r="J410">
        <v>0.329456597578482</v>
      </c>
      <c r="K410">
        <v>0.83522169903864996</v>
      </c>
      <c r="L410" t="s">
        <v>33</v>
      </c>
      <c r="M410" t="s">
        <v>34</v>
      </c>
      <c r="N410" t="s">
        <v>35</v>
      </c>
      <c r="O410">
        <v>0.78906336249265496</v>
      </c>
      <c r="P410" t="s">
        <v>36</v>
      </c>
    </row>
    <row r="411" spans="1:16">
      <c r="A411">
        <v>410</v>
      </c>
      <c r="B411" t="s">
        <v>462</v>
      </c>
      <c r="C411">
        <v>69</v>
      </c>
      <c r="D411">
        <v>142</v>
      </c>
      <c r="E411">
        <v>80.3328767188206</v>
      </c>
      <c r="F411">
        <v>0.484615384615385</v>
      </c>
      <c r="G411">
        <v>5068.4657954631402</v>
      </c>
      <c r="H411">
        <v>524.61261784066301</v>
      </c>
      <c r="I411">
        <v>0.73107531568584005</v>
      </c>
      <c r="J411">
        <v>0.23142427944588501</v>
      </c>
      <c r="K411">
        <v>0.68155654155174505</v>
      </c>
      <c r="L411" t="s">
        <v>33</v>
      </c>
      <c r="M411" t="s">
        <v>34</v>
      </c>
      <c r="N411" t="s">
        <v>35</v>
      </c>
      <c r="O411">
        <v>0.79504772506871002</v>
      </c>
      <c r="P411" t="s">
        <v>36</v>
      </c>
    </row>
    <row r="412" spans="1:16">
      <c r="A412">
        <v>411</v>
      </c>
      <c r="B412" t="s">
        <v>463</v>
      </c>
      <c r="C412">
        <v>112</v>
      </c>
      <c r="D412">
        <v>81</v>
      </c>
      <c r="E412">
        <v>80.348187529157002</v>
      </c>
      <c r="F412">
        <v>1.3737965388765001</v>
      </c>
      <c r="G412">
        <v>5070.3979984877096</v>
      </c>
      <c r="H412">
        <v>709.74464459958301</v>
      </c>
      <c r="I412">
        <v>0.70181223461420394</v>
      </c>
      <c r="J412">
        <v>0.12648751661883201</v>
      </c>
      <c r="K412">
        <v>0.67452298566485402</v>
      </c>
      <c r="L412" t="s">
        <v>43</v>
      </c>
      <c r="M412" t="s">
        <v>34</v>
      </c>
      <c r="N412" t="s">
        <v>35</v>
      </c>
      <c r="O412">
        <v>0.83871184017690203</v>
      </c>
      <c r="P412" t="s">
        <v>36</v>
      </c>
    </row>
    <row r="413" spans="1:16">
      <c r="A413">
        <v>412</v>
      </c>
      <c r="B413" t="s">
        <v>464</v>
      </c>
      <c r="C413">
        <v>107</v>
      </c>
      <c r="D413">
        <v>107</v>
      </c>
      <c r="E413">
        <v>80.610374016300199</v>
      </c>
      <c r="F413">
        <v>1</v>
      </c>
      <c r="G413">
        <v>5103.5427119092601</v>
      </c>
      <c r="H413">
        <v>1330.28342359014</v>
      </c>
      <c r="I413">
        <v>0.64141334430072505</v>
      </c>
      <c r="J413">
        <v>3.6240423061421403E-2</v>
      </c>
      <c r="K413">
        <v>0.45538579878517799</v>
      </c>
      <c r="L413" t="s">
        <v>43</v>
      </c>
      <c r="M413" t="s">
        <v>34</v>
      </c>
      <c r="N413" t="s">
        <v>35</v>
      </c>
      <c r="O413">
        <v>0.81359313689639401</v>
      </c>
      <c r="P413" t="s">
        <v>36</v>
      </c>
    </row>
    <row r="414" spans="1:16">
      <c r="A414">
        <v>413</v>
      </c>
      <c r="B414" t="s">
        <v>465</v>
      </c>
      <c r="C414">
        <v>113</v>
      </c>
      <c r="D414">
        <v>80</v>
      </c>
      <c r="E414">
        <v>80.790938853943203</v>
      </c>
      <c r="F414">
        <v>1.4163115993547</v>
      </c>
      <c r="G414">
        <v>5126.4318862003802</v>
      </c>
      <c r="H414">
        <v>596.58131349283701</v>
      </c>
      <c r="I414">
        <v>0.58048708452854203</v>
      </c>
      <c r="J414">
        <v>0.181002995982885</v>
      </c>
      <c r="K414">
        <v>0.73067960342343896</v>
      </c>
      <c r="L414" t="s">
        <v>47</v>
      </c>
      <c r="M414" t="s">
        <v>34</v>
      </c>
      <c r="N414" t="s">
        <v>35</v>
      </c>
      <c r="O414">
        <v>0.66060664768927801</v>
      </c>
      <c r="P414" t="s">
        <v>36</v>
      </c>
    </row>
    <row r="415" spans="1:16">
      <c r="A415">
        <v>414</v>
      </c>
      <c r="B415" t="s">
        <v>466</v>
      </c>
      <c r="C415">
        <v>71</v>
      </c>
      <c r="D415">
        <v>118</v>
      </c>
      <c r="E415">
        <v>80.969932443384195</v>
      </c>
      <c r="F415">
        <v>0.60051331277158104</v>
      </c>
      <c r="G415">
        <v>5149.1724294896003</v>
      </c>
      <c r="H415">
        <v>533.99755551586998</v>
      </c>
      <c r="I415">
        <v>0.66316082281017896</v>
      </c>
      <c r="J415">
        <v>0.22691790290743899</v>
      </c>
      <c r="K415">
        <v>0.75146414472257195</v>
      </c>
      <c r="L415" t="s">
        <v>38</v>
      </c>
      <c r="M415" t="s">
        <v>34</v>
      </c>
      <c r="N415" t="s">
        <v>35</v>
      </c>
      <c r="O415">
        <v>0.89637874516733296</v>
      </c>
      <c r="P415" t="s">
        <v>36</v>
      </c>
    </row>
    <row r="416" spans="1:16">
      <c r="A416">
        <v>415</v>
      </c>
      <c r="B416" t="s">
        <v>467</v>
      </c>
      <c r="C416">
        <v>109</v>
      </c>
      <c r="D416">
        <v>79</v>
      </c>
      <c r="E416">
        <v>81.090208875127303</v>
      </c>
      <c r="F416">
        <v>1.39340975541249</v>
      </c>
      <c r="G416">
        <v>5164.48142268431</v>
      </c>
      <c r="H416">
        <v>485.28725699310701</v>
      </c>
      <c r="I416">
        <v>0.61638363565120102</v>
      </c>
      <c r="J416">
        <v>0.275574360746486</v>
      </c>
      <c r="K416">
        <v>0.64924606214615399</v>
      </c>
      <c r="L416" t="s">
        <v>33</v>
      </c>
      <c r="M416" t="s">
        <v>34</v>
      </c>
      <c r="N416" t="s">
        <v>35</v>
      </c>
      <c r="O416">
        <v>0.73855190507161195</v>
      </c>
      <c r="P416" t="s">
        <v>36</v>
      </c>
    </row>
    <row r="417" spans="1:16">
      <c r="A417">
        <v>416</v>
      </c>
      <c r="B417" t="s">
        <v>468</v>
      </c>
      <c r="C417">
        <v>175</v>
      </c>
      <c r="D417">
        <v>66</v>
      </c>
      <c r="E417">
        <v>82.137130983993401</v>
      </c>
      <c r="F417">
        <v>2.63932420436673</v>
      </c>
      <c r="G417">
        <v>5298.6952173913096</v>
      </c>
      <c r="H417">
        <v>649.24156402463495</v>
      </c>
      <c r="I417">
        <v>0.67958475634983595</v>
      </c>
      <c r="J417">
        <v>0.15796692816410399</v>
      </c>
      <c r="K417">
        <v>0.63024838681163298</v>
      </c>
      <c r="L417" t="s">
        <v>61</v>
      </c>
      <c r="M417" t="s">
        <v>34</v>
      </c>
      <c r="N417" t="s">
        <v>35</v>
      </c>
      <c r="O417">
        <v>0.85762807445321199</v>
      </c>
      <c r="P417" t="s">
        <v>36</v>
      </c>
    </row>
    <row r="418" spans="1:16">
      <c r="A418">
        <v>417</v>
      </c>
      <c r="B418" t="s">
        <v>469</v>
      </c>
      <c r="C418">
        <v>137</v>
      </c>
      <c r="D418">
        <v>88</v>
      </c>
      <c r="E418">
        <v>82.542782961942706</v>
      </c>
      <c r="F418">
        <v>1.54938271604938</v>
      </c>
      <c r="G418">
        <v>5351.1619610586004</v>
      </c>
      <c r="H418">
        <v>1074.96669509566</v>
      </c>
      <c r="I418">
        <v>0.646290840248401</v>
      </c>
      <c r="J418">
        <v>5.8192624138541697E-2</v>
      </c>
      <c r="K418">
        <v>0.56959562080749304</v>
      </c>
      <c r="L418" t="s">
        <v>331</v>
      </c>
      <c r="M418" t="s">
        <v>34</v>
      </c>
      <c r="N418" t="s">
        <v>35</v>
      </c>
      <c r="O418">
        <v>0.66178798012717199</v>
      </c>
      <c r="P418" t="s">
        <v>36</v>
      </c>
    </row>
    <row r="419" spans="1:16">
      <c r="A419">
        <v>418</v>
      </c>
      <c r="B419" t="s">
        <v>470</v>
      </c>
      <c r="C419">
        <v>103</v>
      </c>
      <c r="D419">
        <v>127</v>
      </c>
      <c r="E419">
        <v>82.706545988786004</v>
      </c>
      <c r="F419">
        <v>0.8068669527897</v>
      </c>
      <c r="G419">
        <v>5372.41619432892</v>
      </c>
      <c r="H419">
        <v>1274.4160681498599</v>
      </c>
      <c r="I419">
        <v>0.428768739859472</v>
      </c>
      <c r="J419">
        <v>4.1567799684695303E-2</v>
      </c>
      <c r="K419">
        <v>0.50384722609422905</v>
      </c>
      <c r="L419" t="s">
        <v>38</v>
      </c>
      <c r="M419" t="s">
        <v>34</v>
      </c>
      <c r="N419" t="s">
        <v>35</v>
      </c>
      <c r="O419">
        <v>0.65124729130730896</v>
      </c>
      <c r="P419" t="s">
        <v>36</v>
      </c>
    </row>
    <row r="420" spans="1:16">
      <c r="A420">
        <v>419</v>
      </c>
      <c r="B420" t="s">
        <v>471</v>
      </c>
      <c r="C420">
        <v>87</v>
      </c>
      <c r="D420">
        <v>123</v>
      </c>
      <c r="E420">
        <v>82.969263039433301</v>
      </c>
      <c r="F420">
        <v>0.71236053421826895</v>
      </c>
      <c r="G420">
        <v>5406.6013247637102</v>
      </c>
      <c r="H420">
        <v>858.65043724785698</v>
      </c>
      <c r="I420">
        <v>0.72364005191207004</v>
      </c>
      <c r="J420">
        <v>9.2151290110693798E-2</v>
      </c>
      <c r="K420">
        <v>0.58474794238683103</v>
      </c>
      <c r="L420" t="s">
        <v>41</v>
      </c>
      <c r="M420" t="s">
        <v>34</v>
      </c>
      <c r="N420" t="s">
        <v>35</v>
      </c>
      <c r="O420">
        <v>0.73856543574217304</v>
      </c>
      <c r="P420" t="s">
        <v>36</v>
      </c>
    </row>
    <row r="421" spans="1:16">
      <c r="A421">
        <v>420</v>
      </c>
      <c r="B421" t="s">
        <v>472</v>
      </c>
      <c r="C421">
        <v>100</v>
      </c>
      <c r="D421">
        <v>108</v>
      </c>
      <c r="E421">
        <v>83.129909502303093</v>
      </c>
      <c r="F421">
        <v>0.92502404433184504</v>
      </c>
      <c r="G421">
        <v>5427.5582960302499</v>
      </c>
      <c r="H421">
        <v>521.79298634228496</v>
      </c>
      <c r="I421">
        <v>0.60847287080669499</v>
      </c>
      <c r="J421">
        <v>0.25050585808880599</v>
      </c>
      <c r="K421">
        <v>0.72497518364105595</v>
      </c>
      <c r="L421" t="s">
        <v>33</v>
      </c>
      <c r="M421" t="s">
        <v>34</v>
      </c>
      <c r="N421" t="s">
        <v>35</v>
      </c>
      <c r="O421">
        <v>0.69601686631693305</v>
      </c>
      <c r="P421" t="s">
        <v>36</v>
      </c>
    </row>
    <row r="422" spans="1:16">
      <c r="A422">
        <v>421</v>
      </c>
      <c r="B422" t="s">
        <v>473</v>
      </c>
      <c r="C422">
        <v>131</v>
      </c>
      <c r="D422">
        <v>95</v>
      </c>
      <c r="E422">
        <v>83.397068372430397</v>
      </c>
      <c r="F422">
        <v>1.3694581256187499</v>
      </c>
      <c r="G422">
        <v>5462.5</v>
      </c>
      <c r="H422">
        <v>706.48231685161602</v>
      </c>
      <c r="I422">
        <v>0.50523388531606706</v>
      </c>
      <c r="J422">
        <v>0.13753040503450201</v>
      </c>
      <c r="K422">
        <v>0.56606217616580301</v>
      </c>
      <c r="L422" t="s">
        <v>33</v>
      </c>
      <c r="M422" t="s">
        <v>34</v>
      </c>
      <c r="N422" t="s">
        <v>35</v>
      </c>
      <c r="O422">
        <v>0.85526479710913506</v>
      </c>
      <c r="P422" t="s">
        <v>36</v>
      </c>
    </row>
    <row r="423" spans="1:16">
      <c r="A423">
        <v>422</v>
      </c>
      <c r="B423" t="s">
        <v>474</v>
      </c>
      <c r="C423">
        <v>147</v>
      </c>
      <c r="D423">
        <v>83</v>
      </c>
      <c r="E423">
        <v>83.435533111921998</v>
      </c>
      <c r="F423">
        <v>1.75816993464052</v>
      </c>
      <c r="G423">
        <v>5467.5400355387501</v>
      </c>
      <c r="H423">
        <v>710.37238806413598</v>
      </c>
      <c r="I423">
        <v>0.63486854485759403</v>
      </c>
      <c r="J423">
        <v>0.13615377634614101</v>
      </c>
      <c r="K423">
        <v>0.55780311760781198</v>
      </c>
      <c r="L423" t="s">
        <v>33</v>
      </c>
      <c r="M423" t="s">
        <v>34</v>
      </c>
      <c r="N423" t="s">
        <v>35</v>
      </c>
      <c r="O423">
        <v>0.72714536858249301</v>
      </c>
      <c r="P423" t="s">
        <v>36</v>
      </c>
    </row>
    <row r="424" spans="1:16">
      <c r="A424">
        <v>423</v>
      </c>
      <c r="B424" t="s">
        <v>475</v>
      </c>
      <c r="C424">
        <v>147</v>
      </c>
      <c r="D424">
        <v>83</v>
      </c>
      <c r="E424">
        <v>83.4604788435377</v>
      </c>
      <c r="F424">
        <v>1.75816993464052</v>
      </c>
      <c r="G424">
        <v>5470.80991758034</v>
      </c>
      <c r="H424">
        <v>1206.5445278623799</v>
      </c>
      <c r="I424">
        <v>0.67100409386303705</v>
      </c>
      <c r="J424">
        <v>4.7225306035063697E-2</v>
      </c>
      <c r="K424">
        <v>0.50158072604382398</v>
      </c>
      <c r="L424" t="s">
        <v>33</v>
      </c>
      <c r="M424" t="s">
        <v>34</v>
      </c>
      <c r="N424" t="s">
        <v>35</v>
      </c>
      <c r="O424">
        <v>0.78265755638016998</v>
      </c>
      <c r="P424" t="s">
        <v>36</v>
      </c>
    </row>
    <row r="425" spans="1:16">
      <c r="A425">
        <v>424</v>
      </c>
      <c r="B425" t="s">
        <v>476</v>
      </c>
      <c r="C425">
        <v>83</v>
      </c>
      <c r="D425">
        <v>103</v>
      </c>
      <c r="E425">
        <v>83.461612563272396</v>
      </c>
      <c r="F425">
        <v>0.80851063829787195</v>
      </c>
      <c r="G425">
        <v>5470.9585485822299</v>
      </c>
      <c r="H425">
        <v>660.839470984728</v>
      </c>
      <c r="I425">
        <v>0.65532683382245405</v>
      </c>
      <c r="J425">
        <v>0.157427768178595</v>
      </c>
      <c r="K425">
        <v>0.74315075407320696</v>
      </c>
      <c r="L425" t="s">
        <v>47</v>
      </c>
      <c r="M425" t="s">
        <v>34</v>
      </c>
      <c r="N425" t="s">
        <v>35</v>
      </c>
      <c r="O425">
        <v>0.91703106389073996</v>
      </c>
      <c r="P425" t="s">
        <v>36</v>
      </c>
    </row>
    <row r="426" spans="1:16">
      <c r="A426">
        <v>425</v>
      </c>
      <c r="B426" t="s">
        <v>477</v>
      </c>
      <c r="C426">
        <v>89</v>
      </c>
      <c r="D426">
        <v>102</v>
      </c>
      <c r="E426">
        <v>83.525076308470901</v>
      </c>
      <c r="F426">
        <v>0.87875133495601099</v>
      </c>
      <c r="G426">
        <v>5479.28188468809</v>
      </c>
      <c r="H426">
        <v>560.59696566674995</v>
      </c>
      <c r="I426">
        <v>0.665517134746067</v>
      </c>
      <c r="J426">
        <v>0.21909477576276901</v>
      </c>
      <c r="K426">
        <v>0.81225488035958204</v>
      </c>
      <c r="L426" t="s">
        <v>47</v>
      </c>
      <c r="M426" t="s">
        <v>34</v>
      </c>
      <c r="N426" t="s">
        <v>35</v>
      </c>
      <c r="O426">
        <v>0.90185667861169105</v>
      </c>
      <c r="P426" t="s">
        <v>36</v>
      </c>
    </row>
    <row r="427" spans="1:16">
      <c r="A427">
        <v>426</v>
      </c>
      <c r="B427" t="s">
        <v>478</v>
      </c>
      <c r="C427">
        <v>134</v>
      </c>
      <c r="D427">
        <v>94</v>
      </c>
      <c r="E427">
        <v>83.571510276961504</v>
      </c>
      <c r="F427">
        <v>1.4320158268999801</v>
      </c>
      <c r="G427">
        <v>5485.3757557655999</v>
      </c>
      <c r="H427">
        <v>560.38717910186097</v>
      </c>
      <c r="I427">
        <v>0.48411189885788097</v>
      </c>
      <c r="J427">
        <v>0.219502699361866</v>
      </c>
      <c r="K427">
        <v>0.62379149482793605</v>
      </c>
      <c r="L427" t="s">
        <v>49</v>
      </c>
      <c r="M427" t="s">
        <v>34</v>
      </c>
      <c r="N427" t="s">
        <v>35</v>
      </c>
      <c r="O427">
        <v>0.75205078925149504</v>
      </c>
      <c r="P427" t="s">
        <v>36</v>
      </c>
    </row>
    <row r="428" spans="1:16">
      <c r="A428">
        <v>427</v>
      </c>
      <c r="B428" t="s">
        <v>479</v>
      </c>
      <c r="C428">
        <v>145</v>
      </c>
      <c r="D428">
        <v>82</v>
      </c>
      <c r="E428">
        <v>84.0693370693551</v>
      </c>
      <c r="F428">
        <v>1.7644299875084</v>
      </c>
      <c r="G428">
        <v>5550.9220275992402</v>
      </c>
      <c r="H428">
        <v>693.89459291074604</v>
      </c>
      <c r="I428">
        <v>0.71677448183372905</v>
      </c>
      <c r="J428">
        <v>0.144873177080902</v>
      </c>
      <c r="K428">
        <v>0.69546190946164899</v>
      </c>
      <c r="L428" t="s">
        <v>74</v>
      </c>
      <c r="M428" t="s">
        <v>34</v>
      </c>
      <c r="N428" t="s">
        <v>35</v>
      </c>
      <c r="O428">
        <v>0.79670348852259498</v>
      </c>
      <c r="P428" t="s">
        <v>36</v>
      </c>
    </row>
    <row r="429" spans="1:16">
      <c r="A429">
        <v>428</v>
      </c>
      <c r="B429" t="s">
        <v>480</v>
      </c>
      <c r="C429">
        <v>189</v>
      </c>
      <c r="D429">
        <v>65</v>
      </c>
      <c r="E429">
        <v>84.172820905833106</v>
      </c>
      <c r="F429">
        <v>2.9093298057213501</v>
      </c>
      <c r="G429">
        <v>5564.5960797731605</v>
      </c>
      <c r="H429">
        <v>857.05353241495504</v>
      </c>
      <c r="I429">
        <v>0.59601431842905395</v>
      </c>
      <c r="J429">
        <v>9.5197953211989206E-2</v>
      </c>
      <c r="K429">
        <v>0.61966632460524995</v>
      </c>
      <c r="L429" t="s">
        <v>47</v>
      </c>
      <c r="M429" t="s">
        <v>34</v>
      </c>
      <c r="N429" t="s">
        <v>35</v>
      </c>
      <c r="O429">
        <v>0.85988167278476102</v>
      </c>
      <c r="P429" t="s">
        <v>36</v>
      </c>
    </row>
    <row r="430" spans="1:16">
      <c r="A430">
        <v>429</v>
      </c>
      <c r="B430" t="s">
        <v>481</v>
      </c>
      <c r="C430">
        <v>78</v>
      </c>
      <c r="D430">
        <v>157</v>
      </c>
      <c r="E430">
        <v>84.467950453647802</v>
      </c>
      <c r="F430">
        <v>0.49652777777777801</v>
      </c>
      <c r="G430">
        <v>5603.68603327032</v>
      </c>
      <c r="H430">
        <v>774.87404807070004</v>
      </c>
      <c r="I430">
        <v>0.72938565637304098</v>
      </c>
      <c r="J430">
        <v>0.117279316632145</v>
      </c>
      <c r="K430">
        <v>0.64190005958968199</v>
      </c>
      <c r="L430" t="s">
        <v>33</v>
      </c>
      <c r="M430" t="s">
        <v>34</v>
      </c>
      <c r="N430" t="s">
        <v>35</v>
      </c>
      <c r="O430">
        <v>0.85802190668067801</v>
      </c>
      <c r="P430" t="s">
        <v>36</v>
      </c>
    </row>
    <row r="431" spans="1:16">
      <c r="A431">
        <v>430</v>
      </c>
      <c r="B431" t="s">
        <v>482</v>
      </c>
      <c r="C431">
        <v>79</v>
      </c>
      <c r="D431">
        <v>105</v>
      </c>
      <c r="E431">
        <v>84.724089082634606</v>
      </c>
      <c r="F431">
        <v>0.75440419611922405</v>
      </c>
      <c r="G431">
        <v>5637.7225327032102</v>
      </c>
      <c r="H431">
        <v>335.43272368358498</v>
      </c>
      <c r="I431">
        <v>0.74068847293092999</v>
      </c>
      <c r="J431">
        <v>0.62965506973593099</v>
      </c>
      <c r="K431">
        <v>0.880989432121705</v>
      </c>
      <c r="L431" t="s">
        <v>38</v>
      </c>
      <c r="M431" t="s">
        <v>34</v>
      </c>
      <c r="N431" t="s">
        <v>35</v>
      </c>
      <c r="O431">
        <v>0.89967575893385998</v>
      </c>
      <c r="P431" t="s">
        <v>36</v>
      </c>
    </row>
    <row r="432" spans="1:16">
      <c r="A432">
        <v>431</v>
      </c>
      <c r="B432" t="s">
        <v>483</v>
      </c>
      <c r="C432">
        <v>161</v>
      </c>
      <c r="D432">
        <v>69</v>
      </c>
      <c r="E432">
        <v>84.820081098945707</v>
      </c>
      <c r="F432">
        <v>2.3492063492063502</v>
      </c>
      <c r="G432">
        <v>5650.5047988657898</v>
      </c>
      <c r="H432">
        <v>1016.6765838056</v>
      </c>
      <c r="I432">
        <v>0.77821772950658097</v>
      </c>
      <c r="J432">
        <v>6.86960032125951E-2</v>
      </c>
      <c r="K432">
        <v>0.613078535720045</v>
      </c>
      <c r="L432" t="s">
        <v>33</v>
      </c>
      <c r="M432" t="s">
        <v>34</v>
      </c>
      <c r="N432" t="s">
        <v>35</v>
      </c>
      <c r="O432">
        <v>0.86007956181601697</v>
      </c>
      <c r="P432" t="s">
        <v>36</v>
      </c>
    </row>
    <row r="433" spans="1:16">
      <c r="A433">
        <v>432</v>
      </c>
      <c r="B433" t="s">
        <v>484</v>
      </c>
      <c r="C433">
        <v>122</v>
      </c>
      <c r="D433">
        <v>88</v>
      </c>
      <c r="E433">
        <v>84.884758608623002</v>
      </c>
      <c r="F433">
        <v>1.3850932406963501</v>
      </c>
      <c r="G433">
        <v>5659.1253969754298</v>
      </c>
      <c r="H433">
        <v>834.60607482961996</v>
      </c>
      <c r="I433">
        <v>0.72501341410161202</v>
      </c>
      <c r="J433">
        <v>0.10209303117872</v>
      </c>
      <c r="K433">
        <v>0.61208906036492206</v>
      </c>
      <c r="L433" t="s">
        <v>47</v>
      </c>
      <c r="M433" t="s">
        <v>34</v>
      </c>
      <c r="N433" t="s">
        <v>35</v>
      </c>
      <c r="O433">
        <v>0.86770633882623904</v>
      </c>
      <c r="P433" t="s">
        <v>36</v>
      </c>
    </row>
    <row r="434" spans="1:16">
      <c r="A434">
        <v>433</v>
      </c>
      <c r="B434" t="s">
        <v>485</v>
      </c>
      <c r="C434">
        <v>111</v>
      </c>
      <c r="D434">
        <v>93</v>
      </c>
      <c r="E434">
        <v>85.598512889694504</v>
      </c>
      <c r="F434">
        <v>1.1905548629070799</v>
      </c>
      <c r="G434">
        <v>5754.6951311909297</v>
      </c>
      <c r="H434">
        <v>570.16899242567001</v>
      </c>
      <c r="I434">
        <v>0.68914322200728295</v>
      </c>
      <c r="J434">
        <v>0.22244620152064101</v>
      </c>
      <c r="K434">
        <v>0.72143549228590598</v>
      </c>
      <c r="L434" t="s">
        <v>38</v>
      </c>
      <c r="M434" t="s">
        <v>34</v>
      </c>
      <c r="N434" t="s">
        <v>35</v>
      </c>
      <c r="O434">
        <v>0.73116043114312801</v>
      </c>
      <c r="P434" t="s">
        <v>36</v>
      </c>
    </row>
    <row r="435" spans="1:16">
      <c r="A435">
        <v>434</v>
      </c>
      <c r="B435" t="s">
        <v>486</v>
      </c>
      <c r="C435">
        <v>87</v>
      </c>
      <c r="D435">
        <v>137</v>
      </c>
      <c r="E435">
        <v>85.664811802034706</v>
      </c>
      <c r="F435">
        <v>0.63745019920318702</v>
      </c>
      <c r="G435">
        <v>5763.6129913043496</v>
      </c>
      <c r="H435">
        <v>879.74287628484797</v>
      </c>
      <c r="I435">
        <v>0.73228207071569795</v>
      </c>
      <c r="J435">
        <v>9.35821800201833E-2</v>
      </c>
      <c r="K435">
        <v>0.58340855750135401</v>
      </c>
      <c r="L435" t="s">
        <v>188</v>
      </c>
      <c r="M435" t="s">
        <v>34</v>
      </c>
      <c r="N435" t="s">
        <v>35</v>
      </c>
      <c r="O435">
        <v>0.76261465667867201</v>
      </c>
      <c r="P435" t="s">
        <v>36</v>
      </c>
    </row>
    <row r="436" spans="1:16">
      <c r="A436">
        <v>435</v>
      </c>
      <c r="B436" t="s">
        <v>487</v>
      </c>
      <c r="C436">
        <v>88</v>
      </c>
      <c r="D436">
        <v>147</v>
      </c>
      <c r="E436">
        <v>85.675856632833401</v>
      </c>
      <c r="F436">
        <v>0.59851301115241595</v>
      </c>
      <c r="G436">
        <v>5765.0993013232501</v>
      </c>
      <c r="H436">
        <v>790.14013502722196</v>
      </c>
      <c r="I436">
        <v>0.65209920626956797</v>
      </c>
      <c r="J436">
        <v>0.11604018478608701</v>
      </c>
      <c r="K436">
        <v>0.64149507979822995</v>
      </c>
      <c r="L436" t="s">
        <v>33</v>
      </c>
      <c r="M436" t="s">
        <v>34</v>
      </c>
      <c r="N436" t="s">
        <v>35</v>
      </c>
      <c r="O436">
        <v>0.84122148574028399</v>
      </c>
      <c r="P436" t="s">
        <v>36</v>
      </c>
    </row>
    <row r="437" spans="1:16">
      <c r="A437">
        <v>436</v>
      </c>
      <c r="B437" t="s">
        <v>488</v>
      </c>
      <c r="C437">
        <v>93</v>
      </c>
      <c r="D437">
        <v>107</v>
      </c>
      <c r="E437">
        <v>85.851278534274101</v>
      </c>
      <c r="F437">
        <v>0.86294414120501095</v>
      </c>
      <c r="G437">
        <v>5788.7316306238199</v>
      </c>
      <c r="H437">
        <v>654.29686228907599</v>
      </c>
      <c r="I437">
        <v>0.67233776840435999</v>
      </c>
      <c r="J437">
        <v>0.16991964991710201</v>
      </c>
      <c r="K437">
        <v>0.72913975475053805</v>
      </c>
      <c r="L437" t="s">
        <v>33</v>
      </c>
      <c r="M437" t="s">
        <v>34</v>
      </c>
      <c r="N437" t="s">
        <v>35</v>
      </c>
      <c r="O437">
        <v>0.79491828094749795</v>
      </c>
      <c r="P437" t="s">
        <v>36</v>
      </c>
    </row>
    <row r="438" spans="1:16">
      <c r="A438">
        <v>437</v>
      </c>
      <c r="B438" t="s">
        <v>489</v>
      </c>
      <c r="C438">
        <v>73</v>
      </c>
      <c r="D438">
        <v>132</v>
      </c>
      <c r="E438">
        <v>85.863401385750393</v>
      </c>
      <c r="F438">
        <v>0.55371895198588095</v>
      </c>
      <c r="G438">
        <v>5790.3665716446103</v>
      </c>
      <c r="H438">
        <v>1161.99169113947</v>
      </c>
      <c r="I438">
        <v>0.79275090543914595</v>
      </c>
      <c r="J438">
        <v>5.3890210167424797E-2</v>
      </c>
      <c r="K438">
        <v>0.60201196050252703</v>
      </c>
      <c r="L438" t="s">
        <v>47</v>
      </c>
      <c r="M438" t="s">
        <v>34</v>
      </c>
      <c r="N438" t="s">
        <v>35</v>
      </c>
      <c r="O438">
        <v>0.94315460581274901</v>
      </c>
      <c r="P438" t="s">
        <v>36</v>
      </c>
    </row>
    <row r="439" spans="1:16">
      <c r="A439">
        <v>438</v>
      </c>
      <c r="B439" t="s">
        <v>490</v>
      </c>
      <c r="C439">
        <v>97</v>
      </c>
      <c r="D439">
        <v>142</v>
      </c>
      <c r="E439">
        <v>85.905267164239405</v>
      </c>
      <c r="F439">
        <v>0.68461538461538496</v>
      </c>
      <c r="G439">
        <v>5796.0145497164503</v>
      </c>
      <c r="H439">
        <v>1036.1854132523699</v>
      </c>
      <c r="I439">
        <v>0.70396655411602804</v>
      </c>
      <c r="J439">
        <v>6.7836648376655304E-2</v>
      </c>
      <c r="K439">
        <v>0.51825370456508701</v>
      </c>
      <c r="L439" t="s">
        <v>47</v>
      </c>
      <c r="M439" t="s">
        <v>34</v>
      </c>
      <c r="N439" t="s">
        <v>35</v>
      </c>
      <c r="O439">
        <v>0.94609646855797502</v>
      </c>
      <c r="P439" t="s">
        <v>36</v>
      </c>
    </row>
    <row r="440" spans="1:16">
      <c r="A440">
        <v>439</v>
      </c>
      <c r="B440" t="s">
        <v>491</v>
      </c>
      <c r="C440">
        <v>106</v>
      </c>
      <c r="D440">
        <v>101</v>
      </c>
      <c r="E440">
        <v>85.964725565170596</v>
      </c>
      <c r="F440">
        <v>1.04838709677419</v>
      </c>
      <c r="G440">
        <v>5804.0406238185296</v>
      </c>
      <c r="H440">
        <v>456.82246523940103</v>
      </c>
      <c r="I440">
        <v>0.70816266016850504</v>
      </c>
      <c r="J440">
        <v>0.34949856847885002</v>
      </c>
      <c r="K440">
        <v>0.73790627362055905</v>
      </c>
      <c r="L440" t="s">
        <v>43</v>
      </c>
      <c r="M440" t="s">
        <v>34</v>
      </c>
      <c r="N440" t="s">
        <v>35</v>
      </c>
      <c r="O440">
        <v>0.79055070482628398</v>
      </c>
      <c r="P440" t="s">
        <v>36</v>
      </c>
    </row>
    <row r="441" spans="1:16">
      <c r="A441">
        <v>440</v>
      </c>
      <c r="B441" t="s">
        <v>492</v>
      </c>
      <c r="C441">
        <v>88</v>
      </c>
      <c r="D441">
        <v>127</v>
      </c>
      <c r="E441">
        <v>86.004341662415996</v>
      </c>
      <c r="F441">
        <v>0.69098712446351895</v>
      </c>
      <c r="G441">
        <v>5809.3913398865798</v>
      </c>
      <c r="H441">
        <v>938.32967106031299</v>
      </c>
      <c r="I441">
        <v>0.73246590413589197</v>
      </c>
      <c r="J441">
        <v>8.2914330462509997E-2</v>
      </c>
      <c r="K441">
        <v>0.60120283635580596</v>
      </c>
      <c r="L441" t="s">
        <v>33</v>
      </c>
      <c r="M441" t="s">
        <v>34</v>
      </c>
      <c r="N441" t="s">
        <v>35</v>
      </c>
      <c r="O441">
        <v>0.73290050957155695</v>
      </c>
      <c r="P441" t="s">
        <v>36</v>
      </c>
    </row>
    <row r="442" spans="1:16">
      <c r="A442">
        <v>441</v>
      </c>
      <c r="B442" t="s">
        <v>493</v>
      </c>
      <c r="C442">
        <v>107</v>
      </c>
      <c r="D442">
        <v>113</v>
      </c>
      <c r="E442">
        <v>86.017542973603696</v>
      </c>
      <c r="F442">
        <v>0.95169082125603899</v>
      </c>
      <c r="G442">
        <v>5811.1749119092601</v>
      </c>
      <c r="H442">
        <v>998.42647374816602</v>
      </c>
      <c r="I442">
        <v>0.73569323763554295</v>
      </c>
      <c r="J442">
        <v>7.3255735914943595E-2</v>
      </c>
      <c r="K442">
        <v>0.61656127292510998</v>
      </c>
      <c r="L442" t="s">
        <v>43</v>
      </c>
      <c r="M442" t="s">
        <v>34</v>
      </c>
      <c r="N442" t="s">
        <v>35</v>
      </c>
      <c r="O442">
        <v>0.79333569761224898</v>
      </c>
      <c r="P442" t="s">
        <v>36</v>
      </c>
    </row>
    <row r="443" spans="1:16">
      <c r="A443">
        <v>442</v>
      </c>
      <c r="B443" t="s">
        <v>494</v>
      </c>
      <c r="C443">
        <v>88</v>
      </c>
      <c r="D443">
        <v>127</v>
      </c>
      <c r="E443">
        <v>86.332672857212799</v>
      </c>
      <c r="F443">
        <v>0.69098708399001796</v>
      </c>
      <c r="G443">
        <v>5853.8320094518003</v>
      </c>
      <c r="H443">
        <v>769.59956100287604</v>
      </c>
      <c r="I443">
        <v>0.61745093258375205</v>
      </c>
      <c r="J443">
        <v>0.124199685615798</v>
      </c>
      <c r="K443">
        <v>0.63445398456755298</v>
      </c>
      <c r="L443" t="s">
        <v>47</v>
      </c>
      <c r="M443" t="s">
        <v>34</v>
      </c>
      <c r="N443" t="s">
        <v>35</v>
      </c>
      <c r="O443">
        <v>0.92844994980484097</v>
      </c>
      <c r="P443" t="s">
        <v>36</v>
      </c>
    </row>
    <row r="444" spans="1:16">
      <c r="A444">
        <v>443</v>
      </c>
      <c r="B444" t="s">
        <v>495</v>
      </c>
      <c r="C444">
        <v>102</v>
      </c>
      <c r="D444">
        <v>149</v>
      </c>
      <c r="E444">
        <v>86.506762850485899</v>
      </c>
      <c r="F444">
        <v>0.68168554349404298</v>
      </c>
      <c r="G444">
        <v>5877.4643387523602</v>
      </c>
      <c r="H444">
        <v>867.10933174299203</v>
      </c>
      <c r="I444">
        <v>0.60613296264142602</v>
      </c>
      <c r="J444">
        <v>9.8231810057943902E-2</v>
      </c>
      <c r="K444">
        <v>0.48863187030446797</v>
      </c>
      <c r="L444" t="s">
        <v>38</v>
      </c>
      <c r="M444" t="s">
        <v>34</v>
      </c>
      <c r="N444" t="s">
        <v>35</v>
      </c>
      <c r="O444">
        <v>0.74295233100061098</v>
      </c>
      <c r="P444" t="s">
        <v>36</v>
      </c>
    </row>
    <row r="445" spans="1:16">
      <c r="A445">
        <v>444</v>
      </c>
      <c r="B445" t="s">
        <v>496</v>
      </c>
      <c r="C445">
        <v>103</v>
      </c>
      <c r="D445">
        <v>107</v>
      </c>
      <c r="E445">
        <v>86.594222950521598</v>
      </c>
      <c r="F445">
        <v>0.95431472081218305</v>
      </c>
      <c r="G445">
        <v>5889.3548189035901</v>
      </c>
      <c r="H445">
        <v>1078.4023910460301</v>
      </c>
      <c r="I445">
        <v>0.670957256717435</v>
      </c>
      <c r="J445">
        <v>6.3637908823799702E-2</v>
      </c>
      <c r="K445">
        <v>0.58120159586951403</v>
      </c>
      <c r="L445" t="s">
        <v>47</v>
      </c>
      <c r="M445" t="s">
        <v>34</v>
      </c>
      <c r="N445" t="s">
        <v>35</v>
      </c>
      <c r="O445">
        <v>0.951362009967059</v>
      </c>
      <c r="P445" t="s">
        <v>36</v>
      </c>
    </row>
    <row r="446" spans="1:16">
      <c r="A446">
        <v>445</v>
      </c>
      <c r="B446" t="s">
        <v>497</v>
      </c>
      <c r="C446">
        <v>115</v>
      </c>
      <c r="D446">
        <v>96</v>
      </c>
      <c r="E446">
        <v>86.726338764965007</v>
      </c>
      <c r="F446">
        <v>1.2024338083152399</v>
      </c>
      <c r="G446">
        <v>5907.3391701323299</v>
      </c>
      <c r="H446">
        <v>591.50331774721997</v>
      </c>
      <c r="I446">
        <v>0.56791545571303403</v>
      </c>
      <c r="J446">
        <v>0.212171672954166</v>
      </c>
      <c r="K446">
        <v>0.69547490725834704</v>
      </c>
      <c r="L446" t="s">
        <v>49</v>
      </c>
      <c r="M446" t="s">
        <v>34</v>
      </c>
      <c r="N446" t="s">
        <v>35</v>
      </c>
      <c r="O446">
        <v>0.77780154924365297</v>
      </c>
      <c r="P446" t="s">
        <v>36</v>
      </c>
    </row>
    <row r="447" spans="1:16">
      <c r="A447">
        <v>446</v>
      </c>
      <c r="B447" t="s">
        <v>498</v>
      </c>
      <c r="C447">
        <v>78</v>
      </c>
      <c r="D447">
        <v>150</v>
      </c>
      <c r="E447">
        <v>86.811397750361905</v>
      </c>
      <c r="F447">
        <v>0.51862643465629599</v>
      </c>
      <c r="G447">
        <v>5918.9323882797698</v>
      </c>
      <c r="H447">
        <v>871.68085743831602</v>
      </c>
      <c r="I447">
        <v>0.72044906619579097</v>
      </c>
      <c r="J447">
        <v>9.7889976799157494E-2</v>
      </c>
      <c r="K447">
        <v>0.57510289551592197</v>
      </c>
      <c r="L447" t="s">
        <v>33</v>
      </c>
      <c r="M447" t="s">
        <v>34</v>
      </c>
      <c r="N447" t="s">
        <v>35</v>
      </c>
      <c r="O447">
        <v>0.71109680958120502</v>
      </c>
      <c r="P447" t="s">
        <v>36</v>
      </c>
    </row>
    <row r="448" spans="1:16">
      <c r="A448">
        <v>447</v>
      </c>
      <c r="B448" t="s">
        <v>499</v>
      </c>
      <c r="C448">
        <v>92</v>
      </c>
      <c r="D448">
        <v>103</v>
      </c>
      <c r="E448">
        <v>86.8255661465613</v>
      </c>
      <c r="F448">
        <v>0.89893617021276595</v>
      </c>
      <c r="G448">
        <v>5920.8645913043501</v>
      </c>
      <c r="H448">
        <v>659.47505019789196</v>
      </c>
      <c r="I448">
        <v>0.60522602305506201</v>
      </c>
      <c r="J448">
        <v>0.17107961088467799</v>
      </c>
      <c r="K448">
        <v>0.79902118100128405</v>
      </c>
      <c r="L448" t="s">
        <v>47</v>
      </c>
      <c r="M448" t="s">
        <v>34</v>
      </c>
      <c r="N448" t="s">
        <v>35</v>
      </c>
      <c r="O448">
        <v>0.94026951487120003</v>
      </c>
      <c r="P448" t="s">
        <v>36</v>
      </c>
    </row>
    <row r="449" spans="1:16">
      <c r="A449">
        <v>448</v>
      </c>
      <c r="B449" t="s">
        <v>500</v>
      </c>
      <c r="C449">
        <v>97</v>
      </c>
      <c r="D449">
        <v>103</v>
      </c>
      <c r="E449">
        <v>86.838642614340003</v>
      </c>
      <c r="F449">
        <v>0.94680850200385303</v>
      </c>
      <c r="G449">
        <v>5922.6481633270296</v>
      </c>
      <c r="H449">
        <v>800.857393769596</v>
      </c>
      <c r="I449">
        <v>0.71922483887108202</v>
      </c>
      <c r="J449">
        <v>0.116042057116654</v>
      </c>
      <c r="K449">
        <v>0.68447360736554597</v>
      </c>
      <c r="L449" t="s">
        <v>38</v>
      </c>
      <c r="M449" t="s">
        <v>34</v>
      </c>
      <c r="N449" t="s">
        <v>35</v>
      </c>
      <c r="O449">
        <v>0.73167297000031795</v>
      </c>
      <c r="P449" t="s">
        <v>36</v>
      </c>
    </row>
    <row r="450" spans="1:16">
      <c r="A450">
        <v>449</v>
      </c>
      <c r="B450" t="s">
        <v>501</v>
      </c>
      <c r="C450">
        <v>122</v>
      </c>
      <c r="D450">
        <v>92</v>
      </c>
      <c r="E450">
        <v>86.985617422884403</v>
      </c>
      <c r="F450">
        <v>1.32544378698225</v>
      </c>
      <c r="G450">
        <v>5942.7133485822296</v>
      </c>
      <c r="H450">
        <v>1030.74264157782</v>
      </c>
      <c r="I450">
        <v>0.64457681019036395</v>
      </c>
      <c r="J450">
        <v>7.0290099825351296E-2</v>
      </c>
      <c r="K450">
        <v>0.59639623513969098</v>
      </c>
      <c r="L450" t="s">
        <v>33</v>
      </c>
      <c r="M450" t="s">
        <v>34</v>
      </c>
      <c r="N450" t="s">
        <v>35</v>
      </c>
      <c r="O450">
        <v>0.80638395015159903</v>
      </c>
      <c r="P450" t="s">
        <v>36</v>
      </c>
    </row>
    <row r="451" spans="1:16">
      <c r="A451">
        <v>450</v>
      </c>
      <c r="B451" t="s">
        <v>502</v>
      </c>
      <c r="C451">
        <v>122</v>
      </c>
      <c r="D451">
        <v>73</v>
      </c>
      <c r="E451">
        <v>87.007370353459294</v>
      </c>
      <c r="F451">
        <v>1.66417910447761</v>
      </c>
      <c r="G451">
        <v>5945.6859686200396</v>
      </c>
      <c r="H451">
        <v>520.018394664163</v>
      </c>
      <c r="I451">
        <v>0.81148967327144395</v>
      </c>
      <c r="J451">
        <v>0.27629588639032798</v>
      </c>
      <c r="K451">
        <v>0.81941457219525204</v>
      </c>
      <c r="L451" t="s">
        <v>74</v>
      </c>
      <c r="M451" t="s">
        <v>34</v>
      </c>
      <c r="N451" t="s">
        <v>35</v>
      </c>
      <c r="O451">
        <v>0.70370909369944001</v>
      </c>
      <c r="P451" t="s">
        <v>36</v>
      </c>
    </row>
    <row r="452" spans="1:16">
      <c r="A452">
        <v>451</v>
      </c>
      <c r="B452" t="s">
        <v>503</v>
      </c>
      <c r="C452">
        <v>98</v>
      </c>
      <c r="D452">
        <v>137</v>
      </c>
      <c r="E452">
        <v>87.118225811138004</v>
      </c>
      <c r="F452">
        <v>0.71314741035856599</v>
      </c>
      <c r="G452">
        <v>5960.8463308128503</v>
      </c>
      <c r="H452">
        <v>981.22140351098506</v>
      </c>
      <c r="I452">
        <v>0.70977812351639202</v>
      </c>
      <c r="J452">
        <v>7.7800746498703499E-2</v>
      </c>
      <c r="K452">
        <v>0.558495453216171</v>
      </c>
      <c r="L452" t="s">
        <v>47</v>
      </c>
      <c r="M452" t="s">
        <v>34</v>
      </c>
      <c r="N452" t="s">
        <v>35</v>
      </c>
      <c r="O452">
        <v>0.93676205524641598</v>
      </c>
      <c r="P452" t="s">
        <v>36</v>
      </c>
    </row>
    <row r="453" spans="1:16">
      <c r="A453">
        <v>452</v>
      </c>
      <c r="B453" t="s">
        <v>504</v>
      </c>
      <c r="C453">
        <v>132</v>
      </c>
      <c r="D453">
        <v>83</v>
      </c>
      <c r="E453">
        <v>87.118225811138004</v>
      </c>
      <c r="F453">
        <v>1.5921053820369899</v>
      </c>
      <c r="G453">
        <v>5960.8463308128503</v>
      </c>
      <c r="H453">
        <v>1048.37668718328</v>
      </c>
      <c r="I453">
        <v>0.73626471469854005</v>
      </c>
      <c r="J453">
        <v>6.8152702223626502E-2</v>
      </c>
      <c r="K453">
        <v>0.60891547606395102</v>
      </c>
      <c r="L453" t="s">
        <v>33</v>
      </c>
      <c r="M453" t="s">
        <v>34</v>
      </c>
      <c r="N453" t="s">
        <v>35</v>
      </c>
      <c r="O453">
        <v>0.65506318794588603</v>
      </c>
      <c r="P453" t="s">
        <v>36</v>
      </c>
    </row>
    <row r="454" spans="1:16">
      <c r="A454">
        <v>453</v>
      </c>
      <c r="B454" t="s">
        <v>505</v>
      </c>
      <c r="C454">
        <v>126</v>
      </c>
      <c r="D454">
        <v>93</v>
      </c>
      <c r="E454">
        <v>87.246294632171697</v>
      </c>
      <c r="F454">
        <v>1.3567251461988299</v>
      </c>
      <c r="G454">
        <v>5978.3847890359202</v>
      </c>
      <c r="H454">
        <v>704.08268412165</v>
      </c>
      <c r="I454">
        <v>0.52475581054129306</v>
      </c>
      <c r="J454">
        <v>0.151546671111155</v>
      </c>
      <c r="K454">
        <v>0.60239321871443097</v>
      </c>
      <c r="L454" t="s">
        <v>33</v>
      </c>
      <c r="M454" t="s">
        <v>34</v>
      </c>
      <c r="N454" t="s">
        <v>35</v>
      </c>
      <c r="O454">
        <v>0.83385570714520396</v>
      </c>
      <c r="P454" t="s">
        <v>36</v>
      </c>
    </row>
    <row r="455" spans="1:16">
      <c r="A455">
        <v>454</v>
      </c>
      <c r="B455" t="s">
        <v>506</v>
      </c>
      <c r="C455">
        <v>117</v>
      </c>
      <c r="D455">
        <v>103</v>
      </c>
      <c r="E455">
        <v>87.275572095011697</v>
      </c>
      <c r="F455">
        <v>1.1436170212765999</v>
      </c>
      <c r="G455">
        <v>5982.3978260869599</v>
      </c>
      <c r="H455">
        <v>895.318941969457</v>
      </c>
      <c r="I455">
        <v>0.61545426016091898</v>
      </c>
      <c r="J455">
        <v>9.3784184937305601E-2</v>
      </c>
      <c r="K455">
        <v>0.64569430184804899</v>
      </c>
      <c r="L455" t="s">
        <v>43</v>
      </c>
      <c r="M455" t="s">
        <v>34</v>
      </c>
      <c r="N455" t="s">
        <v>35</v>
      </c>
      <c r="O455">
        <v>0.66963496728564598</v>
      </c>
      <c r="P455" t="s">
        <v>36</v>
      </c>
    </row>
    <row r="456" spans="1:16">
      <c r="A456">
        <v>455</v>
      </c>
      <c r="B456" t="s">
        <v>507</v>
      </c>
      <c r="C456">
        <v>112</v>
      </c>
      <c r="D456">
        <v>88</v>
      </c>
      <c r="E456">
        <v>87.397997280995895</v>
      </c>
      <c r="F456">
        <v>1.2716049382716099</v>
      </c>
      <c r="G456">
        <v>5999.19312930057</v>
      </c>
      <c r="H456">
        <v>590.78706113203702</v>
      </c>
      <c r="I456">
        <v>0.70069938563805301</v>
      </c>
      <c r="J456">
        <v>0.21599353723145701</v>
      </c>
      <c r="K456">
        <v>0.74314173141363205</v>
      </c>
      <c r="L456" t="s">
        <v>47</v>
      </c>
      <c r="M456" t="s">
        <v>34</v>
      </c>
      <c r="N456" t="s">
        <v>35</v>
      </c>
      <c r="O456">
        <v>0.94605932377047197</v>
      </c>
      <c r="P456" t="s">
        <v>36</v>
      </c>
    </row>
    <row r="457" spans="1:16">
      <c r="A457">
        <v>456</v>
      </c>
      <c r="B457" t="s">
        <v>508</v>
      </c>
      <c r="C457">
        <v>78</v>
      </c>
      <c r="D457">
        <v>103</v>
      </c>
      <c r="E457">
        <v>87.911828182894993</v>
      </c>
      <c r="F457">
        <v>0.76063829787234005</v>
      </c>
      <c r="G457">
        <v>6069.9414862003796</v>
      </c>
      <c r="H457">
        <v>589.08996413593695</v>
      </c>
      <c r="I457">
        <v>0.501803743758098</v>
      </c>
      <c r="J457">
        <v>0.21980173713921999</v>
      </c>
      <c r="K457">
        <v>0.80155053974484802</v>
      </c>
      <c r="L457" t="s">
        <v>47</v>
      </c>
      <c r="M457" t="s">
        <v>34</v>
      </c>
      <c r="N457" t="s">
        <v>35</v>
      </c>
      <c r="O457">
        <v>0.95179406379726905</v>
      </c>
      <c r="P457" t="s">
        <v>36</v>
      </c>
    </row>
    <row r="458" spans="1:16">
      <c r="A458">
        <v>457</v>
      </c>
      <c r="B458" t="s">
        <v>509</v>
      </c>
      <c r="C458">
        <v>93</v>
      </c>
      <c r="D458">
        <v>132</v>
      </c>
      <c r="E458">
        <v>88.012944298902994</v>
      </c>
      <c r="F458">
        <v>0.70247933884297498</v>
      </c>
      <c r="G458">
        <v>6083.9128003780697</v>
      </c>
      <c r="H458">
        <v>1022.61253028776</v>
      </c>
      <c r="I458">
        <v>0.71835495853132703</v>
      </c>
      <c r="J458">
        <v>7.31089631937719E-2</v>
      </c>
      <c r="K458">
        <v>0.58015732407341802</v>
      </c>
      <c r="L458" t="s">
        <v>41</v>
      </c>
      <c r="M458" t="s">
        <v>34</v>
      </c>
      <c r="N458" t="s">
        <v>35</v>
      </c>
      <c r="O458">
        <v>0.70702555259399602</v>
      </c>
      <c r="P458" t="s">
        <v>36</v>
      </c>
    </row>
    <row r="459" spans="1:16">
      <c r="A459">
        <v>458</v>
      </c>
      <c r="B459" t="s">
        <v>510</v>
      </c>
      <c r="C459">
        <v>122</v>
      </c>
      <c r="D459">
        <v>78</v>
      </c>
      <c r="E459">
        <v>88.218046635454698</v>
      </c>
      <c r="F459">
        <v>1.56643356643357</v>
      </c>
      <c r="G459">
        <v>6112.3013217391299</v>
      </c>
      <c r="H459">
        <v>738.88970024461298</v>
      </c>
      <c r="I459">
        <v>0.71551154502411696</v>
      </c>
      <c r="J459">
        <v>0.14068746175571301</v>
      </c>
      <c r="K459">
        <v>0.71561069831381496</v>
      </c>
      <c r="L459" t="s">
        <v>47</v>
      </c>
      <c r="M459" t="s">
        <v>34</v>
      </c>
      <c r="N459" t="s">
        <v>35</v>
      </c>
      <c r="O459">
        <v>0.93730406675058897</v>
      </c>
      <c r="P459" t="s">
        <v>36</v>
      </c>
    </row>
    <row r="460" spans="1:16">
      <c r="A460">
        <v>459</v>
      </c>
      <c r="B460" t="s">
        <v>511</v>
      </c>
      <c r="C460">
        <v>138</v>
      </c>
      <c r="D460">
        <v>79</v>
      </c>
      <c r="E460">
        <v>88.294167394494806</v>
      </c>
      <c r="F460">
        <v>1.73568298292031</v>
      </c>
      <c r="G460">
        <v>6122.8541228733502</v>
      </c>
      <c r="H460">
        <v>625.46178537213302</v>
      </c>
      <c r="I460">
        <v>0.63519626870642198</v>
      </c>
      <c r="J460">
        <v>0.196680913212019</v>
      </c>
      <c r="K460">
        <v>0.71109231512808102</v>
      </c>
      <c r="L460" t="s">
        <v>74</v>
      </c>
      <c r="M460" t="s">
        <v>34</v>
      </c>
      <c r="N460" t="s">
        <v>35</v>
      </c>
      <c r="O460">
        <v>0.72209807026360096</v>
      </c>
      <c r="P460" t="s">
        <v>36</v>
      </c>
    </row>
    <row r="461" spans="1:16">
      <c r="A461">
        <v>460</v>
      </c>
      <c r="B461" t="s">
        <v>512</v>
      </c>
      <c r="C461">
        <v>83</v>
      </c>
      <c r="D461">
        <v>117</v>
      </c>
      <c r="E461">
        <v>88.549924006862895</v>
      </c>
      <c r="F461">
        <v>0.71028033251615597</v>
      </c>
      <c r="G461">
        <v>6158.3769323251399</v>
      </c>
      <c r="H461">
        <v>821.54355491949195</v>
      </c>
      <c r="I461">
        <v>0.71121975458573605</v>
      </c>
      <c r="J461">
        <v>0.114660794090295</v>
      </c>
      <c r="K461">
        <v>0.71526722828338596</v>
      </c>
      <c r="L461" t="s">
        <v>49</v>
      </c>
      <c r="M461" t="s">
        <v>34</v>
      </c>
      <c r="N461" t="s">
        <v>35</v>
      </c>
      <c r="O461">
        <v>0.66273577149663299</v>
      </c>
      <c r="P461" t="s">
        <v>36</v>
      </c>
    </row>
    <row r="462" spans="1:16">
      <c r="A462">
        <v>461</v>
      </c>
      <c r="B462" t="s">
        <v>513</v>
      </c>
      <c r="C462">
        <v>88</v>
      </c>
      <c r="D462">
        <v>176</v>
      </c>
      <c r="E462">
        <v>88.592656334418706</v>
      </c>
      <c r="F462">
        <v>0.49845201238390102</v>
      </c>
      <c r="G462">
        <v>6164.3221724007599</v>
      </c>
      <c r="H462">
        <v>936.67796902656596</v>
      </c>
      <c r="I462">
        <v>0.812359708874133</v>
      </c>
      <c r="J462">
        <v>8.8290623025920806E-2</v>
      </c>
      <c r="K462">
        <v>0.581454688200987</v>
      </c>
      <c r="L462" t="s">
        <v>33</v>
      </c>
      <c r="M462" t="s">
        <v>34</v>
      </c>
      <c r="N462" t="s">
        <v>35</v>
      </c>
      <c r="O462">
        <v>0.709611330474749</v>
      </c>
      <c r="P462" t="s">
        <v>36</v>
      </c>
    </row>
    <row r="463" spans="1:16">
      <c r="A463">
        <v>462</v>
      </c>
      <c r="B463" t="s">
        <v>514</v>
      </c>
      <c r="C463">
        <v>161</v>
      </c>
      <c r="D463">
        <v>103</v>
      </c>
      <c r="E463">
        <v>89.282070627967201</v>
      </c>
      <c r="F463">
        <v>1.56985899601165</v>
      </c>
      <c r="G463">
        <v>6260.6350616257096</v>
      </c>
      <c r="H463">
        <v>1101.19192707912</v>
      </c>
      <c r="I463">
        <v>0.73546662356970205</v>
      </c>
      <c r="J463">
        <v>6.4878711379009094E-2</v>
      </c>
      <c r="K463">
        <v>0.50634098258183202</v>
      </c>
      <c r="L463" t="s">
        <v>33</v>
      </c>
      <c r="M463" t="s">
        <v>34</v>
      </c>
      <c r="N463" t="s">
        <v>35</v>
      </c>
      <c r="O463">
        <v>0.75621668191592595</v>
      </c>
      <c r="P463" t="s">
        <v>36</v>
      </c>
    </row>
    <row r="464" spans="1:16">
      <c r="A464">
        <v>463</v>
      </c>
      <c r="B464" t="s">
        <v>515</v>
      </c>
      <c r="C464">
        <v>83</v>
      </c>
      <c r="D464">
        <v>93</v>
      </c>
      <c r="E464">
        <v>89.662788092509501</v>
      </c>
      <c r="F464">
        <v>0.89411762805133199</v>
      </c>
      <c r="G464">
        <v>6314.14222230624</v>
      </c>
      <c r="H464">
        <v>580.54417272028695</v>
      </c>
      <c r="I464">
        <v>0.56083154999628904</v>
      </c>
      <c r="J464">
        <v>0.23542559876174701</v>
      </c>
      <c r="K464">
        <v>0.83466609033931305</v>
      </c>
      <c r="L464" t="s">
        <v>47</v>
      </c>
      <c r="M464" t="s">
        <v>34</v>
      </c>
      <c r="N464" t="s">
        <v>35</v>
      </c>
      <c r="O464">
        <v>0.94729647213471302</v>
      </c>
      <c r="P464" t="s">
        <v>36</v>
      </c>
    </row>
    <row r="465" spans="1:16">
      <c r="A465">
        <v>464</v>
      </c>
      <c r="B465" t="s">
        <v>516</v>
      </c>
      <c r="C465">
        <v>152</v>
      </c>
      <c r="D465">
        <v>81</v>
      </c>
      <c r="E465">
        <v>90.143771608124496</v>
      </c>
      <c r="F465">
        <v>1.8752729562346</v>
      </c>
      <c r="G465">
        <v>6382.0665901701304</v>
      </c>
      <c r="H465">
        <v>709.31566923131095</v>
      </c>
      <c r="I465">
        <v>0.469438171542024</v>
      </c>
      <c r="J465">
        <v>0.15940138396003201</v>
      </c>
      <c r="K465">
        <v>0.67390178445312898</v>
      </c>
      <c r="L465" t="s">
        <v>74</v>
      </c>
      <c r="M465" t="s">
        <v>34</v>
      </c>
      <c r="N465" t="s">
        <v>35</v>
      </c>
      <c r="O465">
        <v>0.62461651820642905</v>
      </c>
      <c r="P465" t="s">
        <v>36</v>
      </c>
    </row>
    <row r="466" spans="1:16">
      <c r="A466">
        <v>465</v>
      </c>
      <c r="B466" t="s">
        <v>517</v>
      </c>
      <c r="C466">
        <v>131</v>
      </c>
      <c r="D466">
        <v>128</v>
      </c>
      <c r="E466">
        <v>90.450802762648706</v>
      </c>
      <c r="F466">
        <v>1.0255319148936199</v>
      </c>
      <c r="G466">
        <v>6425.6154737240104</v>
      </c>
      <c r="H466">
        <v>839.211977018688</v>
      </c>
      <c r="I466">
        <v>0.75359191572749495</v>
      </c>
      <c r="J466">
        <v>0.114651898337956</v>
      </c>
      <c r="K466">
        <v>0.54321111753323403</v>
      </c>
      <c r="L466" t="s">
        <v>33</v>
      </c>
      <c r="M466" t="s">
        <v>34</v>
      </c>
      <c r="N466" t="s">
        <v>35</v>
      </c>
      <c r="O466">
        <v>0.80558550122041805</v>
      </c>
      <c r="P466" t="s">
        <v>36</v>
      </c>
    </row>
    <row r="467" spans="1:16">
      <c r="A467">
        <v>466</v>
      </c>
      <c r="B467" t="s">
        <v>518</v>
      </c>
      <c r="C467">
        <v>254</v>
      </c>
      <c r="D467">
        <v>64</v>
      </c>
      <c r="E467">
        <v>90.601317283853803</v>
      </c>
      <c r="F467">
        <v>3.9606627593156798</v>
      </c>
      <c r="G467">
        <v>6447.01833799622</v>
      </c>
      <c r="H467">
        <v>837.93217637829196</v>
      </c>
      <c r="I467">
        <v>0.92808704692023802</v>
      </c>
      <c r="J467">
        <v>0.115385446371219</v>
      </c>
      <c r="K467">
        <v>0.51507486967570304</v>
      </c>
      <c r="L467" t="s">
        <v>49</v>
      </c>
      <c r="M467" t="s">
        <v>34</v>
      </c>
      <c r="N467" t="s">
        <v>35</v>
      </c>
      <c r="O467">
        <v>0.85720605456952503</v>
      </c>
      <c r="P467" t="s">
        <v>36</v>
      </c>
    </row>
    <row r="468" spans="1:16">
      <c r="A468">
        <v>467</v>
      </c>
      <c r="B468" t="s">
        <v>519</v>
      </c>
      <c r="C468">
        <v>107</v>
      </c>
      <c r="D468">
        <v>84</v>
      </c>
      <c r="E468">
        <v>90.915129638541799</v>
      </c>
      <c r="F468">
        <v>1.2753620877235701</v>
      </c>
      <c r="G468">
        <v>6491.7562695652196</v>
      </c>
      <c r="H468">
        <v>378.44896200874598</v>
      </c>
      <c r="I468">
        <v>0.62817187635294303</v>
      </c>
      <c r="J468">
        <v>0.56958354367945196</v>
      </c>
      <c r="K468">
        <v>0.91669814884775203</v>
      </c>
      <c r="L468" t="s">
        <v>47</v>
      </c>
      <c r="M468" t="s">
        <v>34</v>
      </c>
      <c r="N468" t="s">
        <v>35</v>
      </c>
      <c r="O468">
        <v>0.94346030358812705</v>
      </c>
      <c r="P468" t="s">
        <v>36</v>
      </c>
    </row>
    <row r="469" spans="1:16">
      <c r="A469">
        <v>468</v>
      </c>
      <c r="B469" t="s">
        <v>520</v>
      </c>
      <c r="C469">
        <v>132</v>
      </c>
      <c r="D469">
        <v>101</v>
      </c>
      <c r="E469">
        <v>91.147616696197503</v>
      </c>
      <c r="F469">
        <v>1.3121017875386101</v>
      </c>
      <c r="G469">
        <v>6525</v>
      </c>
      <c r="H469">
        <v>542.84270763397205</v>
      </c>
      <c r="I469">
        <v>0.780699032850383</v>
      </c>
      <c r="J469">
        <v>0.27825460723948198</v>
      </c>
      <c r="K469">
        <v>0.61702127659574502</v>
      </c>
      <c r="L469" t="s">
        <v>33</v>
      </c>
      <c r="M469" t="s">
        <v>34</v>
      </c>
      <c r="N469" t="s">
        <v>35</v>
      </c>
      <c r="O469">
        <v>0.71088756240574302</v>
      </c>
      <c r="P469" t="s">
        <v>36</v>
      </c>
    </row>
    <row r="470" spans="1:16">
      <c r="A470">
        <v>469</v>
      </c>
      <c r="B470" t="s">
        <v>521</v>
      </c>
      <c r="C470">
        <v>112</v>
      </c>
      <c r="D470">
        <v>117</v>
      </c>
      <c r="E470">
        <v>91.703732860986406</v>
      </c>
      <c r="F470">
        <v>0.95813953488372094</v>
      </c>
      <c r="G470">
        <v>6604.8644620037803</v>
      </c>
      <c r="H470">
        <v>1016.0926190732901</v>
      </c>
      <c r="I470">
        <v>0.52662717641859902</v>
      </c>
      <c r="J470">
        <v>8.0390953661431494E-2</v>
      </c>
      <c r="K470">
        <v>0.617297327332333</v>
      </c>
      <c r="L470" t="s">
        <v>33</v>
      </c>
      <c r="M470" t="s">
        <v>34</v>
      </c>
      <c r="N470" t="s">
        <v>35</v>
      </c>
      <c r="O470">
        <v>0.65968587507635001</v>
      </c>
      <c r="P470" t="s">
        <v>36</v>
      </c>
    </row>
    <row r="471" spans="1:16">
      <c r="A471">
        <v>470</v>
      </c>
      <c r="B471" t="s">
        <v>522</v>
      </c>
      <c r="C471">
        <v>85</v>
      </c>
      <c r="D471">
        <v>170</v>
      </c>
      <c r="E471">
        <v>92.1720137900667</v>
      </c>
      <c r="F471">
        <v>0.50125072651597902</v>
      </c>
      <c r="G471">
        <v>6672.4915678638999</v>
      </c>
      <c r="H471">
        <v>924.09922168555499</v>
      </c>
      <c r="I471">
        <v>0.61814750651705297</v>
      </c>
      <c r="J471">
        <v>9.8188514301017202E-2</v>
      </c>
      <c r="K471">
        <v>0.63618456480457997</v>
      </c>
      <c r="L471" t="s">
        <v>33</v>
      </c>
      <c r="M471" t="s">
        <v>34</v>
      </c>
      <c r="N471" t="s">
        <v>35</v>
      </c>
      <c r="O471">
        <v>0.69164558253233399</v>
      </c>
      <c r="P471" t="s">
        <v>36</v>
      </c>
    </row>
    <row r="472" spans="1:16">
      <c r="A472">
        <v>471</v>
      </c>
      <c r="B472" t="s">
        <v>523</v>
      </c>
      <c r="C472">
        <v>161</v>
      </c>
      <c r="D472">
        <v>71</v>
      </c>
      <c r="E472">
        <v>92.239742819904606</v>
      </c>
      <c r="F472">
        <v>2.2577431738717602</v>
      </c>
      <c r="G472">
        <v>6682.3012139886596</v>
      </c>
      <c r="H472">
        <v>674.34426150581101</v>
      </c>
      <c r="I472">
        <v>0.471726372823985</v>
      </c>
      <c r="J472">
        <v>0.18465989315704701</v>
      </c>
      <c r="K472">
        <v>0.68196159330158101</v>
      </c>
      <c r="L472" t="s">
        <v>49</v>
      </c>
      <c r="M472" t="s">
        <v>34</v>
      </c>
      <c r="N472" t="s">
        <v>35</v>
      </c>
      <c r="O472">
        <v>0.77005204810402395</v>
      </c>
      <c r="P472" t="s">
        <v>36</v>
      </c>
    </row>
    <row r="473" spans="1:16">
      <c r="A473">
        <v>472</v>
      </c>
      <c r="B473" t="s">
        <v>524</v>
      </c>
      <c r="C473">
        <v>96</v>
      </c>
      <c r="D473">
        <v>110</v>
      </c>
      <c r="E473">
        <v>92.363783717715805</v>
      </c>
      <c r="F473">
        <v>0.874125863573187</v>
      </c>
      <c r="G473">
        <v>6700.2855652173903</v>
      </c>
      <c r="H473">
        <v>529.93249987083902</v>
      </c>
      <c r="I473">
        <v>0.79124505870766504</v>
      </c>
      <c r="J473">
        <v>0.29982101282668</v>
      </c>
      <c r="K473">
        <v>0.80693087029678201</v>
      </c>
      <c r="L473" t="s">
        <v>47</v>
      </c>
      <c r="M473" t="s">
        <v>34</v>
      </c>
      <c r="N473" t="s">
        <v>35</v>
      </c>
      <c r="O473">
        <v>0.92309135074748305</v>
      </c>
      <c r="P473" t="s">
        <v>36</v>
      </c>
    </row>
    <row r="474" spans="1:16">
      <c r="A474">
        <v>473</v>
      </c>
      <c r="B474" t="s">
        <v>525</v>
      </c>
      <c r="C474">
        <v>132</v>
      </c>
      <c r="D474">
        <v>137</v>
      </c>
      <c r="E474">
        <v>92.4538907517734</v>
      </c>
      <c r="F474">
        <v>0.96414342629482097</v>
      </c>
      <c r="G474">
        <v>6713.3650933837398</v>
      </c>
      <c r="H474">
        <v>1383.5824360551001</v>
      </c>
      <c r="I474">
        <v>0.62953674904381896</v>
      </c>
      <c r="J474">
        <v>4.4069695494023099E-2</v>
      </c>
      <c r="K474">
        <v>0.47736207989854201</v>
      </c>
      <c r="L474" t="s">
        <v>33</v>
      </c>
      <c r="M474" t="s">
        <v>34</v>
      </c>
      <c r="N474" t="s">
        <v>35</v>
      </c>
      <c r="O474">
        <v>0.70706988184099595</v>
      </c>
      <c r="P474" t="s">
        <v>36</v>
      </c>
    </row>
    <row r="475" spans="1:16">
      <c r="A475">
        <v>474</v>
      </c>
      <c r="B475" t="s">
        <v>526</v>
      </c>
      <c r="C475">
        <v>100</v>
      </c>
      <c r="D475">
        <v>120</v>
      </c>
      <c r="E475">
        <v>92.549022155691304</v>
      </c>
      <c r="F475">
        <v>0.83547422921388503</v>
      </c>
      <c r="G475">
        <v>6727.18777655955</v>
      </c>
      <c r="H475">
        <v>658.17482885039396</v>
      </c>
      <c r="I475">
        <v>0.61328386973278803</v>
      </c>
      <c r="J475">
        <v>0.19514654920753699</v>
      </c>
      <c r="K475">
        <v>0.76832063012442897</v>
      </c>
      <c r="L475" t="s">
        <v>43</v>
      </c>
      <c r="M475" t="s">
        <v>34</v>
      </c>
      <c r="N475" t="s">
        <v>35</v>
      </c>
      <c r="O475">
        <v>0.78340498356028598</v>
      </c>
      <c r="P475" t="s">
        <v>36</v>
      </c>
    </row>
    <row r="476" spans="1:16">
      <c r="A476">
        <v>475</v>
      </c>
      <c r="B476" t="s">
        <v>527</v>
      </c>
      <c r="C476">
        <v>124</v>
      </c>
      <c r="D476">
        <v>87</v>
      </c>
      <c r="E476">
        <v>92.767556160433799</v>
      </c>
      <c r="F476">
        <v>1.4291698737004801</v>
      </c>
      <c r="G476">
        <v>6758.99481096408</v>
      </c>
      <c r="H476">
        <v>539.34953726571496</v>
      </c>
      <c r="I476">
        <v>0.75199969126183597</v>
      </c>
      <c r="J476">
        <v>0.29197882472773801</v>
      </c>
      <c r="K476">
        <v>0.77987000737425205</v>
      </c>
      <c r="L476" t="s">
        <v>33</v>
      </c>
      <c r="M476" t="s">
        <v>34</v>
      </c>
      <c r="N476" t="s">
        <v>35</v>
      </c>
      <c r="O476">
        <v>0.85791043095288999</v>
      </c>
      <c r="P476" t="s">
        <v>36</v>
      </c>
    </row>
    <row r="477" spans="1:16">
      <c r="A477">
        <v>476</v>
      </c>
      <c r="B477" t="s">
        <v>528</v>
      </c>
      <c r="C477">
        <v>194</v>
      </c>
      <c r="D477">
        <v>97</v>
      </c>
      <c r="E477">
        <v>92.904133494960305</v>
      </c>
      <c r="F477">
        <v>1.99720016735855</v>
      </c>
      <c r="G477">
        <v>6778.9113652173901</v>
      </c>
      <c r="H477">
        <v>1009.41771849477</v>
      </c>
      <c r="I477">
        <v>0.55461526084915602</v>
      </c>
      <c r="J477">
        <v>8.36041762430699E-2</v>
      </c>
      <c r="K477">
        <v>0.477426175796338</v>
      </c>
      <c r="L477" t="s">
        <v>74</v>
      </c>
      <c r="M477" t="s">
        <v>34</v>
      </c>
      <c r="N477" t="s">
        <v>35</v>
      </c>
      <c r="O477">
        <v>0.70275510876826197</v>
      </c>
      <c r="P477" t="s">
        <v>36</v>
      </c>
    </row>
    <row r="478" spans="1:16">
      <c r="A478">
        <v>477</v>
      </c>
      <c r="B478" t="s">
        <v>529</v>
      </c>
      <c r="C478">
        <v>150</v>
      </c>
      <c r="D478">
        <v>80</v>
      </c>
      <c r="E478">
        <v>93.080164572360005</v>
      </c>
      <c r="F478">
        <v>1.86535647599625</v>
      </c>
      <c r="G478">
        <v>6804.6245285444202</v>
      </c>
      <c r="H478">
        <v>632.85294256583495</v>
      </c>
      <c r="I478">
        <v>0.67074854600232903</v>
      </c>
      <c r="J478">
        <v>0.213505183236711</v>
      </c>
      <c r="K478">
        <v>0.77952018525139999</v>
      </c>
      <c r="L478" t="s">
        <v>298</v>
      </c>
      <c r="M478" t="s">
        <v>34</v>
      </c>
      <c r="N478" t="s">
        <v>35</v>
      </c>
      <c r="O478">
        <v>0.69409677433177996</v>
      </c>
      <c r="P478" t="s">
        <v>36</v>
      </c>
    </row>
    <row r="479" spans="1:16">
      <c r="A479">
        <v>478</v>
      </c>
      <c r="B479" t="s">
        <v>530</v>
      </c>
      <c r="C479">
        <v>59</v>
      </c>
      <c r="D479">
        <v>205</v>
      </c>
      <c r="E479">
        <v>93.599195433710804</v>
      </c>
      <c r="F479">
        <v>0.28817232143399402</v>
      </c>
      <c r="G479">
        <v>6880.7236015122899</v>
      </c>
      <c r="H479">
        <v>746.18066527511803</v>
      </c>
      <c r="I479">
        <v>0.77009239420377096</v>
      </c>
      <c r="J479">
        <v>0.15529447091520701</v>
      </c>
      <c r="K479">
        <v>0.64470935576414201</v>
      </c>
      <c r="L479" t="s">
        <v>47</v>
      </c>
      <c r="M479" t="s">
        <v>34</v>
      </c>
      <c r="N479" t="s">
        <v>35</v>
      </c>
      <c r="O479">
        <v>0.92194361284408399</v>
      </c>
      <c r="P479" t="s">
        <v>36</v>
      </c>
    </row>
    <row r="480" spans="1:16">
      <c r="A480">
        <v>479</v>
      </c>
      <c r="B480" t="s">
        <v>531</v>
      </c>
      <c r="C480">
        <v>161</v>
      </c>
      <c r="D480">
        <v>171</v>
      </c>
      <c r="E480">
        <v>93.825368576597697</v>
      </c>
      <c r="F480">
        <v>0.94568690095846597</v>
      </c>
      <c r="G480">
        <v>6914.0169459357303</v>
      </c>
      <c r="H480">
        <v>1332.7194746826001</v>
      </c>
      <c r="I480">
        <v>0.72347924086343895</v>
      </c>
      <c r="J480">
        <v>4.8917338027361798E-2</v>
      </c>
      <c r="K480">
        <v>0.38444310377600199</v>
      </c>
      <c r="L480" t="s">
        <v>33</v>
      </c>
      <c r="M480" t="s">
        <v>34</v>
      </c>
      <c r="N480" t="s">
        <v>35</v>
      </c>
      <c r="O480">
        <v>0.72452756521421902</v>
      </c>
      <c r="P480" t="s">
        <v>36</v>
      </c>
    </row>
    <row r="481" spans="1:16">
      <c r="A481">
        <v>480</v>
      </c>
      <c r="B481" t="s">
        <v>532</v>
      </c>
      <c r="C481">
        <v>132</v>
      </c>
      <c r="D481">
        <v>117</v>
      </c>
      <c r="E481">
        <v>93.940265464927094</v>
      </c>
      <c r="F481">
        <v>1.1255813953488401</v>
      </c>
      <c r="G481">
        <v>6930.9608801512304</v>
      </c>
      <c r="H481">
        <v>1696.0025418980199</v>
      </c>
      <c r="I481">
        <v>0.61384047757026605</v>
      </c>
      <c r="J481">
        <v>3.0279612566128999E-2</v>
      </c>
      <c r="K481">
        <v>0.49593210605238802</v>
      </c>
      <c r="L481" t="s">
        <v>43</v>
      </c>
      <c r="M481" t="s">
        <v>34</v>
      </c>
      <c r="N481" t="s">
        <v>35</v>
      </c>
      <c r="O481">
        <v>0.85946588099625898</v>
      </c>
      <c r="P481" t="s">
        <v>36</v>
      </c>
    </row>
    <row r="482" spans="1:16">
      <c r="A482">
        <v>481</v>
      </c>
      <c r="B482" t="s">
        <v>533</v>
      </c>
      <c r="C482">
        <v>94</v>
      </c>
      <c r="D482">
        <v>127</v>
      </c>
      <c r="E482">
        <v>94.292144316661506</v>
      </c>
      <c r="F482">
        <v>0.74043828130240097</v>
      </c>
      <c r="G482">
        <v>6982.9817308128504</v>
      </c>
      <c r="H482">
        <v>707.53167531469603</v>
      </c>
      <c r="I482">
        <v>0.69216557987043204</v>
      </c>
      <c r="J482">
        <v>0.17529074827357499</v>
      </c>
      <c r="K482">
        <v>0.75078703037857397</v>
      </c>
      <c r="L482" t="s">
        <v>43</v>
      </c>
      <c r="M482" t="s">
        <v>34</v>
      </c>
      <c r="N482" t="s">
        <v>35</v>
      </c>
      <c r="O482">
        <v>0.73534506897332796</v>
      </c>
      <c r="P482" t="s">
        <v>36</v>
      </c>
    </row>
    <row r="483" spans="1:16">
      <c r="A483">
        <v>482</v>
      </c>
      <c r="B483" t="s">
        <v>534</v>
      </c>
      <c r="C483">
        <v>108</v>
      </c>
      <c r="D483">
        <v>93</v>
      </c>
      <c r="E483">
        <v>94.485619824319997</v>
      </c>
      <c r="F483">
        <v>1.1705882352941199</v>
      </c>
      <c r="G483">
        <v>7011.6675141776996</v>
      </c>
      <c r="H483">
        <v>635.79157070439805</v>
      </c>
      <c r="I483">
        <v>0.69137592678405102</v>
      </c>
      <c r="J483">
        <v>0.21797247055541</v>
      </c>
      <c r="K483">
        <v>0.78707643025176399</v>
      </c>
      <c r="L483" t="s">
        <v>47</v>
      </c>
      <c r="M483" t="s">
        <v>34</v>
      </c>
      <c r="N483" t="s">
        <v>35</v>
      </c>
      <c r="O483">
        <v>0.90131652511845695</v>
      </c>
      <c r="P483" t="s">
        <v>36</v>
      </c>
    </row>
    <row r="484" spans="1:16">
      <c r="A484">
        <v>483</v>
      </c>
      <c r="B484" t="s">
        <v>535</v>
      </c>
      <c r="C484">
        <v>153</v>
      </c>
      <c r="D484">
        <v>91</v>
      </c>
      <c r="E484">
        <v>94.667705981378802</v>
      </c>
      <c r="F484">
        <v>1.68368423876745</v>
      </c>
      <c r="G484">
        <v>7038.7183565217401</v>
      </c>
      <c r="H484">
        <v>625.46178537213302</v>
      </c>
      <c r="I484">
        <v>0.468792742415161</v>
      </c>
      <c r="J484">
        <v>0.22610069200100899</v>
      </c>
      <c r="K484">
        <v>0.70992549507547897</v>
      </c>
      <c r="L484" t="s">
        <v>33</v>
      </c>
      <c r="M484" t="s">
        <v>34</v>
      </c>
      <c r="N484" t="s">
        <v>35</v>
      </c>
      <c r="O484">
        <v>0.76095878141936102</v>
      </c>
      <c r="P484" t="s">
        <v>36</v>
      </c>
    </row>
    <row r="485" spans="1:16">
      <c r="A485">
        <v>484</v>
      </c>
      <c r="B485" t="s">
        <v>536</v>
      </c>
      <c r="C485">
        <v>138</v>
      </c>
      <c r="D485">
        <v>114</v>
      </c>
      <c r="E485">
        <v>94.992987799782298</v>
      </c>
      <c r="F485">
        <v>1.2038243529967101</v>
      </c>
      <c r="G485">
        <v>7087.1720631380003</v>
      </c>
      <c r="H485">
        <v>955.68973066153706</v>
      </c>
      <c r="I485">
        <v>0.68430072692909605</v>
      </c>
      <c r="J485">
        <v>9.7509965345488503E-2</v>
      </c>
      <c r="K485">
        <v>0.52905280209477501</v>
      </c>
      <c r="L485" t="s">
        <v>47</v>
      </c>
      <c r="M485" t="s">
        <v>34</v>
      </c>
      <c r="N485" t="s">
        <v>35</v>
      </c>
      <c r="O485">
        <v>0.937789888165935</v>
      </c>
      <c r="P485" t="s">
        <v>36</v>
      </c>
    </row>
    <row r="486" spans="1:16">
      <c r="A486">
        <v>485</v>
      </c>
      <c r="B486" t="s">
        <v>537</v>
      </c>
      <c r="C486">
        <v>97</v>
      </c>
      <c r="D486">
        <v>154</v>
      </c>
      <c r="E486">
        <v>95.182056482689305</v>
      </c>
      <c r="F486">
        <v>0.62693365798196299</v>
      </c>
      <c r="G486">
        <v>7115.4119534971696</v>
      </c>
      <c r="H486">
        <v>574.82579881139395</v>
      </c>
      <c r="I486">
        <v>0.58791653207536398</v>
      </c>
      <c r="J486">
        <v>0.27060599270494301</v>
      </c>
      <c r="K486">
        <v>0.63812799082923399</v>
      </c>
      <c r="L486" t="s">
        <v>144</v>
      </c>
      <c r="M486" t="s">
        <v>34</v>
      </c>
      <c r="N486" t="s">
        <v>35</v>
      </c>
      <c r="O486">
        <v>0.73231828709413505</v>
      </c>
      <c r="P486" t="s">
        <v>36</v>
      </c>
    </row>
    <row r="487" spans="1:16">
      <c r="A487">
        <v>486</v>
      </c>
      <c r="B487" t="s">
        <v>538</v>
      </c>
      <c r="C487">
        <v>103</v>
      </c>
      <c r="D487">
        <v>142</v>
      </c>
      <c r="E487">
        <v>95.183050587502393</v>
      </c>
      <c r="F487">
        <v>0.72307692307692295</v>
      </c>
      <c r="G487">
        <v>7115.5605844990596</v>
      </c>
      <c r="H487">
        <v>1028.30659048537</v>
      </c>
      <c r="I487">
        <v>0.66773429290061803</v>
      </c>
      <c r="J487">
        <v>8.4561707983182993E-2</v>
      </c>
      <c r="K487">
        <v>0.52906462735390303</v>
      </c>
      <c r="L487" t="s">
        <v>33</v>
      </c>
      <c r="M487" t="s">
        <v>34</v>
      </c>
      <c r="N487" t="s">
        <v>35</v>
      </c>
      <c r="O487">
        <v>0.69431938726519105</v>
      </c>
      <c r="P487" t="s">
        <v>36</v>
      </c>
    </row>
    <row r="488" spans="1:16">
      <c r="A488">
        <v>487</v>
      </c>
      <c r="B488" t="s">
        <v>539</v>
      </c>
      <c r="C488">
        <v>137</v>
      </c>
      <c r="D488">
        <v>101</v>
      </c>
      <c r="E488">
        <v>95.194979035520603</v>
      </c>
      <c r="F488">
        <v>1.3569396634412001</v>
      </c>
      <c r="G488">
        <v>7117.3441565217399</v>
      </c>
      <c r="H488">
        <v>519.22302713684405</v>
      </c>
      <c r="I488">
        <v>0.66066017873969896</v>
      </c>
      <c r="J488">
        <v>0.331756882107546</v>
      </c>
      <c r="K488">
        <v>0.70974818064592604</v>
      </c>
      <c r="L488" t="s">
        <v>33</v>
      </c>
      <c r="M488" t="s">
        <v>34</v>
      </c>
      <c r="N488" t="s">
        <v>35</v>
      </c>
      <c r="O488">
        <v>0.70630891028483</v>
      </c>
      <c r="P488" t="s">
        <v>36</v>
      </c>
    </row>
    <row r="489" spans="1:16">
      <c r="A489">
        <v>488</v>
      </c>
      <c r="B489" t="s">
        <v>540</v>
      </c>
      <c r="C489">
        <v>114</v>
      </c>
      <c r="D489">
        <v>358</v>
      </c>
      <c r="E489">
        <v>95.329676651854996</v>
      </c>
      <c r="F489">
        <v>0.31755117340991101</v>
      </c>
      <c r="G489">
        <v>7137.5</v>
      </c>
      <c r="H489">
        <v>1079.3250244855899</v>
      </c>
      <c r="I489">
        <v>0.95049178183467997</v>
      </c>
      <c r="J489">
        <v>7.6993044383756995E-2</v>
      </c>
      <c r="K489">
        <v>0.24643936124298699</v>
      </c>
      <c r="L489" t="s">
        <v>188</v>
      </c>
      <c r="M489" t="s">
        <v>34</v>
      </c>
      <c r="N489" t="s">
        <v>35</v>
      </c>
      <c r="O489">
        <v>0.77829586817229301</v>
      </c>
      <c r="P489" t="s">
        <v>36</v>
      </c>
    </row>
    <row r="490" spans="1:16">
      <c r="A490">
        <v>489</v>
      </c>
      <c r="B490" t="s">
        <v>541</v>
      </c>
      <c r="C490">
        <v>110</v>
      </c>
      <c r="D490">
        <v>142</v>
      </c>
      <c r="E490">
        <v>95.872447325040199</v>
      </c>
      <c r="F490">
        <v>0.77633477852865096</v>
      </c>
      <c r="G490">
        <v>7219.0077618147498</v>
      </c>
      <c r="H490">
        <v>962.06794775465301</v>
      </c>
      <c r="I490">
        <v>0.74762683205834801</v>
      </c>
      <c r="J490">
        <v>9.8011239357560995E-2</v>
      </c>
      <c r="K490">
        <v>0.575296709544453</v>
      </c>
      <c r="L490" t="s">
        <v>74</v>
      </c>
      <c r="M490" t="s">
        <v>34</v>
      </c>
      <c r="N490" t="s">
        <v>35</v>
      </c>
      <c r="O490">
        <v>0.77324353043792904</v>
      </c>
      <c r="P490" t="s">
        <v>36</v>
      </c>
    </row>
    <row r="491" spans="1:16">
      <c r="A491">
        <v>490</v>
      </c>
      <c r="B491" t="s">
        <v>542</v>
      </c>
      <c r="C491">
        <v>122</v>
      </c>
      <c r="D491">
        <v>83</v>
      </c>
      <c r="E491">
        <v>96.132649363035</v>
      </c>
      <c r="F491">
        <v>1.4640522875816999</v>
      </c>
      <c r="G491">
        <v>7258.2463463138001</v>
      </c>
      <c r="H491">
        <v>433.36757678778298</v>
      </c>
      <c r="I491">
        <v>0.70649763185365</v>
      </c>
      <c r="J491">
        <v>0.485655975774482</v>
      </c>
      <c r="K491">
        <v>0.91981691812171595</v>
      </c>
      <c r="L491" t="s">
        <v>47</v>
      </c>
      <c r="M491" t="s">
        <v>34</v>
      </c>
      <c r="N491" t="s">
        <v>35</v>
      </c>
      <c r="O491">
        <v>0.898789916162547</v>
      </c>
      <c r="P491" t="s">
        <v>36</v>
      </c>
    </row>
    <row r="492" spans="1:16">
      <c r="A492">
        <v>491</v>
      </c>
      <c r="B492" t="s">
        <v>543</v>
      </c>
      <c r="C492">
        <v>125</v>
      </c>
      <c r="D492">
        <v>84</v>
      </c>
      <c r="E492">
        <v>96.223160504739397</v>
      </c>
      <c r="F492">
        <v>1.4940736613886501</v>
      </c>
      <c r="G492">
        <v>7271.9203984877104</v>
      </c>
      <c r="H492">
        <v>456.07961813885203</v>
      </c>
      <c r="I492">
        <v>0.72760785419268104</v>
      </c>
      <c r="J492">
        <v>0.43931663816751598</v>
      </c>
      <c r="K492">
        <v>0.876323189625835</v>
      </c>
      <c r="L492" t="s">
        <v>47</v>
      </c>
      <c r="M492" t="s">
        <v>34</v>
      </c>
      <c r="N492" t="s">
        <v>35</v>
      </c>
      <c r="O492">
        <v>0.92391797212275295</v>
      </c>
      <c r="P492" t="s">
        <v>36</v>
      </c>
    </row>
    <row r="493" spans="1:16">
      <c r="A493">
        <v>492</v>
      </c>
      <c r="B493" t="s">
        <v>544</v>
      </c>
      <c r="C493">
        <v>122</v>
      </c>
      <c r="D493">
        <v>88</v>
      </c>
      <c r="E493">
        <v>96.365641353918207</v>
      </c>
      <c r="F493">
        <v>1.39130434782609</v>
      </c>
      <c r="G493">
        <v>7293.47189376182</v>
      </c>
      <c r="H493">
        <v>862.53780604766803</v>
      </c>
      <c r="I493">
        <v>0.67950596408966402</v>
      </c>
      <c r="J493">
        <v>0.12319352954363</v>
      </c>
      <c r="K493">
        <v>0.75724514675472998</v>
      </c>
      <c r="L493" t="s">
        <v>47</v>
      </c>
      <c r="M493" t="s">
        <v>34</v>
      </c>
      <c r="N493" t="s">
        <v>35</v>
      </c>
      <c r="O493">
        <v>0.95299054923306104</v>
      </c>
      <c r="P493" t="s">
        <v>36</v>
      </c>
    </row>
    <row r="494" spans="1:16">
      <c r="A494">
        <v>493</v>
      </c>
      <c r="B494" t="s">
        <v>545</v>
      </c>
      <c r="C494">
        <v>98</v>
      </c>
      <c r="D494">
        <v>107</v>
      </c>
      <c r="E494">
        <v>96.372514409640004</v>
      </c>
      <c r="F494">
        <v>0.91370558375634503</v>
      </c>
      <c r="G494">
        <v>7294.5123107750496</v>
      </c>
      <c r="H494">
        <v>998.30358410379199</v>
      </c>
      <c r="I494">
        <v>0.56114581424863597</v>
      </c>
      <c r="J494">
        <v>9.1977344110610898E-2</v>
      </c>
      <c r="K494">
        <v>0.74010737121486303</v>
      </c>
      <c r="L494" t="s">
        <v>33</v>
      </c>
      <c r="M494" t="s">
        <v>34</v>
      </c>
      <c r="N494" t="s">
        <v>35</v>
      </c>
      <c r="O494">
        <v>0.81309335726783505</v>
      </c>
      <c r="P494" t="s">
        <v>36</v>
      </c>
    </row>
    <row r="495" spans="1:16">
      <c r="A495">
        <v>494</v>
      </c>
      <c r="B495" t="s">
        <v>546</v>
      </c>
      <c r="C495">
        <v>176</v>
      </c>
      <c r="D495">
        <v>68</v>
      </c>
      <c r="E495">
        <v>97.074908775171096</v>
      </c>
      <c r="F495">
        <v>2.5840000000000001</v>
      </c>
      <c r="G495">
        <v>7401.2293701323297</v>
      </c>
      <c r="H495">
        <v>768.441033776739</v>
      </c>
      <c r="I495">
        <v>0.77163880494699599</v>
      </c>
      <c r="J495">
        <v>0.157504378887621</v>
      </c>
      <c r="K495">
        <v>0.69619439085087897</v>
      </c>
      <c r="L495" t="s">
        <v>74</v>
      </c>
      <c r="M495" t="s">
        <v>34</v>
      </c>
      <c r="N495" t="s">
        <v>35</v>
      </c>
      <c r="O495">
        <v>0.74839469021027105</v>
      </c>
      <c r="P495" t="s">
        <v>36</v>
      </c>
    </row>
    <row r="496" spans="1:16">
      <c r="A496">
        <v>495</v>
      </c>
      <c r="B496" t="s">
        <v>547</v>
      </c>
      <c r="C496">
        <v>132</v>
      </c>
      <c r="D496">
        <v>137</v>
      </c>
      <c r="E496">
        <v>97.315368274468099</v>
      </c>
      <c r="F496">
        <v>0.96414342629482097</v>
      </c>
      <c r="G496">
        <v>7437.9412275992399</v>
      </c>
      <c r="H496">
        <v>1249.62334939677</v>
      </c>
      <c r="I496">
        <v>0.539696277183766</v>
      </c>
      <c r="J496">
        <v>5.98555386523121E-2</v>
      </c>
      <c r="K496">
        <v>0.53005476056815404</v>
      </c>
      <c r="L496" t="s">
        <v>33</v>
      </c>
      <c r="M496" t="s">
        <v>34</v>
      </c>
      <c r="N496" t="s">
        <v>35</v>
      </c>
      <c r="O496">
        <v>0.76206548047573097</v>
      </c>
      <c r="P496" t="s">
        <v>36</v>
      </c>
    </row>
    <row r="497" spans="1:16">
      <c r="A497">
        <v>496</v>
      </c>
      <c r="B497" t="s">
        <v>548</v>
      </c>
      <c r="C497">
        <v>142</v>
      </c>
      <c r="D497">
        <v>105</v>
      </c>
      <c r="E497">
        <v>97.4727564358503</v>
      </c>
      <c r="F497">
        <v>1.3485395573341199</v>
      </c>
      <c r="G497">
        <v>7462.0194499054796</v>
      </c>
      <c r="H497">
        <v>1010.92772640715</v>
      </c>
      <c r="I497">
        <v>0.64258427369146298</v>
      </c>
      <c r="J497">
        <v>9.1754215170533407E-2</v>
      </c>
      <c r="K497">
        <v>0.618836899714032</v>
      </c>
      <c r="L497" t="s">
        <v>43</v>
      </c>
      <c r="M497" t="s">
        <v>34</v>
      </c>
      <c r="N497" t="s">
        <v>35</v>
      </c>
      <c r="O497">
        <v>0.77936062200170797</v>
      </c>
      <c r="P497" t="s">
        <v>36</v>
      </c>
    </row>
    <row r="498" spans="1:16">
      <c r="A498">
        <v>497</v>
      </c>
      <c r="B498" t="s">
        <v>549</v>
      </c>
      <c r="C498">
        <v>94</v>
      </c>
      <c r="D498">
        <v>162</v>
      </c>
      <c r="E498">
        <v>97.537774833331497</v>
      </c>
      <c r="F498">
        <v>0.57999079356442695</v>
      </c>
      <c r="G498">
        <v>7471.9777270321401</v>
      </c>
      <c r="H498">
        <v>821.09188207004399</v>
      </c>
      <c r="I498">
        <v>0.68387571141855497</v>
      </c>
      <c r="J498">
        <v>0.13927139185815099</v>
      </c>
      <c r="K498">
        <v>0.59699082045862095</v>
      </c>
      <c r="L498" t="s">
        <v>33</v>
      </c>
      <c r="M498" t="s">
        <v>34</v>
      </c>
      <c r="N498" t="s">
        <v>35</v>
      </c>
      <c r="O498">
        <v>0.76593725894304998</v>
      </c>
      <c r="P498" t="s">
        <v>36</v>
      </c>
    </row>
    <row r="499" spans="1:16">
      <c r="A499">
        <v>498</v>
      </c>
      <c r="B499" t="s">
        <v>550</v>
      </c>
      <c r="C499">
        <v>84</v>
      </c>
      <c r="D499">
        <v>156</v>
      </c>
      <c r="E499">
        <v>97.640551327667097</v>
      </c>
      <c r="F499">
        <v>0.53878142395106399</v>
      </c>
      <c r="G499">
        <v>7487.7326132325197</v>
      </c>
      <c r="H499">
        <v>630.70417272028703</v>
      </c>
      <c r="I499">
        <v>0.81358242742695297</v>
      </c>
      <c r="J499">
        <v>0.236542282295854</v>
      </c>
      <c r="K499">
        <v>0.74856981530186195</v>
      </c>
      <c r="L499" t="s">
        <v>33</v>
      </c>
      <c r="M499" t="s">
        <v>34</v>
      </c>
      <c r="N499" t="s">
        <v>35</v>
      </c>
      <c r="O499">
        <v>0.69944154526556401</v>
      </c>
      <c r="P499" t="s">
        <v>36</v>
      </c>
    </row>
    <row r="500" spans="1:16">
      <c r="A500">
        <v>499</v>
      </c>
      <c r="B500" t="s">
        <v>551</v>
      </c>
      <c r="C500">
        <v>171</v>
      </c>
      <c r="D500">
        <v>87</v>
      </c>
      <c r="E500">
        <v>97.674463213227398</v>
      </c>
      <c r="F500">
        <v>1.9748427672955999</v>
      </c>
      <c r="G500">
        <v>7492.9346982986799</v>
      </c>
      <c r="H500">
        <v>832.82046468289002</v>
      </c>
      <c r="I500">
        <v>0.82159703452163502</v>
      </c>
      <c r="J500">
        <v>0.135756000519592</v>
      </c>
      <c r="K500">
        <v>0.59996191700286805</v>
      </c>
      <c r="L500" t="s">
        <v>33</v>
      </c>
      <c r="M500" t="s">
        <v>34</v>
      </c>
      <c r="N500" t="s">
        <v>35</v>
      </c>
      <c r="O500">
        <v>0.71659398211703296</v>
      </c>
      <c r="P500" t="s">
        <v>36</v>
      </c>
    </row>
    <row r="501" spans="1:16">
      <c r="A501">
        <v>500</v>
      </c>
      <c r="B501" t="s">
        <v>552</v>
      </c>
      <c r="C501">
        <v>115</v>
      </c>
      <c r="D501">
        <v>173</v>
      </c>
      <c r="E501">
        <v>97.682212848325406</v>
      </c>
      <c r="F501">
        <v>0.66587900290273605</v>
      </c>
      <c r="G501">
        <v>7494.1237463138004</v>
      </c>
      <c r="H501">
        <v>960.83192584649396</v>
      </c>
      <c r="I501">
        <v>0.70670327505104003</v>
      </c>
      <c r="J501">
        <v>0.102008385497039</v>
      </c>
      <c r="K501">
        <v>0.51350965994154096</v>
      </c>
      <c r="L501" t="s">
        <v>33</v>
      </c>
      <c r="M501" t="s">
        <v>34</v>
      </c>
      <c r="N501" t="s">
        <v>35</v>
      </c>
      <c r="O501">
        <v>0.73851169601301103</v>
      </c>
      <c r="P501" t="s">
        <v>36</v>
      </c>
    </row>
    <row r="502" spans="1:16">
      <c r="A502">
        <v>501</v>
      </c>
      <c r="B502" t="s">
        <v>553</v>
      </c>
      <c r="C502">
        <v>99</v>
      </c>
      <c r="D502">
        <v>158</v>
      </c>
      <c r="E502">
        <v>97.756771672720703</v>
      </c>
      <c r="F502">
        <v>0.62773723585841301</v>
      </c>
      <c r="G502">
        <v>7505.5683334593596</v>
      </c>
      <c r="H502">
        <v>877.07823415051303</v>
      </c>
      <c r="I502">
        <v>0.85028800248214897</v>
      </c>
      <c r="J502">
        <v>0.122607427462731</v>
      </c>
      <c r="K502">
        <v>0.61134112975472799</v>
      </c>
      <c r="L502" t="s">
        <v>33</v>
      </c>
      <c r="M502" t="s">
        <v>34</v>
      </c>
      <c r="N502" t="s">
        <v>35</v>
      </c>
      <c r="O502">
        <v>0.66843063981830098</v>
      </c>
      <c r="P502" t="s">
        <v>36</v>
      </c>
    </row>
    <row r="503" spans="1:16">
      <c r="A503">
        <v>502</v>
      </c>
      <c r="B503" t="s">
        <v>554</v>
      </c>
      <c r="C503">
        <v>115</v>
      </c>
      <c r="D503">
        <v>126</v>
      </c>
      <c r="E503">
        <v>97.784837531586007</v>
      </c>
      <c r="F503">
        <v>0.91810261664647497</v>
      </c>
      <c r="G503">
        <v>7509.87863251418</v>
      </c>
      <c r="H503">
        <v>701.76012043507205</v>
      </c>
      <c r="I503">
        <v>0.77812849150651098</v>
      </c>
      <c r="J503">
        <v>0.191630844442194</v>
      </c>
      <c r="K503">
        <v>0.67714224449864602</v>
      </c>
      <c r="L503" t="s">
        <v>47</v>
      </c>
      <c r="M503" t="s">
        <v>34</v>
      </c>
      <c r="N503" t="s">
        <v>35</v>
      </c>
      <c r="O503">
        <v>0.90554123065565395</v>
      </c>
      <c r="P503" t="s">
        <v>36</v>
      </c>
    </row>
    <row r="504" spans="1:16">
      <c r="A504">
        <v>503</v>
      </c>
      <c r="B504" t="s">
        <v>555</v>
      </c>
      <c r="C504">
        <v>122</v>
      </c>
      <c r="D504">
        <v>152</v>
      </c>
      <c r="E504">
        <v>97.867053163763998</v>
      </c>
      <c r="F504">
        <v>0.80215833972043704</v>
      </c>
      <c r="G504">
        <v>7522.5122676748597</v>
      </c>
      <c r="H504">
        <v>1152.1002834139699</v>
      </c>
      <c r="I504">
        <v>0.71463017138287699</v>
      </c>
      <c r="J504">
        <v>7.1218398231702104E-2</v>
      </c>
      <c r="K504">
        <v>0.54049551473729196</v>
      </c>
      <c r="L504" t="s">
        <v>49</v>
      </c>
      <c r="M504" t="s">
        <v>34</v>
      </c>
      <c r="N504" t="s">
        <v>35</v>
      </c>
      <c r="O504">
        <v>0.82027836148632605</v>
      </c>
      <c r="P504" t="s">
        <v>36</v>
      </c>
    </row>
    <row r="505" spans="1:16">
      <c r="A505">
        <v>504</v>
      </c>
      <c r="B505" t="s">
        <v>556</v>
      </c>
      <c r="C505">
        <v>107</v>
      </c>
      <c r="D505">
        <v>156</v>
      </c>
      <c r="E505">
        <v>97.918282087798005</v>
      </c>
      <c r="F505">
        <v>0.68641114982578399</v>
      </c>
      <c r="G505">
        <v>7530.3897107750499</v>
      </c>
      <c r="H505">
        <v>1456.2125911216101</v>
      </c>
      <c r="I505">
        <v>0.78509051281670705</v>
      </c>
      <c r="J505">
        <v>4.4624951035584698E-2</v>
      </c>
      <c r="K505">
        <v>0.56569750563855203</v>
      </c>
      <c r="L505" t="s">
        <v>33</v>
      </c>
      <c r="M505" t="s">
        <v>34</v>
      </c>
      <c r="N505" t="s">
        <v>35</v>
      </c>
      <c r="O505">
        <v>0.84055034869748801</v>
      </c>
      <c r="P505" t="s">
        <v>36</v>
      </c>
    </row>
    <row r="506" spans="1:16">
      <c r="A506">
        <v>505</v>
      </c>
      <c r="B506" t="s">
        <v>557</v>
      </c>
      <c r="C506">
        <v>164</v>
      </c>
      <c r="D506">
        <v>92</v>
      </c>
      <c r="E506">
        <v>98.126826388402407</v>
      </c>
      <c r="F506">
        <v>1.78235313467104</v>
      </c>
      <c r="G506">
        <v>7562.5</v>
      </c>
      <c r="H506">
        <v>537.48736917972599</v>
      </c>
      <c r="I506">
        <v>0.64075822988191899</v>
      </c>
      <c r="J506">
        <v>0.32895669213085899</v>
      </c>
      <c r="K506">
        <v>0.67073170731707299</v>
      </c>
      <c r="L506" t="s">
        <v>58</v>
      </c>
      <c r="M506" t="s">
        <v>34</v>
      </c>
      <c r="N506" t="s">
        <v>35</v>
      </c>
      <c r="O506">
        <v>0.66340199653187604</v>
      </c>
      <c r="P506" t="s">
        <v>36</v>
      </c>
    </row>
    <row r="507" spans="1:16">
      <c r="A507">
        <v>506</v>
      </c>
      <c r="B507" t="s">
        <v>558</v>
      </c>
      <c r="C507">
        <v>88</v>
      </c>
      <c r="D507">
        <v>147</v>
      </c>
      <c r="E507">
        <v>98.155711565063598</v>
      </c>
      <c r="F507">
        <v>0.59629629629629599</v>
      </c>
      <c r="G507">
        <v>7566.9529372400802</v>
      </c>
      <c r="H507">
        <v>859.53108546557598</v>
      </c>
      <c r="I507">
        <v>0.61685176808609099</v>
      </c>
      <c r="J507">
        <v>0.128708645890213</v>
      </c>
      <c r="K507">
        <v>0.71642064083981805</v>
      </c>
      <c r="L507" t="s">
        <v>43</v>
      </c>
      <c r="M507" t="s">
        <v>34</v>
      </c>
      <c r="N507" t="s">
        <v>35</v>
      </c>
      <c r="O507">
        <v>0.81485203819782004</v>
      </c>
      <c r="P507" t="s">
        <v>36</v>
      </c>
    </row>
    <row r="508" spans="1:16">
      <c r="A508">
        <v>507</v>
      </c>
      <c r="B508" t="s">
        <v>559</v>
      </c>
      <c r="C508">
        <v>98</v>
      </c>
      <c r="D508">
        <v>132</v>
      </c>
      <c r="E508">
        <v>98.396414721975802</v>
      </c>
      <c r="F508">
        <v>0.73966942148760295</v>
      </c>
      <c r="G508">
        <v>7604.1106877126704</v>
      </c>
      <c r="H508">
        <v>1363.15145643245</v>
      </c>
      <c r="I508">
        <v>0.57798467655668395</v>
      </c>
      <c r="J508">
        <v>5.1424499100672399E-2</v>
      </c>
      <c r="K508">
        <v>0.62541716073982601</v>
      </c>
      <c r="L508" t="s">
        <v>47</v>
      </c>
      <c r="M508" t="s">
        <v>34</v>
      </c>
      <c r="N508" t="s">
        <v>35</v>
      </c>
      <c r="O508">
        <v>0.93471129342753401</v>
      </c>
      <c r="P508" t="s">
        <v>36</v>
      </c>
    </row>
    <row r="509" spans="1:16">
      <c r="A509">
        <v>508</v>
      </c>
      <c r="B509" t="s">
        <v>560</v>
      </c>
      <c r="C509">
        <v>156</v>
      </c>
      <c r="D509">
        <v>112</v>
      </c>
      <c r="E509">
        <v>99.541787141969706</v>
      </c>
      <c r="F509">
        <v>1.3932038834951499</v>
      </c>
      <c r="G509">
        <v>7782.1706279773198</v>
      </c>
      <c r="H509">
        <v>919.58249319107597</v>
      </c>
      <c r="I509">
        <v>0.71351634362933802</v>
      </c>
      <c r="J509">
        <v>0.115645629203853</v>
      </c>
      <c r="K509">
        <v>0.52614178767020003</v>
      </c>
      <c r="L509" t="s">
        <v>74</v>
      </c>
      <c r="M509" t="s">
        <v>34</v>
      </c>
      <c r="N509" t="s">
        <v>35</v>
      </c>
      <c r="O509">
        <v>0.73081975984315095</v>
      </c>
      <c r="P509" t="s">
        <v>36</v>
      </c>
    </row>
    <row r="510" spans="1:16">
      <c r="A510">
        <v>509</v>
      </c>
      <c r="B510" t="s">
        <v>561</v>
      </c>
      <c r="C510">
        <v>93</v>
      </c>
      <c r="D510">
        <v>132</v>
      </c>
      <c r="E510">
        <v>99.860667890124901</v>
      </c>
      <c r="F510">
        <v>0.70247933884297498</v>
      </c>
      <c r="G510">
        <v>7832.1106446124804</v>
      </c>
      <c r="H510">
        <v>1238.6736066083299</v>
      </c>
      <c r="I510">
        <v>0.70244822751755198</v>
      </c>
      <c r="J510">
        <v>6.4146787335933E-2</v>
      </c>
      <c r="K510">
        <v>0.67398700501381403</v>
      </c>
      <c r="L510" t="s">
        <v>38</v>
      </c>
      <c r="M510" t="s">
        <v>34</v>
      </c>
      <c r="N510" t="s">
        <v>35</v>
      </c>
      <c r="O510">
        <v>0.74667128484721002</v>
      </c>
      <c r="P510" t="s">
        <v>36</v>
      </c>
    </row>
    <row r="511" spans="1:16">
      <c r="A511">
        <v>510</v>
      </c>
      <c r="B511" t="s">
        <v>562</v>
      </c>
      <c r="C511">
        <v>117</v>
      </c>
      <c r="D511">
        <v>132</v>
      </c>
      <c r="E511">
        <v>99.868247878969299</v>
      </c>
      <c r="F511">
        <v>0.88477366255143997</v>
      </c>
      <c r="G511">
        <v>7833.2996926276001</v>
      </c>
      <c r="H511">
        <v>1633.8571615278199</v>
      </c>
      <c r="I511">
        <v>0.63802119116885903</v>
      </c>
      <c r="J511">
        <v>3.6874524974945602E-2</v>
      </c>
      <c r="K511">
        <v>0.55072781800892401</v>
      </c>
      <c r="L511" t="s">
        <v>144</v>
      </c>
      <c r="M511" t="s">
        <v>34</v>
      </c>
      <c r="N511" t="s">
        <v>35</v>
      </c>
      <c r="O511">
        <v>0.76751757287038802</v>
      </c>
      <c r="P511" t="s">
        <v>36</v>
      </c>
    </row>
    <row r="512" spans="1:16">
      <c r="A512">
        <v>511</v>
      </c>
      <c r="B512" t="s">
        <v>563</v>
      </c>
      <c r="C512">
        <v>109</v>
      </c>
      <c r="D512">
        <v>105</v>
      </c>
      <c r="E512">
        <v>100.213157365181</v>
      </c>
      <c r="F512">
        <v>1.03558723727572</v>
      </c>
      <c r="G512">
        <v>7887.5</v>
      </c>
      <c r="H512">
        <v>412.634556889534</v>
      </c>
      <c r="I512">
        <v>0.66615093863192498</v>
      </c>
      <c r="J512">
        <v>0.58212740376852101</v>
      </c>
      <c r="K512">
        <v>0.85385656292286904</v>
      </c>
      <c r="L512" t="s">
        <v>43</v>
      </c>
      <c r="M512" t="s">
        <v>34</v>
      </c>
      <c r="N512" t="s">
        <v>35</v>
      </c>
      <c r="O512">
        <v>0.77049840318584595</v>
      </c>
      <c r="P512" t="s">
        <v>36</v>
      </c>
    </row>
    <row r="513" spans="1:16">
      <c r="A513">
        <v>512</v>
      </c>
      <c r="B513" t="s">
        <v>564</v>
      </c>
      <c r="C513">
        <v>100</v>
      </c>
      <c r="D513">
        <v>176</v>
      </c>
      <c r="E513">
        <v>100.530288402726</v>
      </c>
      <c r="F513">
        <v>0.57058822506917095</v>
      </c>
      <c r="G513">
        <v>7937.5</v>
      </c>
      <c r="H513">
        <v>632.34018146991696</v>
      </c>
      <c r="I513">
        <v>0.79444866704912498</v>
      </c>
      <c r="J513">
        <v>0.24945490237290199</v>
      </c>
      <c r="K513">
        <v>0.64598168870803696</v>
      </c>
      <c r="L513" t="s">
        <v>49</v>
      </c>
      <c r="M513" t="s">
        <v>34</v>
      </c>
      <c r="N513" t="s">
        <v>35</v>
      </c>
      <c r="O513">
        <v>0.76539562122290505</v>
      </c>
      <c r="P513" t="s">
        <v>36</v>
      </c>
    </row>
    <row r="514" spans="1:16">
      <c r="A514">
        <v>513</v>
      </c>
      <c r="B514" t="s">
        <v>565</v>
      </c>
      <c r="C514">
        <v>122</v>
      </c>
      <c r="D514">
        <v>206</v>
      </c>
      <c r="E514">
        <v>100.583860679803</v>
      </c>
      <c r="F514">
        <v>0.59416445623342196</v>
      </c>
      <c r="G514">
        <v>7945.96199206049</v>
      </c>
      <c r="H514">
        <v>1521.52908367644</v>
      </c>
      <c r="I514">
        <v>0.66979566408394897</v>
      </c>
      <c r="J514">
        <v>4.31316260229576E-2</v>
      </c>
      <c r="K514">
        <v>0.46665561006267298</v>
      </c>
      <c r="L514" t="s">
        <v>49</v>
      </c>
      <c r="M514" t="s">
        <v>34</v>
      </c>
      <c r="N514" t="s">
        <v>35</v>
      </c>
      <c r="O514">
        <v>0.769885749615703</v>
      </c>
      <c r="P514" t="s">
        <v>36</v>
      </c>
    </row>
    <row r="515" spans="1:16">
      <c r="A515">
        <v>514</v>
      </c>
      <c r="B515" t="s">
        <v>566</v>
      </c>
      <c r="C515">
        <v>161</v>
      </c>
      <c r="D515">
        <v>92</v>
      </c>
      <c r="E515">
        <v>101.81711238148</v>
      </c>
      <c r="F515">
        <v>1.7452609187088299</v>
      </c>
      <c r="G515">
        <v>8142.0062835538802</v>
      </c>
      <c r="H515">
        <v>860.00545579619995</v>
      </c>
      <c r="I515">
        <v>0.758277864091362</v>
      </c>
      <c r="J515">
        <v>0.138337169209965</v>
      </c>
      <c r="K515">
        <v>0.72198645122176197</v>
      </c>
      <c r="L515" t="s">
        <v>47</v>
      </c>
      <c r="M515" t="s">
        <v>34</v>
      </c>
      <c r="N515" t="s">
        <v>35</v>
      </c>
      <c r="O515">
        <v>0.88673469142833095</v>
      </c>
      <c r="P515" t="s">
        <v>36</v>
      </c>
    </row>
    <row r="516" spans="1:16">
      <c r="A516">
        <v>515</v>
      </c>
      <c r="B516" t="s">
        <v>567</v>
      </c>
      <c r="C516">
        <v>132</v>
      </c>
      <c r="D516">
        <v>132</v>
      </c>
      <c r="E516">
        <v>102.18724127065001</v>
      </c>
      <c r="F516">
        <v>1</v>
      </c>
      <c r="G516">
        <v>8201.3100533081306</v>
      </c>
      <c r="H516">
        <v>1615.70724363358</v>
      </c>
      <c r="I516">
        <v>0.64382992693748298</v>
      </c>
      <c r="J516">
        <v>3.9479146111050502E-2</v>
      </c>
      <c r="K516">
        <v>0.52668804764904598</v>
      </c>
      <c r="L516" t="s">
        <v>144</v>
      </c>
      <c r="M516" t="s">
        <v>34</v>
      </c>
      <c r="N516" t="s">
        <v>35</v>
      </c>
      <c r="O516">
        <v>0.81111400768713604</v>
      </c>
      <c r="P516" t="s">
        <v>36</v>
      </c>
    </row>
    <row r="517" spans="1:16">
      <c r="A517">
        <v>516</v>
      </c>
      <c r="B517" t="s">
        <v>568</v>
      </c>
      <c r="C517">
        <v>152</v>
      </c>
      <c r="D517">
        <v>103</v>
      </c>
      <c r="E517">
        <v>102.291821387261</v>
      </c>
      <c r="F517">
        <v>1.4787234042553199</v>
      </c>
      <c r="G517">
        <v>8218.1053565217408</v>
      </c>
      <c r="H517">
        <v>995.45185288574396</v>
      </c>
      <c r="I517">
        <v>0.77512191815277498</v>
      </c>
      <c r="J517">
        <v>0.10421759576487399</v>
      </c>
      <c r="K517">
        <v>0.626481452106325</v>
      </c>
      <c r="L517" t="s">
        <v>33</v>
      </c>
      <c r="M517" t="s">
        <v>34</v>
      </c>
      <c r="N517" t="s">
        <v>35</v>
      </c>
      <c r="O517">
        <v>0.75445761970481695</v>
      </c>
      <c r="P517" t="s">
        <v>36</v>
      </c>
    </row>
    <row r="518" spans="1:16">
      <c r="A518">
        <v>517</v>
      </c>
      <c r="B518" t="s">
        <v>569</v>
      </c>
      <c r="C518">
        <v>161</v>
      </c>
      <c r="D518">
        <v>107</v>
      </c>
      <c r="E518">
        <v>102.509892399953</v>
      </c>
      <c r="F518">
        <v>1.5025380710659899</v>
      </c>
      <c r="G518">
        <v>8253.1822729678606</v>
      </c>
      <c r="H518">
        <v>1208.8803867916399</v>
      </c>
      <c r="I518">
        <v>0.67610059513690102</v>
      </c>
      <c r="J518">
        <v>7.0968338490887697E-2</v>
      </c>
      <c r="K518">
        <v>0.62175840910108804</v>
      </c>
      <c r="L518" t="s">
        <v>47</v>
      </c>
      <c r="M518" t="s">
        <v>34</v>
      </c>
      <c r="N518" t="s">
        <v>35</v>
      </c>
      <c r="O518">
        <v>0.94645477732974204</v>
      </c>
      <c r="P518" t="s">
        <v>36</v>
      </c>
    </row>
    <row r="519" spans="1:16">
      <c r="A519">
        <v>518</v>
      </c>
      <c r="B519" t="s">
        <v>570</v>
      </c>
      <c r="C519">
        <v>129</v>
      </c>
      <c r="D519">
        <v>126</v>
      </c>
      <c r="E519">
        <v>102.6491778491</v>
      </c>
      <c r="F519">
        <v>1.0193611487484899</v>
      </c>
      <c r="G519">
        <v>8275.6255542533108</v>
      </c>
      <c r="H519">
        <v>964.25821955836295</v>
      </c>
      <c r="I519">
        <v>0.75645378898828997</v>
      </c>
      <c r="J519">
        <v>0.11184691168239801</v>
      </c>
      <c r="K519">
        <v>0.59279645678512904</v>
      </c>
      <c r="L519" t="s">
        <v>33</v>
      </c>
      <c r="M519" t="s">
        <v>34</v>
      </c>
      <c r="N519" t="s">
        <v>35</v>
      </c>
      <c r="O519">
        <v>0.71459905017490899</v>
      </c>
      <c r="P519" t="s">
        <v>36</v>
      </c>
    </row>
    <row r="520" spans="1:16">
      <c r="A520">
        <v>519</v>
      </c>
      <c r="B520" t="s">
        <v>571</v>
      </c>
      <c r="C520">
        <v>137</v>
      </c>
      <c r="D520">
        <v>103</v>
      </c>
      <c r="E520">
        <v>103.488268395635</v>
      </c>
      <c r="F520">
        <v>1.33510643737573</v>
      </c>
      <c r="G520">
        <v>8411.4742899811008</v>
      </c>
      <c r="H520">
        <v>972.53002496978502</v>
      </c>
      <c r="I520">
        <v>0.69745545900913197</v>
      </c>
      <c r="J520">
        <v>0.111757312493036</v>
      </c>
      <c r="K520">
        <v>0.63284727036879695</v>
      </c>
      <c r="L520" t="s">
        <v>47</v>
      </c>
      <c r="M520" t="s">
        <v>34</v>
      </c>
      <c r="N520" t="s">
        <v>35</v>
      </c>
      <c r="O520">
        <v>0.945961232180902</v>
      </c>
      <c r="P520" t="s">
        <v>36</v>
      </c>
    </row>
    <row r="521" spans="1:16">
      <c r="A521">
        <v>520</v>
      </c>
      <c r="B521" t="s">
        <v>572</v>
      </c>
      <c r="C521">
        <v>189</v>
      </c>
      <c r="D521">
        <v>109</v>
      </c>
      <c r="E521">
        <v>103.722982568505</v>
      </c>
      <c r="F521">
        <v>1.72727274803294</v>
      </c>
      <c r="G521">
        <v>8449.6724574669206</v>
      </c>
      <c r="H521">
        <v>1233.0570410927501</v>
      </c>
      <c r="I521">
        <v>0.62874265738336699</v>
      </c>
      <c r="J521">
        <v>6.9836650786173404E-2</v>
      </c>
      <c r="K521">
        <v>0.55787252833521395</v>
      </c>
      <c r="L521" t="s">
        <v>74</v>
      </c>
      <c r="M521" t="s">
        <v>34</v>
      </c>
      <c r="N521" t="s">
        <v>35</v>
      </c>
      <c r="O521">
        <v>0.73280891777127199</v>
      </c>
      <c r="P521" t="s">
        <v>36</v>
      </c>
    </row>
    <row r="522" spans="1:16">
      <c r="A522">
        <v>521</v>
      </c>
      <c r="B522" t="s">
        <v>573</v>
      </c>
      <c r="C522">
        <v>112</v>
      </c>
      <c r="D522">
        <v>166</v>
      </c>
      <c r="E522">
        <v>104.318795968031</v>
      </c>
      <c r="F522">
        <v>0.67540983606557403</v>
      </c>
      <c r="G522">
        <v>8547.0257637051109</v>
      </c>
      <c r="H522">
        <v>1518.74155189773</v>
      </c>
      <c r="I522">
        <v>0.62088977090953901</v>
      </c>
      <c r="J522">
        <v>4.6564734041128202E-2</v>
      </c>
      <c r="K522">
        <v>0.56459926755751</v>
      </c>
      <c r="L522" t="s">
        <v>144</v>
      </c>
      <c r="M522" t="s">
        <v>34</v>
      </c>
      <c r="N522" t="s">
        <v>35</v>
      </c>
      <c r="O522">
        <v>0.94862256718559601</v>
      </c>
      <c r="P522" t="s">
        <v>36</v>
      </c>
    </row>
    <row r="523" spans="1:16">
      <c r="A523">
        <v>522</v>
      </c>
      <c r="B523" t="s">
        <v>574</v>
      </c>
      <c r="C523">
        <v>59</v>
      </c>
      <c r="D523">
        <v>250</v>
      </c>
      <c r="E523">
        <v>104.394959616021</v>
      </c>
      <c r="F523">
        <v>0.23727195626425199</v>
      </c>
      <c r="G523">
        <v>8559.5107678638997</v>
      </c>
      <c r="H523">
        <v>882.92728371215901</v>
      </c>
      <c r="I523">
        <v>0.85753214093463204</v>
      </c>
      <c r="J523">
        <v>0.137977709747896</v>
      </c>
      <c r="K523">
        <v>0.71682495425633896</v>
      </c>
      <c r="L523" t="s">
        <v>33</v>
      </c>
      <c r="M523" t="s">
        <v>34</v>
      </c>
      <c r="N523" t="s">
        <v>35</v>
      </c>
      <c r="O523">
        <v>0.87915769261207699</v>
      </c>
      <c r="P523" t="s">
        <v>36</v>
      </c>
    </row>
    <row r="524" spans="1:16">
      <c r="A524">
        <v>523</v>
      </c>
      <c r="B524" t="s">
        <v>575</v>
      </c>
      <c r="C524">
        <v>137</v>
      </c>
      <c r="D524">
        <v>108</v>
      </c>
      <c r="E524">
        <v>104.518154516042</v>
      </c>
      <c r="F524">
        <v>1.26767676767677</v>
      </c>
      <c r="G524">
        <v>8579.7245841209806</v>
      </c>
      <c r="H524">
        <v>1059.79139806385</v>
      </c>
      <c r="I524">
        <v>0.63750573081518802</v>
      </c>
      <c r="J524">
        <v>9.5993633469730097E-2</v>
      </c>
      <c r="K524">
        <v>0.69907839124168902</v>
      </c>
      <c r="L524" t="s">
        <v>47</v>
      </c>
      <c r="M524" t="s">
        <v>34</v>
      </c>
      <c r="N524" t="s">
        <v>35</v>
      </c>
      <c r="O524">
        <v>0.92861481254077904</v>
      </c>
      <c r="P524" t="s">
        <v>36</v>
      </c>
    </row>
    <row r="525" spans="1:16">
      <c r="A525">
        <v>524</v>
      </c>
      <c r="B525" t="s">
        <v>576</v>
      </c>
      <c r="C525">
        <v>98</v>
      </c>
      <c r="D525">
        <v>137</v>
      </c>
      <c r="E525">
        <v>104.906715977514</v>
      </c>
      <c r="F525">
        <v>0.71603788494090104</v>
      </c>
      <c r="G525">
        <v>8643.6359149338405</v>
      </c>
      <c r="H525">
        <v>552.96392218848905</v>
      </c>
      <c r="I525">
        <v>0.76965258368469203</v>
      </c>
      <c r="J525">
        <v>0.355232535373531</v>
      </c>
      <c r="K525">
        <v>0.83990467937608304</v>
      </c>
      <c r="L525" t="s">
        <v>47</v>
      </c>
      <c r="M525" t="s">
        <v>34</v>
      </c>
      <c r="N525" t="s">
        <v>35</v>
      </c>
      <c r="O525">
        <v>0.93824986437957403</v>
      </c>
      <c r="P525" t="s">
        <v>36</v>
      </c>
    </row>
    <row r="526" spans="1:16">
      <c r="A526">
        <v>525</v>
      </c>
      <c r="B526" t="s">
        <v>577</v>
      </c>
      <c r="C526">
        <v>131</v>
      </c>
      <c r="D526">
        <v>156</v>
      </c>
      <c r="E526">
        <v>104.922048140336</v>
      </c>
      <c r="F526">
        <v>0.83848790138727003</v>
      </c>
      <c r="G526">
        <v>8646.1626419659806</v>
      </c>
      <c r="H526">
        <v>1155.7457659292199</v>
      </c>
      <c r="I526">
        <v>0.69386681277166495</v>
      </c>
      <c r="J526">
        <v>8.1340838050705397E-2</v>
      </c>
      <c r="K526">
        <v>0.59382815610293904</v>
      </c>
      <c r="L526" t="s">
        <v>298</v>
      </c>
      <c r="M526" t="s">
        <v>34</v>
      </c>
      <c r="N526" t="s">
        <v>35</v>
      </c>
      <c r="O526">
        <v>0.63732348796555804</v>
      </c>
      <c r="P526" t="s">
        <v>36</v>
      </c>
    </row>
    <row r="527" spans="1:16">
      <c r="A527">
        <v>526</v>
      </c>
      <c r="B527" t="s">
        <v>578</v>
      </c>
      <c r="C527">
        <v>142</v>
      </c>
      <c r="D527">
        <v>122</v>
      </c>
      <c r="E527">
        <v>105.027508785351</v>
      </c>
      <c r="F527">
        <v>1.1651784576931601</v>
      </c>
      <c r="G527">
        <v>8663.5524691871506</v>
      </c>
      <c r="H527">
        <v>1424.02871517482</v>
      </c>
      <c r="I527">
        <v>0.64233459636762902</v>
      </c>
      <c r="J527">
        <v>5.3686906522889502E-2</v>
      </c>
      <c r="K527">
        <v>0.56520474357358297</v>
      </c>
      <c r="L527" t="s">
        <v>43</v>
      </c>
      <c r="M527" t="s">
        <v>34</v>
      </c>
      <c r="N527" t="s">
        <v>35</v>
      </c>
      <c r="O527">
        <v>0.82665153063437602</v>
      </c>
      <c r="P527" t="s">
        <v>36</v>
      </c>
    </row>
    <row r="528" spans="1:16">
      <c r="A528">
        <v>527</v>
      </c>
      <c r="B528" t="s">
        <v>579</v>
      </c>
      <c r="C528">
        <v>125</v>
      </c>
      <c r="D528">
        <v>180</v>
      </c>
      <c r="E528">
        <v>105.11756222713301</v>
      </c>
      <c r="F528">
        <v>0.69372108138007305</v>
      </c>
      <c r="G528">
        <v>8678.4155693761804</v>
      </c>
      <c r="H528">
        <v>1704.40663919231</v>
      </c>
      <c r="I528">
        <v>0.65418076712010198</v>
      </c>
      <c r="J528">
        <v>3.7540830161541298E-2</v>
      </c>
      <c r="K528">
        <v>0.49634893783418499</v>
      </c>
      <c r="L528" t="s">
        <v>47</v>
      </c>
      <c r="M528" t="s">
        <v>34</v>
      </c>
      <c r="N528" t="s">
        <v>35</v>
      </c>
      <c r="O528">
        <v>0.8828384274294</v>
      </c>
      <c r="P528" t="s">
        <v>36</v>
      </c>
    </row>
    <row r="529" spans="1:16">
      <c r="A529">
        <v>528</v>
      </c>
      <c r="B529" t="s">
        <v>580</v>
      </c>
      <c r="C529">
        <v>107</v>
      </c>
      <c r="D529">
        <v>142</v>
      </c>
      <c r="E529">
        <v>105.414192760769</v>
      </c>
      <c r="F529">
        <v>0.757692307692308</v>
      </c>
      <c r="G529">
        <v>8727.4637999999995</v>
      </c>
      <c r="H529">
        <v>1130.6109687283799</v>
      </c>
      <c r="I529">
        <v>0.73498259136504096</v>
      </c>
      <c r="J529">
        <v>8.57968871342564E-2</v>
      </c>
      <c r="K529">
        <v>0.66295965948222302</v>
      </c>
      <c r="L529" t="s">
        <v>33</v>
      </c>
      <c r="M529" t="s">
        <v>34</v>
      </c>
      <c r="N529" t="s">
        <v>35</v>
      </c>
      <c r="O529">
        <v>0.723380167980605</v>
      </c>
      <c r="P529" t="s">
        <v>36</v>
      </c>
    </row>
    <row r="530" spans="1:16">
      <c r="A530">
        <v>529</v>
      </c>
      <c r="B530" t="s">
        <v>581</v>
      </c>
      <c r="C530">
        <v>112</v>
      </c>
      <c r="D530">
        <v>127</v>
      </c>
      <c r="E530">
        <v>106.042446829415</v>
      </c>
      <c r="F530">
        <v>0.88412017167381995</v>
      </c>
      <c r="G530">
        <v>8831.8027633270303</v>
      </c>
      <c r="H530">
        <v>1036.83357742403</v>
      </c>
      <c r="I530">
        <v>0.60882295684244403</v>
      </c>
      <c r="J530">
        <v>0.103238365300973</v>
      </c>
      <c r="K530">
        <v>0.68798193817297704</v>
      </c>
      <c r="L530" t="s">
        <v>41</v>
      </c>
      <c r="M530" t="s">
        <v>34</v>
      </c>
      <c r="N530" t="s">
        <v>35</v>
      </c>
      <c r="O530">
        <v>0.68742309996467998</v>
      </c>
      <c r="P530" t="s">
        <v>36</v>
      </c>
    </row>
    <row r="531" spans="1:16">
      <c r="A531">
        <v>530</v>
      </c>
      <c r="B531" t="s">
        <v>582</v>
      </c>
      <c r="C531">
        <v>103</v>
      </c>
      <c r="D531">
        <v>162</v>
      </c>
      <c r="E531">
        <v>107.07869516343</v>
      </c>
      <c r="F531">
        <v>0.63636363636363602</v>
      </c>
      <c r="G531">
        <v>9005.2551425330803</v>
      </c>
      <c r="H531">
        <v>961.757969026566</v>
      </c>
      <c r="I531">
        <v>0.61801432552915103</v>
      </c>
      <c r="J531">
        <v>0.12234164030285399</v>
      </c>
      <c r="K531">
        <v>0.70391411941026805</v>
      </c>
      <c r="L531" t="s">
        <v>33</v>
      </c>
      <c r="M531" t="s">
        <v>34</v>
      </c>
      <c r="N531" t="s">
        <v>35</v>
      </c>
      <c r="O531">
        <v>0.87030792267574497</v>
      </c>
      <c r="P531" t="s">
        <v>36</v>
      </c>
    </row>
    <row r="532" spans="1:16">
      <c r="A532">
        <v>531</v>
      </c>
      <c r="B532" t="s">
        <v>583</v>
      </c>
      <c r="C532">
        <v>120</v>
      </c>
      <c r="D532">
        <v>218</v>
      </c>
      <c r="E532">
        <v>107.259693016924</v>
      </c>
      <c r="F532">
        <v>0.55168368565096804</v>
      </c>
      <c r="G532">
        <v>9035.7244979206098</v>
      </c>
      <c r="H532">
        <v>1244.8099374168901</v>
      </c>
      <c r="I532">
        <v>0.64448451681241103</v>
      </c>
      <c r="J532">
        <v>7.3276843184117701E-2</v>
      </c>
      <c r="K532">
        <v>0.50466537165247105</v>
      </c>
      <c r="L532" t="s">
        <v>43</v>
      </c>
      <c r="M532" t="s">
        <v>34</v>
      </c>
      <c r="N532" t="s">
        <v>35</v>
      </c>
      <c r="O532">
        <v>0.85050747819364703</v>
      </c>
      <c r="P532" t="s">
        <v>36</v>
      </c>
    </row>
    <row r="533" spans="1:16">
      <c r="A533">
        <v>532</v>
      </c>
      <c r="B533" t="s">
        <v>584</v>
      </c>
      <c r="C533">
        <v>137</v>
      </c>
      <c r="D533">
        <v>147</v>
      </c>
      <c r="E533">
        <v>107.41396207286699</v>
      </c>
      <c r="F533">
        <v>0.93308560012433905</v>
      </c>
      <c r="G533">
        <v>9061.7349232514207</v>
      </c>
      <c r="H533">
        <v>1890.55160605182</v>
      </c>
      <c r="I533">
        <v>0.58405673347864695</v>
      </c>
      <c r="J533">
        <v>3.1859880644840799E-2</v>
      </c>
      <c r="K533">
        <v>0.54926126126126096</v>
      </c>
      <c r="L533" t="s">
        <v>33</v>
      </c>
      <c r="M533" t="s">
        <v>34</v>
      </c>
      <c r="N533" t="s">
        <v>35</v>
      </c>
      <c r="O533">
        <v>0.73516353302211701</v>
      </c>
      <c r="P533" t="s">
        <v>36</v>
      </c>
    </row>
    <row r="534" spans="1:16">
      <c r="A534">
        <v>533</v>
      </c>
      <c r="B534" t="s">
        <v>585</v>
      </c>
      <c r="C534">
        <v>245</v>
      </c>
      <c r="D534">
        <v>94</v>
      </c>
      <c r="E534">
        <v>107.794718843487</v>
      </c>
      <c r="F534">
        <v>2.5948157738500699</v>
      </c>
      <c r="G534">
        <v>9126.0921470699395</v>
      </c>
      <c r="H534">
        <v>1417.7506902448999</v>
      </c>
      <c r="I534">
        <v>0.71892332545530502</v>
      </c>
      <c r="J534">
        <v>5.7055166726183597E-2</v>
      </c>
      <c r="K534">
        <v>0.53752549702789998</v>
      </c>
      <c r="L534" t="s">
        <v>33</v>
      </c>
      <c r="M534" t="s">
        <v>34</v>
      </c>
      <c r="N534" t="s">
        <v>35</v>
      </c>
      <c r="O534">
        <v>0.78122983500106402</v>
      </c>
      <c r="P534" t="s">
        <v>36</v>
      </c>
    </row>
    <row r="535" spans="1:16">
      <c r="A535">
        <v>534</v>
      </c>
      <c r="B535" t="s">
        <v>586</v>
      </c>
      <c r="C535">
        <v>166</v>
      </c>
      <c r="D535">
        <v>107</v>
      </c>
      <c r="E535">
        <v>107.894740824718</v>
      </c>
      <c r="F535">
        <v>1.54822328026837</v>
      </c>
      <c r="G535">
        <v>9143.0360812854506</v>
      </c>
      <c r="H535">
        <v>1366.34526609825</v>
      </c>
      <c r="I535">
        <v>0.54251510402664105</v>
      </c>
      <c r="J535">
        <v>6.1543102315988099E-2</v>
      </c>
      <c r="K535">
        <v>0.62167133227557103</v>
      </c>
      <c r="L535" t="s">
        <v>101</v>
      </c>
      <c r="M535" t="s">
        <v>34</v>
      </c>
      <c r="N535" t="s">
        <v>35</v>
      </c>
      <c r="O535">
        <v>0.659426817413303</v>
      </c>
      <c r="P535" t="s">
        <v>36</v>
      </c>
    </row>
    <row r="536" spans="1:16">
      <c r="A536">
        <v>535</v>
      </c>
      <c r="B536" t="s">
        <v>587</v>
      </c>
      <c r="C536">
        <v>127</v>
      </c>
      <c r="D536">
        <v>210</v>
      </c>
      <c r="E536">
        <v>107.994670168113</v>
      </c>
      <c r="F536">
        <v>0.60362694300518105</v>
      </c>
      <c r="G536">
        <v>9159.9800155009507</v>
      </c>
      <c r="H536">
        <v>1451.2441897776901</v>
      </c>
      <c r="I536">
        <v>0.68918244329888401</v>
      </c>
      <c r="J536">
        <v>5.4654182440900603E-2</v>
      </c>
      <c r="K536">
        <v>0.47159156125892399</v>
      </c>
      <c r="L536" t="s">
        <v>33</v>
      </c>
      <c r="M536" t="s">
        <v>34</v>
      </c>
      <c r="N536" t="s">
        <v>35</v>
      </c>
      <c r="O536">
        <v>0.76229877552624803</v>
      </c>
      <c r="P536" t="s">
        <v>36</v>
      </c>
    </row>
    <row r="537" spans="1:16">
      <c r="A537">
        <v>536</v>
      </c>
      <c r="B537" t="s">
        <v>588</v>
      </c>
      <c r="C537">
        <v>96</v>
      </c>
      <c r="D537">
        <v>163</v>
      </c>
      <c r="E537">
        <v>107.999050917429</v>
      </c>
      <c r="F537">
        <v>0.59150922130958705</v>
      </c>
      <c r="G537">
        <v>9160.7231705104005</v>
      </c>
      <c r="H537">
        <v>693.73020130820896</v>
      </c>
      <c r="I537">
        <v>0.75106843844745896</v>
      </c>
      <c r="J537">
        <v>0.239198482322762</v>
      </c>
      <c r="K537">
        <v>0.74505584836323202</v>
      </c>
      <c r="L537" t="s">
        <v>33</v>
      </c>
      <c r="M537" t="s">
        <v>34</v>
      </c>
      <c r="N537" t="s">
        <v>35</v>
      </c>
      <c r="O537">
        <v>0.82624746531968396</v>
      </c>
      <c r="P537" t="s">
        <v>36</v>
      </c>
    </row>
    <row r="538" spans="1:16">
      <c r="A538">
        <v>537</v>
      </c>
      <c r="B538" t="s">
        <v>589</v>
      </c>
      <c r="C538">
        <v>168</v>
      </c>
      <c r="D538">
        <v>115</v>
      </c>
      <c r="E538">
        <v>108.055984496752</v>
      </c>
      <c r="F538">
        <v>1.4625657119573501</v>
      </c>
      <c r="G538">
        <v>9170.3841856332692</v>
      </c>
      <c r="H538">
        <v>929.67428524297202</v>
      </c>
      <c r="I538">
        <v>0.74222829391567802</v>
      </c>
      <c r="J538">
        <v>0.133332418676255</v>
      </c>
      <c r="K538">
        <v>0.64589374509290798</v>
      </c>
      <c r="L538" t="s">
        <v>58</v>
      </c>
      <c r="M538" t="s">
        <v>34</v>
      </c>
      <c r="N538" t="s">
        <v>35</v>
      </c>
      <c r="O538">
        <v>0.86193486075190395</v>
      </c>
      <c r="P538" t="s">
        <v>36</v>
      </c>
    </row>
    <row r="539" spans="1:16">
      <c r="A539">
        <v>538</v>
      </c>
      <c r="B539" t="s">
        <v>590</v>
      </c>
      <c r="C539">
        <v>190</v>
      </c>
      <c r="D539">
        <v>80</v>
      </c>
      <c r="E539">
        <v>108.08317548511</v>
      </c>
      <c r="F539">
        <v>2.375</v>
      </c>
      <c r="G539">
        <v>9175</v>
      </c>
      <c r="H539">
        <v>611.12697839736904</v>
      </c>
      <c r="I539">
        <v>0.73107877629874696</v>
      </c>
      <c r="J539">
        <v>0.30871165394474198</v>
      </c>
      <c r="K539">
        <v>0.76299376299376298</v>
      </c>
      <c r="L539" t="s">
        <v>144</v>
      </c>
      <c r="M539" t="s">
        <v>34</v>
      </c>
      <c r="N539" t="s">
        <v>35</v>
      </c>
      <c r="O539">
        <v>0.73936483005929798</v>
      </c>
      <c r="P539" t="s">
        <v>36</v>
      </c>
    </row>
    <row r="540" spans="1:16">
      <c r="A540">
        <v>539</v>
      </c>
      <c r="B540" t="s">
        <v>591</v>
      </c>
      <c r="C540">
        <v>107</v>
      </c>
      <c r="D540">
        <v>118</v>
      </c>
      <c r="E540">
        <v>108.122514970842</v>
      </c>
      <c r="F540">
        <v>0.90740739432545303</v>
      </c>
      <c r="G540">
        <v>9181.6801417769402</v>
      </c>
      <c r="H540">
        <v>487.305351185902</v>
      </c>
      <c r="I540">
        <v>0.59898390845288496</v>
      </c>
      <c r="J540">
        <v>0.48588071560248097</v>
      </c>
      <c r="K540">
        <v>0.90921802098818105</v>
      </c>
      <c r="L540" t="s">
        <v>47</v>
      </c>
      <c r="M540" t="s">
        <v>34</v>
      </c>
      <c r="N540" t="s">
        <v>35</v>
      </c>
      <c r="O540">
        <v>0.93143865207829601</v>
      </c>
      <c r="P540" t="s">
        <v>36</v>
      </c>
    </row>
    <row r="541" spans="1:16">
      <c r="A541">
        <v>540</v>
      </c>
      <c r="B541" t="s">
        <v>592</v>
      </c>
      <c r="C541">
        <v>175</v>
      </c>
      <c r="D541">
        <v>100</v>
      </c>
      <c r="E541">
        <v>108.80645501558</v>
      </c>
      <c r="F541">
        <v>1.7524631020774799</v>
      </c>
      <c r="G541">
        <v>9298.2068472589799</v>
      </c>
      <c r="H541">
        <v>861.67985531112402</v>
      </c>
      <c r="I541">
        <v>0.61163387109752598</v>
      </c>
      <c r="J541">
        <v>0.15736827610156801</v>
      </c>
      <c r="K541">
        <v>0.67395285701973595</v>
      </c>
      <c r="L541" t="s">
        <v>43</v>
      </c>
      <c r="M541" t="s">
        <v>34</v>
      </c>
      <c r="N541" t="s">
        <v>35</v>
      </c>
      <c r="O541">
        <v>0.829705424941097</v>
      </c>
      <c r="P541" t="s">
        <v>36</v>
      </c>
    </row>
    <row r="542" spans="1:16">
      <c r="A542">
        <v>541</v>
      </c>
      <c r="B542" t="s">
        <v>593</v>
      </c>
      <c r="C542">
        <v>132</v>
      </c>
      <c r="D542">
        <v>94</v>
      </c>
      <c r="E542">
        <v>109.421286079566</v>
      </c>
      <c r="F542">
        <v>1.40294645458931</v>
      </c>
      <c r="G542">
        <v>9403.5862275992495</v>
      </c>
      <c r="H542">
        <v>457.35714200517401</v>
      </c>
      <c r="I542">
        <v>0.70335294134186299</v>
      </c>
      <c r="J542">
        <v>0.56492714670338096</v>
      </c>
      <c r="K542">
        <v>0.92636572616659596</v>
      </c>
      <c r="L542" t="s">
        <v>47</v>
      </c>
      <c r="M542" t="s">
        <v>34</v>
      </c>
      <c r="N542" t="s">
        <v>35</v>
      </c>
      <c r="O542">
        <v>0.87125500816105494</v>
      </c>
      <c r="P542" t="s">
        <v>36</v>
      </c>
    </row>
    <row r="543" spans="1:16">
      <c r="A543">
        <v>542</v>
      </c>
      <c r="B543" t="s">
        <v>594</v>
      </c>
      <c r="C543">
        <v>104</v>
      </c>
      <c r="D543">
        <v>162</v>
      </c>
      <c r="E543">
        <v>109.451547945781</v>
      </c>
      <c r="F543">
        <v>0.63943980278011903</v>
      </c>
      <c r="G543">
        <v>9408.7883126654106</v>
      </c>
      <c r="H543">
        <v>823.35964855577595</v>
      </c>
      <c r="I543">
        <v>0.79733326224758005</v>
      </c>
      <c r="J543">
        <v>0.17440719734673699</v>
      </c>
      <c r="K543">
        <v>0.70694064436875304</v>
      </c>
      <c r="L543" t="s">
        <v>49</v>
      </c>
      <c r="M543" t="s">
        <v>34</v>
      </c>
      <c r="N543" t="s">
        <v>35</v>
      </c>
      <c r="O543">
        <v>0.83619897282414302</v>
      </c>
      <c r="P543" t="s">
        <v>36</v>
      </c>
    </row>
    <row r="544" spans="1:16">
      <c r="A544">
        <v>543</v>
      </c>
      <c r="B544" t="s">
        <v>595</v>
      </c>
      <c r="C544">
        <v>118</v>
      </c>
      <c r="D544">
        <v>181</v>
      </c>
      <c r="E544">
        <v>109.70628055920901</v>
      </c>
      <c r="F544">
        <v>0.65060240963855398</v>
      </c>
      <c r="G544">
        <v>9452.6344582230595</v>
      </c>
      <c r="H544">
        <v>1189.1750660226701</v>
      </c>
      <c r="I544">
        <v>0.84792733131599296</v>
      </c>
      <c r="J544">
        <v>8.3998424142798303E-2</v>
      </c>
      <c r="K544">
        <v>0.53888389906624401</v>
      </c>
      <c r="L544" t="s">
        <v>33</v>
      </c>
      <c r="M544" t="s">
        <v>34</v>
      </c>
      <c r="N544" t="s">
        <v>35</v>
      </c>
      <c r="O544">
        <v>0.82495803003594104</v>
      </c>
      <c r="P544" t="s">
        <v>36</v>
      </c>
    </row>
    <row r="545" spans="1:16">
      <c r="A545">
        <v>544</v>
      </c>
      <c r="B545" t="s">
        <v>596</v>
      </c>
      <c r="C545">
        <v>124</v>
      </c>
      <c r="D545">
        <v>223</v>
      </c>
      <c r="E545">
        <v>110.036121401256</v>
      </c>
      <c r="F545">
        <v>0.555669409862525</v>
      </c>
      <c r="G545">
        <v>9509.5601319470697</v>
      </c>
      <c r="H545">
        <v>1473.87873644673</v>
      </c>
      <c r="I545">
        <v>0.67782321067406104</v>
      </c>
      <c r="J545">
        <v>5.5010651228640899E-2</v>
      </c>
      <c r="K545">
        <v>0.47659165567945699</v>
      </c>
      <c r="L545" t="s">
        <v>58</v>
      </c>
      <c r="M545" t="s">
        <v>34</v>
      </c>
      <c r="N545" t="s">
        <v>35</v>
      </c>
      <c r="O545">
        <v>0.63326355907840803</v>
      </c>
      <c r="P545" t="s">
        <v>36</v>
      </c>
    </row>
    <row r="546" spans="1:16">
      <c r="A546">
        <v>545</v>
      </c>
      <c r="B546" t="s">
        <v>597</v>
      </c>
      <c r="C546">
        <v>159</v>
      </c>
      <c r="D546">
        <v>114</v>
      </c>
      <c r="E546">
        <v>110.98915530497899</v>
      </c>
      <c r="F546">
        <v>1.39097735873007</v>
      </c>
      <c r="G546">
        <v>9675</v>
      </c>
      <c r="H546">
        <v>645.26911377906799</v>
      </c>
      <c r="I546">
        <v>0.597373834578936</v>
      </c>
      <c r="J546">
        <v>0.29199746565311002</v>
      </c>
      <c r="K546">
        <v>0.70108695652173902</v>
      </c>
      <c r="L546" t="s">
        <v>47</v>
      </c>
      <c r="M546" t="s">
        <v>34</v>
      </c>
      <c r="N546" t="s">
        <v>35</v>
      </c>
      <c r="O546">
        <v>0.95488365079942505</v>
      </c>
      <c r="P546" t="s">
        <v>36</v>
      </c>
    </row>
    <row r="547" spans="1:16">
      <c r="A547">
        <v>546</v>
      </c>
      <c r="B547" t="s">
        <v>598</v>
      </c>
      <c r="C547">
        <v>129</v>
      </c>
      <c r="D547">
        <v>200</v>
      </c>
      <c r="E547">
        <v>111.188390391344</v>
      </c>
      <c r="F547">
        <v>0.64472788026082495</v>
      </c>
      <c r="G547">
        <v>9709.7660914933895</v>
      </c>
      <c r="H547">
        <v>2066.2156912192099</v>
      </c>
      <c r="I547">
        <v>0.70371832049322902</v>
      </c>
      <c r="J547">
        <v>2.8580335409613099E-2</v>
      </c>
      <c r="K547">
        <v>0.49656807972088601</v>
      </c>
      <c r="L547" t="s">
        <v>144</v>
      </c>
      <c r="M547" t="s">
        <v>34</v>
      </c>
      <c r="N547" t="s">
        <v>35</v>
      </c>
      <c r="O547">
        <v>0.92454228449519305</v>
      </c>
      <c r="P547" t="s">
        <v>36</v>
      </c>
    </row>
    <row r="548" spans="1:16">
      <c r="A548">
        <v>547</v>
      </c>
      <c r="B548" t="s">
        <v>599</v>
      </c>
      <c r="C548">
        <v>131</v>
      </c>
      <c r="D548">
        <v>130</v>
      </c>
      <c r="E548">
        <v>111.561268143501</v>
      </c>
      <c r="F548">
        <v>1.0089286093607599</v>
      </c>
      <c r="G548">
        <v>9775</v>
      </c>
      <c r="H548">
        <v>653.55338454246498</v>
      </c>
      <c r="I548">
        <v>0.74852339221431397</v>
      </c>
      <c r="J548">
        <v>0.28758385030776501</v>
      </c>
      <c r="K548">
        <v>0.780439121756487</v>
      </c>
      <c r="L548" t="s">
        <v>61</v>
      </c>
      <c r="M548" t="s">
        <v>34</v>
      </c>
      <c r="N548" t="s">
        <v>35</v>
      </c>
      <c r="O548">
        <v>0.73270067184709897</v>
      </c>
      <c r="P548" t="s">
        <v>36</v>
      </c>
    </row>
    <row r="549" spans="1:16">
      <c r="A549">
        <v>548</v>
      </c>
      <c r="B549" t="s">
        <v>600</v>
      </c>
      <c r="C549">
        <v>137</v>
      </c>
      <c r="D549">
        <v>237</v>
      </c>
      <c r="E549">
        <v>111.840049541068</v>
      </c>
      <c r="F549">
        <v>0.57770272047330196</v>
      </c>
      <c r="G549">
        <v>9823.9147009451808</v>
      </c>
      <c r="H549">
        <v>1820.96967352556</v>
      </c>
      <c r="I549">
        <v>0.57606385611740696</v>
      </c>
      <c r="J549">
        <v>3.7229655773459998E-2</v>
      </c>
      <c r="K549">
        <v>0.41077909809575902</v>
      </c>
      <c r="L549" t="s">
        <v>33</v>
      </c>
      <c r="M549" t="s">
        <v>34</v>
      </c>
      <c r="N549" t="s">
        <v>35</v>
      </c>
      <c r="O549">
        <v>0.66814102713235901</v>
      </c>
      <c r="P549" t="s">
        <v>36</v>
      </c>
    </row>
    <row r="550" spans="1:16">
      <c r="A550">
        <v>549</v>
      </c>
      <c r="B550" t="s">
        <v>601</v>
      </c>
      <c r="C550">
        <v>116</v>
      </c>
      <c r="D550">
        <v>173</v>
      </c>
      <c r="E550">
        <v>111.91735353077399</v>
      </c>
      <c r="F550">
        <v>0.672588856863094</v>
      </c>
      <c r="G550">
        <v>9837.5</v>
      </c>
      <c r="H550">
        <v>754.76658761501301</v>
      </c>
      <c r="I550">
        <v>0.75272730429917001</v>
      </c>
      <c r="J550">
        <v>0.21700476823439899</v>
      </c>
      <c r="K550">
        <v>0.63162118780096299</v>
      </c>
      <c r="L550" t="s">
        <v>74</v>
      </c>
      <c r="M550" t="s">
        <v>34</v>
      </c>
      <c r="N550" t="s">
        <v>35</v>
      </c>
      <c r="O550">
        <v>0.72088819337195398</v>
      </c>
      <c r="P550" t="s">
        <v>36</v>
      </c>
    </row>
    <row r="551" spans="1:16">
      <c r="A551">
        <v>550</v>
      </c>
      <c r="B551" t="s">
        <v>602</v>
      </c>
      <c r="C551">
        <v>95</v>
      </c>
      <c r="D551">
        <v>186</v>
      </c>
      <c r="E551">
        <v>112.09610729508</v>
      </c>
      <c r="F551">
        <v>0.51319648093841597</v>
      </c>
      <c r="G551">
        <v>9868.9498945179603</v>
      </c>
      <c r="H551">
        <v>868.28894022019006</v>
      </c>
      <c r="I551">
        <v>0.74535816768468499</v>
      </c>
      <c r="J551">
        <v>0.16449483633319301</v>
      </c>
      <c r="K551">
        <v>0.694833666453888</v>
      </c>
      <c r="L551" t="s">
        <v>47</v>
      </c>
      <c r="M551" t="s">
        <v>34</v>
      </c>
      <c r="N551" t="s">
        <v>35</v>
      </c>
      <c r="O551">
        <v>0.90466271397610898</v>
      </c>
      <c r="P551" t="s">
        <v>36</v>
      </c>
    </row>
    <row r="552" spans="1:16">
      <c r="A552">
        <v>551</v>
      </c>
      <c r="B552" t="s">
        <v>603</v>
      </c>
      <c r="C552">
        <v>179</v>
      </c>
      <c r="D552">
        <v>111</v>
      </c>
      <c r="E552">
        <v>112.545959335964</v>
      </c>
      <c r="F552">
        <v>1.61441718620897</v>
      </c>
      <c r="G552">
        <v>9948.3188495274098</v>
      </c>
      <c r="H552">
        <v>883.94022381274601</v>
      </c>
      <c r="I552">
        <v>0.59600994286117903</v>
      </c>
      <c r="J552">
        <v>0.15999770982254799</v>
      </c>
      <c r="K552">
        <v>0.64596543038304499</v>
      </c>
      <c r="L552" t="s">
        <v>33</v>
      </c>
      <c r="M552" t="s">
        <v>34</v>
      </c>
      <c r="N552" t="s">
        <v>35</v>
      </c>
      <c r="O552">
        <v>0.825898012025438</v>
      </c>
      <c r="P552" t="s">
        <v>36</v>
      </c>
    </row>
    <row r="553" spans="1:16">
      <c r="A553">
        <v>552</v>
      </c>
      <c r="B553" t="s">
        <v>604</v>
      </c>
      <c r="C553">
        <v>142</v>
      </c>
      <c r="D553">
        <v>196</v>
      </c>
      <c r="E553">
        <v>112.68039679519001</v>
      </c>
      <c r="F553">
        <v>0.72423393640271605</v>
      </c>
      <c r="G553">
        <v>9972.0998098298696</v>
      </c>
      <c r="H553">
        <v>1252.5337708198499</v>
      </c>
      <c r="I553">
        <v>0.53841294034823395</v>
      </c>
      <c r="J553">
        <v>7.9876236171311704E-2</v>
      </c>
      <c r="K553">
        <v>0.49849544174573301</v>
      </c>
      <c r="L553" t="s">
        <v>38</v>
      </c>
      <c r="M553" t="s">
        <v>34</v>
      </c>
      <c r="N553" t="s">
        <v>35</v>
      </c>
      <c r="O553">
        <v>0.83633446008252899</v>
      </c>
      <c r="P553" t="s">
        <v>36</v>
      </c>
    </row>
    <row r="554" spans="1:16">
      <c r="A554">
        <v>553</v>
      </c>
      <c r="B554" t="s">
        <v>605</v>
      </c>
      <c r="C554">
        <v>146</v>
      </c>
      <c r="D554">
        <v>141</v>
      </c>
      <c r="E554">
        <v>112.947953930959</v>
      </c>
      <c r="F554">
        <v>1.0299727267296399</v>
      </c>
      <c r="G554">
        <v>10019.513099432899</v>
      </c>
      <c r="H554">
        <v>1229.0052806904</v>
      </c>
      <c r="I554">
        <v>0.58535022804224801</v>
      </c>
      <c r="J554">
        <v>8.3358325809983994E-2</v>
      </c>
      <c r="K554">
        <v>0.63237680697179199</v>
      </c>
      <c r="L554" t="s">
        <v>61</v>
      </c>
      <c r="M554" t="s">
        <v>34</v>
      </c>
      <c r="N554" t="s">
        <v>35</v>
      </c>
      <c r="O554">
        <v>0.76528516494522203</v>
      </c>
      <c r="P554" t="s">
        <v>36</v>
      </c>
    </row>
    <row r="555" spans="1:16">
      <c r="A555">
        <v>554</v>
      </c>
      <c r="B555" t="s">
        <v>606</v>
      </c>
      <c r="C555">
        <v>188</v>
      </c>
      <c r="D555">
        <v>104</v>
      </c>
      <c r="E555">
        <v>112.96973316684701</v>
      </c>
      <c r="F555">
        <v>1.81336940216772</v>
      </c>
      <c r="G555">
        <v>10023.377505482</v>
      </c>
      <c r="H555">
        <v>948.11148438412204</v>
      </c>
      <c r="I555">
        <v>0.57010350276506105</v>
      </c>
      <c r="J555">
        <v>0.14012161588084099</v>
      </c>
      <c r="K555">
        <v>0.68104057684150998</v>
      </c>
      <c r="L555" t="s">
        <v>41</v>
      </c>
      <c r="M555" t="s">
        <v>34</v>
      </c>
      <c r="N555" t="s">
        <v>35</v>
      </c>
      <c r="O555">
        <v>0.78941205149469096</v>
      </c>
      <c r="P555" t="s">
        <v>36</v>
      </c>
    </row>
    <row r="556" spans="1:16">
      <c r="A556">
        <v>555</v>
      </c>
      <c r="B556" t="s">
        <v>607</v>
      </c>
      <c r="C556">
        <v>135</v>
      </c>
      <c r="D556">
        <v>114</v>
      </c>
      <c r="E556">
        <v>113.411114299772</v>
      </c>
      <c r="F556">
        <v>1.1888479059208401</v>
      </c>
      <c r="G556">
        <v>10101.854674480201</v>
      </c>
      <c r="H556">
        <v>707.90585348212198</v>
      </c>
      <c r="I556">
        <v>0.69831708886423505</v>
      </c>
      <c r="J556">
        <v>0.25331445547436598</v>
      </c>
      <c r="K556">
        <v>0.79985407129323405</v>
      </c>
      <c r="L556" t="s">
        <v>288</v>
      </c>
      <c r="M556" t="s">
        <v>34</v>
      </c>
      <c r="N556" t="s">
        <v>35</v>
      </c>
      <c r="O556">
        <v>0.68138659992642403</v>
      </c>
      <c r="P556" t="s">
        <v>36</v>
      </c>
    </row>
    <row r="557" spans="1:16">
      <c r="A557">
        <v>556</v>
      </c>
      <c r="B557" t="s">
        <v>608</v>
      </c>
      <c r="C557">
        <v>201</v>
      </c>
      <c r="D557">
        <v>118</v>
      </c>
      <c r="E557">
        <v>113.84081064017801</v>
      </c>
      <c r="F557">
        <v>1.7083333333333299</v>
      </c>
      <c r="G557">
        <v>10178.5482714556</v>
      </c>
      <c r="H557">
        <v>1620.56215757163</v>
      </c>
      <c r="I557">
        <v>0.69063659964744695</v>
      </c>
      <c r="J557">
        <v>4.8703964930336498E-2</v>
      </c>
      <c r="K557">
        <v>0.53037895274901403</v>
      </c>
      <c r="L557" t="s">
        <v>33</v>
      </c>
      <c r="M557" t="s">
        <v>34</v>
      </c>
      <c r="N557" t="s">
        <v>35</v>
      </c>
      <c r="O557">
        <v>0.79409322701765805</v>
      </c>
      <c r="P557" t="s">
        <v>36</v>
      </c>
    </row>
    <row r="558" spans="1:16">
      <c r="A558">
        <v>557</v>
      </c>
      <c r="B558" t="s">
        <v>609</v>
      </c>
      <c r="C558">
        <v>210</v>
      </c>
      <c r="D558">
        <v>112</v>
      </c>
      <c r="E558">
        <v>114.17000411327901</v>
      </c>
      <c r="F558">
        <v>1.8678755904779101</v>
      </c>
      <c r="G558">
        <v>10237.5</v>
      </c>
      <c r="H558">
        <v>808.90872299671196</v>
      </c>
      <c r="I558">
        <v>0.84182643448171801</v>
      </c>
      <c r="J558">
        <v>0.196609609829626</v>
      </c>
      <c r="K558">
        <v>0.579617834394904</v>
      </c>
      <c r="L558" t="s">
        <v>47</v>
      </c>
      <c r="M558" t="s">
        <v>34</v>
      </c>
      <c r="N558" t="s">
        <v>35</v>
      </c>
      <c r="O558">
        <v>0.94908077469379704</v>
      </c>
      <c r="P558" t="s">
        <v>36</v>
      </c>
    </row>
    <row r="559" spans="1:16">
      <c r="A559">
        <v>558</v>
      </c>
      <c r="B559" t="s">
        <v>610</v>
      </c>
      <c r="C559">
        <v>118</v>
      </c>
      <c r="D559">
        <v>132</v>
      </c>
      <c r="E559">
        <v>114.42446044057201</v>
      </c>
      <c r="F559">
        <v>0.88934650760716805</v>
      </c>
      <c r="G559">
        <v>10283.1844967864</v>
      </c>
      <c r="H559">
        <v>552.379957456174</v>
      </c>
      <c r="I559">
        <v>0.59354833847771704</v>
      </c>
      <c r="J559">
        <v>0.42350804760337502</v>
      </c>
      <c r="K559">
        <v>0.86024419963693299</v>
      </c>
      <c r="L559" t="s">
        <v>47</v>
      </c>
      <c r="M559" t="s">
        <v>34</v>
      </c>
      <c r="N559" t="s">
        <v>35</v>
      </c>
      <c r="O559">
        <v>0.91673692016433805</v>
      </c>
      <c r="P559" t="s">
        <v>36</v>
      </c>
    </row>
    <row r="560" spans="1:16">
      <c r="A560">
        <v>559</v>
      </c>
      <c r="B560" t="s">
        <v>611</v>
      </c>
      <c r="C560">
        <v>123</v>
      </c>
      <c r="D560">
        <v>179</v>
      </c>
      <c r="E560">
        <v>114.437690613813</v>
      </c>
      <c r="F560">
        <v>0.686704649294133</v>
      </c>
      <c r="G560">
        <v>10285.562592816599</v>
      </c>
      <c r="H560">
        <v>1286.83042388833</v>
      </c>
      <c r="I560">
        <v>0.73645478618376803</v>
      </c>
      <c r="J560">
        <v>7.8054019960650603E-2</v>
      </c>
      <c r="K560">
        <v>0.57030071779995595</v>
      </c>
      <c r="L560" t="s">
        <v>38</v>
      </c>
      <c r="M560" t="s">
        <v>34</v>
      </c>
      <c r="N560" t="s">
        <v>35</v>
      </c>
      <c r="O560">
        <v>0.76437167591908906</v>
      </c>
      <c r="P560" t="s">
        <v>36</v>
      </c>
    </row>
    <row r="561" spans="1:16">
      <c r="A561">
        <v>560</v>
      </c>
      <c r="B561" t="s">
        <v>612</v>
      </c>
      <c r="C561">
        <v>115</v>
      </c>
      <c r="D561">
        <v>184</v>
      </c>
      <c r="E561">
        <v>114.79762595099901</v>
      </c>
      <c r="F561">
        <v>0.62568188291329996</v>
      </c>
      <c r="G561">
        <v>10350.365709640801</v>
      </c>
      <c r="H561">
        <v>1026.35820496621</v>
      </c>
      <c r="I561">
        <v>0.62325910820484498</v>
      </c>
      <c r="J561">
        <v>0.123471760918413</v>
      </c>
      <c r="K561">
        <v>0.6461903922351</v>
      </c>
      <c r="L561" t="s">
        <v>38</v>
      </c>
      <c r="M561" t="s">
        <v>34</v>
      </c>
      <c r="N561" t="s">
        <v>35</v>
      </c>
      <c r="O561">
        <v>0.67758851998535097</v>
      </c>
      <c r="P561" t="s">
        <v>36</v>
      </c>
    </row>
    <row r="562" spans="1:16">
      <c r="A562">
        <v>561</v>
      </c>
      <c r="B562" t="s">
        <v>613</v>
      </c>
      <c r="C562">
        <v>156</v>
      </c>
      <c r="D562">
        <v>118</v>
      </c>
      <c r="E562">
        <v>115.058615120797</v>
      </c>
      <c r="F562">
        <v>1.32258064516129</v>
      </c>
      <c r="G562">
        <v>10397.481737240099</v>
      </c>
      <c r="H562">
        <v>1601.0987230872099</v>
      </c>
      <c r="I562">
        <v>0.54012385766853999</v>
      </c>
      <c r="J562">
        <v>5.0968494765339399E-2</v>
      </c>
      <c r="K562">
        <v>0.65032072139072195</v>
      </c>
      <c r="L562" t="s">
        <v>41</v>
      </c>
      <c r="M562" t="s">
        <v>34</v>
      </c>
      <c r="N562" t="s">
        <v>35</v>
      </c>
      <c r="O562">
        <v>0.708276073722657</v>
      </c>
      <c r="P562" t="s">
        <v>36</v>
      </c>
    </row>
    <row r="563" spans="1:16">
      <c r="A563">
        <v>562</v>
      </c>
      <c r="B563" t="s">
        <v>614</v>
      </c>
      <c r="C563">
        <v>162</v>
      </c>
      <c r="D563">
        <v>97</v>
      </c>
      <c r="E563">
        <v>116.576576397032</v>
      </c>
      <c r="F563">
        <v>1.6699205390678</v>
      </c>
      <c r="G563">
        <v>10673.6381387524</v>
      </c>
      <c r="H563">
        <v>696.12085743831597</v>
      </c>
      <c r="I563">
        <v>0.65814877048199905</v>
      </c>
      <c r="J563">
        <v>0.27679168929703402</v>
      </c>
      <c r="K563">
        <v>0.82409171237749901</v>
      </c>
      <c r="L563" t="s">
        <v>47</v>
      </c>
      <c r="M563" t="s">
        <v>34</v>
      </c>
      <c r="N563" t="s">
        <v>35</v>
      </c>
      <c r="O563">
        <v>0.94611784315581904</v>
      </c>
      <c r="P563" t="s">
        <v>36</v>
      </c>
    </row>
    <row r="564" spans="1:16">
      <c r="A564">
        <v>563</v>
      </c>
      <c r="B564" t="s">
        <v>615</v>
      </c>
      <c r="C564">
        <v>186</v>
      </c>
      <c r="D564">
        <v>137</v>
      </c>
      <c r="E564">
        <v>116.624454955788</v>
      </c>
      <c r="F564">
        <v>1.3585657370517901</v>
      </c>
      <c r="G564">
        <v>10682.4073678639</v>
      </c>
      <c r="H564">
        <v>1433.18116880396</v>
      </c>
      <c r="I564">
        <v>0.70222419159814298</v>
      </c>
      <c r="J564">
        <v>6.5354698168196598E-2</v>
      </c>
      <c r="K564">
        <v>0.60688863181538</v>
      </c>
      <c r="L564" t="s">
        <v>74</v>
      </c>
      <c r="M564" t="s">
        <v>34</v>
      </c>
      <c r="N564" t="s">
        <v>35</v>
      </c>
      <c r="O564">
        <v>0.76195902373500002</v>
      </c>
      <c r="P564" t="s">
        <v>36</v>
      </c>
    </row>
    <row r="565" spans="1:16">
      <c r="A565">
        <v>564</v>
      </c>
      <c r="B565" t="s">
        <v>616</v>
      </c>
      <c r="C565">
        <v>232</v>
      </c>
      <c r="D565">
        <v>130</v>
      </c>
      <c r="E565">
        <v>117.042354787622</v>
      </c>
      <c r="F565">
        <v>1.78598099600381</v>
      </c>
      <c r="G565">
        <v>10759.100964839299</v>
      </c>
      <c r="H565">
        <v>1360.0445436871601</v>
      </c>
      <c r="I565">
        <v>0.67681515032804895</v>
      </c>
      <c r="J565">
        <v>7.3093638687703605E-2</v>
      </c>
      <c r="K565">
        <v>0.53789280486264401</v>
      </c>
      <c r="L565" t="s">
        <v>43</v>
      </c>
      <c r="M565" t="s">
        <v>34</v>
      </c>
      <c r="N565" t="s">
        <v>35</v>
      </c>
      <c r="O565">
        <v>0.90724733618514697</v>
      </c>
      <c r="P565" t="s">
        <v>36</v>
      </c>
    </row>
    <row r="566" spans="1:16">
      <c r="A566">
        <v>565</v>
      </c>
      <c r="B566" t="s">
        <v>617</v>
      </c>
      <c r="C566">
        <v>191</v>
      </c>
      <c r="D566">
        <v>107</v>
      </c>
      <c r="E566">
        <v>117.139327121737</v>
      </c>
      <c r="F566">
        <v>1.7766497461928901</v>
      </c>
      <c r="G566">
        <v>10776.936685066201</v>
      </c>
      <c r="H566">
        <v>1402.0744323971001</v>
      </c>
      <c r="I566">
        <v>0.66323006911498095</v>
      </c>
      <c r="J566">
        <v>6.8891089933855107E-2</v>
      </c>
      <c r="K566">
        <v>0.58921809228168798</v>
      </c>
      <c r="L566" t="s">
        <v>33</v>
      </c>
      <c r="M566" t="s">
        <v>34</v>
      </c>
      <c r="N566" t="s">
        <v>35</v>
      </c>
      <c r="O566">
        <v>0.71522535048033897</v>
      </c>
      <c r="P566" t="s">
        <v>36</v>
      </c>
    </row>
    <row r="567" spans="1:16">
      <c r="A567">
        <v>566</v>
      </c>
      <c r="B567" t="s">
        <v>618</v>
      </c>
      <c r="C567">
        <v>127</v>
      </c>
      <c r="D567">
        <v>177</v>
      </c>
      <c r="E567">
        <v>117.170825850257</v>
      </c>
      <c r="F567">
        <v>0.719135802469136</v>
      </c>
      <c r="G567">
        <v>10782.7332941399</v>
      </c>
      <c r="H567">
        <v>1501.0754065726101</v>
      </c>
      <c r="I567">
        <v>0.55539040771621995</v>
      </c>
      <c r="J567">
        <v>6.0135885193015E-2</v>
      </c>
      <c r="K567">
        <v>0.57052643168341699</v>
      </c>
      <c r="L567" t="s">
        <v>33</v>
      </c>
      <c r="M567" t="s">
        <v>34</v>
      </c>
      <c r="N567" t="s">
        <v>35</v>
      </c>
      <c r="O567">
        <v>0.79492593914193399</v>
      </c>
      <c r="P567" t="s">
        <v>36</v>
      </c>
    </row>
    <row r="568" spans="1:16">
      <c r="A568">
        <v>567</v>
      </c>
      <c r="B568" t="s">
        <v>619</v>
      </c>
      <c r="C568">
        <v>146</v>
      </c>
      <c r="D568">
        <v>161</v>
      </c>
      <c r="E568">
        <v>117.53607722810099</v>
      </c>
      <c r="F568">
        <v>0.90540538590000996</v>
      </c>
      <c r="G568">
        <v>10850.0631379962</v>
      </c>
      <c r="H568">
        <v>1582.0869614522401</v>
      </c>
      <c r="I568">
        <v>0.58345141944322298</v>
      </c>
      <c r="J568">
        <v>5.4473016654963201E-2</v>
      </c>
      <c r="K568">
        <v>0.54473953241946405</v>
      </c>
      <c r="L568" t="s">
        <v>33</v>
      </c>
      <c r="M568" t="s">
        <v>34</v>
      </c>
      <c r="N568" t="s">
        <v>35</v>
      </c>
      <c r="O568">
        <v>0.75668097798802303</v>
      </c>
      <c r="P568" t="s">
        <v>36</v>
      </c>
    </row>
    <row r="569" spans="1:16">
      <c r="A569">
        <v>568</v>
      </c>
      <c r="B569" t="s">
        <v>620</v>
      </c>
      <c r="C569">
        <v>88</v>
      </c>
      <c r="D569">
        <v>274</v>
      </c>
      <c r="E569">
        <v>118.235989580565</v>
      </c>
      <c r="F569">
        <v>0.32007952286282298</v>
      </c>
      <c r="G569">
        <v>10979.669371644601</v>
      </c>
      <c r="H569">
        <v>2089.0107364865999</v>
      </c>
      <c r="I569">
        <v>0.88039300454357905</v>
      </c>
      <c r="J569">
        <v>3.1616790566992001E-2</v>
      </c>
      <c r="K569">
        <v>0.52486411595438598</v>
      </c>
      <c r="L569" t="s">
        <v>41</v>
      </c>
      <c r="M569" t="s">
        <v>34</v>
      </c>
      <c r="N569" t="s">
        <v>35</v>
      </c>
      <c r="O569">
        <v>0.80618789364063304</v>
      </c>
      <c r="P569" t="s">
        <v>36</v>
      </c>
    </row>
    <row r="570" spans="1:16">
      <c r="A570">
        <v>569</v>
      </c>
      <c r="B570" t="s">
        <v>621</v>
      </c>
      <c r="C570">
        <v>101</v>
      </c>
      <c r="D570">
        <v>195</v>
      </c>
      <c r="E570">
        <v>118.980304374467</v>
      </c>
      <c r="F570">
        <v>0.51840284732100705</v>
      </c>
      <c r="G570">
        <v>11118.3420964083</v>
      </c>
      <c r="H570">
        <v>773.012559472063</v>
      </c>
      <c r="I570">
        <v>0.79150917665933596</v>
      </c>
      <c r="J570">
        <v>0.23381738349907399</v>
      </c>
      <c r="K570">
        <v>0.71246928395908304</v>
      </c>
      <c r="L570" t="s">
        <v>33</v>
      </c>
      <c r="M570" t="s">
        <v>34</v>
      </c>
      <c r="N570" t="s">
        <v>35</v>
      </c>
      <c r="O570">
        <v>0.83493373849701302</v>
      </c>
      <c r="P570" t="s">
        <v>36</v>
      </c>
    </row>
    <row r="571" spans="1:16">
      <c r="A571">
        <v>570</v>
      </c>
      <c r="B571" t="s">
        <v>622</v>
      </c>
      <c r="C571">
        <v>132</v>
      </c>
      <c r="D571">
        <v>142</v>
      </c>
      <c r="E571">
        <v>119.76977384442399</v>
      </c>
      <c r="F571">
        <v>0.93076923076923102</v>
      </c>
      <c r="G571">
        <v>11266.3785742911</v>
      </c>
      <c r="H571">
        <v>946.40498514952901</v>
      </c>
      <c r="I571">
        <v>0.60258966166336403</v>
      </c>
      <c r="J571">
        <v>0.158066619698881</v>
      </c>
      <c r="K571">
        <v>0.728421517941227</v>
      </c>
      <c r="L571" t="s">
        <v>47</v>
      </c>
      <c r="M571" t="s">
        <v>34</v>
      </c>
      <c r="N571" t="s">
        <v>35</v>
      </c>
      <c r="O571">
        <v>0.93837936331060101</v>
      </c>
      <c r="P571" t="s">
        <v>36</v>
      </c>
    </row>
    <row r="572" spans="1:16">
      <c r="A572">
        <v>571</v>
      </c>
      <c r="B572" t="s">
        <v>623</v>
      </c>
      <c r="C572">
        <v>166</v>
      </c>
      <c r="D572">
        <v>137</v>
      </c>
      <c r="E572">
        <v>119.848750571971</v>
      </c>
      <c r="F572">
        <v>1.2151394422310799</v>
      </c>
      <c r="G572">
        <v>11281.241674480199</v>
      </c>
      <c r="H572">
        <v>1673.33200250512</v>
      </c>
      <c r="I572">
        <v>0.616574706925472</v>
      </c>
      <c r="J572">
        <v>5.06293711329815E-2</v>
      </c>
      <c r="K572">
        <v>0.61227271993933796</v>
      </c>
      <c r="L572" t="s">
        <v>33</v>
      </c>
      <c r="M572" t="s">
        <v>34</v>
      </c>
      <c r="N572" t="s">
        <v>35</v>
      </c>
      <c r="O572">
        <v>0.805093586619128</v>
      </c>
      <c r="P572" t="s">
        <v>36</v>
      </c>
    </row>
    <row r="573" spans="1:16">
      <c r="A573">
        <v>572</v>
      </c>
      <c r="B573" t="s">
        <v>624</v>
      </c>
      <c r="C573">
        <v>147</v>
      </c>
      <c r="D573">
        <v>152</v>
      </c>
      <c r="E573">
        <v>119.95055374522801</v>
      </c>
      <c r="F573">
        <v>0.96762589928057596</v>
      </c>
      <c r="G573">
        <v>11300.415073724</v>
      </c>
      <c r="H573">
        <v>1492.3292308305699</v>
      </c>
      <c r="I573">
        <v>0.545304852464777</v>
      </c>
      <c r="J573">
        <v>6.3763914132954402E-2</v>
      </c>
      <c r="K573">
        <v>0.58581500173363599</v>
      </c>
      <c r="L573" t="s">
        <v>43</v>
      </c>
      <c r="M573" t="s">
        <v>34</v>
      </c>
      <c r="N573" t="s">
        <v>35</v>
      </c>
      <c r="O573">
        <v>0.73633107406386</v>
      </c>
      <c r="P573" t="s">
        <v>36</v>
      </c>
    </row>
    <row r="574" spans="1:16">
      <c r="A574">
        <v>573</v>
      </c>
      <c r="B574" t="s">
        <v>625</v>
      </c>
      <c r="C574">
        <v>107</v>
      </c>
      <c r="D574">
        <v>192</v>
      </c>
      <c r="E574">
        <v>120.05463507303099</v>
      </c>
      <c r="F574">
        <v>0.55414908883657399</v>
      </c>
      <c r="G574">
        <v>11320.034365973501</v>
      </c>
      <c r="H574">
        <v>843.72642873909194</v>
      </c>
      <c r="I574">
        <v>0.82712894607149201</v>
      </c>
      <c r="J574">
        <v>0.199827062020944</v>
      </c>
      <c r="K574">
        <v>0.74603532212089496</v>
      </c>
      <c r="L574" t="s">
        <v>38</v>
      </c>
      <c r="M574" t="s">
        <v>34</v>
      </c>
      <c r="N574" t="s">
        <v>35</v>
      </c>
      <c r="O574">
        <v>0.70456216910722902</v>
      </c>
      <c r="P574" t="s">
        <v>36</v>
      </c>
    </row>
    <row r="575" spans="1:16">
      <c r="A575">
        <v>574</v>
      </c>
      <c r="B575" t="s">
        <v>626</v>
      </c>
      <c r="C575">
        <v>359</v>
      </c>
      <c r="D575">
        <v>91</v>
      </c>
      <c r="E575">
        <v>120.448852547369</v>
      </c>
      <c r="F575">
        <v>3.9436034575944401</v>
      </c>
      <c r="G575">
        <v>11394.4984979206</v>
      </c>
      <c r="H575">
        <v>1472.8336966264801</v>
      </c>
      <c r="I575">
        <v>0.87191705926387897</v>
      </c>
      <c r="J575">
        <v>6.6008164442099101E-2</v>
      </c>
      <c r="K575">
        <v>0.428043394509243</v>
      </c>
      <c r="L575" t="s">
        <v>33</v>
      </c>
      <c r="M575" t="s">
        <v>34</v>
      </c>
      <c r="N575" t="s">
        <v>35</v>
      </c>
      <c r="O575">
        <v>0.81198037681441304</v>
      </c>
      <c r="P575" t="s">
        <v>36</v>
      </c>
    </row>
    <row r="576" spans="1:16">
      <c r="A576">
        <v>575</v>
      </c>
      <c r="B576" t="s">
        <v>627</v>
      </c>
      <c r="C576">
        <v>155</v>
      </c>
      <c r="D576">
        <v>170</v>
      </c>
      <c r="E576">
        <v>120.539944635805</v>
      </c>
      <c r="F576">
        <v>0.91035142354719101</v>
      </c>
      <c r="G576">
        <v>11411.7396941399</v>
      </c>
      <c r="H576">
        <v>1734.6742293396201</v>
      </c>
      <c r="I576">
        <v>0.695979513272735</v>
      </c>
      <c r="J576">
        <v>4.7656908641684599E-2</v>
      </c>
      <c r="K576">
        <v>0.54261544332782097</v>
      </c>
      <c r="L576" t="s">
        <v>144</v>
      </c>
      <c r="M576" t="s">
        <v>34</v>
      </c>
      <c r="N576" t="s">
        <v>35</v>
      </c>
      <c r="O576">
        <v>0.92496414002549199</v>
      </c>
      <c r="P576" t="s">
        <v>36</v>
      </c>
    </row>
    <row r="577" spans="1:16">
      <c r="A577">
        <v>576</v>
      </c>
      <c r="B577" t="s">
        <v>628</v>
      </c>
      <c r="C577">
        <v>184</v>
      </c>
      <c r="D577">
        <v>89</v>
      </c>
      <c r="E577">
        <v>120.721922609163</v>
      </c>
      <c r="F577">
        <v>2.06127813960632</v>
      </c>
      <c r="G577">
        <v>11446.2220865785</v>
      </c>
      <c r="H577">
        <v>574.05636122548106</v>
      </c>
      <c r="I577">
        <v>0.76289478778964803</v>
      </c>
      <c r="J577">
        <v>0.43647860890913498</v>
      </c>
      <c r="K577">
        <v>0.90006077464294898</v>
      </c>
      <c r="L577" t="s">
        <v>47</v>
      </c>
      <c r="M577" t="s">
        <v>34</v>
      </c>
      <c r="N577" t="s">
        <v>35</v>
      </c>
      <c r="O577">
        <v>0.91633242729027398</v>
      </c>
      <c r="P577" t="s">
        <v>36</v>
      </c>
    </row>
    <row r="578" spans="1:16">
      <c r="A578">
        <v>577</v>
      </c>
      <c r="B578" t="s">
        <v>629</v>
      </c>
      <c r="C578">
        <v>186</v>
      </c>
      <c r="D578">
        <v>99</v>
      </c>
      <c r="E578">
        <v>121.478268409701</v>
      </c>
      <c r="F578">
        <v>1.8723658310379201</v>
      </c>
      <c r="G578">
        <v>11590.0968964083</v>
      </c>
      <c r="H578">
        <v>669.98252237537599</v>
      </c>
      <c r="I578">
        <v>0.84758932984410196</v>
      </c>
      <c r="J578">
        <v>0.32446658937519401</v>
      </c>
      <c r="K578">
        <v>0.85615002031159104</v>
      </c>
      <c r="L578" t="s">
        <v>47</v>
      </c>
      <c r="M578" t="s">
        <v>34</v>
      </c>
      <c r="N578" t="s">
        <v>35</v>
      </c>
      <c r="O578">
        <v>0.86749877192759695</v>
      </c>
      <c r="P578" t="s">
        <v>36</v>
      </c>
    </row>
    <row r="579" spans="1:16">
      <c r="A579">
        <v>578</v>
      </c>
      <c r="B579" t="s">
        <v>630</v>
      </c>
      <c r="C579">
        <v>111</v>
      </c>
      <c r="D579">
        <v>222</v>
      </c>
      <c r="E579">
        <v>121.62850640195801</v>
      </c>
      <c r="F579">
        <v>0.50196552844082398</v>
      </c>
      <c r="G579">
        <v>11618.7826797732</v>
      </c>
      <c r="H579">
        <v>1048.50897906614</v>
      </c>
      <c r="I579">
        <v>0.71854019751400899</v>
      </c>
      <c r="J579">
        <v>0.13280859575669501</v>
      </c>
      <c r="K579">
        <v>0.648773362546891</v>
      </c>
      <c r="L579" t="s">
        <v>38</v>
      </c>
      <c r="M579" t="s">
        <v>34</v>
      </c>
      <c r="N579" t="s">
        <v>35</v>
      </c>
      <c r="O579">
        <v>0.67690233820608003</v>
      </c>
      <c r="P579" t="s">
        <v>36</v>
      </c>
    </row>
    <row r="580" spans="1:16">
      <c r="A580">
        <v>579</v>
      </c>
      <c r="B580" t="s">
        <v>631</v>
      </c>
      <c r="C580">
        <v>100</v>
      </c>
      <c r="D580">
        <v>185</v>
      </c>
      <c r="E580">
        <v>122.59014630150401</v>
      </c>
      <c r="F580">
        <v>0.54208216238947604</v>
      </c>
      <c r="G580">
        <v>11803.233753119101</v>
      </c>
      <c r="H580">
        <v>824.68256738444995</v>
      </c>
      <c r="I580">
        <v>0.765750524427248</v>
      </c>
      <c r="J580">
        <v>0.218090748733509</v>
      </c>
      <c r="K580">
        <v>0.722258096788569</v>
      </c>
      <c r="L580" t="s">
        <v>58</v>
      </c>
      <c r="M580" t="s">
        <v>34</v>
      </c>
      <c r="N580" t="s">
        <v>35</v>
      </c>
      <c r="O580">
        <v>0.80948619427894097</v>
      </c>
      <c r="P580" t="s">
        <v>36</v>
      </c>
    </row>
    <row r="581" spans="1:16">
      <c r="A581">
        <v>580</v>
      </c>
      <c r="B581" t="s">
        <v>632</v>
      </c>
      <c r="C581">
        <v>119</v>
      </c>
      <c r="D581">
        <v>139</v>
      </c>
      <c r="E581">
        <v>122.76796451355899</v>
      </c>
      <c r="F581">
        <v>0.85483873630568996</v>
      </c>
      <c r="G581">
        <v>11837.5</v>
      </c>
      <c r="H581">
        <v>515.77163994312298</v>
      </c>
      <c r="I581">
        <v>0.78273878731992497</v>
      </c>
      <c r="J581">
        <v>0.55918426096608898</v>
      </c>
      <c r="K581">
        <v>0.86642268984446502</v>
      </c>
      <c r="L581" t="s">
        <v>33</v>
      </c>
      <c r="M581" t="s">
        <v>34</v>
      </c>
      <c r="N581" t="s">
        <v>35</v>
      </c>
      <c r="O581">
        <v>0.732798862469483</v>
      </c>
      <c r="P581" t="s">
        <v>36</v>
      </c>
    </row>
    <row r="582" spans="1:16">
      <c r="A582">
        <v>581</v>
      </c>
      <c r="B582" t="s">
        <v>633</v>
      </c>
      <c r="C582">
        <v>176</v>
      </c>
      <c r="D582">
        <v>129</v>
      </c>
      <c r="E582">
        <v>124.485822772899</v>
      </c>
      <c r="F582">
        <v>1.3611347888009799</v>
      </c>
      <c r="G582">
        <v>12171.0954827977</v>
      </c>
      <c r="H582">
        <v>939.91717365472198</v>
      </c>
      <c r="I582">
        <v>0.49727602711406599</v>
      </c>
      <c r="J582">
        <v>0.173125230163517</v>
      </c>
      <c r="K582">
        <v>0.73747726003710401</v>
      </c>
      <c r="L582" t="s">
        <v>38</v>
      </c>
      <c r="M582" t="s">
        <v>34</v>
      </c>
      <c r="N582" t="s">
        <v>35</v>
      </c>
      <c r="O582">
        <v>0.72327508536297702</v>
      </c>
      <c r="P582" t="s">
        <v>36</v>
      </c>
    </row>
    <row r="583" spans="1:16">
      <c r="A583">
        <v>582</v>
      </c>
      <c r="B583" t="s">
        <v>634</v>
      </c>
      <c r="C583">
        <v>206</v>
      </c>
      <c r="D583">
        <v>215</v>
      </c>
      <c r="E583">
        <v>125.080320118247</v>
      </c>
      <c r="F583">
        <v>0.95443037270544495</v>
      </c>
      <c r="G583">
        <v>12287.6221882798</v>
      </c>
      <c r="H583">
        <v>2862.8076450173799</v>
      </c>
      <c r="I583">
        <v>0.51125622443720997</v>
      </c>
      <c r="J583">
        <v>1.8840541331140701E-2</v>
      </c>
      <c r="K583">
        <v>0.33233371656442701</v>
      </c>
      <c r="L583" t="s">
        <v>49</v>
      </c>
      <c r="M583" t="s">
        <v>34</v>
      </c>
      <c r="N583" t="s">
        <v>35</v>
      </c>
      <c r="O583">
        <v>0.83167581553105696</v>
      </c>
      <c r="P583" t="s">
        <v>36</v>
      </c>
    </row>
    <row r="584" spans="1:16">
      <c r="A584">
        <v>583</v>
      </c>
      <c r="B584" t="s">
        <v>635</v>
      </c>
      <c r="C584">
        <v>123</v>
      </c>
      <c r="D584">
        <v>213</v>
      </c>
      <c r="E584">
        <v>128.14954913930401</v>
      </c>
      <c r="F584">
        <v>0.57970581130461496</v>
      </c>
      <c r="G584">
        <v>12898.0497130435</v>
      </c>
      <c r="H584">
        <v>1551.3582962169901</v>
      </c>
      <c r="I584">
        <v>0.69884567377913398</v>
      </c>
      <c r="J584">
        <v>6.7345671174894303E-2</v>
      </c>
      <c r="K584">
        <v>0.61556304309274701</v>
      </c>
      <c r="L584" t="s">
        <v>33</v>
      </c>
      <c r="M584" t="s">
        <v>34</v>
      </c>
      <c r="N584" t="s">
        <v>35</v>
      </c>
      <c r="O584">
        <v>0.69852006201429995</v>
      </c>
      <c r="P584" t="s">
        <v>36</v>
      </c>
    </row>
    <row r="585" spans="1:16">
      <c r="A585">
        <v>584</v>
      </c>
      <c r="B585" t="s">
        <v>636</v>
      </c>
      <c r="C585">
        <v>112</v>
      </c>
      <c r="D585">
        <v>253</v>
      </c>
      <c r="E585">
        <v>128.24181183707</v>
      </c>
      <c r="F585">
        <v>0.44255371280452999</v>
      </c>
      <c r="G585">
        <v>12916.6285882798</v>
      </c>
      <c r="H585">
        <v>1231.77951722643</v>
      </c>
      <c r="I585">
        <v>0.79678251743466799</v>
      </c>
      <c r="J585">
        <v>0.106977656455295</v>
      </c>
      <c r="K585">
        <v>0.66559441202150604</v>
      </c>
      <c r="L585" t="s">
        <v>47</v>
      </c>
      <c r="M585" t="s">
        <v>34</v>
      </c>
      <c r="N585" t="s">
        <v>35</v>
      </c>
      <c r="O585">
        <v>0.91192211252658695</v>
      </c>
      <c r="P585" t="s">
        <v>36</v>
      </c>
    </row>
    <row r="586" spans="1:16">
      <c r="A586">
        <v>585</v>
      </c>
      <c r="B586" t="s">
        <v>637</v>
      </c>
      <c r="C586">
        <v>109</v>
      </c>
      <c r="D586">
        <v>247</v>
      </c>
      <c r="E586">
        <v>128.987074273876</v>
      </c>
      <c r="F586">
        <v>0.442355289784501</v>
      </c>
      <c r="G586">
        <v>13067.191793194699</v>
      </c>
      <c r="H586">
        <v>1073.0050143338301</v>
      </c>
      <c r="I586">
        <v>0.91097876554052104</v>
      </c>
      <c r="J586">
        <v>0.142622691020556</v>
      </c>
      <c r="K586">
        <v>0.62964713633987202</v>
      </c>
      <c r="L586" t="s">
        <v>41</v>
      </c>
      <c r="M586" t="s">
        <v>34</v>
      </c>
      <c r="N586" t="s">
        <v>35</v>
      </c>
      <c r="O586">
        <v>0.804481866194526</v>
      </c>
      <c r="P586" t="s">
        <v>36</v>
      </c>
    </row>
    <row r="587" spans="1:16">
      <c r="A587">
        <v>586</v>
      </c>
      <c r="B587" t="s">
        <v>638</v>
      </c>
      <c r="C587">
        <v>126</v>
      </c>
      <c r="D587">
        <v>201</v>
      </c>
      <c r="E587">
        <v>129.69741769097999</v>
      </c>
      <c r="F587">
        <v>0.629220235089893</v>
      </c>
      <c r="G587">
        <v>13211.5124960302</v>
      </c>
      <c r="H587">
        <v>975.55944303305296</v>
      </c>
      <c r="I587">
        <v>0.76627762425460499</v>
      </c>
      <c r="J587">
        <v>0.17444355545319001</v>
      </c>
      <c r="K587">
        <v>0.70540993103667204</v>
      </c>
      <c r="L587" t="s">
        <v>47</v>
      </c>
      <c r="M587" t="s">
        <v>34</v>
      </c>
      <c r="N587" t="s">
        <v>35</v>
      </c>
      <c r="O587">
        <v>0.86922510681350396</v>
      </c>
      <c r="P587" t="s">
        <v>36</v>
      </c>
    </row>
    <row r="588" spans="1:16">
      <c r="A588">
        <v>587</v>
      </c>
      <c r="B588" t="s">
        <v>639</v>
      </c>
      <c r="C588">
        <v>175</v>
      </c>
      <c r="D588">
        <v>111</v>
      </c>
      <c r="E588">
        <v>130.72928145578001</v>
      </c>
      <c r="F588">
        <v>1.56580742383241</v>
      </c>
      <c r="G588">
        <v>13422.568518714599</v>
      </c>
      <c r="H588">
        <v>669.74063609081804</v>
      </c>
      <c r="I588">
        <v>0.58465778760159604</v>
      </c>
      <c r="J588">
        <v>0.37603839733512201</v>
      </c>
      <c r="K588">
        <v>0.86005980838460205</v>
      </c>
      <c r="L588" t="s">
        <v>47</v>
      </c>
      <c r="M588" t="s">
        <v>34</v>
      </c>
      <c r="N588" t="s">
        <v>35</v>
      </c>
      <c r="O588">
        <v>0.87601699362933605</v>
      </c>
      <c r="P588" t="s">
        <v>36</v>
      </c>
    </row>
    <row r="589" spans="1:16">
      <c r="A589">
        <v>588</v>
      </c>
      <c r="B589" t="s">
        <v>640</v>
      </c>
      <c r="C589">
        <v>182</v>
      </c>
      <c r="D589">
        <v>208</v>
      </c>
      <c r="E589">
        <v>130.74112164146999</v>
      </c>
      <c r="F589">
        <v>0.87349397921355698</v>
      </c>
      <c r="G589">
        <v>13425</v>
      </c>
      <c r="H589">
        <v>1300.5382275581401</v>
      </c>
      <c r="I589">
        <v>0.70714527533457705</v>
      </c>
      <c r="J589">
        <v>9.9741963628674601E-2</v>
      </c>
      <c r="K589">
        <v>0.49722222222222201</v>
      </c>
      <c r="L589" t="s">
        <v>74</v>
      </c>
      <c r="M589" t="s">
        <v>34</v>
      </c>
      <c r="N589" t="s">
        <v>35</v>
      </c>
      <c r="O589">
        <v>0.74374176159184402</v>
      </c>
      <c r="P589" t="s">
        <v>36</v>
      </c>
    </row>
    <row r="590" spans="1:16">
      <c r="A590">
        <v>589</v>
      </c>
      <c r="B590" t="s">
        <v>641</v>
      </c>
      <c r="C590">
        <v>138</v>
      </c>
      <c r="D590">
        <v>177</v>
      </c>
      <c r="E590">
        <v>132.27700647335399</v>
      </c>
      <c r="F590">
        <v>0.78219227650013801</v>
      </c>
      <c r="G590">
        <v>13742.273803780699</v>
      </c>
      <c r="H590">
        <v>929.55139559859799</v>
      </c>
      <c r="I590">
        <v>0.75527996933616304</v>
      </c>
      <c r="J590">
        <v>0.19985805049804101</v>
      </c>
      <c r="K590">
        <v>0.75357393189560995</v>
      </c>
      <c r="L590" t="s">
        <v>49</v>
      </c>
      <c r="M590" t="s">
        <v>34</v>
      </c>
      <c r="N590" t="s">
        <v>35</v>
      </c>
      <c r="O590">
        <v>0.81441980909556599</v>
      </c>
      <c r="P590" t="s">
        <v>36</v>
      </c>
    </row>
    <row r="591" spans="1:16">
      <c r="A591">
        <v>590</v>
      </c>
      <c r="B591" t="s">
        <v>642</v>
      </c>
      <c r="C591">
        <v>196</v>
      </c>
      <c r="D591">
        <v>188</v>
      </c>
      <c r="E591">
        <v>132.33064519127899</v>
      </c>
      <c r="F591">
        <v>1.0455331823162599</v>
      </c>
      <c r="G591">
        <v>13753.4211289225</v>
      </c>
      <c r="H591">
        <v>1270.4739021492001</v>
      </c>
      <c r="I591">
        <v>0.57950420232710798</v>
      </c>
      <c r="J591">
        <v>0.107075252876948</v>
      </c>
      <c r="K591">
        <v>0.53258817570678696</v>
      </c>
      <c r="L591" t="s">
        <v>47</v>
      </c>
      <c r="M591" t="s">
        <v>34</v>
      </c>
      <c r="N591" t="s">
        <v>35</v>
      </c>
      <c r="O591">
        <v>0.88632080825179005</v>
      </c>
      <c r="P591" t="s">
        <v>36</v>
      </c>
    </row>
    <row r="592" spans="1:16">
      <c r="A592">
        <v>591</v>
      </c>
      <c r="B592" t="s">
        <v>643</v>
      </c>
      <c r="C592">
        <v>255</v>
      </c>
      <c r="D592">
        <v>112</v>
      </c>
      <c r="E592">
        <v>134.30796808185599</v>
      </c>
      <c r="F592">
        <v>2.2780487804877998</v>
      </c>
      <c r="G592">
        <v>14167.507100188999</v>
      </c>
      <c r="H592">
        <v>2145.4886471445702</v>
      </c>
      <c r="I592">
        <v>0.72182849722069298</v>
      </c>
      <c r="J592">
        <v>3.86768290925706E-2</v>
      </c>
      <c r="K592">
        <v>0.56167394391510095</v>
      </c>
      <c r="L592" t="s">
        <v>33</v>
      </c>
      <c r="M592" t="s">
        <v>34</v>
      </c>
      <c r="N592" t="s">
        <v>35</v>
      </c>
      <c r="O592">
        <v>0.77063033250537505</v>
      </c>
      <c r="P592" t="s">
        <v>36</v>
      </c>
    </row>
    <row r="593" spans="1:16">
      <c r="A593">
        <v>592</v>
      </c>
      <c r="B593" t="s">
        <v>644</v>
      </c>
      <c r="C593">
        <v>121</v>
      </c>
      <c r="D593">
        <v>207</v>
      </c>
      <c r="E593">
        <v>134.718774214577</v>
      </c>
      <c r="F593">
        <v>0.58400051616486903</v>
      </c>
      <c r="G593">
        <v>14254.307605292999</v>
      </c>
      <c r="H593">
        <v>894.57058563460498</v>
      </c>
      <c r="I593">
        <v>0.76962394859649796</v>
      </c>
      <c r="J593">
        <v>0.22383436423658201</v>
      </c>
      <c r="K593">
        <v>0.77225474486057299</v>
      </c>
      <c r="L593" t="s">
        <v>33</v>
      </c>
      <c r="M593" t="s">
        <v>34</v>
      </c>
      <c r="N593" t="s">
        <v>35</v>
      </c>
      <c r="O593">
        <v>0.85432447817546797</v>
      </c>
      <c r="P593" t="s">
        <v>36</v>
      </c>
    </row>
    <row r="594" spans="1:16">
      <c r="A594">
        <v>593</v>
      </c>
      <c r="B594" t="s">
        <v>645</v>
      </c>
      <c r="C594">
        <v>213</v>
      </c>
      <c r="D594">
        <v>151</v>
      </c>
      <c r="E594">
        <v>135.43957707503699</v>
      </c>
      <c r="F594">
        <v>1.4080267378101301</v>
      </c>
      <c r="G594">
        <v>14407.248906238199</v>
      </c>
      <c r="H594">
        <v>1492.95859052523</v>
      </c>
      <c r="I594">
        <v>0.808402208719607</v>
      </c>
      <c r="J594">
        <v>8.1226062166485799E-2</v>
      </c>
      <c r="K594">
        <v>0.58773988176443803</v>
      </c>
      <c r="L594" t="s">
        <v>33</v>
      </c>
      <c r="M594" t="s">
        <v>34</v>
      </c>
      <c r="N594" t="s">
        <v>35</v>
      </c>
      <c r="O594">
        <v>0.82327341439173096</v>
      </c>
      <c r="P594" t="s">
        <v>36</v>
      </c>
    </row>
    <row r="595" spans="1:16">
      <c r="A595">
        <v>594</v>
      </c>
      <c r="B595" t="s">
        <v>646</v>
      </c>
      <c r="C595">
        <v>115</v>
      </c>
      <c r="D595">
        <v>196</v>
      </c>
      <c r="E595">
        <v>135.61551622619899</v>
      </c>
      <c r="F595">
        <v>0.58511683273708104</v>
      </c>
      <c r="G595">
        <v>14444.7039187146</v>
      </c>
      <c r="H595">
        <v>890.60572215277205</v>
      </c>
      <c r="I595">
        <v>0.69793708589151504</v>
      </c>
      <c r="J595">
        <v>0.22884822379998601</v>
      </c>
      <c r="K595">
        <v>0.77261561210617902</v>
      </c>
      <c r="L595" t="s">
        <v>47</v>
      </c>
      <c r="M595" t="s">
        <v>34</v>
      </c>
      <c r="N595" t="s">
        <v>35</v>
      </c>
      <c r="O595">
        <v>0.88821806486781296</v>
      </c>
      <c r="P595" t="s">
        <v>36</v>
      </c>
    </row>
    <row r="596" spans="1:16">
      <c r="A596">
        <v>595</v>
      </c>
      <c r="B596" t="s">
        <v>647</v>
      </c>
      <c r="C596">
        <v>318</v>
      </c>
      <c r="D596">
        <v>123</v>
      </c>
      <c r="E596">
        <v>136.599219987482</v>
      </c>
      <c r="F596">
        <v>2.5955553650655601</v>
      </c>
      <c r="G596">
        <v>14655.0167863894</v>
      </c>
      <c r="H596">
        <v>2233.5547900044398</v>
      </c>
      <c r="I596">
        <v>0.80074304995851597</v>
      </c>
      <c r="J596">
        <v>3.6915007716176E-2</v>
      </c>
      <c r="K596">
        <v>0.55431873889675998</v>
      </c>
      <c r="L596" t="s">
        <v>49</v>
      </c>
      <c r="M596" t="s">
        <v>34</v>
      </c>
      <c r="N596" t="s">
        <v>35</v>
      </c>
      <c r="O596">
        <v>0.80945873483691</v>
      </c>
      <c r="P596" t="s">
        <v>36</v>
      </c>
    </row>
    <row r="597" spans="1:16">
      <c r="A597">
        <v>596</v>
      </c>
      <c r="B597" t="s">
        <v>648</v>
      </c>
      <c r="C597">
        <v>149</v>
      </c>
      <c r="D597">
        <v>255</v>
      </c>
      <c r="E597">
        <v>139.40164472315399</v>
      </c>
      <c r="F597">
        <v>0.58354762489259804</v>
      </c>
      <c r="G597">
        <v>15262.5</v>
      </c>
      <c r="H597">
        <v>1310.03570139408</v>
      </c>
      <c r="I597">
        <v>0.77348288451291303</v>
      </c>
      <c r="J597">
        <v>0.11175559582957099</v>
      </c>
      <c r="K597">
        <v>0.56345177664974599</v>
      </c>
      <c r="L597" t="s">
        <v>33</v>
      </c>
      <c r="M597" t="s">
        <v>34</v>
      </c>
      <c r="N597" t="s">
        <v>35</v>
      </c>
      <c r="O597">
        <v>0.74124378794107104</v>
      </c>
      <c r="P597" t="s">
        <v>36</v>
      </c>
    </row>
    <row r="598" spans="1:16">
      <c r="A598">
        <v>597</v>
      </c>
      <c r="B598" t="s">
        <v>649</v>
      </c>
      <c r="C598">
        <v>157</v>
      </c>
      <c r="D598">
        <v>142</v>
      </c>
      <c r="E598">
        <v>140.49883872903999</v>
      </c>
      <c r="F598">
        <v>1.1034482758620701</v>
      </c>
      <c r="G598">
        <v>15503.6998071834</v>
      </c>
      <c r="H598">
        <v>606.34042933547005</v>
      </c>
      <c r="I598">
        <v>0.56791924011310702</v>
      </c>
      <c r="J598">
        <v>0.529922257473875</v>
      </c>
      <c r="K598">
        <v>0.93179686453168997</v>
      </c>
      <c r="L598" t="s">
        <v>47</v>
      </c>
      <c r="M598" t="s">
        <v>34</v>
      </c>
      <c r="N598" t="s">
        <v>35</v>
      </c>
      <c r="O598">
        <v>0.87257312274404397</v>
      </c>
      <c r="P598" t="s">
        <v>36</v>
      </c>
    </row>
    <row r="599" spans="1:16">
      <c r="A599">
        <v>598</v>
      </c>
      <c r="B599" t="s">
        <v>650</v>
      </c>
      <c r="C599">
        <v>121</v>
      </c>
      <c r="D599">
        <v>215</v>
      </c>
      <c r="E599">
        <v>141.082197653203</v>
      </c>
      <c r="F599">
        <v>0.56136105591989605</v>
      </c>
      <c r="G599">
        <v>15632.7115168242</v>
      </c>
      <c r="H599">
        <v>961.757969026566</v>
      </c>
      <c r="I599">
        <v>0.72755505087717498</v>
      </c>
      <c r="J599">
        <v>0.21237949831276101</v>
      </c>
      <c r="K599">
        <v>0.77024137324975095</v>
      </c>
      <c r="L599" t="s">
        <v>38</v>
      </c>
      <c r="M599" t="s">
        <v>34</v>
      </c>
      <c r="N599" t="s">
        <v>35</v>
      </c>
      <c r="O599">
        <v>0.67381469749477996</v>
      </c>
      <c r="P599" t="s">
        <v>36</v>
      </c>
    </row>
    <row r="600" spans="1:16">
      <c r="A600">
        <v>599</v>
      </c>
      <c r="B600" t="s">
        <v>651</v>
      </c>
      <c r="C600">
        <v>325</v>
      </c>
      <c r="D600">
        <v>115</v>
      </c>
      <c r="E600">
        <v>142.33911709575199</v>
      </c>
      <c r="F600">
        <v>2.8189850647988899</v>
      </c>
      <c r="G600">
        <v>15912.5</v>
      </c>
      <c r="H600">
        <v>974.47221219539597</v>
      </c>
      <c r="I600">
        <v>0.82904474530556904</v>
      </c>
      <c r="J600">
        <v>0.210576237638082</v>
      </c>
      <c r="K600">
        <v>0.651817716333845</v>
      </c>
      <c r="L600" t="s">
        <v>298</v>
      </c>
      <c r="M600" t="s">
        <v>34</v>
      </c>
      <c r="N600" t="s">
        <v>35</v>
      </c>
      <c r="O600">
        <v>0.68621541873641001</v>
      </c>
      <c r="P600" t="s">
        <v>36</v>
      </c>
    </row>
    <row r="601" spans="1:16">
      <c r="A601">
        <v>600</v>
      </c>
      <c r="B601" t="s">
        <v>652</v>
      </c>
      <c r="C601">
        <v>150</v>
      </c>
      <c r="D601">
        <v>165</v>
      </c>
      <c r="E601">
        <v>146.761256463134</v>
      </c>
      <c r="F601">
        <v>0.90449599891677501</v>
      </c>
      <c r="G601">
        <v>16916.586111153101</v>
      </c>
      <c r="H601">
        <v>708.17043724785697</v>
      </c>
      <c r="I601">
        <v>0.73214997171048901</v>
      </c>
      <c r="J601">
        <v>0.42388397828906499</v>
      </c>
      <c r="K601">
        <v>0.88594825170470504</v>
      </c>
      <c r="L601" t="s">
        <v>47</v>
      </c>
      <c r="M601" t="s">
        <v>34</v>
      </c>
      <c r="N601" t="s">
        <v>35</v>
      </c>
      <c r="O601">
        <v>0.92067879296383104</v>
      </c>
      <c r="P601" t="s">
        <v>36</v>
      </c>
    </row>
    <row r="602" spans="1:16">
      <c r="A602">
        <v>601</v>
      </c>
      <c r="B602" t="s">
        <v>653</v>
      </c>
      <c r="C602">
        <v>183</v>
      </c>
      <c r="D602">
        <v>160</v>
      </c>
      <c r="E602">
        <v>152.06976435587799</v>
      </c>
      <c r="F602">
        <v>1.1398962201416301</v>
      </c>
      <c r="G602">
        <v>18162.5</v>
      </c>
      <c r="H602">
        <v>768.90872299671196</v>
      </c>
      <c r="I602">
        <v>0.79497377205866104</v>
      </c>
      <c r="J602">
        <v>0.38604320773376499</v>
      </c>
      <c r="K602">
        <v>0.78202368137782596</v>
      </c>
      <c r="L602" t="s">
        <v>144</v>
      </c>
      <c r="M602" t="s">
        <v>34</v>
      </c>
      <c r="N602" t="s">
        <v>35</v>
      </c>
      <c r="O602">
        <v>0.77445488465068602</v>
      </c>
      <c r="P602" t="s">
        <v>36</v>
      </c>
    </row>
    <row r="603" spans="1:16">
      <c r="A603">
        <v>602</v>
      </c>
      <c r="B603" t="s">
        <v>654</v>
      </c>
      <c r="C603">
        <v>264</v>
      </c>
      <c r="D603">
        <v>183</v>
      </c>
      <c r="E603">
        <v>152.644304409478</v>
      </c>
      <c r="F603">
        <v>1.4453551385446799</v>
      </c>
      <c r="G603">
        <v>18300</v>
      </c>
      <c r="H603">
        <v>1473.6753106117201</v>
      </c>
      <c r="I603">
        <v>0.70320727449078302</v>
      </c>
      <c r="J603">
        <v>0.10589058280414999</v>
      </c>
      <c r="K603">
        <v>0.52624011502516199</v>
      </c>
      <c r="L603" t="s">
        <v>41</v>
      </c>
      <c r="M603" t="s">
        <v>34</v>
      </c>
      <c r="N603" t="s">
        <v>35</v>
      </c>
      <c r="O603">
        <v>0.766942341765805</v>
      </c>
      <c r="P603" t="s">
        <v>36</v>
      </c>
    </row>
    <row r="604" spans="1:16">
      <c r="A604">
        <v>603</v>
      </c>
      <c r="B604" t="s">
        <v>655</v>
      </c>
      <c r="C604">
        <v>186</v>
      </c>
      <c r="D604">
        <v>220</v>
      </c>
      <c r="E604">
        <v>154.439643559844</v>
      </c>
      <c r="F604">
        <v>0.84405940594059403</v>
      </c>
      <c r="G604">
        <v>18733.0055852552</v>
      </c>
      <c r="H604">
        <v>3080.8398043382699</v>
      </c>
      <c r="I604">
        <v>0.53813610104118303</v>
      </c>
      <c r="J604">
        <v>2.4801565407956201E-2</v>
      </c>
      <c r="K604">
        <v>0.52497480027657195</v>
      </c>
      <c r="L604" t="s">
        <v>33</v>
      </c>
      <c r="M604" t="s">
        <v>34</v>
      </c>
      <c r="N604" t="s">
        <v>35</v>
      </c>
      <c r="O604">
        <v>0.68757405862559196</v>
      </c>
      <c r="P604" t="s">
        <v>36</v>
      </c>
    </row>
    <row r="605" spans="1:16">
      <c r="A605">
        <v>604</v>
      </c>
      <c r="B605" t="s">
        <v>656</v>
      </c>
      <c r="C605">
        <v>155</v>
      </c>
      <c r="D605">
        <v>237</v>
      </c>
      <c r="E605">
        <v>155.43397428281199</v>
      </c>
      <c r="F605">
        <v>0.65213939803989995</v>
      </c>
      <c r="G605">
        <v>18975</v>
      </c>
      <c r="H605">
        <v>997.40114450454701</v>
      </c>
      <c r="I605">
        <v>0.69224701977416203</v>
      </c>
      <c r="J605">
        <v>0.23969110863151699</v>
      </c>
      <c r="K605">
        <v>0.67556742323097496</v>
      </c>
      <c r="L605" t="s">
        <v>33</v>
      </c>
      <c r="M605" t="s">
        <v>34</v>
      </c>
      <c r="N605" t="s">
        <v>35</v>
      </c>
      <c r="O605">
        <v>0.82223433424688597</v>
      </c>
      <c r="P605" t="s">
        <v>36</v>
      </c>
    </row>
    <row r="606" spans="1:16">
      <c r="A606">
        <v>605</v>
      </c>
      <c r="B606" t="s">
        <v>657</v>
      </c>
      <c r="C606">
        <v>201</v>
      </c>
      <c r="D606">
        <v>250</v>
      </c>
      <c r="E606">
        <v>157.96996848918801</v>
      </c>
      <c r="F606">
        <v>0.80174291938997799</v>
      </c>
      <c r="G606">
        <v>19599.2270642722</v>
      </c>
      <c r="H606">
        <v>1599.16914204504</v>
      </c>
      <c r="I606">
        <v>0.60088982168272698</v>
      </c>
      <c r="J606">
        <v>9.6307477198647504E-2</v>
      </c>
      <c r="K606">
        <v>0.67034547968603897</v>
      </c>
      <c r="L606" t="s">
        <v>41</v>
      </c>
      <c r="M606" t="s">
        <v>34</v>
      </c>
      <c r="N606" t="s">
        <v>35</v>
      </c>
      <c r="O606">
        <v>0.76102728912532702</v>
      </c>
      <c r="P606" t="s">
        <v>36</v>
      </c>
    </row>
    <row r="607" spans="1:16">
      <c r="A607">
        <v>606</v>
      </c>
      <c r="B607" t="s">
        <v>658</v>
      </c>
      <c r="C607">
        <v>191</v>
      </c>
      <c r="D607">
        <v>215</v>
      </c>
      <c r="E607">
        <v>164.34739727027201</v>
      </c>
      <c r="F607">
        <v>0.886075949367089</v>
      </c>
      <c r="G607">
        <v>21213.657006805301</v>
      </c>
      <c r="H607">
        <v>2177.23576171471</v>
      </c>
      <c r="I607">
        <v>0.60355186252174697</v>
      </c>
      <c r="J607">
        <v>5.6236008573988E-2</v>
      </c>
      <c r="K607">
        <v>0.60698732669898803</v>
      </c>
      <c r="L607" t="s">
        <v>33</v>
      </c>
      <c r="M607" t="s">
        <v>34</v>
      </c>
      <c r="N607" t="s">
        <v>35</v>
      </c>
      <c r="O607">
        <v>0.803800819257802</v>
      </c>
      <c r="P607" t="s">
        <v>36</v>
      </c>
    </row>
    <row r="608" spans="1:16">
      <c r="A608">
        <v>607</v>
      </c>
      <c r="B608" t="s">
        <v>659</v>
      </c>
      <c r="C608">
        <v>162</v>
      </c>
      <c r="D608">
        <v>241</v>
      </c>
      <c r="E608">
        <v>172.10094395267501</v>
      </c>
      <c r="F608">
        <v>0.67320259629284496</v>
      </c>
      <c r="G608">
        <v>23262.5</v>
      </c>
      <c r="H608">
        <v>992.04580605030105</v>
      </c>
      <c r="I608">
        <v>0.64245245909621596</v>
      </c>
      <c r="J608">
        <v>0.29703169894335901</v>
      </c>
      <c r="K608">
        <v>0.78127623845507999</v>
      </c>
      <c r="L608" t="s">
        <v>33</v>
      </c>
      <c r="M608" t="s">
        <v>34</v>
      </c>
      <c r="N608" t="s">
        <v>35</v>
      </c>
      <c r="O608">
        <v>0.71480301699892301</v>
      </c>
      <c r="P608" t="s">
        <v>36</v>
      </c>
    </row>
    <row r="609" spans="1:16">
      <c r="A609">
        <v>608</v>
      </c>
      <c r="B609" t="s">
        <v>660</v>
      </c>
      <c r="C609">
        <v>136</v>
      </c>
      <c r="D609">
        <v>446</v>
      </c>
      <c r="E609">
        <v>172.28580001450601</v>
      </c>
      <c r="F609">
        <v>0.30477855532676701</v>
      </c>
      <c r="G609">
        <v>23312.5</v>
      </c>
      <c r="H609">
        <v>1241.75143063068</v>
      </c>
      <c r="I609">
        <v>0.892751020511244</v>
      </c>
      <c r="J609">
        <v>0.18998940171305301</v>
      </c>
      <c r="K609">
        <v>0.60473411154345003</v>
      </c>
      <c r="L609" t="s">
        <v>47</v>
      </c>
      <c r="M609" t="s">
        <v>34</v>
      </c>
      <c r="N609" t="s">
        <v>35</v>
      </c>
      <c r="O609">
        <v>0.92942594675963897</v>
      </c>
      <c r="P609" t="s">
        <v>36</v>
      </c>
    </row>
    <row r="610" spans="1:16">
      <c r="A610">
        <v>609</v>
      </c>
      <c r="B610" t="s">
        <v>661</v>
      </c>
      <c r="C610">
        <v>250</v>
      </c>
      <c r="D610">
        <v>176</v>
      </c>
      <c r="E610">
        <v>181.45311061396799</v>
      </c>
      <c r="F610">
        <v>1.4223602484472</v>
      </c>
      <c r="G610">
        <v>25859.416232892301</v>
      </c>
      <c r="H610">
        <v>1853.7780604766799</v>
      </c>
      <c r="I610">
        <v>0.64321252568959397</v>
      </c>
      <c r="J610">
        <v>9.4561228273515693E-2</v>
      </c>
      <c r="K610">
        <v>0.71111401759147197</v>
      </c>
      <c r="L610" t="s">
        <v>38</v>
      </c>
      <c r="M610" t="s">
        <v>34</v>
      </c>
      <c r="N610" t="s">
        <v>35</v>
      </c>
      <c r="O610">
        <v>0.75211669452110297</v>
      </c>
      <c r="P610" t="s">
        <v>36</v>
      </c>
    </row>
    <row r="611" spans="1:16">
      <c r="A611">
        <v>610</v>
      </c>
      <c r="B611" t="s">
        <v>662</v>
      </c>
      <c r="C611">
        <v>197</v>
      </c>
      <c r="D611">
        <v>214</v>
      </c>
      <c r="E611">
        <v>184.34967365315799</v>
      </c>
      <c r="F611">
        <v>0.91891887268155903</v>
      </c>
      <c r="G611">
        <v>26691.601212476398</v>
      </c>
      <c r="H611">
        <v>1063.45568505609</v>
      </c>
      <c r="I611">
        <v>0.71315795430204898</v>
      </c>
      <c r="J611">
        <v>0.29658261981027001</v>
      </c>
      <c r="K611">
        <v>0.81818678840397496</v>
      </c>
      <c r="L611" t="s">
        <v>38</v>
      </c>
      <c r="M611" t="s">
        <v>34</v>
      </c>
      <c r="N611" t="s">
        <v>35</v>
      </c>
      <c r="O611">
        <v>0.71975790500494596</v>
      </c>
      <c r="P611" t="s">
        <v>36</v>
      </c>
    </row>
    <row r="612" spans="1:16">
      <c r="A612">
        <v>611</v>
      </c>
      <c r="B612" t="s">
        <v>663</v>
      </c>
      <c r="C612">
        <v>234</v>
      </c>
      <c r="D612">
        <v>232</v>
      </c>
      <c r="E612">
        <v>187.200918153993</v>
      </c>
      <c r="F612">
        <v>1.0105976889030901</v>
      </c>
      <c r="G612">
        <v>27523.6375610586</v>
      </c>
      <c r="H612">
        <v>1523.6003588399701</v>
      </c>
      <c r="I612">
        <v>0.74901760437593101</v>
      </c>
      <c r="J612">
        <v>0.14899564060461901</v>
      </c>
      <c r="K612">
        <v>0.66767260494748604</v>
      </c>
      <c r="L612" t="s">
        <v>38</v>
      </c>
      <c r="M612" t="s">
        <v>34</v>
      </c>
      <c r="N612" t="s">
        <v>35</v>
      </c>
      <c r="O612">
        <v>0.76299950605017397</v>
      </c>
      <c r="P612" t="s">
        <v>36</v>
      </c>
    </row>
    <row r="613" spans="1:16">
      <c r="A613">
        <v>612</v>
      </c>
      <c r="B613" t="s">
        <v>664</v>
      </c>
      <c r="C613">
        <v>239</v>
      </c>
      <c r="D613">
        <v>200</v>
      </c>
      <c r="E613">
        <v>193.31213267143099</v>
      </c>
      <c r="F613">
        <v>1.1981982111018901</v>
      </c>
      <c r="G613">
        <v>29350</v>
      </c>
      <c r="H613">
        <v>1252.96463370323</v>
      </c>
      <c r="I613">
        <v>0.54952519845664005</v>
      </c>
      <c r="J613">
        <v>0.23493100911453699</v>
      </c>
      <c r="K613">
        <v>0.78686327077747997</v>
      </c>
      <c r="L613" t="s">
        <v>43</v>
      </c>
      <c r="M613" t="s">
        <v>34</v>
      </c>
      <c r="N613" t="s">
        <v>35</v>
      </c>
      <c r="O613">
        <v>0.80734757391377898</v>
      </c>
      <c r="P613" t="s">
        <v>36</v>
      </c>
    </row>
    <row r="614" spans="1:16">
      <c r="A614">
        <v>613</v>
      </c>
      <c r="B614" t="s">
        <v>665</v>
      </c>
      <c r="C614">
        <v>676</v>
      </c>
      <c r="D614">
        <v>235</v>
      </c>
      <c r="E614">
        <v>193.84654256394799</v>
      </c>
      <c r="F614">
        <v>2.8749212613118398</v>
      </c>
      <c r="G614">
        <v>29512.5</v>
      </c>
      <c r="H614">
        <v>2496.4317935705199</v>
      </c>
      <c r="I614">
        <v>0.220635087993964</v>
      </c>
      <c r="J614">
        <v>5.9508150707604401E-2</v>
      </c>
      <c r="K614">
        <v>0.23714343109682601</v>
      </c>
      <c r="L614" t="s">
        <v>43</v>
      </c>
      <c r="M614" t="s">
        <v>34</v>
      </c>
      <c r="N614" t="s">
        <v>35</v>
      </c>
      <c r="O614">
        <v>0.76921648081323202</v>
      </c>
      <c r="P614" t="s">
        <v>36</v>
      </c>
    </row>
    <row r="615" spans="1:16">
      <c r="A615">
        <v>614</v>
      </c>
      <c r="B615" t="s">
        <v>666</v>
      </c>
      <c r="C615">
        <v>416</v>
      </c>
      <c r="D615">
        <v>201</v>
      </c>
      <c r="E615">
        <v>199.590787001558</v>
      </c>
      <c r="F615">
        <v>2.06642082213832</v>
      </c>
      <c r="G615">
        <v>31287.5</v>
      </c>
      <c r="H615">
        <v>2076.0154920816399</v>
      </c>
      <c r="I615">
        <v>0.56239492099739397</v>
      </c>
      <c r="J615">
        <v>9.1226191946241403E-2</v>
      </c>
      <c r="K615">
        <v>0.54389395914819605</v>
      </c>
      <c r="L615" t="s">
        <v>298</v>
      </c>
      <c r="M615" t="s">
        <v>34</v>
      </c>
      <c r="N615" t="s">
        <v>35</v>
      </c>
      <c r="O615">
        <v>0.649760513453013</v>
      </c>
      <c r="P615" t="s">
        <v>36</v>
      </c>
    </row>
    <row r="616" spans="1:16">
      <c r="A616">
        <v>615</v>
      </c>
      <c r="B616" t="s">
        <v>667</v>
      </c>
      <c r="C616">
        <v>487</v>
      </c>
      <c r="D616">
        <v>205</v>
      </c>
      <c r="E616">
        <v>217.04806646271001</v>
      </c>
      <c r="F616">
        <v>2.38141028866636</v>
      </c>
      <c r="G616">
        <v>37000</v>
      </c>
      <c r="H616">
        <v>2598.3556735515599</v>
      </c>
      <c r="I616">
        <v>0.79932848636950904</v>
      </c>
      <c r="J616">
        <v>6.88675115405495E-2</v>
      </c>
      <c r="K616">
        <v>0.47390329811079102</v>
      </c>
      <c r="L616" t="s">
        <v>288</v>
      </c>
      <c r="M616" t="s">
        <v>34</v>
      </c>
      <c r="N616" t="s">
        <v>35</v>
      </c>
      <c r="O616">
        <v>0.741921981182593</v>
      </c>
      <c r="P616" t="s">
        <v>36</v>
      </c>
    </row>
    <row r="617" spans="1:16">
      <c r="A617">
        <v>616</v>
      </c>
      <c r="B617" t="s">
        <v>668</v>
      </c>
      <c r="C617">
        <v>319</v>
      </c>
      <c r="D617">
        <v>234</v>
      </c>
      <c r="E617">
        <v>223.79915234651699</v>
      </c>
      <c r="F617">
        <v>1.3635204022332501</v>
      </c>
      <c r="G617">
        <v>39337.5</v>
      </c>
      <c r="H617">
        <v>1889.44695055485</v>
      </c>
      <c r="I617">
        <v>0.46249017700864398</v>
      </c>
      <c r="J617">
        <v>0.13846729691206</v>
      </c>
      <c r="K617">
        <v>0.64779744750926305</v>
      </c>
      <c r="L617" t="s">
        <v>74</v>
      </c>
      <c r="M617" t="s">
        <v>34</v>
      </c>
      <c r="N617" t="s">
        <v>35</v>
      </c>
      <c r="O617">
        <v>0.69118590809153202</v>
      </c>
      <c r="P617" t="s">
        <v>36</v>
      </c>
    </row>
    <row r="618" spans="1:16">
      <c r="A618">
        <v>617</v>
      </c>
      <c r="B618" t="s">
        <v>669</v>
      </c>
      <c r="C618">
        <v>189</v>
      </c>
      <c r="D618">
        <v>403</v>
      </c>
      <c r="E618">
        <v>226.55566456642899</v>
      </c>
      <c r="F618">
        <v>0.46851321526552703</v>
      </c>
      <c r="G618">
        <v>40312.5</v>
      </c>
      <c r="H618">
        <v>1713.8834613561601</v>
      </c>
      <c r="I618">
        <v>0.75496257696228697</v>
      </c>
      <c r="J618">
        <v>0.17245945928499001</v>
      </c>
      <c r="K618">
        <v>0.66701137538779698</v>
      </c>
      <c r="L618" t="s">
        <v>33</v>
      </c>
      <c r="M618" t="s">
        <v>34</v>
      </c>
      <c r="N618" t="s">
        <v>35</v>
      </c>
      <c r="O618">
        <v>0.80873756225444904</v>
      </c>
      <c r="P618" t="s">
        <v>36</v>
      </c>
    </row>
    <row r="619" spans="1:16">
      <c r="A619">
        <v>618</v>
      </c>
      <c r="B619" t="s">
        <v>670</v>
      </c>
      <c r="C619">
        <v>570</v>
      </c>
      <c r="D619">
        <v>168</v>
      </c>
      <c r="E619">
        <v>228.75783109790001</v>
      </c>
      <c r="F619">
        <v>3.3972549875722899</v>
      </c>
      <c r="G619">
        <v>41100</v>
      </c>
      <c r="H619">
        <v>2201.37083053589</v>
      </c>
      <c r="I619">
        <v>0.86242981969416299</v>
      </c>
      <c r="J619">
        <v>0.10657743671729999</v>
      </c>
      <c r="K619">
        <v>0.52785358805586802</v>
      </c>
      <c r="L619" t="s">
        <v>33</v>
      </c>
      <c r="M619" t="s">
        <v>34</v>
      </c>
      <c r="N619" t="s">
        <v>35</v>
      </c>
      <c r="O619">
        <v>0.869139857932969</v>
      </c>
      <c r="P619" t="s">
        <v>36</v>
      </c>
    </row>
    <row r="620" spans="1:16">
      <c r="A620">
        <v>619</v>
      </c>
      <c r="B620" t="s">
        <v>671</v>
      </c>
      <c r="C620">
        <v>358</v>
      </c>
      <c r="D620">
        <v>457</v>
      </c>
      <c r="E620">
        <v>232.68973256218899</v>
      </c>
      <c r="F620">
        <v>0.78282826764749103</v>
      </c>
      <c r="G620">
        <v>42525</v>
      </c>
      <c r="H620">
        <v>3032.20343351364</v>
      </c>
      <c r="I620">
        <v>0.64181948940377498</v>
      </c>
      <c r="J620">
        <v>5.8121593934867398E-2</v>
      </c>
      <c r="K620">
        <v>0.32323040380047502</v>
      </c>
      <c r="L620" t="s">
        <v>33</v>
      </c>
      <c r="M620" t="s">
        <v>34</v>
      </c>
      <c r="N620" t="s">
        <v>35</v>
      </c>
      <c r="O620">
        <v>0.65167001342880004</v>
      </c>
      <c r="P620" t="s">
        <v>36</v>
      </c>
    </row>
    <row r="621" spans="1:16">
      <c r="A621">
        <v>620</v>
      </c>
      <c r="B621" t="s">
        <v>672</v>
      </c>
      <c r="C621">
        <v>332</v>
      </c>
      <c r="D621">
        <v>361</v>
      </c>
      <c r="E621">
        <v>237.362275550541</v>
      </c>
      <c r="F621">
        <v>0.91991345378689404</v>
      </c>
      <c r="G621">
        <v>44250</v>
      </c>
      <c r="H621">
        <v>2985.6348919868501</v>
      </c>
      <c r="I621">
        <v>0.75639586708536699</v>
      </c>
      <c r="J621">
        <v>6.2380628202258599E-2</v>
      </c>
      <c r="K621">
        <v>0.55739253660840804</v>
      </c>
      <c r="L621" t="s">
        <v>33</v>
      </c>
      <c r="M621" t="s">
        <v>34</v>
      </c>
      <c r="N621" t="s">
        <v>35</v>
      </c>
      <c r="O621">
        <v>0.76790026539784495</v>
      </c>
      <c r="P621" t="s">
        <v>36</v>
      </c>
    </row>
    <row r="622" spans="1:16">
      <c r="A622">
        <v>621</v>
      </c>
      <c r="B622" t="s">
        <v>673</v>
      </c>
      <c r="C622">
        <v>389</v>
      </c>
      <c r="D622">
        <v>301</v>
      </c>
      <c r="E622">
        <v>251.99766327025</v>
      </c>
      <c r="F622">
        <v>1.29178774861449</v>
      </c>
      <c r="G622">
        <v>49875</v>
      </c>
      <c r="H622">
        <v>2323.7972366809799</v>
      </c>
      <c r="I622">
        <v>0.81185645376557602</v>
      </c>
      <c r="J622">
        <v>0.116063673143705</v>
      </c>
      <c r="K622">
        <v>0.557340410671882</v>
      </c>
      <c r="L622" t="s">
        <v>47</v>
      </c>
      <c r="M622" t="s">
        <v>34</v>
      </c>
      <c r="N622" t="s">
        <v>35</v>
      </c>
      <c r="O622">
        <v>0.93604633875064602</v>
      </c>
      <c r="P622" t="s">
        <v>36</v>
      </c>
    </row>
    <row r="623" spans="1:16">
      <c r="A623">
        <v>622</v>
      </c>
      <c r="B623" t="s">
        <v>674</v>
      </c>
      <c r="C623">
        <v>412</v>
      </c>
      <c r="D623">
        <v>237</v>
      </c>
      <c r="E623">
        <v>252.56543942359099</v>
      </c>
      <c r="F623">
        <v>1.7361394761047499</v>
      </c>
      <c r="G623">
        <v>50100</v>
      </c>
      <c r="H623">
        <v>1835.09666442871</v>
      </c>
      <c r="I623">
        <v>0.72769917055636701</v>
      </c>
      <c r="J623">
        <v>0.18695182035470501</v>
      </c>
      <c r="K623">
        <v>0.67656988521269401</v>
      </c>
      <c r="L623" t="s">
        <v>33</v>
      </c>
      <c r="M623" t="s">
        <v>34</v>
      </c>
      <c r="N623" t="s">
        <v>35</v>
      </c>
      <c r="O623">
        <v>0.75265039539976097</v>
      </c>
      <c r="P623" t="s">
        <v>36</v>
      </c>
    </row>
    <row r="624" spans="1:16">
      <c r="A624">
        <v>623</v>
      </c>
      <c r="B624" t="s">
        <v>675</v>
      </c>
      <c r="C624">
        <v>464</v>
      </c>
      <c r="D624">
        <v>335</v>
      </c>
      <c r="E624">
        <v>252.911786258831</v>
      </c>
      <c r="F624">
        <v>1.3863411191642301</v>
      </c>
      <c r="G624">
        <v>50237.5</v>
      </c>
      <c r="H624">
        <v>3241.7009073495901</v>
      </c>
      <c r="I624">
        <v>0.585923599563416</v>
      </c>
      <c r="J624">
        <v>6.0074753585097201E-2</v>
      </c>
      <c r="K624">
        <v>0.46275187104202598</v>
      </c>
      <c r="L624" t="s">
        <v>33</v>
      </c>
      <c r="M624" t="s">
        <v>34</v>
      </c>
      <c r="N624" t="s">
        <v>35</v>
      </c>
      <c r="O624">
        <v>0.780752219036569</v>
      </c>
      <c r="P624" t="s">
        <v>36</v>
      </c>
    </row>
    <row r="625" spans="1:16">
      <c r="A625">
        <v>624</v>
      </c>
      <c r="B625" t="s">
        <v>676</v>
      </c>
      <c r="C625">
        <v>287</v>
      </c>
      <c r="D625">
        <v>383</v>
      </c>
      <c r="E625">
        <v>253.10050295186701</v>
      </c>
      <c r="F625">
        <v>0.750237980218178</v>
      </c>
      <c r="G625">
        <v>50312.5</v>
      </c>
      <c r="H625">
        <v>1987.0205444097501</v>
      </c>
      <c r="I625">
        <v>0.85493203222138203</v>
      </c>
      <c r="J625">
        <v>0.16013307628043499</v>
      </c>
      <c r="K625">
        <v>0.60074626865671599</v>
      </c>
      <c r="L625" t="s">
        <v>188</v>
      </c>
      <c r="M625" t="s">
        <v>34</v>
      </c>
      <c r="N625" t="s">
        <v>35</v>
      </c>
      <c r="O625">
        <v>0.64499996507544599</v>
      </c>
      <c r="P625" t="s">
        <v>36</v>
      </c>
    </row>
    <row r="626" spans="1:16">
      <c r="A626">
        <v>625</v>
      </c>
      <c r="B626" t="s">
        <v>677</v>
      </c>
      <c r="C626">
        <v>397</v>
      </c>
      <c r="D626">
        <v>297</v>
      </c>
      <c r="E626">
        <v>265.64883166870197</v>
      </c>
      <c r="F626">
        <v>1.33663370658703</v>
      </c>
      <c r="G626">
        <v>55425</v>
      </c>
      <c r="H626">
        <v>2104.0916121005998</v>
      </c>
      <c r="I626">
        <v>0.62118650934980901</v>
      </c>
      <c r="J626">
        <v>0.15732084690416101</v>
      </c>
      <c r="K626">
        <v>0.62600592969080904</v>
      </c>
      <c r="L626" t="s">
        <v>33</v>
      </c>
      <c r="M626" t="s">
        <v>34</v>
      </c>
      <c r="N626" t="s">
        <v>35</v>
      </c>
      <c r="O626">
        <v>0.80431075409538599</v>
      </c>
      <c r="P626" t="s">
        <v>36</v>
      </c>
    </row>
    <row r="627" spans="1:16">
      <c r="A627">
        <v>626</v>
      </c>
      <c r="B627" t="s">
        <v>678</v>
      </c>
      <c r="C627">
        <v>431</v>
      </c>
      <c r="D627">
        <v>220</v>
      </c>
      <c r="E627">
        <v>272.86018833532398</v>
      </c>
      <c r="F627">
        <v>1.9574465653395601</v>
      </c>
      <c r="G627">
        <v>58475</v>
      </c>
      <c r="H627">
        <v>1795.8073413371999</v>
      </c>
      <c r="I627">
        <v>0.75249437137097397</v>
      </c>
      <c r="J627">
        <v>0.227856073517997</v>
      </c>
      <c r="K627">
        <v>0.78529461138156798</v>
      </c>
      <c r="L627" t="s">
        <v>33</v>
      </c>
      <c r="M627" t="s">
        <v>34</v>
      </c>
      <c r="N627" t="s">
        <v>35</v>
      </c>
      <c r="O627">
        <v>0.83779966063145395</v>
      </c>
      <c r="P627" t="s">
        <v>36</v>
      </c>
    </row>
    <row r="628" spans="1:16">
      <c r="A628">
        <v>627</v>
      </c>
      <c r="B628" t="s">
        <v>679</v>
      </c>
      <c r="C628">
        <v>570</v>
      </c>
      <c r="D628">
        <v>314</v>
      </c>
      <c r="E628">
        <v>292.01920914323</v>
      </c>
      <c r="F628">
        <v>1.81440435088126</v>
      </c>
      <c r="G628">
        <v>66975</v>
      </c>
      <c r="H628">
        <v>2627.64499664307</v>
      </c>
      <c r="I628">
        <v>0.72302264744462696</v>
      </c>
      <c r="J628">
        <v>0.121895930180457</v>
      </c>
      <c r="K628">
        <v>0.57384598907572004</v>
      </c>
      <c r="L628" t="s">
        <v>47</v>
      </c>
      <c r="M628" t="s">
        <v>34</v>
      </c>
      <c r="N628" t="s">
        <v>35</v>
      </c>
      <c r="O628">
        <v>0.76003289393904105</v>
      </c>
      <c r="P628" t="s">
        <v>36</v>
      </c>
    </row>
    <row r="629" spans="1:16">
      <c r="A629">
        <v>628</v>
      </c>
      <c r="B629" t="s">
        <v>680</v>
      </c>
      <c r="C629">
        <v>400</v>
      </c>
      <c r="D629">
        <v>463</v>
      </c>
      <c r="E629">
        <v>306.51127696570302</v>
      </c>
      <c r="F629">
        <v>0.86513545740648401</v>
      </c>
      <c r="G629">
        <v>73787.5</v>
      </c>
      <c r="H629">
        <v>3910.1071041822402</v>
      </c>
      <c r="I629">
        <v>0.72263911085242205</v>
      </c>
      <c r="J629">
        <v>6.0647842120720899E-2</v>
      </c>
      <c r="K629">
        <v>0.55484538020490604</v>
      </c>
      <c r="L629" t="s">
        <v>47</v>
      </c>
      <c r="M629" t="s">
        <v>34</v>
      </c>
      <c r="N629" t="s">
        <v>35</v>
      </c>
      <c r="O629">
        <v>0.89392770922938303</v>
      </c>
      <c r="P629" t="s">
        <v>36</v>
      </c>
    </row>
    <row r="630" spans="1:16">
      <c r="A630">
        <v>629</v>
      </c>
      <c r="B630" t="s">
        <v>681</v>
      </c>
      <c r="C630">
        <v>593</v>
      </c>
      <c r="D630">
        <v>291</v>
      </c>
      <c r="E630">
        <v>306.61510870207098</v>
      </c>
      <c r="F630">
        <v>2.04175599820607</v>
      </c>
      <c r="G630">
        <v>73837.5</v>
      </c>
      <c r="H630">
        <v>2922.7059596776999</v>
      </c>
      <c r="I630">
        <v>0.69937861566821002</v>
      </c>
      <c r="J630">
        <v>0.108621700528495</v>
      </c>
      <c r="K630">
        <v>0.59046381447421004</v>
      </c>
      <c r="L630" t="s">
        <v>47</v>
      </c>
      <c r="M630" t="s">
        <v>34</v>
      </c>
      <c r="N630" t="s">
        <v>35</v>
      </c>
      <c r="O630">
        <v>0.87263470321318803</v>
      </c>
      <c r="P630" t="s">
        <v>36</v>
      </c>
    </row>
    <row r="631" spans="1:16">
      <c r="A631">
        <v>630</v>
      </c>
      <c r="B631" t="s">
        <v>682</v>
      </c>
      <c r="C631">
        <v>319</v>
      </c>
      <c r="D631">
        <v>521</v>
      </c>
      <c r="E631">
        <v>314.55782953255402</v>
      </c>
      <c r="F631">
        <v>0.61223408520393796</v>
      </c>
      <c r="G631">
        <v>77712.5</v>
      </c>
      <c r="H631">
        <v>2729.5688766241101</v>
      </c>
      <c r="I631">
        <v>0.68720302345201301</v>
      </c>
      <c r="J631">
        <v>0.1310728157785</v>
      </c>
      <c r="K631">
        <v>0.57999813415430501</v>
      </c>
      <c r="L631" t="s">
        <v>33</v>
      </c>
      <c r="M631" t="s">
        <v>34</v>
      </c>
      <c r="N631" t="s">
        <v>35</v>
      </c>
      <c r="O631">
        <v>0.79873845295055401</v>
      </c>
      <c r="P631" t="s">
        <v>36</v>
      </c>
    </row>
    <row r="632" spans="1:16">
      <c r="A632">
        <v>631</v>
      </c>
      <c r="B632" t="s">
        <v>683</v>
      </c>
      <c r="C632">
        <v>324</v>
      </c>
      <c r="D632">
        <v>431</v>
      </c>
      <c r="E632">
        <v>314.785430998663</v>
      </c>
      <c r="F632">
        <v>0.75236862544358296</v>
      </c>
      <c r="G632">
        <v>77825</v>
      </c>
      <c r="H632">
        <v>2360.3657782077798</v>
      </c>
      <c r="I632">
        <v>0.79577490619006297</v>
      </c>
      <c r="J632">
        <v>0.17553768824919599</v>
      </c>
      <c r="K632">
        <v>0.66939038813030904</v>
      </c>
      <c r="L632" t="s">
        <v>41</v>
      </c>
      <c r="M632" t="s">
        <v>34</v>
      </c>
      <c r="N632" t="s">
        <v>35</v>
      </c>
      <c r="O632">
        <v>0.75686965602240097</v>
      </c>
      <c r="P632" t="s">
        <v>36</v>
      </c>
    </row>
    <row r="633" spans="1:16">
      <c r="A633">
        <v>632</v>
      </c>
      <c r="B633" t="s">
        <v>684</v>
      </c>
      <c r="C633">
        <v>349</v>
      </c>
      <c r="D633">
        <v>532</v>
      </c>
      <c r="E633">
        <v>317.70436715424597</v>
      </c>
      <c r="F633">
        <v>0.65552180306861396</v>
      </c>
      <c r="G633">
        <v>79275</v>
      </c>
      <c r="H633">
        <v>4205.4624426364899</v>
      </c>
      <c r="I633">
        <v>0.61055698345314202</v>
      </c>
      <c r="J633">
        <v>5.6327256277330102E-2</v>
      </c>
      <c r="K633">
        <v>0.53832442067736197</v>
      </c>
      <c r="L633" t="s">
        <v>38</v>
      </c>
      <c r="M633" t="s">
        <v>34</v>
      </c>
      <c r="N633" t="s">
        <v>35</v>
      </c>
      <c r="O633">
        <v>0.69938592431848101</v>
      </c>
      <c r="P633" t="s">
        <v>36</v>
      </c>
    </row>
    <row r="634" spans="1:16">
      <c r="A634">
        <v>633</v>
      </c>
      <c r="B634" t="s">
        <v>685</v>
      </c>
      <c r="C634">
        <v>463</v>
      </c>
      <c r="D634">
        <v>462</v>
      </c>
      <c r="E634">
        <v>343.83177824142399</v>
      </c>
      <c r="F634">
        <v>1.0026838463649601</v>
      </c>
      <c r="G634">
        <v>92850</v>
      </c>
      <c r="H634">
        <v>3256.0511934757201</v>
      </c>
      <c r="I634">
        <v>0.71647829400761798</v>
      </c>
      <c r="J634">
        <v>0.11005488469286701</v>
      </c>
      <c r="K634">
        <v>0.53546712802768204</v>
      </c>
      <c r="L634" t="s">
        <v>144</v>
      </c>
      <c r="M634" t="s">
        <v>34</v>
      </c>
      <c r="N634" t="s">
        <v>35</v>
      </c>
      <c r="O634">
        <v>0.78397231911434795</v>
      </c>
      <c r="P634" t="s">
        <v>36</v>
      </c>
    </row>
    <row r="635" spans="1:16">
      <c r="A635">
        <v>634</v>
      </c>
      <c r="B635" t="s">
        <v>686</v>
      </c>
      <c r="C635">
        <v>770</v>
      </c>
      <c r="D635">
        <v>504</v>
      </c>
      <c r="E635">
        <v>370.22187535414503</v>
      </c>
      <c r="F635">
        <v>1.5273641508828599</v>
      </c>
      <c r="G635">
        <v>107650</v>
      </c>
      <c r="H635">
        <v>4330.3152549266797</v>
      </c>
      <c r="I635">
        <v>0.74164593168151105</v>
      </c>
      <c r="J635">
        <v>7.2141450193867099E-2</v>
      </c>
      <c r="K635">
        <v>0.408035629678764</v>
      </c>
      <c r="L635" t="s">
        <v>33</v>
      </c>
      <c r="M635" t="s">
        <v>34</v>
      </c>
      <c r="N635" t="s">
        <v>35</v>
      </c>
      <c r="O635">
        <v>0.72212274990820102</v>
      </c>
      <c r="P635" t="s">
        <v>36</v>
      </c>
    </row>
    <row r="636" spans="1:16">
      <c r="A636">
        <v>635</v>
      </c>
      <c r="B636" t="s">
        <v>687</v>
      </c>
      <c r="C636">
        <v>505</v>
      </c>
      <c r="D636">
        <v>338</v>
      </c>
      <c r="E636">
        <v>384.85008775017599</v>
      </c>
      <c r="F636">
        <v>1.4948611665346301</v>
      </c>
      <c r="G636">
        <v>116325</v>
      </c>
      <c r="H636">
        <v>2398.6500489711798</v>
      </c>
      <c r="I636">
        <v>0.70546365461492599</v>
      </c>
      <c r="J636">
        <v>0.25406751675310901</v>
      </c>
      <c r="K636">
        <v>0.80893602225312899</v>
      </c>
      <c r="L636" t="s">
        <v>47</v>
      </c>
      <c r="M636" t="s">
        <v>34</v>
      </c>
      <c r="N636" t="s">
        <v>35</v>
      </c>
      <c r="O636">
        <v>0.74451668831065299</v>
      </c>
      <c r="P636" t="s">
        <v>36</v>
      </c>
    </row>
    <row r="637" spans="1:16">
      <c r="A637">
        <v>636</v>
      </c>
      <c r="B637" t="s">
        <v>688</v>
      </c>
      <c r="C637">
        <v>371</v>
      </c>
      <c r="D637">
        <v>669</v>
      </c>
      <c r="E637">
        <v>399.28123734424503</v>
      </c>
      <c r="F637">
        <v>0.55494073265719301</v>
      </c>
      <c r="G637">
        <v>125212.5</v>
      </c>
      <c r="H637">
        <v>2799.5688766241101</v>
      </c>
      <c r="I637">
        <v>0.81247537959874905</v>
      </c>
      <c r="J637">
        <v>0.200759098737508</v>
      </c>
      <c r="K637">
        <v>0.72723972702192496</v>
      </c>
      <c r="L637" t="s">
        <v>33</v>
      </c>
      <c r="M637" t="s">
        <v>34</v>
      </c>
      <c r="N637" t="s">
        <v>35</v>
      </c>
      <c r="O637">
        <v>0.77636685741775202</v>
      </c>
      <c r="P637" t="s">
        <v>36</v>
      </c>
    </row>
    <row r="638" spans="1:16">
      <c r="A638">
        <v>637</v>
      </c>
      <c r="B638" t="s">
        <v>689</v>
      </c>
      <c r="C638">
        <v>348</v>
      </c>
      <c r="D638">
        <v>559</v>
      </c>
      <c r="E638">
        <v>400.73349944785298</v>
      </c>
      <c r="F638">
        <v>0.62199802046953001</v>
      </c>
      <c r="G638">
        <v>126125</v>
      </c>
      <c r="H638">
        <v>2537.64499664307</v>
      </c>
      <c r="I638">
        <v>0.73762411562602204</v>
      </c>
      <c r="J638">
        <v>0.24612136233496401</v>
      </c>
      <c r="K638">
        <v>0.78411563568542098</v>
      </c>
      <c r="L638" t="s">
        <v>47</v>
      </c>
      <c r="M638" t="s">
        <v>34</v>
      </c>
      <c r="N638" t="s">
        <v>35</v>
      </c>
      <c r="O638">
        <v>0.87992749298029604</v>
      </c>
      <c r="P638" t="s">
        <v>36</v>
      </c>
    </row>
    <row r="639" spans="1:16">
      <c r="A639">
        <v>638</v>
      </c>
      <c r="B639" t="s">
        <v>690</v>
      </c>
      <c r="C639">
        <v>491</v>
      </c>
      <c r="D639">
        <v>390</v>
      </c>
      <c r="E639">
        <v>410.25157198928503</v>
      </c>
      <c r="F639">
        <v>1.2588775677703801</v>
      </c>
      <c r="G639">
        <v>132187.5</v>
      </c>
      <c r="H639">
        <v>2575.72111666203</v>
      </c>
      <c r="I639">
        <v>0.61111828023067905</v>
      </c>
      <c r="J639">
        <v>0.25038169556568701</v>
      </c>
      <c r="K639">
        <v>0.84953406169665802</v>
      </c>
      <c r="L639" t="s">
        <v>33</v>
      </c>
      <c r="M639" t="s">
        <v>34</v>
      </c>
      <c r="N639" t="s">
        <v>35</v>
      </c>
      <c r="O639">
        <v>0.87999156658362998</v>
      </c>
      <c r="P639" t="s">
        <v>36</v>
      </c>
    </row>
    <row r="640" spans="1:16">
      <c r="A640">
        <v>639</v>
      </c>
      <c r="B640" t="s">
        <v>691</v>
      </c>
      <c r="C640">
        <v>391</v>
      </c>
      <c r="D640">
        <v>978</v>
      </c>
      <c r="E640">
        <v>414.55458934937502</v>
      </c>
      <c r="F640">
        <v>0.40045889992474498</v>
      </c>
      <c r="G640">
        <v>134975</v>
      </c>
      <c r="H640">
        <v>6515.5338454246503</v>
      </c>
      <c r="I640">
        <v>0.80328015203681302</v>
      </c>
      <c r="J640">
        <v>3.9954269064561503E-2</v>
      </c>
      <c r="K640">
        <v>0.46613425426289701</v>
      </c>
      <c r="L640" t="s">
        <v>33</v>
      </c>
      <c r="M640" t="s">
        <v>34</v>
      </c>
      <c r="N640" t="s">
        <v>35</v>
      </c>
      <c r="O640">
        <v>0.83278532723240095</v>
      </c>
      <c r="P640" t="s">
        <v>36</v>
      </c>
    </row>
    <row r="641" spans="1:17">
      <c r="A641">
        <v>640</v>
      </c>
      <c r="B641" t="s">
        <v>692</v>
      </c>
      <c r="C641">
        <v>556</v>
      </c>
      <c r="D641">
        <v>824</v>
      </c>
      <c r="E641">
        <v>456.26161964841998</v>
      </c>
      <c r="F641">
        <v>0.67467149035840102</v>
      </c>
      <c r="G641">
        <v>163500</v>
      </c>
      <c r="H641">
        <v>6438.9653038978604</v>
      </c>
      <c r="I641">
        <v>0.697668839124163</v>
      </c>
      <c r="J641">
        <v>4.95559095024257E-2</v>
      </c>
      <c r="K641">
        <v>0.47434270172257498</v>
      </c>
      <c r="L641" t="s">
        <v>33</v>
      </c>
      <c r="M641" t="s">
        <v>34</v>
      </c>
      <c r="N641" t="s">
        <v>35</v>
      </c>
      <c r="O641">
        <v>0.74743416818619102</v>
      </c>
      <c r="P641" t="s">
        <v>36</v>
      </c>
    </row>
    <row r="642" spans="1:17">
      <c r="A642">
        <v>641</v>
      </c>
      <c r="B642" t="s">
        <v>693</v>
      </c>
      <c r="C642">
        <v>242</v>
      </c>
      <c r="D642">
        <v>1432</v>
      </c>
      <c r="E642">
        <v>471.22497450985401</v>
      </c>
      <c r="F642">
        <v>0.1690271941849</v>
      </c>
      <c r="G642">
        <v>174400</v>
      </c>
      <c r="H642">
        <v>4446.1731195449802</v>
      </c>
      <c r="I642">
        <v>0.97434478483886899</v>
      </c>
      <c r="J642">
        <v>0.110862229233672</v>
      </c>
      <c r="K642">
        <v>0.63105522637839795</v>
      </c>
      <c r="L642" t="s">
        <v>33</v>
      </c>
      <c r="M642" t="s">
        <v>34</v>
      </c>
      <c r="N642" t="s">
        <v>35</v>
      </c>
      <c r="O642">
        <v>0.71579555153317598</v>
      </c>
      <c r="P642" t="s">
        <v>36</v>
      </c>
    </row>
    <row r="643" spans="1:17">
      <c r="A643">
        <v>642</v>
      </c>
      <c r="B643" t="s">
        <v>694</v>
      </c>
      <c r="C643">
        <v>133</v>
      </c>
      <c r="D643">
        <v>32</v>
      </c>
      <c r="E643">
        <v>50.091628067603096</v>
      </c>
      <c r="F643">
        <v>4.1446279619354502</v>
      </c>
      <c r="G643">
        <v>1970.69845406427</v>
      </c>
      <c r="H643">
        <v>459.40571968752403</v>
      </c>
      <c r="I643">
        <v>0.79641514416722803</v>
      </c>
      <c r="J643">
        <v>0.117337611629503</v>
      </c>
      <c r="K643">
        <v>0.58023718874447505</v>
      </c>
      <c r="L643" t="s">
        <v>49</v>
      </c>
      <c r="M643" t="s">
        <v>34</v>
      </c>
      <c r="N643" t="s">
        <v>35</v>
      </c>
      <c r="O643">
        <v>0.83541742916004202</v>
      </c>
      <c r="P643" t="s">
        <v>36</v>
      </c>
      <c r="Q643" t="s">
        <v>695</v>
      </c>
    </row>
    <row r="644" spans="1:17">
      <c r="A644">
        <v>643</v>
      </c>
      <c r="B644" t="s">
        <v>696</v>
      </c>
      <c r="C644">
        <v>72</v>
      </c>
      <c r="D644">
        <v>48</v>
      </c>
      <c r="E644">
        <v>50.1048490921522</v>
      </c>
      <c r="F644">
        <v>1.50770942784281</v>
      </c>
      <c r="G644">
        <v>1971.7388710775001</v>
      </c>
      <c r="H644">
        <v>265.20813621997797</v>
      </c>
      <c r="I644">
        <v>0.53120002324570503</v>
      </c>
      <c r="J644">
        <v>0.352278043189995</v>
      </c>
      <c r="K644">
        <v>0.80205562273276898</v>
      </c>
      <c r="L644" t="s">
        <v>33</v>
      </c>
      <c r="M644" t="s">
        <v>34</v>
      </c>
      <c r="N644" t="s">
        <v>35</v>
      </c>
      <c r="O644">
        <v>0.71179927070645299</v>
      </c>
      <c r="P644" t="s">
        <v>36</v>
      </c>
    </row>
    <row r="645" spans="1:17">
      <c r="A645">
        <v>644</v>
      </c>
      <c r="B645" t="s">
        <v>697</v>
      </c>
      <c r="C645">
        <v>63</v>
      </c>
      <c r="D645">
        <v>73</v>
      </c>
      <c r="E645">
        <v>50.1124023972516</v>
      </c>
      <c r="F645">
        <v>0.86567172507026402</v>
      </c>
      <c r="G645">
        <v>1972.3333950850699</v>
      </c>
      <c r="H645">
        <v>502.96831379102599</v>
      </c>
      <c r="I645">
        <v>0.636491659062001</v>
      </c>
      <c r="J645">
        <v>9.7973571520683797E-2</v>
      </c>
      <c r="K645">
        <v>0.53133133133133104</v>
      </c>
      <c r="L645" t="s">
        <v>38</v>
      </c>
      <c r="M645" t="s">
        <v>34</v>
      </c>
      <c r="N645" t="s">
        <v>35</v>
      </c>
      <c r="O645">
        <v>0.71892924432699401</v>
      </c>
      <c r="P645" t="s">
        <v>36</v>
      </c>
    </row>
    <row r="646" spans="1:17">
      <c r="A646">
        <v>645</v>
      </c>
      <c r="B646" t="s">
        <v>698</v>
      </c>
      <c r="C646">
        <v>82</v>
      </c>
      <c r="D646">
        <v>54</v>
      </c>
      <c r="E646">
        <v>50.119954564033598</v>
      </c>
      <c r="F646">
        <v>1.5252524520800701</v>
      </c>
      <c r="G646">
        <v>1972.92791909263</v>
      </c>
      <c r="H646">
        <v>466.64188751718302</v>
      </c>
      <c r="I646">
        <v>0.60923499097544698</v>
      </c>
      <c r="J646">
        <v>0.113855402361086</v>
      </c>
      <c r="K646">
        <v>0.59090099715099698</v>
      </c>
      <c r="L646" t="s">
        <v>211</v>
      </c>
      <c r="M646" t="s">
        <v>34</v>
      </c>
      <c r="N646" t="s">
        <v>35</v>
      </c>
      <c r="O646">
        <v>0.64026833802840599</v>
      </c>
      <c r="P646" t="s">
        <v>36</v>
      </c>
    </row>
    <row r="647" spans="1:17">
      <c r="A647">
        <v>646</v>
      </c>
      <c r="B647" t="s">
        <v>699</v>
      </c>
      <c r="C647">
        <v>56</v>
      </c>
      <c r="D647">
        <v>61</v>
      </c>
      <c r="E647">
        <v>50.140717157433798</v>
      </c>
      <c r="F647">
        <v>0.927927927927928</v>
      </c>
      <c r="G647">
        <v>1974.5628601134199</v>
      </c>
      <c r="H647">
        <v>244.370878710228</v>
      </c>
      <c r="I647">
        <v>0.66366838759971702</v>
      </c>
      <c r="J647">
        <v>0.41551042746568101</v>
      </c>
      <c r="K647">
        <v>0.73022591106469503</v>
      </c>
      <c r="L647" t="s">
        <v>38</v>
      </c>
      <c r="M647" t="s">
        <v>34</v>
      </c>
      <c r="N647" t="s">
        <v>35</v>
      </c>
      <c r="O647">
        <v>0.73717434546176097</v>
      </c>
      <c r="P647" t="s">
        <v>36</v>
      </c>
    </row>
    <row r="648" spans="1:17">
      <c r="A648">
        <v>647</v>
      </c>
      <c r="B648" t="s">
        <v>700</v>
      </c>
      <c r="C648">
        <v>73</v>
      </c>
      <c r="D648">
        <v>49</v>
      </c>
      <c r="E648">
        <v>50.310271071502001</v>
      </c>
      <c r="F648">
        <v>1.48888888888889</v>
      </c>
      <c r="G648">
        <v>1987.93965028355</v>
      </c>
      <c r="H648">
        <v>353.66564549415</v>
      </c>
      <c r="I648">
        <v>0.64216044204811895</v>
      </c>
      <c r="J648">
        <v>0.19972264530193101</v>
      </c>
      <c r="K648">
        <v>0.68417821883472296</v>
      </c>
      <c r="L648" t="s">
        <v>74</v>
      </c>
      <c r="M648" t="s">
        <v>34</v>
      </c>
      <c r="N648" t="s">
        <v>35</v>
      </c>
      <c r="O648">
        <v>0.74308704393590097</v>
      </c>
      <c r="P648" t="s">
        <v>36</v>
      </c>
    </row>
    <row r="649" spans="1:17">
      <c r="A649">
        <v>648</v>
      </c>
      <c r="B649" t="s">
        <v>701</v>
      </c>
      <c r="C649">
        <v>62</v>
      </c>
      <c r="D649">
        <v>55</v>
      </c>
      <c r="E649">
        <v>50.332835105109801</v>
      </c>
      <c r="F649">
        <v>1.13975166210462</v>
      </c>
      <c r="G649">
        <v>1989.7232223062399</v>
      </c>
      <c r="H649">
        <v>333.28946307234099</v>
      </c>
      <c r="I649">
        <v>0.73691257283315503</v>
      </c>
      <c r="J649">
        <v>0.22509163995852499</v>
      </c>
      <c r="K649">
        <v>0.75415469551011205</v>
      </c>
      <c r="L649" t="s">
        <v>74</v>
      </c>
      <c r="M649" t="s">
        <v>34</v>
      </c>
      <c r="N649" t="s">
        <v>35</v>
      </c>
      <c r="O649">
        <v>0.66358863037400895</v>
      </c>
      <c r="P649" t="s">
        <v>36</v>
      </c>
    </row>
    <row r="650" spans="1:17">
      <c r="A650">
        <v>649</v>
      </c>
      <c r="B650" t="s">
        <v>702</v>
      </c>
      <c r="C650">
        <v>82</v>
      </c>
      <c r="D650">
        <v>45</v>
      </c>
      <c r="E650">
        <v>50.394834104311997</v>
      </c>
      <c r="F650">
        <v>1.82926829268293</v>
      </c>
      <c r="G650">
        <v>1994.62804536862</v>
      </c>
      <c r="H650">
        <v>337.32631200189201</v>
      </c>
      <c r="I650">
        <v>0.67824471842252698</v>
      </c>
      <c r="J650">
        <v>0.220278113661453</v>
      </c>
      <c r="K650">
        <v>0.64862252295795098</v>
      </c>
      <c r="L650" t="s">
        <v>38</v>
      </c>
      <c r="M650" t="s">
        <v>34</v>
      </c>
      <c r="N650" t="s">
        <v>35</v>
      </c>
      <c r="O650">
        <v>0.83093205803080195</v>
      </c>
      <c r="P650" t="s">
        <v>36</v>
      </c>
    </row>
    <row r="651" spans="1:17">
      <c r="A651">
        <v>650</v>
      </c>
      <c r="B651" t="s">
        <v>703</v>
      </c>
      <c r="C651">
        <v>63</v>
      </c>
      <c r="D651">
        <v>51</v>
      </c>
      <c r="E651">
        <v>50.486752767344498</v>
      </c>
      <c r="F651">
        <v>1.2299622384889799</v>
      </c>
      <c r="G651">
        <v>2001.9109644612499</v>
      </c>
      <c r="H651">
        <v>224.382169698529</v>
      </c>
      <c r="I651">
        <v>0.67140347774362097</v>
      </c>
      <c r="J651">
        <v>0.49966385678243602</v>
      </c>
      <c r="K651">
        <v>0.76785816088022396</v>
      </c>
      <c r="L651" t="s">
        <v>47</v>
      </c>
      <c r="M651" t="s">
        <v>34</v>
      </c>
      <c r="N651" t="s">
        <v>35</v>
      </c>
      <c r="O651">
        <v>0.92857900109816205</v>
      </c>
      <c r="P651" t="s">
        <v>36</v>
      </c>
    </row>
    <row r="652" spans="1:17">
      <c r="A652">
        <v>651</v>
      </c>
      <c r="B652" t="s">
        <v>704</v>
      </c>
      <c r="C652">
        <v>45</v>
      </c>
      <c r="D652">
        <v>55</v>
      </c>
      <c r="E652">
        <v>50.620100590373298</v>
      </c>
      <c r="F652">
        <v>0.81818181818181801</v>
      </c>
      <c r="G652">
        <v>2012.5</v>
      </c>
      <c r="H652">
        <v>179.49747383594499</v>
      </c>
      <c r="I652">
        <v>0.55176024138667201</v>
      </c>
      <c r="J652">
        <v>0.78492664398277101</v>
      </c>
      <c r="K652">
        <v>0.94152046783625698</v>
      </c>
      <c r="L652" t="s">
        <v>211</v>
      </c>
      <c r="M652" t="s">
        <v>34</v>
      </c>
      <c r="N652" t="s">
        <v>35</v>
      </c>
      <c r="O652">
        <v>0.74987729841094997</v>
      </c>
      <c r="P652" t="s">
        <v>36</v>
      </c>
    </row>
    <row r="653" spans="1:17">
      <c r="A653">
        <v>652</v>
      </c>
      <c r="B653" t="s">
        <v>705</v>
      </c>
      <c r="C653">
        <v>49</v>
      </c>
      <c r="D653">
        <v>68</v>
      </c>
      <c r="E653">
        <v>50.688760439198496</v>
      </c>
      <c r="F653">
        <v>0.71199999999999997</v>
      </c>
      <c r="G653">
        <v>2017.9631126654101</v>
      </c>
      <c r="H653">
        <v>366.82835756747602</v>
      </c>
      <c r="I653">
        <v>0.69056342165344997</v>
      </c>
      <c r="J653">
        <v>0.18845049593077501</v>
      </c>
      <c r="K653">
        <v>0.66681400717057104</v>
      </c>
      <c r="L653" t="s">
        <v>211</v>
      </c>
      <c r="M653" t="s">
        <v>34</v>
      </c>
      <c r="N653" t="s">
        <v>35</v>
      </c>
      <c r="O653">
        <v>0.70377913122262603</v>
      </c>
      <c r="P653" t="s">
        <v>36</v>
      </c>
    </row>
    <row r="654" spans="1:17">
      <c r="A654">
        <v>653</v>
      </c>
      <c r="B654" t="s">
        <v>706</v>
      </c>
      <c r="C654">
        <v>36</v>
      </c>
      <c r="D654">
        <v>89</v>
      </c>
      <c r="E654">
        <v>50.809951991309603</v>
      </c>
      <c r="F654">
        <v>0.40128315309687201</v>
      </c>
      <c r="G654">
        <v>2027.62412778828</v>
      </c>
      <c r="H654">
        <v>288.63643418623099</v>
      </c>
      <c r="I654">
        <v>0.90433956023054995</v>
      </c>
      <c r="J654">
        <v>0.30584051285220498</v>
      </c>
      <c r="K654">
        <v>0.78200057323015204</v>
      </c>
      <c r="L654" t="s">
        <v>49</v>
      </c>
      <c r="M654" t="s">
        <v>34</v>
      </c>
      <c r="N654" t="s">
        <v>35</v>
      </c>
      <c r="O654">
        <v>0.84280948457280203</v>
      </c>
      <c r="P654" t="s">
        <v>36</v>
      </c>
    </row>
    <row r="655" spans="1:17">
      <c r="A655">
        <v>654</v>
      </c>
      <c r="B655" t="s">
        <v>707</v>
      </c>
      <c r="C655">
        <v>49</v>
      </c>
      <c r="D655">
        <v>73</v>
      </c>
      <c r="E655">
        <v>50.834155630427503</v>
      </c>
      <c r="F655">
        <v>0.66417914186828197</v>
      </c>
      <c r="G655">
        <v>2029.5563308128501</v>
      </c>
      <c r="H655">
        <v>362.092440269615</v>
      </c>
      <c r="I655">
        <v>0.80091015480996497</v>
      </c>
      <c r="J655">
        <v>0.19452349247053599</v>
      </c>
      <c r="K655">
        <v>0.72652301143921305</v>
      </c>
      <c r="L655" t="s">
        <v>49</v>
      </c>
      <c r="M655" t="s">
        <v>34</v>
      </c>
      <c r="N655" t="s">
        <v>35</v>
      </c>
      <c r="O655">
        <v>0.83273626605617501</v>
      </c>
      <c r="P655" t="s">
        <v>36</v>
      </c>
    </row>
    <row r="656" spans="1:17">
      <c r="A656">
        <v>655</v>
      </c>
      <c r="B656" t="s">
        <v>708</v>
      </c>
      <c r="C656">
        <v>97</v>
      </c>
      <c r="D656">
        <v>51</v>
      </c>
      <c r="E656">
        <v>50.841600585890802</v>
      </c>
      <c r="F656">
        <v>1.90496627785596</v>
      </c>
      <c r="G656">
        <v>2030.1508548204199</v>
      </c>
      <c r="H656">
        <v>420.07257283158901</v>
      </c>
      <c r="I656">
        <v>0.46292900969143103</v>
      </c>
      <c r="J656">
        <v>0.144573774918275</v>
      </c>
      <c r="K656">
        <v>0.54673177760877401</v>
      </c>
      <c r="L656" t="s">
        <v>43</v>
      </c>
      <c r="M656" t="s">
        <v>34</v>
      </c>
      <c r="N656" t="s">
        <v>35</v>
      </c>
      <c r="O656">
        <v>0.718310519731998</v>
      </c>
      <c r="P656" t="s">
        <v>36</v>
      </c>
    </row>
    <row r="657" spans="1:16">
      <c r="A657">
        <v>656</v>
      </c>
      <c r="B657" t="s">
        <v>709</v>
      </c>
      <c r="C657">
        <v>100</v>
      </c>
      <c r="D657">
        <v>50</v>
      </c>
      <c r="E657">
        <v>50.8509052474108</v>
      </c>
      <c r="F657">
        <v>1.9954383039849899</v>
      </c>
      <c r="G657">
        <v>2030.8940098298699</v>
      </c>
      <c r="H657">
        <v>412.088048667078</v>
      </c>
      <c r="I657">
        <v>0.61641275446162302</v>
      </c>
      <c r="J657">
        <v>0.150285501177916</v>
      </c>
      <c r="K657">
        <v>0.58238854317620004</v>
      </c>
      <c r="L657" t="s">
        <v>41</v>
      </c>
      <c r="M657" t="s">
        <v>34</v>
      </c>
      <c r="N657" t="s">
        <v>35</v>
      </c>
      <c r="O657">
        <v>0.759773670535554</v>
      </c>
      <c r="P657" t="s">
        <v>36</v>
      </c>
    </row>
    <row r="658" spans="1:16">
      <c r="A658">
        <v>657</v>
      </c>
      <c r="B658" t="s">
        <v>710</v>
      </c>
      <c r="C658">
        <v>102</v>
      </c>
      <c r="D658">
        <v>63</v>
      </c>
      <c r="E658">
        <v>50.910414811656402</v>
      </c>
      <c r="F658">
        <v>1.6251864584180999</v>
      </c>
      <c r="G658">
        <v>2035.65020189036</v>
      </c>
      <c r="H658">
        <v>637.698454265387</v>
      </c>
      <c r="I658">
        <v>0.53038022903094995</v>
      </c>
      <c r="J658">
        <v>6.2904583049880405E-2</v>
      </c>
      <c r="K658">
        <v>0.47199917289864601</v>
      </c>
      <c r="L658" t="s">
        <v>38</v>
      </c>
      <c r="M658" t="s">
        <v>34</v>
      </c>
      <c r="N658" t="s">
        <v>35</v>
      </c>
      <c r="O658">
        <v>0.813658572990271</v>
      </c>
      <c r="P658" t="s">
        <v>36</v>
      </c>
    </row>
    <row r="659" spans="1:16">
      <c r="A659">
        <v>658</v>
      </c>
      <c r="B659" t="s">
        <v>711</v>
      </c>
      <c r="C659">
        <v>103</v>
      </c>
      <c r="D659">
        <v>54</v>
      </c>
      <c r="E659">
        <v>50.990271421808302</v>
      </c>
      <c r="F659">
        <v>1.8941505360722599</v>
      </c>
      <c r="G659">
        <v>2042.04133497164</v>
      </c>
      <c r="H659">
        <v>484.37612528583298</v>
      </c>
      <c r="I659">
        <v>0.483535018367095</v>
      </c>
      <c r="J659">
        <v>0.109372700484533</v>
      </c>
      <c r="K659">
        <v>0.49319740101231302</v>
      </c>
      <c r="L659" t="s">
        <v>33</v>
      </c>
      <c r="M659" t="s">
        <v>34</v>
      </c>
      <c r="N659" t="s">
        <v>35</v>
      </c>
      <c r="O659">
        <v>0.87764219081602401</v>
      </c>
      <c r="P659" t="s">
        <v>36</v>
      </c>
    </row>
    <row r="660" spans="1:16">
      <c r="A660">
        <v>659</v>
      </c>
      <c r="B660" t="s">
        <v>712</v>
      </c>
      <c r="C660">
        <v>58</v>
      </c>
      <c r="D660">
        <v>88</v>
      </c>
      <c r="E660">
        <v>51.0236626607198</v>
      </c>
      <c r="F660">
        <v>0.66459630449118401</v>
      </c>
      <c r="G660">
        <v>2044.7166930056701</v>
      </c>
      <c r="H660">
        <v>567.70084161354202</v>
      </c>
      <c r="I660">
        <v>0.58102687475316495</v>
      </c>
      <c r="J660">
        <v>7.9726726077887194E-2</v>
      </c>
      <c r="K660">
        <v>0.46010033444816101</v>
      </c>
      <c r="L660" t="s">
        <v>38</v>
      </c>
      <c r="M660" t="s">
        <v>34</v>
      </c>
      <c r="N660" t="s">
        <v>35</v>
      </c>
      <c r="O660">
        <v>0.78374618219479697</v>
      </c>
      <c r="P660" t="s">
        <v>36</v>
      </c>
    </row>
    <row r="661" spans="1:16">
      <c r="A661">
        <v>660</v>
      </c>
      <c r="B661" t="s">
        <v>713</v>
      </c>
      <c r="C661">
        <v>83</v>
      </c>
      <c r="D661">
        <v>78</v>
      </c>
      <c r="E661">
        <v>51.092231674439503</v>
      </c>
      <c r="F661">
        <v>1.06293706293706</v>
      </c>
      <c r="G661">
        <v>2050.2160400756102</v>
      </c>
      <c r="H661">
        <v>543.546884793613</v>
      </c>
      <c r="I661">
        <v>0.52879185080879298</v>
      </c>
      <c r="J661">
        <v>8.7203811787003996E-2</v>
      </c>
      <c r="K661">
        <v>0.47056014191171502</v>
      </c>
      <c r="L661" t="s">
        <v>38</v>
      </c>
      <c r="M661" t="s">
        <v>34</v>
      </c>
      <c r="N661" t="s">
        <v>35</v>
      </c>
      <c r="O661">
        <v>0.79574023581892805</v>
      </c>
      <c r="P661" t="s">
        <v>36</v>
      </c>
    </row>
    <row r="662" spans="1:16">
      <c r="A662">
        <v>661</v>
      </c>
      <c r="B662" t="s">
        <v>714</v>
      </c>
      <c r="C662">
        <v>59</v>
      </c>
      <c r="D662">
        <v>84</v>
      </c>
      <c r="E662">
        <v>51.168106229476599</v>
      </c>
      <c r="F662">
        <v>0.70067875053562101</v>
      </c>
      <c r="G662">
        <v>2056.3099111531201</v>
      </c>
      <c r="H662">
        <v>407.14234480432799</v>
      </c>
      <c r="I662">
        <v>0.81078156308975902</v>
      </c>
      <c r="J662">
        <v>0.155885559408246</v>
      </c>
      <c r="K662">
        <v>0.57178872540915904</v>
      </c>
      <c r="L662" t="s">
        <v>33</v>
      </c>
      <c r="M662" t="s">
        <v>34</v>
      </c>
      <c r="N662" t="s">
        <v>35</v>
      </c>
      <c r="O662">
        <v>0.76533547342455199</v>
      </c>
      <c r="P662" t="s">
        <v>36</v>
      </c>
    </row>
    <row r="663" spans="1:16">
      <c r="A663">
        <v>662</v>
      </c>
      <c r="B663" t="s">
        <v>715</v>
      </c>
      <c r="C663">
        <v>43</v>
      </c>
      <c r="D663">
        <v>70</v>
      </c>
      <c r="E663">
        <v>51.242021914423098</v>
      </c>
      <c r="F663">
        <v>0.62237760068678405</v>
      </c>
      <c r="G663">
        <v>2062.25515122873</v>
      </c>
      <c r="H663">
        <v>236.82862515667199</v>
      </c>
      <c r="I663">
        <v>0.86205963117273599</v>
      </c>
      <c r="J663">
        <v>0.46204457292622297</v>
      </c>
      <c r="K663">
        <v>0.84603658536585402</v>
      </c>
      <c r="L663" t="s">
        <v>49</v>
      </c>
      <c r="M663" t="s">
        <v>34</v>
      </c>
      <c r="N663" t="s">
        <v>35</v>
      </c>
      <c r="O663">
        <v>0.734968448709299</v>
      </c>
      <c r="P663" t="s">
        <v>36</v>
      </c>
    </row>
    <row r="664" spans="1:16">
      <c r="A664">
        <v>663</v>
      </c>
      <c r="B664" t="s">
        <v>716</v>
      </c>
      <c r="C664">
        <v>45</v>
      </c>
      <c r="D664">
        <v>128</v>
      </c>
      <c r="E664">
        <v>51.302922183450399</v>
      </c>
      <c r="F664">
        <v>0.35042735042735002</v>
      </c>
      <c r="G664">
        <v>2067.1599742911199</v>
      </c>
      <c r="H664">
        <v>385.78921500579202</v>
      </c>
      <c r="I664">
        <v>0.88750364121272596</v>
      </c>
      <c r="J664">
        <v>0.174535504769951</v>
      </c>
      <c r="K664">
        <v>0.56385307711019195</v>
      </c>
      <c r="L664" t="s">
        <v>41</v>
      </c>
      <c r="M664" t="s">
        <v>34</v>
      </c>
      <c r="N664" t="s">
        <v>35</v>
      </c>
      <c r="O664">
        <v>0.79691034867155297</v>
      </c>
      <c r="P664" t="s">
        <v>36</v>
      </c>
    </row>
    <row r="665" spans="1:16">
      <c r="A665">
        <v>664</v>
      </c>
      <c r="B665" t="s">
        <v>717</v>
      </c>
      <c r="C665">
        <v>48</v>
      </c>
      <c r="D665">
        <v>68</v>
      </c>
      <c r="E665">
        <v>51.308454987153098</v>
      </c>
      <c r="F665">
        <v>0.69584804458187699</v>
      </c>
      <c r="G665">
        <v>2067.6058672967902</v>
      </c>
      <c r="H665">
        <v>261.05618365443303</v>
      </c>
      <c r="I665">
        <v>0.91289358956268296</v>
      </c>
      <c r="J665">
        <v>0.38124982259649298</v>
      </c>
      <c r="K665">
        <v>0.80215661400069205</v>
      </c>
      <c r="L665" t="s">
        <v>33</v>
      </c>
      <c r="M665" t="s">
        <v>34</v>
      </c>
      <c r="N665" t="s">
        <v>35</v>
      </c>
      <c r="O665">
        <v>0.679898345409917</v>
      </c>
      <c r="P665" t="s">
        <v>36</v>
      </c>
    </row>
    <row r="666" spans="1:16">
      <c r="A666">
        <v>665</v>
      </c>
      <c r="B666" t="s">
        <v>718</v>
      </c>
      <c r="C666">
        <v>53</v>
      </c>
      <c r="D666">
        <v>89</v>
      </c>
      <c r="E666">
        <v>51.5604870637044</v>
      </c>
      <c r="F666">
        <v>0.59392146978403304</v>
      </c>
      <c r="G666">
        <v>2087.9683145557701</v>
      </c>
      <c r="H666">
        <v>465.51935301490499</v>
      </c>
      <c r="I666">
        <v>0.69645299977901098</v>
      </c>
      <c r="J666">
        <v>0.121076061887694</v>
      </c>
      <c r="K666">
        <v>0.60716601115097002</v>
      </c>
      <c r="L666" t="s">
        <v>33</v>
      </c>
      <c r="M666" t="s">
        <v>34</v>
      </c>
      <c r="N666" t="s">
        <v>35</v>
      </c>
      <c r="O666">
        <v>0.79993247820579005</v>
      </c>
      <c r="P666" t="s">
        <v>36</v>
      </c>
    </row>
    <row r="667" spans="1:16">
      <c r="A667">
        <v>666</v>
      </c>
      <c r="B667" t="s">
        <v>719</v>
      </c>
      <c r="C667">
        <v>58</v>
      </c>
      <c r="D667">
        <v>73</v>
      </c>
      <c r="E667">
        <v>51.571496812304296</v>
      </c>
      <c r="F667">
        <v>0.798507530669604</v>
      </c>
      <c r="G667">
        <v>2088.8601005671098</v>
      </c>
      <c r="H667">
        <v>566.85229311549199</v>
      </c>
      <c r="I667">
        <v>0.65155465236135202</v>
      </c>
      <c r="J667">
        <v>8.1691976325491106E-2</v>
      </c>
      <c r="K667">
        <v>0.55668224669254496</v>
      </c>
      <c r="L667" t="s">
        <v>38</v>
      </c>
      <c r="M667" t="s">
        <v>34</v>
      </c>
      <c r="N667" t="s">
        <v>35</v>
      </c>
      <c r="O667">
        <v>0.66296014237563194</v>
      </c>
      <c r="P667" t="s">
        <v>36</v>
      </c>
    </row>
    <row r="668" spans="1:16">
      <c r="A668">
        <v>667</v>
      </c>
      <c r="B668" t="s">
        <v>720</v>
      </c>
      <c r="C668">
        <v>36</v>
      </c>
      <c r="D668">
        <v>131</v>
      </c>
      <c r="E668">
        <v>51.736361890722002</v>
      </c>
      <c r="F668">
        <v>0.27252960967116602</v>
      </c>
      <c r="G668">
        <v>2102.2368907372402</v>
      </c>
      <c r="H668">
        <v>455.89252905513899</v>
      </c>
      <c r="I668">
        <v>0.81116198448472998</v>
      </c>
      <c r="J668">
        <v>0.12710615063778699</v>
      </c>
      <c r="K668">
        <v>0.54312264803010502</v>
      </c>
      <c r="L668" t="s">
        <v>144</v>
      </c>
      <c r="M668" t="s">
        <v>34</v>
      </c>
      <c r="N668" t="s">
        <v>35</v>
      </c>
      <c r="O668">
        <v>0.77368079875361195</v>
      </c>
      <c r="P668" t="s">
        <v>36</v>
      </c>
    </row>
    <row r="669" spans="1:16">
      <c r="A669">
        <v>668</v>
      </c>
      <c r="B669" t="s">
        <v>721</v>
      </c>
      <c r="C669">
        <v>93</v>
      </c>
      <c r="D669">
        <v>53</v>
      </c>
      <c r="E669">
        <v>51.809466861327202</v>
      </c>
      <c r="F669">
        <v>1.74489795918367</v>
      </c>
      <c r="G669">
        <v>2108.1821308128501</v>
      </c>
      <c r="H669">
        <v>527.29995745617396</v>
      </c>
      <c r="I669">
        <v>0.71547251203763096</v>
      </c>
      <c r="J669">
        <v>9.5280169116592997E-2</v>
      </c>
      <c r="K669">
        <v>0.55632256040163197</v>
      </c>
      <c r="L669" t="s">
        <v>33</v>
      </c>
      <c r="M669" t="s">
        <v>34</v>
      </c>
      <c r="N669" t="s">
        <v>35</v>
      </c>
      <c r="O669">
        <v>0.72413827699594302</v>
      </c>
      <c r="P669" t="s">
        <v>36</v>
      </c>
    </row>
    <row r="670" spans="1:16">
      <c r="A670">
        <v>669</v>
      </c>
      <c r="B670" t="s">
        <v>722</v>
      </c>
      <c r="C670">
        <v>73</v>
      </c>
      <c r="D670">
        <v>44</v>
      </c>
      <c r="E670">
        <v>51.827726991898501</v>
      </c>
      <c r="F670">
        <v>1.65432092253526</v>
      </c>
      <c r="G670">
        <v>2109.6684408317601</v>
      </c>
      <c r="H670">
        <v>349.06202007915698</v>
      </c>
      <c r="I670">
        <v>0.60207888434984802</v>
      </c>
      <c r="J670">
        <v>0.21757995110539499</v>
      </c>
      <c r="K670">
        <v>0.72281916789733702</v>
      </c>
      <c r="L670" t="s">
        <v>43</v>
      </c>
      <c r="M670" t="s">
        <v>34</v>
      </c>
      <c r="N670" t="s">
        <v>35</v>
      </c>
      <c r="O670">
        <v>0.71534963560379805</v>
      </c>
      <c r="P670" t="s">
        <v>36</v>
      </c>
    </row>
    <row r="671" spans="1:16">
      <c r="A671">
        <v>670</v>
      </c>
      <c r="B671" t="s">
        <v>723</v>
      </c>
      <c r="C671">
        <v>47</v>
      </c>
      <c r="D671">
        <v>65</v>
      </c>
      <c r="E671">
        <v>51.999058788113899</v>
      </c>
      <c r="F671">
        <v>0.71763065624032896</v>
      </c>
      <c r="G671">
        <v>2123.6397550094498</v>
      </c>
      <c r="H671">
        <v>206.990010377635</v>
      </c>
      <c r="I671">
        <v>0.73439740919917496</v>
      </c>
      <c r="J671">
        <v>0.62286214669975704</v>
      </c>
      <c r="K671">
        <v>0.86714814590034595</v>
      </c>
      <c r="L671" t="s">
        <v>38</v>
      </c>
      <c r="M671" t="s">
        <v>34</v>
      </c>
      <c r="N671" t="s">
        <v>35</v>
      </c>
      <c r="O671">
        <v>0.82617257600154503</v>
      </c>
      <c r="P671" t="s">
        <v>36</v>
      </c>
    </row>
    <row r="672" spans="1:16">
      <c r="A672">
        <v>671</v>
      </c>
      <c r="B672" t="s">
        <v>724</v>
      </c>
      <c r="C672">
        <v>63</v>
      </c>
      <c r="D672">
        <v>63</v>
      </c>
      <c r="E672">
        <v>52.129910813569602</v>
      </c>
      <c r="F672">
        <v>1</v>
      </c>
      <c r="G672">
        <v>2134.3411871455601</v>
      </c>
      <c r="H672">
        <v>341.16439283516098</v>
      </c>
      <c r="I672">
        <v>0.72318480142005204</v>
      </c>
      <c r="J672">
        <v>0.23043387005465399</v>
      </c>
      <c r="K672">
        <v>0.70669291338582696</v>
      </c>
      <c r="L672" t="s">
        <v>47</v>
      </c>
      <c r="M672" t="s">
        <v>34</v>
      </c>
      <c r="N672" t="s">
        <v>35</v>
      </c>
      <c r="O672">
        <v>0.94312172019304397</v>
      </c>
      <c r="P672" t="s">
        <v>36</v>
      </c>
    </row>
    <row r="673" spans="1:16">
      <c r="A673">
        <v>672</v>
      </c>
      <c r="B673" t="s">
        <v>725</v>
      </c>
      <c r="C673">
        <v>63</v>
      </c>
      <c r="D673">
        <v>73</v>
      </c>
      <c r="E673">
        <v>52.305679995017897</v>
      </c>
      <c r="F673">
        <v>0.86567164179104505</v>
      </c>
      <c r="G673">
        <v>2148.7583943289201</v>
      </c>
      <c r="H673">
        <v>443.87504896526798</v>
      </c>
      <c r="I673">
        <v>0.55887123831410102</v>
      </c>
      <c r="J673">
        <v>0.13704903563044299</v>
      </c>
      <c r="K673">
        <v>0.58322575439728896</v>
      </c>
      <c r="L673" t="s">
        <v>33</v>
      </c>
      <c r="M673" t="s">
        <v>34</v>
      </c>
      <c r="N673" t="s">
        <v>35</v>
      </c>
      <c r="O673">
        <v>0.699294411645764</v>
      </c>
      <c r="P673" t="s">
        <v>36</v>
      </c>
    </row>
    <row r="674" spans="1:16">
      <c r="A674">
        <v>673</v>
      </c>
      <c r="B674" t="s">
        <v>726</v>
      </c>
      <c r="C674">
        <v>51</v>
      </c>
      <c r="D674">
        <v>77</v>
      </c>
      <c r="E674">
        <v>52.399664015512499</v>
      </c>
      <c r="F674">
        <v>0.65332901349790895</v>
      </c>
      <c r="G674">
        <v>2156.4872064272199</v>
      </c>
      <c r="H674">
        <v>249.430069978859</v>
      </c>
      <c r="I674">
        <v>0.72691913928544905</v>
      </c>
      <c r="J674">
        <v>0.435571176378241</v>
      </c>
      <c r="K674">
        <v>0.74138988247317295</v>
      </c>
      <c r="L674" t="s">
        <v>49</v>
      </c>
      <c r="M674" t="s">
        <v>34</v>
      </c>
      <c r="N674" t="s">
        <v>35</v>
      </c>
      <c r="O674">
        <v>0.69308973813335695</v>
      </c>
      <c r="P674" t="s">
        <v>36</v>
      </c>
    </row>
    <row r="675" spans="1:16">
      <c r="A675">
        <v>674</v>
      </c>
      <c r="B675" t="s">
        <v>727</v>
      </c>
      <c r="C675">
        <v>63</v>
      </c>
      <c r="D675">
        <v>69</v>
      </c>
      <c r="E675">
        <v>52.408692058517403</v>
      </c>
      <c r="F675">
        <v>0.92063492063492103</v>
      </c>
      <c r="G675">
        <v>2157.2303614366701</v>
      </c>
      <c r="H675">
        <v>597.24277290717396</v>
      </c>
      <c r="I675">
        <v>0.55843128567295997</v>
      </c>
      <c r="J675">
        <v>7.5998423203378407E-2</v>
      </c>
      <c r="K675">
        <v>0.56962323390894798</v>
      </c>
      <c r="L675" t="s">
        <v>33</v>
      </c>
      <c r="M675" t="s">
        <v>34</v>
      </c>
      <c r="N675" t="s">
        <v>35</v>
      </c>
      <c r="O675">
        <v>0.82725459440690596</v>
      </c>
      <c r="P675" t="s">
        <v>36</v>
      </c>
    </row>
    <row r="676" spans="1:16">
      <c r="A676">
        <v>675</v>
      </c>
      <c r="B676" t="s">
        <v>728</v>
      </c>
      <c r="C676">
        <v>58</v>
      </c>
      <c r="D676">
        <v>73</v>
      </c>
      <c r="E676">
        <v>52.448396986051598</v>
      </c>
      <c r="F676">
        <v>0.798507530669604</v>
      </c>
      <c r="G676">
        <v>2160.50024347826</v>
      </c>
      <c r="H676">
        <v>381.510479791683</v>
      </c>
      <c r="I676">
        <v>0.63322942235880597</v>
      </c>
      <c r="J676">
        <v>0.18653109481076399</v>
      </c>
      <c r="K676">
        <v>0.73674607197161701</v>
      </c>
      <c r="L676" t="s">
        <v>33</v>
      </c>
      <c r="M676" t="s">
        <v>34</v>
      </c>
      <c r="N676" t="s">
        <v>35</v>
      </c>
      <c r="O676">
        <v>0.70201429693956297</v>
      </c>
      <c r="P676" t="s">
        <v>36</v>
      </c>
    </row>
    <row r="677" spans="1:16">
      <c r="A677">
        <v>676</v>
      </c>
      <c r="B677" t="s">
        <v>729</v>
      </c>
      <c r="C677">
        <v>63</v>
      </c>
      <c r="D677">
        <v>111</v>
      </c>
      <c r="E677">
        <v>52.525915411168498</v>
      </c>
      <c r="F677">
        <v>0.57131512746357005</v>
      </c>
      <c r="G677">
        <v>2166.8913765595498</v>
      </c>
      <c r="H677">
        <v>478.02060567389401</v>
      </c>
      <c r="I677">
        <v>0.81081752168340904</v>
      </c>
      <c r="J677">
        <v>0.119166386297405</v>
      </c>
      <c r="K677">
        <v>0.43047804647592097</v>
      </c>
      <c r="L677" t="s">
        <v>49</v>
      </c>
      <c r="M677" t="s">
        <v>34</v>
      </c>
      <c r="N677" t="s">
        <v>35</v>
      </c>
      <c r="O677">
        <v>0.82843225340204896</v>
      </c>
      <c r="P677" t="s">
        <v>36</v>
      </c>
    </row>
    <row r="678" spans="1:16">
      <c r="A678">
        <v>677</v>
      </c>
      <c r="B678" t="s">
        <v>730</v>
      </c>
      <c r="C678">
        <v>69</v>
      </c>
      <c r="D678">
        <v>86</v>
      </c>
      <c r="E678">
        <v>52.560131319239098</v>
      </c>
      <c r="F678">
        <v>0.80095738703992803</v>
      </c>
      <c r="G678">
        <v>2169.7153655954598</v>
      </c>
      <c r="H678">
        <v>561.55510856649198</v>
      </c>
      <c r="I678">
        <v>0.64501666769298305</v>
      </c>
      <c r="J678">
        <v>8.6462514938281596E-2</v>
      </c>
      <c r="K678">
        <v>0.45750282060925201</v>
      </c>
      <c r="L678" t="s">
        <v>33</v>
      </c>
      <c r="M678" t="s">
        <v>34</v>
      </c>
      <c r="N678" t="s">
        <v>35</v>
      </c>
      <c r="O678">
        <v>0.656287256935983</v>
      </c>
      <c r="P678" t="s">
        <v>36</v>
      </c>
    </row>
    <row r="679" spans="1:16">
      <c r="A679">
        <v>678</v>
      </c>
      <c r="B679" t="s">
        <v>731</v>
      </c>
      <c r="C679">
        <v>79</v>
      </c>
      <c r="D679">
        <v>82</v>
      </c>
      <c r="E679">
        <v>52.680610062249102</v>
      </c>
      <c r="F679">
        <v>0.96506549683688003</v>
      </c>
      <c r="G679">
        <v>2179.6736427221199</v>
      </c>
      <c r="H679">
        <v>555.40937551944205</v>
      </c>
      <c r="I679">
        <v>0.624483481681538</v>
      </c>
      <c r="J679">
        <v>8.8792221866712304E-2</v>
      </c>
      <c r="K679">
        <v>0.48896372365964302</v>
      </c>
      <c r="L679" t="s">
        <v>33</v>
      </c>
      <c r="M679" t="s">
        <v>34</v>
      </c>
      <c r="N679" t="s">
        <v>35</v>
      </c>
      <c r="O679">
        <v>0.82053947014468998</v>
      </c>
      <c r="P679" t="s">
        <v>36</v>
      </c>
    </row>
    <row r="680" spans="1:16">
      <c r="A680">
        <v>679</v>
      </c>
      <c r="B680" t="s">
        <v>732</v>
      </c>
      <c r="C680">
        <v>63</v>
      </c>
      <c r="D680">
        <v>93</v>
      </c>
      <c r="E680">
        <v>52.734466552778898</v>
      </c>
      <c r="F680">
        <v>0.682352973911595</v>
      </c>
      <c r="G680">
        <v>2184.1325727788299</v>
      </c>
      <c r="H680">
        <v>610.75696566675003</v>
      </c>
      <c r="I680">
        <v>0.63755403520949405</v>
      </c>
      <c r="J680">
        <v>7.3578681661820605E-2</v>
      </c>
      <c r="K680">
        <v>0.45615396554400101</v>
      </c>
      <c r="L680" t="s">
        <v>43</v>
      </c>
      <c r="M680" t="s">
        <v>34</v>
      </c>
      <c r="N680" t="s">
        <v>35</v>
      </c>
      <c r="O680">
        <v>0.77879231663022996</v>
      </c>
      <c r="P680" t="s">
        <v>36</v>
      </c>
    </row>
    <row r="681" spans="1:16">
      <c r="A681">
        <v>680</v>
      </c>
      <c r="B681" t="s">
        <v>733</v>
      </c>
      <c r="C681">
        <v>64</v>
      </c>
      <c r="D681">
        <v>78</v>
      </c>
      <c r="E681">
        <v>52.777512175797803</v>
      </c>
      <c r="F681">
        <v>0.81818181818181801</v>
      </c>
      <c r="G681">
        <v>2187.6997168242001</v>
      </c>
      <c r="H681">
        <v>363.74414230336299</v>
      </c>
      <c r="I681">
        <v>0.61946429238221301</v>
      </c>
      <c r="J681">
        <v>0.20778086894766501</v>
      </c>
      <c r="K681">
        <v>0.68597660437153396</v>
      </c>
      <c r="L681" t="s">
        <v>33</v>
      </c>
      <c r="M681" t="s">
        <v>34</v>
      </c>
      <c r="N681" t="s">
        <v>35</v>
      </c>
      <c r="O681">
        <v>0.76321479543800796</v>
      </c>
      <c r="P681" t="s">
        <v>36</v>
      </c>
    </row>
    <row r="682" spans="1:16">
      <c r="A682">
        <v>681</v>
      </c>
      <c r="B682" t="s">
        <v>734</v>
      </c>
      <c r="C682">
        <v>58</v>
      </c>
      <c r="D682">
        <v>82</v>
      </c>
      <c r="E682">
        <v>52.806189763827597</v>
      </c>
      <c r="F682">
        <v>0.70198679578905798</v>
      </c>
      <c r="G682">
        <v>2190.0778128544398</v>
      </c>
      <c r="H682">
        <v>520.06378962651502</v>
      </c>
      <c r="I682">
        <v>0.71885348174897301</v>
      </c>
      <c r="J682">
        <v>0.101755098003237</v>
      </c>
      <c r="K682">
        <v>0.55018295870360701</v>
      </c>
      <c r="L682" t="s">
        <v>49</v>
      </c>
      <c r="M682" t="s">
        <v>34</v>
      </c>
      <c r="N682" t="s">
        <v>35</v>
      </c>
      <c r="O682">
        <v>0.73542372757042895</v>
      </c>
      <c r="P682" t="s">
        <v>36</v>
      </c>
    </row>
    <row r="683" spans="1:16">
      <c r="A683">
        <v>682</v>
      </c>
      <c r="B683" t="s">
        <v>735</v>
      </c>
      <c r="C683">
        <v>51</v>
      </c>
      <c r="D683">
        <v>71</v>
      </c>
      <c r="E683">
        <v>52.908227346194998</v>
      </c>
      <c r="F683">
        <v>0.71467842095774503</v>
      </c>
      <c r="G683">
        <v>2198.5497799621899</v>
      </c>
      <c r="H683">
        <v>329.06001582477398</v>
      </c>
      <c r="I683">
        <v>0.68460054353680899</v>
      </c>
      <c r="J683">
        <v>0.255150215193859</v>
      </c>
      <c r="K683">
        <v>0.77198476071186295</v>
      </c>
      <c r="L683" t="s">
        <v>49</v>
      </c>
      <c r="M683" t="s">
        <v>34</v>
      </c>
      <c r="N683" t="s">
        <v>35</v>
      </c>
      <c r="O683">
        <v>0.71396418208755796</v>
      </c>
      <c r="P683" t="s">
        <v>36</v>
      </c>
    </row>
    <row r="684" spans="1:16">
      <c r="A684">
        <v>683</v>
      </c>
      <c r="B684" t="s">
        <v>736</v>
      </c>
      <c r="C684">
        <v>39</v>
      </c>
      <c r="D684">
        <v>98</v>
      </c>
      <c r="E684">
        <v>52.927896165232603</v>
      </c>
      <c r="F684">
        <v>0.4</v>
      </c>
      <c r="G684">
        <v>2200.1847209829898</v>
      </c>
      <c r="H684">
        <v>324.03681728000203</v>
      </c>
      <c r="I684">
        <v>0.77078365630911805</v>
      </c>
      <c r="J684">
        <v>0.26331784537263803</v>
      </c>
      <c r="K684">
        <v>0.77405354528341397</v>
      </c>
      <c r="L684" t="s">
        <v>33</v>
      </c>
      <c r="M684" t="s">
        <v>34</v>
      </c>
      <c r="N684" t="s">
        <v>35</v>
      </c>
      <c r="O684">
        <v>0.87000571025544104</v>
      </c>
      <c r="P684" t="s">
        <v>36</v>
      </c>
    </row>
    <row r="685" spans="1:16">
      <c r="A685">
        <v>684</v>
      </c>
      <c r="B685" t="s">
        <v>737</v>
      </c>
      <c r="C685">
        <v>58</v>
      </c>
      <c r="D685">
        <v>59</v>
      </c>
      <c r="E685">
        <v>53.093895876187297</v>
      </c>
      <c r="F685">
        <v>0.98148148148148195</v>
      </c>
      <c r="G685">
        <v>2214.00740415879</v>
      </c>
      <c r="H685">
        <v>292.811084232952</v>
      </c>
      <c r="I685">
        <v>0.74566045289746197</v>
      </c>
      <c r="J685">
        <v>0.32449940700938601</v>
      </c>
      <c r="K685">
        <v>0.80358202513891097</v>
      </c>
      <c r="L685" t="s">
        <v>41</v>
      </c>
      <c r="M685" t="s">
        <v>34</v>
      </c>
      <c r="N685" t="s">
        <v>35</v>
      </c>
      <c r="O685">
        <v>0.80829998462377395</v>
      </c>
      <c r="P685" t="s">
        <v>36</v>
      </c>
    </row>
    <row r="686" spans="1:16">
      <c r="A686">
        <v>685</v>
      </c>
      <c r="B686" t="s">
        <v>738</v>
      </c>
      <c r="C686">
        <v>73</v>
      </c>
      <c r="D686">
        <v>73</v>
      </c>
      <c r="E686">
        <v>53.239831842185701</v>
      </c>
      <c r="F686">
        <v>1.0057048637999499</v>
      </c>
      <c r="G686">
        <v>2226.1951463137998</v>
      </c>
      <c r="H686">
        <v>553.01871938933505</v>
      </c>
      <c r="I686">
        <v>0.61742101782421899</v>
      </c>
      <c r="J686">
        <v>9.1473107101860504E-2</v>
      </c>
      <c r="K686">
        <v>0.53485216397657498</v>
      </c>
      <c r="L686" t="s">
        <v>33</v>
      </c>
      <c r="M686" t="s">
        <v>34</v>
      </c>
      <c r="N686" t="s">
        <v>35</v>
      </c>
      <c r="O686">
        <v>0.76830297235784195</v>
      </c>
      <c r="P686" t="s">
        <v>36</v>
      </c>
    </row>
    <row r="687" spans="1:16">
      <c r="A687">
        <v>686</v>
      </c>
      <c r="B687" t="s">
        <v>739</v>
      </c>
      <c r="C687">
        <v>27</v>
      </c>
      <c r="D687">
        <v>117</v>
      </c>
      <c r="E687">
        <v>53.645282286763397</v>
      </c>
      <c r="F687">
        <v>0.227906976744186</v>
      </c>
      <c r="G687">
        <v>2260.23164574669</v>
      </c>
      <c r="H687">
        <v>300.21553666933698</v>
      </c>
      <c r="I687">
        <v>0.93982241958824797</v>
      </c>
      <c r="J687">
        <v>0.31513488911330001</v>
      </c>
      <c r="K687">
        <v>0.80866790747141704</v>
      </c>
      <c r="L687" t="s">
        <v>74</v>
      </c>
      <c r="M687" t="s">
        <v>34</v>
      </c>
      <c r="N687" t="s">
        <v>35</v>
      </c>
      <c r="O687">
        <v>0.74089920236790696</v>
      </c>
      <c r="P687" t="s">
        <v>36</v>
      </c>
    </row>
    <row r="688" spans="1:16">
      <c r="A688">
        <v>687</v>
      </c>
      <c r="B688" t="s">
        <v>740</v>
      </c>
      <c r="C688">
        <v>87</v>
      </c>
      <c r="D688">
        <v>59</v>
      </c>
      <c r="E688">
        <v>53.719312282754501</v>
      </c>
      <c r="F688">
        <v>1.4814814814814801</v>
      </c>
      <c r="G688">
        <v>2266.4741478260898</v>
      </c>
      <c r="H688">
        <v>534.27154152009803</v>
      </c>
      <c r="I688">
        <v>0.678089783999964</v>
      </c>
      <c r="J688">
        <v>9.9778403408579505E-2</v>
      </c>
      <c r="K688">
        <v>0.58202290076335905</v>
      </c>
      <c r="L688" t="s">
        <v>33</v>
      </c>
      <c r="M688" t="s">
        <v>34</v>
      </c>
      <c r="N688" t="s">
        <v>35</v>
      </c>
      <c r="O688">
        <v>0.82073767590230795</v>
      </c>
      <c r="P688" t="s">
        <v>36</v>
      </c>
    </row>
    <row r="689" spans="1:16">
      <c r="A689">
        <v>688</v>
      </c>
      <c r="B689" t="s">
        <v>741</v>
      </c>
      <c r="C689">
        <v>58</v>
      </c>
      <c r="D689">
        <v>58</v>
      </c>
      <c r="E689">
        <v>53.772128451527003</v>
      </c>
      <c r="F689">
        <v>1</v>
      </c>
      <c r="G689">
        <v>2270.9330778827998</v>
      </c>
      <c r="H689">
        <v>259.81075950778097</v>
      </c>
      <c r="I689">
        <v>0.66366896515796803</v>
      </c>
      <c r="J689">
        <v>0.422765885467766</v>
      </c>
      <c r="K689">
        <v>0.80500526870389899</v>
      </c>
      <c r="L689" t="s">
        <v>38</v>
      </c>
      <c r="M689" t="s">
        <v>34</v>
      </c>
      <c r="N689" t="s">
        <v>35</v>
      </c>
      <c r="O689">
        <v>0.79051571943319499</v>
      </c>
      <c r="P689" t="s">
        <v>36</v>
      </c>
    </row>
    <row r="690" spans="1:16">
      <c r="A690">
        <v>689</v>
      </c>
      <c r="B690" t="s">
        <v>742</v>
      </c>
      <c r="C690">
        <v>87</v>
      </c>
      <c r="D690">
        <v>42</v>
      </c>
      <c r="E690">
        <v>53.8776054623657</v>
      </c>
      <c r="F690">
        <v>2.0966342696945302</v>
      </c>
      <c r="G690">
        <v>2279.8509379962202</v>
      </c>
      <c r="H690">
        <v>395.36675099901498</v>
      </c>
      <c r="I690">
        <v>0.713234234182897</v>
      </c>
      <c r="J690">
        <v>0.18328040215491601</v>
      </c>
      <c r="K690">
        <v>0.76374228241386199</v>
      </c>
      <c r="L690" t="s">
        <v>38</v>
      </c>
      <c r="M690" t="s">
        <v>34</v>
      </c>
      <c r="N690" t="s">
        <v>35</v>
      </c>
      <c r="O690">
        <v>0.700315331605177</v>
      </c>
      <c r="P690" t="s">
        <v>36</v>
      </c>
    </row>
    <row r="691" spans="1:16">
      <c r="A691">
        <v>690</v>
      </c>
      <c r="B691" t="s">
        <v>743</v>
      </c>
      <c r="C691">
        <v>73</v>
      </c>
      <c r="D691">
        <v>58</v>
      </c>
      <c r="E691">
        <v>53.925002807846099</v>
      </c>
      <c r="F691">
        <v>1.2523364485981301</v>
      </c>
      <c r="G691">
        <v>2283.8639750472598</v>
      </c>
      <c r="H691">
        <v>377.03914625955701</v>
      </c>
      <c r="I691">
        <v>0.63135864210808301</v>
      </c>
      <c r="J691">
        <v>0.20188646860510101</v>
      </c>
      <c r="K691">
        <v>0.69463405813480406</v>
      </c>
      <c r="L691" t="s">
        <v>47</v>
      </c>
      <c r="M691" t="s">
        <v>34</v>
      </c>
      <c r="N691" t="s">
        <v>35</v>
      </c>
      <c r="O691">
        <v>0.94450497868007199</v>
      </c>
      <c r="P691" t="s">
        <v>36</v>
      </c>
    </row>
    <row r="692" spans="1:16">
      <c r="A692">
        <v>691</v>
      </c>
      <c r="B692" t="s">
        <v>744</v>
      </c>
      <c r="C692">
        <v>64</v>
      </c>
      <c r="D692">
        <v>49</v>
      </c>
      <c r="E692">
        <v>54.103684721861697</v>
      </c>
      <c r="F692">
        <v>1.2997592783130301</v>
      </c>
      <c r="G692">
        <v>2299.0243372400801</v>
      </c>
      <c r="H692">
        <v>294.80486471445698</v>
      </c>
      <c r="I692">
        <v>0.729068873321987</v>
      </c>
      <c r="J692">
        <v>0.33241770071821197</v>
      </c>
      <c r="K692">
        <v>0.827121544302444</v>
      </c>
      <c r="L692" t="s">
        <v>38</v>
      </c>
      <c r="M692" t="s">
        <v>34</v>
      </c>
      <c r="N692" t="s">
        <v>35</v>
      </c>
      <c r="O692">
        <v>0.70493553843789303</v>
      </c>
      <c r="P692" t="s">
        <v>36</v>
      </c>
    </row>
    <row r="693" spans="1:16">
      <c r="A693">
        <v>692</v>
      </c>
      <c r="B693" t="s">
        <v>745</v>
      </c>
      <c r="C693">
        <v>70</v>
      </c>
      <c r="D693">
        <v>61</v>
      </c>
      <c r="E693">
        <v>54.4540771401727</v>
      </c>
      <c r="F693">
        <v>1.1494270178115999</v>
      </c>
      <c r="G693">
        <v>2328.8991686200402</v>
      </c>
      <c r="H693">
        <v>375.44224142665502</v>
      </c>
      <c r="I693">
        <v>0.67015605607502304</v>
      </c>
      <c r="J693">
        <v>0.207622435828693</v>
      </c>
      <c r="K693">
        <v>0.73487477722540095</v>
      </c>
      <c r="L693" t="s">
        <v>41</v>
      </c>
      <c r="M693" t="s">
        <v>34</v>
      </c>
      <c r="N693" t="s">
        <v>35</v>
      </c>
      <c r="O693">
        <v>0.69940636898289998</v>
      </c>
      <c r="P693" t="s">
        <v>36</v>
      </c>
    </row>
    <row r="694" spans="1:16">
      <c r="A694">
        <v>693</v>
      </c>
      <c r="B694" t="s">
        <v>746</v>
      </c>
      <c r="C694">
        <v>95</v>
      </c>
      <c r="D694">
        <v>40</v>
      </c>
      <c r="E694">
        <v>54.537419950970701</v>
      </c>
      <c r="F694">
        <v>2.3597943832060602</v>
      </c>
      <c r="G694">
        <v>2336.0334567107798</v>
      </c>
      <c r="H694">
        <v>348.47805534684102</v>
      </c>
      <c r="I694">
        <v>0.64779149145644799</v>
      </c>
      <c r="J694">
        <v>0.241734175321451</v>
      </c>
      <c r="K694">
        <v>0.781007751937985</v>
      </c>
      <c r="L694" t="s">
        <v>74</v>
      </c>
      <c r="M694" t="s">
        <v>34</v>
      </c>
      <c r="N694" t="s">
        <v>35</v>
      </c>
      <c r="O694">
        <v>0.70110590258917904</v>
      </c>
      <c r="P694" t="s">
        <v>36</v>
      </c>
    </row>
    <row r="695" spans="1:16">
      <c r="A695">
        <v>694</v>
      </c>
      <c r="B695" t="s">
        <v>747</v>
      </c>
      <c r="C695">
        <v>47</v>
      </c>
      <c r="D695">
        <v>74</v>
      </c>
      <c r="E695">
        <v>54.636224416149197</v>
      </c>
      <c r="F695">
        <v>0.63498941167983003</v>
      </c>
      <c r="G695">
        <v>2344.5054238185298</v>
      </c>
      <c r="H695">
        <v>253.769111628118</v>
      </c>
      <c r="I695">
        <v>0.78514594942761795</v>
      </c>
      <c r="J695">
        <v>0.45749208743359299</v>
      </c>
      <c r="K695">
        <v>0.79925010133765695</v>
      </c>
      <c r="L695" t="s">
        <v>33</v>
      </c>
      <c r="M695" t="s">
        <v>34</v>
      </c>
      <c r="N695" t="s">
        <v>35</v>
      </c>
      <c r="O695">
        <v>0.74401841498171295</v>
      </c>
      <c r="P695" t="s">
        <v>36</v>
      </c>
    </row>
    <row r="696" spans="1:16">
      <c r="A696">
        <v>695</v>
      </c>
      <c r="B696" t="s">
        <v>748</v>
      </c>
      <c r="C696">
        <v>76</v>
      </c>
      <c r="D696">
        <v>54</v>
      </c>
      <c r="E696">
        <v>54.8177664604803</v>
      </c>
      <c r="F696">
        <v>1.3912532864607901</v>
      </c>
      <c r="G696">
        <v>2360.1116790170099</v>
      </c>
      <c r="H696">
        <v>402.89020007558503</v>
      </c>
      <c r="I696">
        <v>0.62666225282108101</v>
      </c>
      <c r="J696">
        <v>0.18271281579731899</v>
      </c>
      <c r="K696">
        <v>0.69192557409908895</v>
      </c>
      <c r="L696" t="s">
        <v>298</v>
      </c>
      <c r="M696" t="s">
        <v>34</v>
      </c>
      <c r="N696" t="s">
        <v>35</v>
      </c>
      <c r="O696">
        <v>0.65328928960613497</v>
      </c>
      <c r="P696" t="s">
        <v>36</v>
      </c>
    </row>
    <row r="697" spans="1:16">
      <c r="A697">
        <v>696</v>
      </c>
      <c r="B697" t="s">
        <v>749</v>
      </c>
      <c r="C697">
        <v>53</v>
      </c>
      <c r="D697">
        <v>58</v>
      </c>
      <c r="E697">
        <v>54.898833635763502</v>
      </c>
      <c r="F697">
        <v>0.91588785046729004</v>
      </c>
      <c r="G697">
        <v>2367.09733610586</v>
      </c>
      <c r="H697">
        <v>292.281916701483</v>
      </c>
      <c r="I697">
        <v>0.438656165465454</v>
      </c>
      <c r="J697">
        <v>0.348194644762501</v>
      </c>
      <c r="K697">
        <v>0.83697708639899104</v>
      </c>
      <c r="L697" t="s">
        <v>47</v>
      </c>
      <c r="M697" t="s">
        <v>34</v>
      </c>
      <c r="N697" t="s">
        <v>35</v>
      </c>
      <c r="O697">
        <v>0.94244701572303602</v>
      </c>
      <c r="P697" t="s">
        <v>36</v>
      </c>
    </row>
    <row r="698" spans="1:16">
      <c r="A698">
        <v>697</v>
      </c>
      <c r="B698" t="s">
        <v>750</v>
      </c>
      <c r="C698">
        <v>78</v>
      </c>
      <c r="D698">
        <v>63</v>
      </c>
      <c r="E698">
        <v>55.312651952692697</v>
      </c>
      <c r="F698">
        <v>1.2327586206896599</v>
      </c>
      <c r="G698">
        <v>2402.9174075614401</v>
      </c>
      <c r="H698">
        <v>494.22213804898098</v>
      </c>
      <c r="I698">
        <v>0.63252125067624998</v>
      </c>
      <c r="J698">
        <v>0.123624434298514</v>
      </c>
      <c r="K698">
        <v>0.61706106870229005</v>
      </c>
      <c r="L698" t="s">
        <v>38</v>
      </c>
      <c r="M698" t="s">
        <v>34</v>
      </c>
      <c r="N698" t="s">
        <v>35</v>
      </c>
      <c r="O698">
        <v>0.83280649534944595</v>
      </c>
      <c r="P698" t="s">
        <v>36</v>
      </c>
    </row>
    <row r="699" spans="1:16">
      <c r="A699">
        <v>698</v>
      </c>
      <c r="B699" t="s">
        <v>751</v>
      </c>
      <c r="C699">
        <v>78</v>
      </c>
      <c r="D699">
        <v>59</v>
      </c>
      <c r="E699">
        <v>55.403243028782001</v>
      </c>
      <c r="F699">
        <v>1.3163447130580299</v>
      </c>
      <c r="G699">
        <v>2410.7948506616299</v>
      </c>
      <c r="H699">
        <v>295.43811741331399</v>
      </c>
      <c r="I699">
        <v>0.55085604286456202</v>
      </c>
      <c r="J699">
        <v>0.34708597466223801</v>
      </c>
      <c r="K699">
        <v>0.714474495639151</v>
      </c>
      <c r="L699" t="s">
        <v>288</v>
      </c>
      <c r="M699" t="s">
        <v>34</v>
      </c>
      <c r="N699" t="s">
        <v>35</v>
      </c>
      <c r="O699">
        <v>0.695396454143417</v>
      </c>
      <c r="P699" t="s">
        <v>36</v>
      </c>
    </row>
    <row r="700" spans="1:16">
      <c r="A700">
        <v>699</v>
      </c>
      <c r="B700" t="s">
        <v>752</v>
      </c>
      <c r="C700">
        <v>71</v>
      </c>
      <c r="D700">
        <v>63</v>
      </c>
      <c r="E700">
        <v>55.439096658937999</v>
      </c>
      <c r="F700">
        <v>1.12925174478734</v>
      </c>
      <c r="G700">
        <v>2413.9161017013198</v>
      </c>
      <c r="H700">
        <v>475.46555794124998</v>
      </c>
      <c r="I700">
        <v>0.66451169240758301</v>
      </c>
      <c r="J700">
        <v>0.134181891677878</v>
      </c>
      <c r="K700">
        <v>0.66517857142857095</v>
      </c>
      <c r="L700" t="s">
        <v>33</v>
      </c>
      <c r="M700" t="s">
        <v>34</v>
      </c>
      <c r="N700" t="s">
        <v>35</v>
      </c>
      <c r="O700">
        <v>0.77114370098672103</v>
      </c>
      <c r="P700" t="s">
        <v>36</v>
      </c>
    </row>
    <row r="701" spans="1:16">
      <c r="A701">
        <v>700</v>
      </c>
      <c r="B701" t="s">
        <v>753</v>
      </c>
      <c r="C701">
        <v>78</v>
      </c>
      <c r="D701">
        <v>49</v>
      </c>
      <c r="E701">
        <v>55.464692205012497</v>
      </c>
      <c r="F701">
        <v>1.5888888888888899</v>
      </c>
      <c r="G701">
        <v>2416.14556672968</v>
      </c>
      <c r="H701">
        <v>356.77255823943898</v>
      </c>
      <c r="I701">
        <v>0.72785012292220297</v>
      </c>
      <c r="J701">
        <v>0.23853388133714001</v>
      </c>
      <c r="K701">
        <v>0.74750540304409796</v>
      </c>
      <c r="L701" t="s">
        <v>43</v>
      </c>
      <c r="M701" t="s">
        <v>34</v>
      </c>
      <c r="N701" t="s">
        <v>35</v>
      </c>
      <c r="O701">
        <v>0.76779356446675096</v>
      </c>
      <c r="P701" t="s">
        <v>36</v>
      </c>
    </row>
    <row r="702" spans="1:16">
      <c r="A702">
        <v>701</v>
      </c>
      <c r="B702" t="s">
        <v>754</v>
      </c>
      <c r="C702">
        <v>39</v>
      </c>
      <c r="D702">
        <v>92</v>
      </c>
      <c r="E702">
        <v>55.529481452878997</v>
      </c>
      <c r="F702">
        <v>0.42011834319526598</v>
      </c>
      <c r="G702">
        <v>2421.7935448015101</v>
      </c>
      <c r="H702">
        <v>312.28392095586503</v>
      </c>
      <c r="I702">
        <v>0.83315467577697999</v>
      </c>
      <c r="J702">
        <v>0.31206691958827898</v>
      </c>
      <c r="K702">
        <v>0.79150879238317295</v>
      </c>
      <c r="L702" t="s">
        <v>38</v>
      </c>
      <c r="M702" t="s">
        <v>34</v>
      </c>
      <c r="N702" t="s">
        <v>35</v>
      </c>
      <c r="O702">
        <v>0.82470321899545096</v>
      </c>
      <c r="P702" t="s">
        <v>36</v>
      </c>
    </row>
    <row r="703" spans="1:16">
      <c r="A703">
        <v>702</v>
      </c>
      <c r="B703" t="s">
        <v>755</v>
      </c>
      <c r="C703">
        <v>90</v>
      </c>
      <c r="D703">
        <v>68</v>
      </c>
      <c r="E703">
        <v>55.762438823130303</v>
      </c>
      <c r="F703">
        <v>1.33064507892302</v>
      </c>
      <c r="G703">
        <v>2442.15599206049</v>
      </c>
      <c r="H703">
        <v>520.92952637143799</v>
      </c>
      <c r="I703">
        <v>0.67831177272245402</v>
      </c>
      <c r="J703">
        <v>0.113090289789713</v>
      </c>
      <c r="K703">
        <v>0.52803933541151105</v>
      </c>
      <c r="L703" t="s">
        <v>33</v>
      </c>
      <c r="M703" t="s">
        <v>34</v>
      </c>
      <c r="N703" t="s">
        <v>35</v>
      </c>
      <c r="O703">
        <v>0.70948550338545802</v>
      </c>
      <c r="P703" t="s">
        <v>36</v>
      </c>
    </row>
    <row r="704" spans="1:16">
      <c r="A704">
        <v>703</v>
      </c>
      <c r="B704" t="s">
        <v>756</v>
      </c>
      <c r="C704">
        <v>112</v>
      </c>
      <c r="D704">
        <v>58</v>
      </c>
      <c r="E704">
        <v>55.779404910729902</v>
      </c>
      <c r="F704">
        <v>1.9252336341977201</v>
      </c>
      <c r="G704">
        <v>2443.6423020794</v>
      </c>
      <c r="H704">
        <v>703.14723870308501</v>
      </c>
      <c r="I704">
        <v>0.70222212697309605</v>
      </c>
      <c r="J704">
        <v>6.2109058720251797E-2</v>
      </c>
      <c r="K704">
        <v>0.42818449358022798</v>
      </c>
      <c r="L704" t="s">
        <v>33</v>
      </c>
      <c r="M704" t="s">
        <v>34</v>
      </c>
      <c r="N704" t="s">
        <v>35</v>
      </c>
      <c r="O704">
        <v>0.73446048570440603</v>
      </c>
      <c r="P704" t="s">
        <v>36</v>
      </c>
    </row>
    <row r="705" spans="1:16">
      <c r="A705">
        <v>704</v>
      </c>
      <c r="B705" t="s">
        <v>757</v>
      </c>
      <c r="C705">
        <v>88</v>
      </c>
      <c r="D705">
        <v>83</v>
      </c>
      <c r="E705">
        <v>55.862464256287502</v>
      </c>
      <c r="F705">
        <v>1.06578947368421</v>
      </c>
      <c r="G705">
        <v>2450.92522117202</v>
      </c>
      <c r="H705">
        <v>652.69995745617405</v>
      </c>
      <c r="I705">
        <v>0.53323419850676002</v>
      </c>
      <c r="J705">
        <v>7.2295748119508799E-2</v>
      </c>
      <c r="K705">
        <v>0.48116483324093301</v>
      </c>
      <c r="L705" t="s">
        <v>74</v>
      </c>
      <c r="M705" t="s">
        <v>34</v>
      </c>
      <c r="N705" t="s">
        <v>35</v>
      </c>
      <c r="O705">
        <v>0.73511983836705597</v>
      </c>
      <c r="P705" t="s">
        <v>36</v>
      </c>
    </row>
    <row r="706" spans="1:16">
      <c r="A706">
        <v>705</v>
      </c>
      <c r="B706" t="s">
        <v>758</v>
      </c>
      <c r="C706">
        <v>59</v>
      </c>
      <c r="D706">
        <v>56</v>
      </c>
      <c r="E706">
        <v>55.960620075169501</v>
      </c>
      <c r="F706">
        <v>1.07026635208164</v>
      </c>
      <c r="G706">
        <v>2459.54581928166</v>
      </c>
      <c r="H706">
        <v>228.79870602980901</v>
      </c>
      <c r="I706">
        <v>0.62694089839242895</v>
      </c>
      <c r="J706">
        <v>0.59041536842225595</v>
      </c>
      <c r="K706">
        <v>0.86957435627955904</v>
      </c>
      <c r="L706" t="s">
        <v>74</v>
      </c>
      <c r="M706" t="s">
        <v>34</v>
      </c>
      <c r="N706" t="s">
        <v>35</v>
      </c>
      <c r="O706">
        <v>0.66763574695810601</v>
      </c>
      <c r="P706" t="s">
        <v>36</v>
      </c>
    </row>
    <row r="707" spans="1:16">
      <c r="A707">
        <v>706</v>
      </c>
      <c r="B707" t="s">
        <v>759</v>
      </c>
      <c r="C707">
        <v>91</v>
      </c>
      <c r="D707">
        <v>50</v>
      </c>
      <c r="E707">
        <v>55.982596907403298</v>
      </c>
      <c r="F707">
        <v>1.82502478701176</v>
      </c>
      <c r="G707">
        <v>2461.4780223062398</v>
      </c>
      <c r="H707">
        <v>279.88474920988102</v>
      </c>
      <c r="I707">
        <v>0.62442832663901304</v>
      </c>
      <c r="J707">
        <v>0.39486383327855201</v>
      </c>
      <c r="K707">
        <v>0.69842273954116096</v>
      </c>
      <c r="L707" t="s">
        <v>298</v>
      </c>
      <c r="M707" t="s">
        <v>34</v>
      </c>
      <c r="N707" t="s">
        <v>35</v>
      </c>
      <c r="O707">
        <v>0.73351657966793304</v>
      </c>
      <c r="P707" t="s">
        <v>36</v>
      </c>
    </row>
    <row r="708" spans="1:16">
      <c r="A708">
        <v>707</v>
      </c>
      <c r="B708" t="s">
        <v>760</v>
      </c>
      <c r="C708">
        <v>53</v>
      </c>
      <c r="D708">
        <v>86</v>
      </c>
      <c r="E708">
        <v>56.0619797309039</v>
      </c>
      <c r="F708">
        <v>0.61985192191005301</v>
      </c>
      <c r="G708">
        <v>2468.4636793950899</v>
      </c>
      <c r="H708">
        <v>305.96828707197398</v>
      </c>
      <c r="I708">
        <v>0.82933854974599097</v>
      </c>
      <c r="J708">
        <v>0.33134755870506599</v>
      </c>
      <c r="K708">
        <v>0.72486033519553095</v>
      </c>
      <c r="L708" t="s">
        <v>38</v>
      </c>
      <c r="M708" t="s">
        <v>34</v>
      </c>
      <c r="N708" t="s">
        <v>35</v>
      </c>
      <c r="O708">
        <v>0.67251377775659504</v>
      </c>
      <c r="P708" t="s">
        <v>36</v>
      </c>
    </row>
    <row r="709" spans="1:16">
      <c r="A709">
        <v>708</v>
      </c>
      <c r="B709" t="s">
        <v>761</v>
      </c>
      <c r="C709">
        <v>59</v>
      </c>
      <c r="D709">
        <v>121</v>
      </c>
      <c r="E709">
        <v>56.134508234445597</v>
      </c>
      <c r="F709">
        <v>0.49128506770608499</v>
      </c>
      <c r="G709">
        <v>2474.8548124763702</v>
      </c>
      <c r="H709">
        <v>539.084953499981</v>
      </c>
      <c r="I709">
        <v>0.57092720391220098</v>
      </c>
      <c r="J709">
        <v>0.107015126570099</v>
      </c>
      <c r="K709">
        <v>0.51229117312248096</v>
      </c>
      <c r="L709" t="s">
        <v>38</v>
      </c>
      <c r="M709" t="s">
        <v>34</v>
      </c>
      <c r="N709" t="s">
        <v>35</v>
      </c>
      <c r="O709">
        <v>0.75189730999487403</v>
      </c>
      <c r="P709" t="s">
        <v>36</v>
      </c>
    </row>
    <row r="710" spans="1:16">
      <c r="A710">
        <v>709</v>
      </c>
      <c r="B710" t="s">
        <v>762</v>
      </c>
      <c r="C710">
        <v>69</v>
      </c>
      <c r="D710">
        <v>64</v>
      </c>
      <c r="E710">
        <v>56.316260925193902</v>
      </c>
      <c r="F710">
        <v>1.07692307692308</v>
      </c>
      <c r="G710">
        <v>2490.9069606805301</v>
      </c>
      <c r="H710">
        <v>388.417864416268</v>
      </c>
      <c r="I710">
        <v>0.65496446057374302</v>
      </c>
      <c r="J710">
        <v>0.20747653103403199</v>
      </c>
      <c r="K710">
        <v>0.73614161468857098</v>
      </c>
      <c r="L710" t="s">
        <v>38</v>
      </c>
      <c r="M710" t="s">
        <v>34</v>
      </c>
      <c r="N710" t="s">
        <v>35</v>
      </c>
      <c r="O710">
        <v>0.91074099906375305</v>
      </c>
      <c r="P710" t="s">
        <v>36</v>
      </c>
    </row>
    <row r="711" spans="1:16">
      <c r="A711">
        <v>710</v>
      </c>
      <c r="B711" t="s">
        <v>763</v>
      </c>
      <c r="C711">
        <v>103</v>
      </c>
      <c r="D711">
        <v>68</v>
      </c>
      <c r="E711">
        <v>56.505802257926703</v>
      </c>
      <c r="F711">
        <v>1.504</v>
      </c>
      <c r="G711">
        <v>2507.7022638941398</v>
      </c>
      <c r="H711">
        <v>686.813414445131</v>
      </c>
      <c r="I711">
        <v>0.58778447230027797</v>
      </c>
      <c r="J711">
        <v>6.6804896905340194E-2</v>
      </c>
      <c r="K711">
        <v>0.428353813344166</v>
      </c>
      <c r="L711" t="s">
        <v>33</v>
      </c>
      <c r="M711" t="s">
        <v>34</v>
      </c>
      <c r="N711" t="s">
        <v>35</v>
      </c>
      <c r="O711">
        <v>0.77255695648202904</v>
      </c>
      <c r="P711" t="s">
        <v>36</v>
      </c>
    </row>
    <row r="712" spans="1:16">
      <c r="A712">
        <v>711</v>
      </c>
      <c r="B712" t="s">
        <v>764</v>
      </c>
      <c r="C712">
        <v>63</v>
      </c>
      <c r="D712">
        <v>55</v>
      </c>
      <c r="E712">
        <v>56.579434205865397</v>
      </c>
      <c r="F712">
        <v>1.1500000228881899</v>
      </c>
      <c r="G712">
        <v>2514.24202797732</v>
      </c>
      <c r="H712">
        <v>221.26196171055699</v>
      </c>
      <c r="I712">
        <v>0.60952877154492502</v>
      </c>
      <c r="J712">
        <v>0.64536205779568601</v>
      </c>
      <c r="K712">
        <v>0.95825072225684005</v>
      </c>
      <c r="L712" t="s">
        <v>49</v>
      </c>
      <c r="M712" t="s">
        <v>34</v>
      </c>
      <c r="N712" t="s">
        <v>35</v>
      </c>
      <c r="O712">
        <v>0.82153460385938004</v>
      </c>
      <c r="P712" t="s">
        <v>36</v>
      </c>
    </row>
    <row r="713" spans="1:16">
      <c r="A713">
        <v>712</v>
      </c>
      <c r="B713" t="s">
        <v>765</v>
      </c>
      <c r="C713">
        <v>49</v>
      </c>
      <c r="D713">
        <v>88</v>
      </c>
      <c r="E713">
        <v>56.749759010169001</v>
      </c>
      <c r="F713">
        <v>0.55900621118012395</v>
      </c>
      <c r="G713">
        <v>2529.4023901701298</v>
      </c>
      <c r="H713">
        <v>366.50897660089601</v>
      </c>
      <c r="I713">
        <v>0.85609335634115102</v>
      </c>
      <c r="J713">
        <v>0.23662387206466101</v>
      </c>
      <c r="K713">
        <v>0.746207138472332</v>
      </c>
      <c r="L713" t="s">
        <v>33</v>
      </c>
      <c r="M713" t="s">
        <v>34</v>
      </c>
      <c r="N713" t="s">
        <v>35</v>
      </c>
      <c r="O713">
        <v>0.781380965257365</v>
      </c>
      <c r="P713" t="s">
        <v>36</v>
      </c>
    </row>
    <row r="714" spans="1:16">
      <c r="A714">
        <v>713</v>
      </c>
      <c r="B714" t="s">
        <v>766</v>
      </c>
      <c r="C714">
        <v>62</v>
      </c>
      <c r="D714">
        <v>60</v>
      </c>
      <c r="E714">
        <v>56.754760825148402</v>
      </c>
      <c r="F714">
        <v>1.0340228938589999</v>
      </c>
      <c r="G714">
        <v>2529.8482831758001</v>
      </c>
      <c r="H714">
        <v>213.58741627413301</v>
      </c>
      <c r="I714">
        <v>0.65408457730109903</v>
      </c>
      <c r="J714">
        <v>0.69687200243315595</v>
      </c>
      <c r="K714">
        <v>0.92520519649942901</v>
      </c>
      <c r="L714" t="s">
        <v>38</v>
      </c>
      <c r="M714" t="s">
        <v>34</v>
      </c>
      <c r="N714" t="s">
        <v>35</v>
      </c>
      <c r="O714">
        <v>0.85045879089979803</v>
      </c>
      <c r="P714" t="s">
        <v>36</v>
      </c>
    </row>
    <row r="715" spans="1:16">
      <c r="A715">
        <v>714</v>
      </c>
      <c r="B715" t="s">
        <v>767</v>
      </c>
      <c r="C715">
        <v>68</v>
      </c>
      <c r="D715">
        <v>59</v>
      </c>
      <c r="E715">
        <v>56.982709214265199</v>
      </c>
      <c r="F715">
        <v>1.1574074074074101</v>
      </c>
      <c r="G715">
        <v>2550.2107304347801</v>
      </c>
      <c r="H715">
        <v>281.90673640686498</v>
      </c>
      <c r="I715">
        <v>0.73137264019457104</v>
      </c>
      <c r="J715">
        <v>0.40325060266490498</v>
      </c>
      <c r="K715">
        <v>0.83105686331492801</v>
      </c>
      <c r="L715" t="s">
        <v>74</v>
      </c>
      <c r="M715" t="s">
        <v>34</v>
      </c>
      <c r="N715" t="s">
        <v>35</v>
      </c>
      <c r="O715">
        <v>0.639974250730588</v>
      </c>
      <c r="P715" t="s">
        <v>36</v>
      </c>
    </row>
    <row r="716" spans="1:16">
      <c r="A716">
        <v>715</v>
      </c>
      <c r="B716" t="s">
        <v>768</v>
      </c>
      <c r="C716">
        <v>53</v>
      </c>
      <c r="D716">
        <v>59</v>
      </c>
      <c r="E716">
        <v>57.297341077416398</v>
      </c>
      <c r="F716">
        <v>0.90026960838494996</v>
      </c>
      <c r="G716">
        <v>2578.4506207939498</v>
      </c>
      <c r="H716">
        <v>198.782404405552</v>
      </c>
      <c r="I716">
        <v>0.62530306578588601</v>
      </c>
      <c r="J716">
        <v>0.819998020589503</v>
      </c>
      <c r="K716">
        <v>0.97062608403737505</v>
      </c>
      <c r="L716" t="s">
        <v>43</v>
      </c>
      <c r="M716" t="s">
        <v>34</v>
      </c>
      <c r="N716" t="s">
        <v>35</v>
      </c>
      <c r="O716">
        <v>0.76268807543506201</v>
      </c>
      <c r="P716" t="s">
        <v>36</v>
      </c>
    </row>
    <row r="717" spans="1:16">
      <c r="A717">
        <v>716</v>
      </c>
      <c r="B717" t="s">
        <v>769</v>
      </c>
      <c r="C717">
        <v>88</v>
      </c>
      <c r="D717">
        <v>54</v>
      </c>
      <c r="E717">
        <v>57.445775760868798</v>
      </c>
      <c r="F717">
        <v>1.6262625686587799</v>
      </c>
      <c r="G717">
        <v>2591.8274109640802</v>
      </c>
      <c r="H717">
        <v>397.22823959765202</v>
      </c>
      <c r="I717">
        <v>0.59071634638708703</v>
      </c>
      <c r="J717">
        <v>0.20641236573123001</v>
      </c>
      <c r="K717">
        <v>0.64762682908712799</v>
      </c>
      <c r="L717" t="s">
        <v>33</v>
      </c>
      <c r="M717" t="s">
        <v>34</v>
      </c>
      <c r="N717" t="s">
        <v>35</v>
      </c>
      <c r="O717">
        <v>0.67763167829993698</v>
      </c>
      <c r="P717" t="s">
        <v>36</v>
      </c>
    </row>
    <row r="718" spans="1:16">
      <c r="A718">
        <v>717</v>
      </c>
      <c r="B718" t="s">
        <v>770</v>
      </c>
      <c r="C718">
        <v>82</v>
      </c>
      <c r="D718">
        <v>80</v>
      </c>
      <c r="E718">
        <v>57.506687775663998</v>
      </c>
      <c r="F718">
        <v>1.01584102663354</v>
      </c>
      <c r="G718">
        <v>2597.3267580340298</v>
      </c>
      <c r="H718">
        <v>618.84168199445901</v>
      </c>
      <c r="I718">
        <v>0.61278160846306495</v>
      </c>
      <c r="J718">
        <v>8.5227026791132005E-2</v>
      </c>
      <c r="K718">
        <v>0.47488993967063398</v>
      </c>
      <c r="L718" t="s">
        <v>33</v>
      </c>
      <c r="M718" t="s">
        <v>34</v>
      </c>
      <c r="N718" t="s">
        <v>35</v>
      </c>
      <c r="O718">
        <v>0.80957284976188404</v>
      </c>
      <c r="P718" t="s">
        <v>36</v>
      </c>
    </row>
    <row r="719" spans="1:16">
      <c r="A719">
        <v>718</v>
      </c>
      <c r="B719" t="s">
        <v>771</v>
      </c>
      <c r="C719">
        <v>92</v>
      </c>
      <c r="D719">
        <v>49</v>
      </c>
      <c r="E719">
        <v>57.689037931020501</v>
      </c>
      <c r="F719">
        <v>1.89887640449438</v>
      </c>
      <c r="G719">
        <v>2613.8247992438601</v>
      </c>
      <c r="H719">
        <v>284.83045307263097</v>
      </c>
      <c r="I719">
        <v>0.87086198001015802</v>
      </c>
      <c r="J719">
        <v>0.40486804143276101</v>
      </c>
      <c r="K719">
        <v>0.79002695417789803</v>
      </c>
      <c r="L719" t="s">
        <v>38</v>
      </c>
      <c r="M719" t="s">
        <v>34</v>
      </c>
      <c r="N719" t="s">
        <v>35</v>
      </c>
      <c r="O719">
        <v>0.868890894316383</v>
      </c>
      <c r="P719" t="s">
        <v>36</v>
      </c>
    </row>
    <row r="720" spans="1:16">
      <c r="A720">
        <v>719</v>
      </c>
      <c r="B720" t="s">
        <v>772</v>
      </c>
      <c r="C720">
        <v>58</v>
      </c>
      <c r="D720">
        <v>83</v>
      </c>
      <c r="E720">
        <v>57.7922780150177</v>
      </c>
      <c r="F720">
        <v>0.69281045751633996</v>
      </c>
      <c r="G720">
        <v>2623.1885523629498</v>
      </c>
      <c r="H720">
        <v>425.15056857720703</v>
      </c>
      <c r="I720">
        <v>0.56278834957685098</v>
      </c>
      <c r="J720">
        <v>0.182370187234144</v>
      </c>
      <c r="K720">
        <v>0.68611748240873904</v>
      </c>
      <c r="L720" t="s">
        <v>74</v>
      </c>
      <c r="M720" t="s">
        <v>34</v>
      </c>
      <c r="N720" t="s">
        <v>35</v>
      </c>
      <c r="O720">
        <v>0.76265619592699097</v>
      </c>
      <c r="P720" t="s">
        <v>36</v>
      </c>
    </row>
    <row r="721" spans="1:16">
      <c r="A721">
        <v>720</v>
      </c>
      <c r="B721" t="s">
        <v>773</v>
      </c>
      <c r="C721">
        <v>55</v>
      </c>
      <c r="D721">
        <v>105</v>
      </c>
      <c r="E721">
        <v>57.8397392920415</v>
      </c>
      <c r="F721">
        <v>0.52202508550938898</v>
      </c>
      <c r="G721">
        <v>2627.4988514177699</v>
      </c>
      <c r="H721">
        <v>536.32011920244804</v>
      </c>
      <c r="I721">
        <v>0.71427005754865003</v>
      </c>
      <c r="J721">
        <v>0.114790043535157</v>
      </c>
      <c r="K721">
        <v>0.58080625554423904</v>
      </c>
      <c r="L721" t="s">
        <v>43</v>
      </c>
      <c r="M721" t="s">
        <v>34</v>
      </c>
      <c r="N721" t="s">
        <v>35</v>
      </c>
      <c r="O721">
        <v>0.71169673296233704</v>
      </c>
      <c r="P721" t="s">
        <v>36</v>
      </c>
    </row>
    <row r="722" spans="1:16">
      <c r="A722">
        <v>721</v>
      </c>
      <c r="B722" t="s">
        <v>774</v>
      </c>
      <c r="C722">
        <v>78</v>
      </c>
      <c r="D722">
        <v>93</v>
      </c>
      <c r="E722">
        <v>57.931278615661697</v>
      </c>
      <c r="F722">
        <v>0.84117647058823497</v>
      </c>
      <c r="G722">
        <v>2635.82218752363</v>
      </c>
      <c r="H722">
        <v>722.75236730886502</v>
      </c>
      <c r="I722">
        <v>0.46113990431567697</v>
      </c>
      <c r="J722">
        <v>6.3408419433578195E-2</v>
      </c>
      <c r="K722">
        <v>0.42965475469412501</v>
      </c>
      <c r="L722" t="s">
        <v>74</v>
      </c>
      <c r="M722" t="s">
        <v>34</v>
      </c>
      <c r="N722" t="s">
        <v>35</v>
      </c>
      <c r="O722">
        <v>0.66891569125346695</v>
      </c>
      <c r="P722" t="s">
        <v>36</v>
      </c>
    </row>
    <row r="723" spans="1:16">
      <c r="A723">
        <v>722</v>
      </c>
      <c r="B723" t="s">
        <v>775</v>
      </c>
      <c r="C723">
        <v>49</v>
      </c>
      <c r="D723">
        <v>132</v>
      </c>
      <c r="E723">
        <v>58.014519116972998</v>
      </c>
      <c r="F723">
        <v>0.36625514403292198</v>
      </c>
      <c r="G723">
        <v>2643.4023686200399</v>
      </c>
      <c r="H723">
        <v>775.94178537213304</v>
      </c>
      <c r="I723">
        <v>0.81390165591206398</v>
      </c>
      <c r="J723">
        <v>5.5171508589287897E-2</v>
      </c>
      <c r="K723">
        <v>0.47996221832411301</v>
      </c>
      <c r="L723" t="s">
        <v>33</v>
      </c>
      <c r="M723" t="s">
        <v>34</v>
      </c>
      <c r="N723" t="s">
        <v>35</v>
      </c>
      <c r="O723">
        <v>0.74842501804254002</v>
      </c>
      <c r="P723" t="s">
        <v>36</v>
      </c>
    </row>
    <row r="724" spans="1:16">
      <c r="A724">
        <v>723</v>
      </c>
      <c r="B724" t="s">
        <v>776</v>
      </c>
      <c r="C724">
        <v>52</v>
      </c>
      <c r="D724">
        <v>80</v>
      </c>
      <c r="E724">
        <v>58.110668191436901</v>
      </c>
      <c r="F724">
        <v>0.64802639101403403</v>
      </c>
      <c r="G724">
        <v>2652.1715977315698</v>
      </c>
      <c r="H724">
        <v>303.07667012587802</v>
      </c>
      <c r="I724">
        <v>0.72582593305950505</v>
      </c>
      <c r="J724">
        <v>0.36283274109704</v>
      </c>
      <c r="K724">
        <v>0.81431113950622902</v>
      </c>
      <c r="L724" t="s">
        <v>33</v>
      </c>
      <c r="M724" t="s">
        <v>34</v>
      </c>
      <c r="N724" t="s">
        <v>35</v>
      </c>
      <c r="O724">
        <v>0.67880221303400201</v>
      </c>
      <c r="P724" t="s">
        <v>36</v>
      </c>
    </row>
    <row r="725" spans="1:16">
      <c r="A725">
        <v>724</v>
      </c>
      <c r="B725" t="s">
        <v>777</v>
      </c>
      <c r="C725">
        <v>49</v>
      </c>
      <c r="D725">
        <v>68</v>
      </c>
      <c r="E725">
        <v>58.164377176569403</v>
      </c>
      <c r="F725">
        <v>0.71199999999999997</v>
      </c>
      <c r="G725">
        <v>2657.0764207939501</v>
      </c>
      <c r="H725">
        <v>239.01500395619399</v>
      </c>
      <c r="I725">
        <v>0.65439033738517305</v>
      </c>
      <c r="J725">
        <v>0.58447182567767597</v>
      </c>
      <c r="K725">
        <v>0.94672456707091002</v>
      </c>
      <c r="L725" t="s">
        <v>47</v>
      </c>
      <c r="M725" t="s">
        <v>34</v>
      </c>
      <c r="N725" t="s">
        <v>35</v>
      </c>
      <c r="O725">
        <v>0.92103984473551304</v>
      </c>
      <c r="P725" t="s">
        <v>36</v>
      </c>
    </row>
    <row r="726" spans="1:16">
      <c r="A726">
        <v>725</v>
      </c>
      <c r="B726" t="s">
        <v>778</v>
      </c>
      <c r="C726">
        <v>68</v>
      </c>
      <c r="D726">
        <v>49</v>
      </c>
      <c r="E726">
        <v>58.208284030763998</v>
      </c>
      <c r="F726">
        <v>1.3825137623628401</v>
      </c>
      <c r="G726">
        <v>2661.0894578449902</v>
      </c>
      <c r="H726">
        <v>221.120267589196</v>
      </c>
      <c r="I726">
        <v>0.62460156603052697</v>
      </c>
      <c r="J726">
        <v>0.68393091634750403</v>
      </c>
      <c r="K726">
        <v>0.92551046782114199</v>
      </c>
      <c r="L726" t="s">
        <v>38</v>
      </c>
      <c r="M726" t="s">
        <v>34</v>
      </c>
      <c r="N726" t="s">
        <v>35</v>
      </c>
      <c r="O726">
        <v>0.83466295875663599</v>
      </c>
      <c r="P726" t="s">
        <v>36</v>
      </c>
    </row>
    <row r="727" spans="1:16">
      <c r="A727">
        <v>726</v>
      </c>
      <c r="B727" t="s">
        <v>779</v>
      </c>
      <c r="C727">
        <v>59</v>
      </c>
      <c r="D727">
        <v>74</v>
      </c>
      <c r="E727">
        <v>58.211535072908497</v>
      </c>
      <c r="F727">
        <v>0.79200962180901402</v>
      </c>
      <c r="G727">
        <v>2661.3867198487701</v>
      </c>
      <c r="H727">
        <v>316.23938219920399</v>
      </c>
      <c r="I727">
        <v>0.72955785146990304</v>
      </c>
      <c r="J727">
        <v>0.33441514970561798</v>
      </c>
      <c r="K727">
        <v>0.74019263362407495</v>
      </c>
      <c r="L727" t="s">
        <v>33</v>
      </c>
      <c r="M727" t="s">
        <v>34</v>
      </c>
      <c r="N727" t="s">
        <v>35</v>
      </c>
      <c r="O727">
        <v>0.78424894169715098</v>
      </c>
      <c r="P727" t="s">
        <v>36</v>
      </c>
    </row>
    <row r="728" spans="1:16">
      <c r="A728">
        <v>727</v>
      </c>
      <c r="B728" t="s">
        <v>780</v>
      </c>
      <c r="C728">
        <v>72</v>
      </c>
      <c r="D728">
        <v>50</v>
      </c>
      <c r="E728">
        <v>58.287882363283202</v>
      </c>
      <c r="F728">
        <v>1.4405144214165899</v>
      </c>
      <c r="G728">
        <v>2668.3723769376202</v>
      </c>
      <c r="H728">
        <v>216.85872062195901</v>
      </c>
      <c r="I728">
        <v>0.65706973431381899</v>
      </c>
      <c r="J728">
        <v>0.71302132291253595</v>
      </c>
      <c r="K728">
        <v>0.91709235798937505</v>
      </c>
      <c r="L728" t="s">
        <v>33</v>
      </c>
      <c r="M728" t="s">
        <v>34</v>
      </c>
      <c r="N728" t="s">
        <v>35</v>
      </c>
      <c r="O728">
        <v>0.74838689185187901</v>
      </c>
      <c r="P728" t="s">
        <v>36</v>
      </c>
    </row>
    <row r="729" spans="1:16">
      <c r="A729">
        <v>728</v>
      </c>
      <c r="B729" t="s">
        <v>781</v>
      </c>
      <c r="C729">
        <v>60</v>
      </c>
      <c r="D729">
        <v>70</v>
      </c>
      <c r="E729">
        <v>58.321962678297503</v>
      </c>
      <c r="F729">
        <v>0.85641392256265803</v>
      </c>
      <c r="G729">
        <v>2671.4936279773201</v>
      </c>
      <c r="H729">
        <v>286.86962851648701</v>
      </c>
      <c r="I729">
        <v>0.75967623588286304</v>
      </c>
      <c r="J729">
        <v>0.407938659660943</v>
      </c>
      <c r="K729">
        <v>0.80945732943030801</v>
      </c>
      <c r="L729" t="s">
        <v>38</v>
      </c>
      <c r="M729" t="s">
        <v>34</v>
      </c>
      <c r="N729" t="s">
        <v>35</v>
      </c>
      <c r="O729">
        <v>0.76659404958834498</v>
      </c>
      <c r="P729" t="s">
        <v>36</v>
      </c>
    </row>
    <row r="730" spans="1:16">
      <c r="A730">
        <v>729</v>
      </c>
      <c r="B730" t="s">
        <v>782</v>
      </c>
      <c r="C730">
        <v>79</v>
      </c>
      <c r="D730">
        <v>83</v>
      </c>
      <c r="E730">
        <v>58.451610415651999</v>
      </c>
      <c r="F730">
        <v>0.94736842105263197</v>
      </c>
      <c r="G730">
        <v>2683.38410812854</v>
      </c>
      <c r="H730">
        <v>755.99457831859604</v>
      </c>
      <c r="I730">
        <v>0.54631959716699596</v>
      </c>
      <c r="J730">
        <v>5.9000452924677101E-2</v>
      </c>
      <c r="K730">
        <v>0.45100047463215998</v>
      </c>
      <c r="L730" t="s">
        <v>33</v>
      </c>
      <c r="M730" t="s">
        <v>34</v>
      </c>
      <c r="N730" t="s">
        <v>35</v>
      </c>
      <c r="O730">
        <v>0.71611221993904595</v>
      </c>
      <c r="P730" t="s">
        <v>36</v>
      </c>
    </row>
    <row r="731" spans="1:16">
      <c r="A731">
        <v>730</v>
      </c>
      <c r="B731" t="s">
        <v>783</v>
      </c>
      <c r="C731">
        <v>83</v>
      </c>
      <c r="D731">
        <v>64</v>
      </c>
      <c r="E731">
        <v>58.589046792583098</v>
      </c>
      <c r="F731">
        <v>1.2991452991453001</v>
      </c>
      <c r="G731">
        <v>2696.0177432892301</v>
      </c>
      <c r="H731">
        <v>558.07401765377597</v>
      </c>
      <c r="I731">
        <v>0.53779844541921895</v>
      </c>
      <c r="J731">
        <v>0.10877998715168399</v>
      </c>
      <c r="K731">
        <v>0.66491935483871001</v>
      </c>
      <c r="L731" t="s">
        <v>33</v>
      </c>
      <c r="M731" t="s">
        <v>34</v>
      </c>
      <c r="N731" t="s">
        <v>35</v>
      </c>
      <c r="O731">
        <v>0.76751352620234803</v>
      </c>
      <c r="P731" t="s">
        <v>36</v>
      </c>
    </row>
    <row r="732" spans="1:16">
      <c r="A732">
        <v>731</v>
      </c>
      <c r="B732" t="s">
        <v>784</v>
      </c>
      <c r="C732">
        <v>88</v>
      </c>
      <c r="D732">
        <v>73</v>
      </c>
      <c r="E732">
        <v>58.666515677890402</v>
      </c>
      <c r="F732">
        <v>1.20149258320198</v>
      </c>
      <c r="G732">
        <v>2703.1520313799601</v>
      </c>
      <c r="H732">
        <v>766.62494014045501</v>
      </c>
      <c r="I732">
        <v>0.63272737697905501</v>
      </c>
      <c r="J732">
        <v>5.7798217976189802E-2</v>
      </c>
      <c r="K732">
        <v>0.53018686412267102</v>
      </c>
      <c r="L732" t="s">
        <v>38</v>
      </c>
      <c r="M732" t="s">
        <v>34</v>
      </c>
      <c r="N732" t="s">
        <v>35</v>
      </c>
      <c r="O732">
        <v>0.82164995567049004</v>
      </c>
      <c r="P732" t="s">
        <v>36</v>
      </c>
    </row>
    <row r="733" spans="1:16">
      <c r="A733">
        <v>732</v>
      </c>
      <c r="B733" t="s">
        <v>785</v>
      </c>
      <c r="C733">
        <v>69</v>
      </c>
      <c r="D733">
        <v>104</v>
      </c>
      <c r="E733">
        <v>58.991415658200602</v>
      </c>
      <c r="F733">
        <v>0.66639925444909698</v>
      </c>
      <c r="G733">
        <v>2733.1754937618198</v>
      </c>
      <c r="H733">
        <v>583.12191793410705</v>
      </c>
      <c r="I733">
        <v>0.56521533106615696</v>
      </c>
      <c r="J733">
        <v>0.101008669558131</v>
      </c>
      <c r="K733">
        <v>0.51548790401704403</v>
      </c>
      <c r="L733" t="s">
        <v>47</v>
      </c>
      <c r="M733" t="s">
        <v>34</v>
      </c>
      <c r="N733" t="s">
        <v>35</v>
      </c>
      <c r="O733">
        <v>0.96044104475530701</v>
      </c>
      <c r="P733" t="s">
        <v>36</v>
      </c>
    </row>
    <row r="734" spans="1:16">
      <c r="A734">
        <v>733</v>
      </c>
      <c r="B734" t="s">
        <v>786</v>
      </c>
      <c r="C734">
        <v>85</v>
      </c>
      <c r="D734">
        <v>61</v>
      </c>
      <c r="E734">
        <v>59.018677129656702</v>
      </c>
      <c r="F734">
        <v>1.39542140672516</v>
      </c>
      <c r="G734">
        <v>2735.7022207939499</v>
      </c>
      <c r="H734">
        <v>354.818663485983</v>
      </c>
      <c r="I734">
        <v>0.519026824117227</v>
      </c>
      <c r="J734">
        <v>0.27306483492790501</v>
      </c>
      <c r="K734">
        <v>0.65015895443306204</v>
      </c>
      <c r="L734" t="s">
        <v>38</v>
      </c>
      <c r="M734" t="s">
        <v>34</v>
      </c>
      <c r="N734" t="s">
        <v>35</v>
      </c>
      <c r="O734">
        <v>0.86415570305084</v>
      </c>
      <c r="P734" t="s">
        <v>36</v>
      </c>
    </row>
    <row r="735" spans="1:16">
      <c r="A735">
        <v>734</v>
      </c>
      <c r="B735" t="s">
        <v>787</v>
      </c>
      <c r="C735">
        <v>53</v>
      </c>
      <c r="D735">
        <v>98</v>
      </c>
      <c r="E735">
        <v>59.106789863260097</v>
      </c>
      <c r="F735">
        <v>0.54748603351955305</v>
      </c>
      <c r="G735">
        <v>2743.87692589792</v>
      </c>
      <c r="H735">
        <v>577.59224933904204</v>
      </c>
      <c r="I735">
        <v>0.81364792039906297</v>
      </c>
      <c r="J735">
        <v>0.10335506820953</v>
      </c>
      <c r="K735">
        <v>0.64909813297704</v>
      </c>
      <c r="L735" t="s">
        <v>47</v>
      </c>
      <c r="M735" t="s">
        <v>34</v>
      </c>
      <c r="N735" t="s">
        <v>35</v>
      </c>
      <c r="O735">
        <v>0.95284954205015804</v>
      </c>
      <c r="P735" t="s">
        <v>36</v>
      </c>
    </row>
    <row r="736" spans="1:16">
      <c r="A736">
        <v>735</v>
      </c>
      <c r="B736" t="s">
        <v>788</v>
      </c>
      <c r="C736">
        <v>127</v>
      </c>
      <c r="D736">
        <v>85</v>
      </c>
      <c r="E736">
        <v>59.247497672285398</v>
      </c>
      <c r="F736">
        <v>1.50322580645161</v>
      </c>
      <c r="G736">
        <v>2756.95645406427</v>
      </c>
      <c r="H736">
        <v>1149.42623904114</v>
      </c>
      <c r="I736">
        <v>0.68351091302010702</v>
      </c>
      <c r="J736">
        <v>2.6222709066364602E-2</v>
      </c>
      <c r="K736">
        <v>0.30800524716470501</v>
      </c>
      <c r="L736" t="s">
        <v>33</v>
      </c>
      <c r="M736" t="s">
        <v>34</v>
      </c>
      <c r="N736" t="s">
        <v>35</v>
      </c>
      <c r="O736">
        <v>0.71800441800090598</v>
      </c>
      <c r="P736" t="s">
        <v>36</v>
      </c>
    </row>
    <row r="737" spans="1:16">
      <c r="A737">
        <v>736</v>
      </c>
      <c r="B737" t="s">
        <v>789</v>
      </c>
      <c r="C737">
        <v>58</v>
      </c>
      <c r="D737">
        <v>88</v>
      </c>
      <c r="E737">
        <v>59.285814570500698</v>
      </c>
      <c r="F737">
        <v>0.66459630449118401</v>
      </c>
      <c r="G737">
        <v>2760.5235981096398</v>
      </c>
      <c r="H737">
        <v>537.80742963365901</v>
      </c>
      <c r="I737">
        <v>0.772274909790716</v>
      </c>
      <c r="J737">
        <v>0.11993549528017899</v>
      </c>
      <c r="K737">
        <v>0.58370784751249205</v>
      </c>
      <c r="L737" t="s">
        <v>331</v>
      </c>
      <c r="M737" t="s">
        <v>34</v>
      </c>
      <c r="N737" t="s">
        <v>35</v>
      </c>
      <c r="O737">
        <v>0.68546344705862505</v>
      </c>
      <c r="P737" t="s">
        <v>36</v>
      </c>
    </row>
    <row r="738" spans="1:16">
      <c r="A738">
        <v>737</v>
      </c>
      <c r="B738" t="s">
        <v>790</v>
      </c>
      <c r="C738">
        <v>93</v>
      </c>
      <c r="D738">
        <v>69</v>
      </c>
      <c r="E738">
        <v>59.2969856685149</v>
      </c>
      <c r="F738">
        <v>1.34920634920635</v>
      </c>
      <c r="G738">
        <v>2761.5640151228699</v>
      </c>
      <c r="H738">
        <v>625.96825542242595</v>
      </c>
      <c r="I738">
        <v>0.64201852425084505</v>
      </c>
      <c r="J738">
        <v>8.8564639661015895E-2</v>
      </c>
      <c r="K738">
        <v>0.56608372433124099</v>
      </c>
      <c r="L738" t="s">
        <v>38</v>
      </c>
      <c r="M738" t="s">
        <v>34</v>
      </c>
      <c r="N738" t="s">
        <v>35</v>
      </c>
      <c r="O738">
        <v>0.88142662310416597</v>
      </c>
      <c r="P738" t="s">
        <v>36</v>
      </c>
    </row>
    <row r="739" spans="1:16">
      <c r="A739">
        <v>738</v>
      </c>
      <c r="B739" t="s">
        <v>791</v>
      </c>
      <c r="C739">
        <v>119</v>
      </c>
      <c r="D739">
        <v>46</v>
      </c>
      <c r="E739">
        <v>59.531094489699903</v>
      </c>
      <c r="F739">
        <v>2.5924086337882302</v>
      </c>
      <c r="G739">
        <v>2783.4127724007599</v>
      </c>
      <c r="H739">
        <v>462.64492431568101</v>
      </c>
      <c r="I739">
        <v>0.46517018030858598</v>
      </c>
      <c r="J739">
        <v>0.16341498410694699</v>
      </c>
      <c r="K739">
        <v>0.66663106934358496</v>
      </c>
      <c r="L739" t="s">
        <v>33</v>
      </c>
      <c r="M739" t="s">
        <v>34</v>
      </c>
      <c r="N739" t="s">
        <v>35</v>
      </c>
      <c r="O739">
        <v>0.70802512083850999</v>
      </c>
      <c r="P739" t="s">
        <v>36</v>
      </c>
    </row>
    <row r="740" spans="1:16">
      <c r="A740">
        <v>739</v>
      </c>
      <c r="B740" t="s">
        <v>792</v>
      </c>
      <c r="C740">
        <v>70</v>
      </c>
      <c r="D740">
        <v>53</v>
      </c>
      <c r="E740">
        <v>59.631145485391599</v>
      </c>
      <c r="F740">
        <v>1.31695319381683</v>
      </c>
      <c r="G740">
        <v>2792.7765255198501</v>
      </c>
      <c r="H740">
        <v>211.803422357518</v>
      </c>
      <c r="I740">
        <v>0.62499134325110395</v>
      </c>
      <c r="J740">
        <v>0.78231219983393496</v>
      </c>
      <c r="K740">
        <v>0.957110839445803</v>
      </c>
      <c r="L740" t="s">
        <v>49</v>
      </c>
      <c r="M740" t="s">
        <v>34</v>
      </c>
      <c r="N740" t="s">
        <v>35</v>
      </c>
      <c r="O740">
        <v>0.71978486832859301</v>
      </c>
      <c r="P740" t="s">
        <v>36</v>
      </c>
    </row>
    <row r="741" spans="1:16">
      <c r="A741">
        <v>740</v>
      </c>
      <c r="B741" t="s">
        <v>793</v>
      </c>
      <c r="C741">
        <v>62</v>
      </c>
      <c r="D741">
        <v>66</v>
      </c>
      <c r="E741">
        <v>59.666044405691203</v>
      </c>
      <c r="F741">
        <v>0.95033511221773204</v>
      </c>
      <c r="G741">
        <v>2796.04640756144</v>
      </c>
      <c r="H741">
        <v>238.08345154181799</v>
      </c>
      <c r="I741">
        <v>0.76685504805522298</v>
      </c>
      <c r="J741">
        <v>0.61986315077625098</v>
      </c>
      <c r="K741">
        <v>0.86368853587989503</v>
      </c>
      <c r="L741" t="s">
        <v>38</v>
      </c>
      <c r="M741" t="s">
        <v>34</v>
      </c>
      <c r="N741" t="s">
        <v>35</v>
      </c>
      <c r="O741">
        <v>0.85569806302470497</v>
      </c>
      <c r="P741" t="s">
        <v>36</v>
      </c>
    </row>
    <row r="742" spans="1:16">
      <c r="A742">
        <v>741</v>
      </c>
      <c r="B742" t="s">
        <v>794</v>
      </c>
      <c r="C742">
        <v>62</v>
      </c>
      <c r="D742">
        <v>59</v>
      </c>
      <c r="E742">
        <v>59.740532889097899</v>
      </c>
      <c r="F742">
        <v>1.0612509818506699</v>
      </c>
      <c r="G742">
        <v>2803.0320646502801</v>
      </c>
      <c r="H742">
        <v>210.05152816057199</v>
      </c>
      <c r="I742">
        <v>0.62130645832389197</v>
      </c>
      <c r="J742">
        <v>0.79833696548245403</v>
      </c>
      <c r="K742">
        <v>0.95959904340304303</v>
      </c>
      <c r="L742" t="s">
        <v>74</v>
      </c>
      <c r="M742" t="s">
        <v>34</v>
      </c>
      <c r="N742" t="s">
        <v>35</v>
      </c>
      <c r="O742">
        <v>0.72985522359230004</v>
      </c>
      <c r="P742" t="s">
        <v>36</v>
      </c>
    </row>
    <row r="743" spans="1:16">
      <c r="A743">
        <v>742</v>
      </c>
      <c r="B743" t="s">
        <v>795</v>
      </c>
      <c r="C743">
        <v>50</v>
      </c>
      <c r="D743">
        <v>78</v>
      </c>
      <c r="E743">
        <v>59.775367945294697</v>
      </c>
      <c r="F743">
        <v>0.63553043618805205</v>
      </c>
      <c r="G743">
        <v>2806.3019466918699</v>
      </c>
      <c r="H743">
        <v>254.08849259469801</v>
      </c>
      <c r="I743">
        <v>0.65256535417078898</v>
      </c>
      <c r="J743">
        <v>0.54622838922711203</v>
      </c>
      <c r="K743">
        <v>0.85998633568663196</v>
      </c>
      <c r="L743" t="s">
        <v>41</v>
      </c>
      <c r="M743" t="s">
        <v>34</v>
      </c>
      <c r="N743" t="s">
        <v>35</v>
      </c>
      <c r="O743">
        <v>0.69836091505081999</v>
      </c>
      <c r="P743" t="s">
        <v>36</v>
      </c>
    </row>
    <row r="744" spans="1:16">
      <c r="A744">
        <v>743</v>
      </c>
      <c r="B744" t="s">
        <v>796</v>
      </c>
      <c r="C744">
        <v>93</v>
      </c>
      <c r="D744">
        <v>63</v>
      </c>
      <c r="E744">
        <v>59.776950874601702</v>
      </c>
      <c r="F744">
        <v>1.4766088149922501</v>
      </c>
      <c r="G744">
        <v>2806.4505776937599</v>
      </c>
      <c r="H744">
        <v>397.68769845547899</v>
      </c>
      <c r="I744">
        <v>0.735612068592437</v>
      </c>
      <c r="J744">
        <v>0.222988747423366</v>
      </c>
      <c r="K744">
        <v>0.66812922401896602</v>
      </c>
      <c r="L744" t="s">
        <v>33</v>
      </c>
      <c r="M744" t="s">
        <v>34</v>
      </c>
      <c r="N744" t="s">
        <v>35</v>
      </c>
      <c r="O744">
        <v>0.67505781933509901</v>
      </c>
      <c r="P744" t="s">
        <v>36</v>
      </c>
    </row>
    <row r="745" spans="1:16">
      <c r="A745">
        <v>744</v>
      </c>
      <c r="B745" t="s">
        <v>797</v>
      </c>
      <c r="C745">
        <v>53</v>
      </c>
      <c r="D745">
        <v>79</v>
      </c>
      <c r="E745">
        <v>59.898710810763099</v>
      </c>
      <c r="F745">
        <v>0.67235605494570505</v>
      </c>
      <c r="G745">
        <v>2817.8951648393199</v>
      </c>
      <c r="H745">
        <v>235.20902284259401</v>
      </c>
      <c r="I745">
        <v>0.71389106818443704</v>
      </c>
      <c r="J745">
        <v>0.64006892144632699</v>
      </c>
      <c r="K745">
        <v>0.91762257393156199</v>
      </c>
      <c r="L745" t="s">
        <v>144</v>
      </c>
      <c r="M745" t="s">
        <v>34</v>
      </c>
      <c r="N745" t="s">
        <v>35</v>
      </c>
      <c r="O745">
        <v>0.687824845843236</v>
      </c>
      <c r="P745" t="s">
        <v>36</v>
      </c>
    </row>
    <row r="746" spans="1:16">
      <c r="A746">
        <v>745</v>
      </c>
      <c r="B746" t="s">
        <v>798</v>
      </c>
      <c r="C746">
        <v>78</v>
      </c>
      <c r="D746">
        <v>69</v>
      </c>
      <c r="E746">
        <v>59.912926339931502</v>
      </c>
      <c r="F746">
        <v>1.13492063492063</v>
      </c>
      <c r="G746">
        <v>2819.23284385633</v>
      </c>
      <c r="H746">
        <v>518.23440074754797</v>
      </c>
      <c r="I746">
        <v>0.71684551270226804</v>
      </c>
      <c r="J746">
        <v>0.13191322363241201</v>
      </c>
      <c r="K746">
        <v>0.64076751570839796</v>
      </c>
      <c r="L746" t="s">
        <v>33</v>
      </c>
      <c r="M746" t="s">
        <v>34</v>
      </c>
      <c r="N746" t="s">
        <v>35</v>
      </c>
      <c r="O746">
        <v>0.74851262761686199</v>
      </c>
      <c r="P746" t="s">
        <v>36</v>
      </c>
    </row>
    <row r="747" spans="1:16">
      <c r="A747">
        <v>746</v>
      </c>
      <c r="B747" t="s">
        <v>799</v>
      </c>
      <c r="C747">
        <v>67</v>
      </c>
      <c r="D747">
        <v>66</v>
      </c>
      <c r="E747">
        <v>60.119460730088797</v>
      </c>
      <c r="F747">
        <v>1.01071202719981</v>
      </c>
      <c r="G747">
        <v>2838.7035051039702</v>
      </c>
      <c r="H747">
        <v>292.03452118261998</v>
      </c>
      <c r="I747">
        <v>0.692396043086007</v>
      </c>
      <c r="J747">
        <v>0.41827462046786301</v>
      </c>
      <c r="K747">
        <v>0.74760245821427196</v>
      </c>
      <c r="L747" t="s">
        <v>49</v>
      </c>
      <c r="M747" t="s">
        <v>34</v>
      </c>
      <c r="N747" t="s">
        <v>35</v>
      </c>
      <c r="O747">
        <v>0.74077408247834797</v>
      </c>
      <c r="P747" t="s">
        <v>36</v>
      </c>
    </row>
    <row r="748" spans="1:16">
      <c r="A748">
        <v>747</v>
      </c>
      <c r="B748" t="s">
        <v>800</v>
      </c>
      <c r="C748">
        <v>73</v>
      </c>
      <c r="D748">
        <v>73</v>
      </c>
      <c r="E748">
        <v>60.196531952152597</v>
      </c>
      <c r="F748">
        <v>1</v>
      </c>
      <c r="G748">
        <v>2845.9864241966002</v>
      </c>
      <c r="H748">
        <v>505.14918335624401</v>
      </c>
      <c r="I748">
        <v>0.71659196661028302</v>
      </c>
      <c r="J748">
        <v>0.14015331604033501</v>
      </c>
      <c r="K748">
        <v>0.62369303931468001</v>
      </c>
      <c r="L748" t="s">
        <v>38</v>
      </c>
      <c r="M748" t="s">
        <v>34</v>
      </c>
      <c r="N748" t="s">
        <v>35</v>
      </c>
      <c r="O748">
        <v>0.75732200913141601</v>
      </c>
      <c r="P748" t="s">
        <v>36</v>
      </c>
    </row>
    <row r="749" spans="1:16">
      <c r="A749">
        <v>748</v>
      </c>
      <c r="B749" t="s">
        <v>801</v>
      </c>
      <c r="C749">
        <v>57</v>
      </c>
      <c r="D749">
        <v>108</v>
      </c>
      <c r="E749">
        <v>60.295478767689502</v>
      </c>
      <c r="F749">
        <v>0.52415678722238901</v>
      </c>
      <c r="G749">
        <v>2855.35017731569</v>
      </c>
      <c r="H749">
        <v>413.68495349998102</v>
      </c>
      <c r="I749">
        <v>0.82997229699062003</v>
      </c>
      <c r="J749">
        <v>0.20966685998860701</v>
      </c>
      <c r="K749">
        <v>0.66993304505509799</v>
      </c>
      <c r="L749" t="s">
        <v>33</v>
      </c>
      <c r="M749" t="s">
        <v>34</v>
      </c>
      <c r="N749" t="s">
        <v>35</v>
      </c>
      <c r="O749">
        <v>0.64510269041607704</v>
      </c>
      <c r="P749" t="s">
        <v>36</v>
      </c>
    </row>
    <row r="750" spans="1:16">
      <c r="A750">
        <v>749</v>
      </c>
      <c r="B750" t="s">
        <v>802</v>
      </c>
      <c r="C750">
        <v>62</v>
      </c>
      <c r="D750">
        <v>104</v>
      </c>
      <c r="E750">
        <v>60.510090339567398</v>
      </c>
      <c r="F750">
        <v>0.59896372531716202</v>
      </c>
      <c r="G750">
        <v>2875.7126245746699</v>
      </c>
      <c r="H750">
        <v>545.12109214533905</v>
      </c>
      <c r="I750">
        <v>0.67798534045699299</v>
      </c>
      <c r="J750">
        <v>0.121610024331837</v>
      </c>
      <c r="K750">
        <v>0.55092684871437103</v>
      </c>
      <c r="L750" t="s">
        <v>33</v>
      </c>
      <c r="M750" t="s">
        <v>34</v>
      </c>
      <c r="N750" t="s">
        <v>35</v>
      </c>
      <c r="O750">
        <v>0.79187923433090002</v>
      </c>
      <c r="P750" t="s">
        <v>36</v>
      </c>
    </row>
    <row r="751" spans="1:16">
      <c r="A751">
        <v>750</v>
      </c>
      <c r="B751" t="s">
        <v>803</v>
      </c>
      <c r="C751">
        <v>64</v>
      </c>
      <c r="D751">
        <v>116</v>
      </c>
      <c r="E751">
        <v>60.561671439827101</v>
      </c>
      <c r="F751">
        <v>0.54977881159104602</v>
      </c>
      <c r="G751">
        <v>2880.6174476370502</v>
      </c>
      <c r="H751">
        <v>513.10160780108504</v>
      </c>
      <c r="I751">
        <v>0.76448148815172501</v>
      </c>
      <c r="J751">
        <v>0.137495568122217</v>
      </c>
      <c r="K751">
        <v>0.54404334156748302</v>
      </c>
      <c r="L751" t="s">
        <v>38</v>
      </c>
      <c r="M751" t="s">
        <v>34</v>
      </c>
      <c r="N751" t="s">
        <v>35</v>
      </c>
      <c r="O751">
        <v>0.79846574748069798</v>
      </c>
      <c r="P751" t="s">
        <v>36</v>
      </c>
    </row>
    <row r="752" spans="1:16">
      <c r="A752">
        <v>751</v>
      </c>
      <c r="B752" t="s">
        <v>804</v>
      </c>
      <c r="C752">
        <v>105</v>
      </c>
      <c r="D752">
        <v>55</v>
      </c>
      <c r="E752">
        <v>60.610086425694497</v>
      </c>
      <c r="F752">
        <v>1.91113367085445</v>
      </c>
      <c r="G752">
        <v>2885.2250086956501</v>
      </c>
      <c r="H752">
        <v>353.46364493764003</v>
      </c>
      <c r="I752">
        <v>0.74421843755945205</v>
      </c>
      <c r="J752">
        <v>0.29020176450027801</v>
      </c>
      <c r="K752">
        <v>0.65667602584486295</v>
      </c>
      <c r="L752" t="s">
        <v>38</v>
      </c>
      <c r="M752" t="s">
        <v>34</v>
      </c>
      <c r="N752" t="s">
        <v>35</v>
      </c>
      <c r="O752">
        <v>0.79658182796153099</v>
      </c>
      <c r="P752" t="s">
        <v>36</v>
      </c>
    </row>
    <row r="753" spans="1:16">
      <c r="A753">
        <v>752</v>
      </c>
      <c r="B753" t="s">
        <v>805</v>
      </c>
      <c r="C753">
        <v>58</v>
      </c>
      <c r="D753">
        <v>98</v>
      </c>
      <c r="E753">
        <v>60.639741020593</v>
      </c>
      <c r="F753">
        <v>0.59217877094972105</v>
      </c>
      <c r="G753">
        <v>2888.0489977315701</v>
      </c>
      <c r="H753">
        <v>541.76289087699797</v>
      </c>
      <c r="I753">
        <v>0.75540474983191097</v>
      </c>
      <c r="J753">
        <v>0.123650510403126</v>
      </c>
      <c r="K753">
        <v>0.63475107800862396</v>
      </c>
      <c r="L753" t="s">
        <v>38</v>
      </c>
      <c r="M753" t="s">
        <v>34</v>
      </c>
      <c r="N753" t="s">
        <v>35</v>
      </c>
      <c r="O753">
        <v>0.87010538169327001</v>
      </c>
      <c r="P753" t="s">
        <v>36</v>
      </c>
    </row>
    <row r="754" spans="1:16">
      <c r="A754">
        <v>753</v>
      </c>
      <c r="B754" t="s">
        <v>806</v>
      </c>
      <c r="C754">
        <v>53</v>
      </c>
      <c r="D754">
        <v>98</v>
      </c>
      <c r="E754">
        <v>60.8329212418979</v>
      </c>
      <c r="F754">
        <v>0.54748603351955305</v>
      </c>
      <c r="G754">
        <v>2906.4792419659698</v>
      </c>
      <c r="H754">
        <v>505.46856432282402</v>
      </c>
      <c r="I754">
        <v>0.766389952796519</v>
      </c>
      <c r="J754">
        <v>0.14295152298292199</v>
      </c>
      <c r="K754">
        <v>0.66470648220537698</v>
      </c>
      <c r="L754" t="s">
        <v>38</v>
      </c>
      <c r="M754" t="s">
        <v>34</v>
      </c>
      <c r="N754" t="s">
        <v>35</v>
      </c>
      <c r="O754">
        <v>0.79372902030998005</v>
      </c>
      <c r="P754" t="s">
        <v>36</v>
      </c>
    </row>
    <row r="755" spans="1:16">
      <c r="A755">
        <v>754</v>
      </c>
      <c r="B755" t="s">
        <v>807</v>
      </c>
      <c r="C755">
        <v>80</v>
      </c>
      <c r="D755">
        <v>49</v>
      </c>
      <c r="E755">
        <v>60.8857829413</v>
      </c>
      <c r="F755">
        <v>1.6326172353913799</v>
      </c>
      <c r="G755">
        <v>2911.53269603025</v>
      </c>
      <c r="H755">
        <v>252.06261239352401</v>
      </c>
      <c r="I755">
        <v>0.61789568981718002</v>
      </c>
      <c r="J755">
        <v>0.57585702538597505</v>
      </c>
      <c r="K755">
        <v>0.84885383715387597</v>
      </c>
      <c r="L755" t="s">
        <v>47</v>
      </c>
      <c r="M755" t="s">
        <v>34</v>
      </c>
      <c r="N755" t="s">
        <v>35</v>
      </c>
      <c r="O755">
        <v>0.95351412433660698</v>
      </c>
      <c r="P755" t="s">
        <v>36</v>
      </c>
    </row>
    <row r="756" spans="1:16">
      <c r="A756">
        <v>755</v>
      </c>
      <c r="B756" t="s">
        <v>808</v>
      </c>
      <c r="C756">
        <v>89</v>
      </c>
      <c r="D756">
        <v>59</v>
      </c>
      <c r="E756">
        <v>60.947914477382298</v>
      </c>
      <c r="F756">
        <v>1.5059062374097001</v>
      </c>
      <c r="G756">
        <v>2917.47793610586</v>
      </c>
      <c r="H756">
        <v>382.81070113918099</v>
      </c>
      <c r="I756">
        <v>0.53988020067818399</v>
      </c>
      <c r="J756">
        <v>0.25017810877138102</v>
      </c>
      <c r="K756">
        <v>0.75086068395685102</v>
      </c>
      <c r="L756" t="s">
        <v>33</v>
      </c>
      <c r="M756" t="s">
        <v>34</v>
      </c>
      <c r="N756" t="s">
        <v>35</v>
      </c>
      <c r="O756">
        <v>0.77187351001124804</v>
      </c>
      <c r="P756" t="s">
        <v>36</v>
      </c>
    </row>
    <row r="757" spans="1:16">
      <c r="A757">
        <v>756</v>
      </c>
      <c r="B757" t="s">
        <v>809</v>
      </c>
      <c r="C757">
        <v>130</v>
      </c>
      <c r="D757">
        <v>48</v>
      </c>
      <c r="E757">
        <v>60.983611447121199</v>
      </c>
      <c r="F757">
        <v>2.7045454545454501</v>
      </c>
      <c r="G757">
        <v>2920.8964491493398</v>
      </c>
      <c r="H757">
        <v>581.87487755734003</v>
      </c>
      <c r="I757">
        <v>0.75544072560572795</v>
      </c>
      <c r="J757">
        <v>0.108409367575956</v>
      </c>
      <c r="K757">
        <v>0.64323121235925595</v>
      </c>
      <c r="L757" t="s">
        <v>38</v>
      </c>
      <c r="M757" t="s">
        <v>34</v>
      </c>
      <c r="N757" t="s">
        <v>35</v>
      </c>
      <c r="O757">
        <v>0.81379698923073895</v>
      </c>
      <c r="P757" t="s">
        <v>36</v>
      </c>
    </row>
    <row r="758" spans="1:16">
      <c r="A758">
        <v>757</v>
      </c>
      <c r="B758" t="s">
        <v>810</v>
      </c>
      <c r="C758">
        <v>52</v>
      </c>
      <c r="D758">
        <v>102</v>
      </c>
      <c r="E758">
        <v>61.085930413634202</v>
      </c>
      <c r="F758">
        <v>0.50793235524012603</v>
      </c>
      <c r="G758">
        <v>2930.7060952740999</v>
      </c>
      <c r="H758">
        <v>328.648228703374</v>
      </c>
      <c r="I758">
        <v>0.89216913951958698</v>
      </c>
      <c r="J758">
        <v>0.34097264595169802</v>
      </c>
      <c r="K758">
        <v>0.73960990247561897</v>
      </c>
      <c r="L758" t="s">
        <v>47</v>
      </c>
      <c r="M758" t="s">
        <v>34</v>
      </c>
      <c r="N758" t="s">
        <v>35</v>
      </c>
      <c r="O758">
        <v>0.93209043161458105</v>
      </c>
      <c r="P758" t="s">
        <v>36</v>
      </c>
    </row>
    <row r="759" spans="1:16">
      <c r="A759">
        <v>758</v>
      </c>
      <c r="B759" t="s">
        <v>811</v>
      </c>
      <c r="C759">
        <v>173</v>
      </c>
      <c r="D759">
        <v>30</v>
      </c>
      <c r="E759">
        <v>61.1416685885318</v>
      </c>
      <c r="F759">
        <v>5.6850902226262496</v>
      </c>
      <c r="G759">
        <v>2936.05681134216</v>
      </c>
      <c r="H759">
        <v>497.51613987798299</v>
      </c>
      <c r="I759">
        <v>0.76437787949629099</v>
      </c>
      <c r="J759">
        <v>0.14905960646435601</v>
      </c>
      <c r="K759">
        <v>0.62719075438150895</v>
      </c>
      <c r="L759" t="s">
        <v>47</v>
      </c>
      <c r="M759" t="s">
        <v>34</v>
      </c>
      <c r="N759" t="s">
        <v>35</v>
      </c>
      <c r="O759">
        <v>0.93549962497068295</v>
      </c>
      <c r="P759" t="s">
        <v>36</v>
      </c>
    </row>
    <row r="760" spans="1:16">
      <c r="A760">
        <v>759</v>
      </c>
      <c r="B760" t="s">
        <v>812</v>
      </c>
      <c r="C760">
        <v>53</v>
      </c>
      <c r="D760">
        <v>90</v>
      </c>
      <c r="E760">
        <v>61.214361490105702</v>
      </c>
      <c r="F760">
        <v>0.59322352813026802</v>
      </c>
      <c r="G760">
        <v>2943.0424684310001</v>
      </c>
      <c r="H760">
        <v>304.21639287502899</v>
      </c>
      <c r="I760">
        <v>0.75528201599660405</v>
      </c>
      <c r="J760">
        <v>0.39961443538054803</v>
      </c>
      <c r="K760">
        <v>0.79302334895270099</v>
      </c>
      <c r="L760" t="s">
        <v>298</v>
      </c>
      <c r="M760" t="s">
        <v>34</v>
      </c>
      <c r="N760" t="s">
        <v>35</v>
      </c>
      <c r="O760">
        <v>0.68109073390665198</v>
      </c>
      <c r="P760" t="s">
        <v>36</v>
      </c>
    </row>
    <row r="761" spans="1:16">
      <c r="A761">
        <v>760</v>
      </c>
      <c r="B761" t="s">
        <v>813</v>
      </c>
      <c r="C761">
        <v>122</v>
      </c>
      <c r="D761">
        <v>92</v>
      </c>
      <c r="E761">
        <v>61.257626896398698</v>
      </c>
      <c r="F761">
        <v>1.33284586099145</v>
      </c>
      <c r="G761">
        <v>2947.2041364839301</v>
      </c>
      <c r="H761">
        <v>818.29722482691602</v>
      </c>
      <c r="I761">
        <v>0.71205045802188904</v>
      </c>
      <c r="J761">
        <v>5.53092698716946E-2</v>
      </c>
      <c r="K761">
        <v>0.35614986708815299</v>
      </c>
      <c r="L761" t="s">
        <v>298</v>
      </c>
      <c r="M761" t="s">
        <v>34</v>
      </c>
      <c r="N761" t="s">
        <v>35</v>
      </c>
      <c r="O761">
        <v>0.64363521031318505</v>
      </c>
      <c r="P761" t="s">
        <v>36</v>
      </c>
    </row>
    <row r="762" spans="1:16">
      <c r="A762">
        <v>761</v>
      </c>
      <c r="B762" t="s">
        <v>814</v>
      </c>
      <c r="C762">
        <v>103</v>
      </c>
      <c r="D762">
        <v>53</v>
      </c>
      <c r="E762">
        <v>61.3671988662526</v>
      </c>
      <c r="F762">
        <v>1.9443708057364399</v>
      </c>
      <c r="G762">
        <v>2957.75693761815</v>
      </c>
      <c r="H762">
        <v>450.969522673565</v>
      </c>
      <c r="I762">
        <v>0.85778166342550799</v>
      </c>
      <c r="J762">
        <v>0.18275865817419401</v>
      </c>
      <c r="K762">
        <v>0.71035910616120501</v>
      </c>
      <c r="L762" t="s">
        <v>33</v>
      </c>
      <c r="M762" t="s">
        <v>34</v>
      </c>
      <c r="N762" t="s">
        <v>35</v>
      </c>
      <c r="O762">
        <v>0.76345953041148296</v>
      </c>
      <c r="P762" t="s">
        <v>36</v>
      </c>
    </row>
    <row r="763" spans="1:16">
      <c r="A763">
        <v>762</v>
      </c>
      <c r="B763" t="s">
        <v>815</v>
      </c>
      <c r="C763">
        <v>88</v>
      </c>
      <c r="D763">
        <v>103</v>
      </c>
      <c r="E763">
        <v>61.394946602594601</v>
      </c>
      <c r="F763">
        <v>0.85638295541040199</v>
      </c>
      <c r="G763">
        <v>2960.4322956521701</v>
      </c>
      <c r="H763">
        <v>681.58042933546994</v>
      </c>
      <c r="I763">
        <v>0.43901880175799901</v>
      </c>
      <c r="J763">
        <v>8.0081237155900001E-2</v>
      </c>
      <c r="K763">
        <v>0.44075147706401702</v>
      </c>
      <c r="L763" t="s">
        <v>38</v>
      </c>
      <c r="M763" t="s">
        <v>34</v>
      </c>
      <c r="N763" t="s">
        <v>35</v>
      </c>
      <c r="O763">
        <v>0.68497091483642203</v>
      </c>
      <c r="P763" t="s">
        <v>36</v>
      </c>
    </row>
    <row r="764" spans="1:16">
      <c r="A764">
        <v>763</v>
      </c>
      <c r="B764" t="s">
        <v>816</v>
      </c>
      <c r="C764">
        <v>65</v>
      </c>
      <c r="D764">
        <v>80</v>
      </c>
      <c r="E764">
        <v>61.6609964621369</v>
      </c>
      <c r="F764">
        <v>0.81465569171591401</v>
      </c>
      <c r="G764">
        <v>2986.1454589792102</v>
      </c>
      <c r="H764">
        <v>383.86903620212001</v>
      </c>
      <c r="I764">
        <v>0.76275843130642096</v>
      </c>
      <c r="J764">
        <v>0.25465643698944801</v>
      </c>
      <c r="K764">
        <v>0.73904726871436499</v>
      </c>
      <c r="L764" t="s">
        <v>38</v>
      </c>
      <c r="M764" t="s">
        <v>34</v>
      </c>
      <c r="N764" t="s">
        <v>35</v>
      </c>
      <c r="O764">
        <v>0.72731177457076002</v>
      </c>
      <c r="P764" t="s">
        <v>36</v>
      </c>
    </row>
    <row r="765" spans="1:16">
      <c r="A765">
        <v>764</v>
      </c>
      <c r="B765" t="s">
        <v>817</v>
      </c>
      <c r="C765">
        <v>98</v>
      </c>
      <c r="D765">
        <v>73</v>
      </c>
      <c r="E765">
        <v>61.7775116264921</v>
      </c>
      <c r="F765">
        <v>1.3458646616541401</v>
      </c>
      <c r="G765">
        <v>2997.4414151228698</v>
      </c>
      <c r="H765">
        <v>887.32112256226299</v>
      </c>
      <c r="I765">
        <v>0.636955143889256</v>
      </c>
      <c r="J765">
        <v>4.78408544517872E-2</v>
      </c>
      <c r="K765">
        <v>0.50019842254080105</v>
      </c>
      <c r="L765" t="s">
        <v>33</v>
      </c>
      <c r="M765" t="s">
        <v>34</v>
      </c>
      <c r="N765" t="s">
        <v>35</v>
      </c>
      <c r="O765">
        <v>0.77610258593498904</v>
      </c>
      <c r="P765" t="s">
        <v>36</v>
      </c>
    </row>
    <row r="766" spans="1:16">
      <c r="A766">
        <v>765</v>
      </c>
      <c r="B766" t="s">
        <v>818</v>
      </c>
      <c r="C766">
        <v>60</v>
      </c>
      <c r="D766">
        <v>104</v>
      </c>
      <c r="E766">
        <v>61.991571559742098</v>
      </c>
      <c r="F766">
        <v>0.57370748310210495</v>
      </c>
      <c r="G766">
        <v>3018.2497553875201</v>
      </c>
      <c r="H766">
        <v>490.73164489777201</v>
      </c>
      <c r="I766">
        <v>0.812844008844396</v>
      </c>
      <c r="J766">
        <v>0.15749867672644099</v>
      </c>
      <c r="K766">
        <v>0.63714231927710796</v>
      </c>
      <c r="L766" t="s">
        <v>33</v>
      </c>
      <c r="M766" t="s">
        <v>34</v>
      </c>
      <c r="N766" t="s">
        <v>35</v>
      </c>
      <c r="O766">
        <v>0.68780596728212895</v>
      </c>
      <c r="P766" t="s">
        <v>36</v>
      </c>
    </row>
    <row r="767" spans="1:16">
      <c r="A767">
        <v>766</v>
      </c>
      <c r="B767" t="s">
        <v>819</v>
      </c>
      <c r="C767">
        <v>82</v>
      </c>
      <c r="D767">
        <v>68</v>
      </c>
      <c r="E767">
        <v>61.993097900619603</v>
      </c>
      <c r="F767">
        <v>1.208</v>
      </c>
      <c r="G767">
        <v>3018.39838638941</v>
      </c>
      <c r="H767">
        <v>395.24224512452702</v>
      </c>
      <c r="I767">
        <v>0.69613236711375803</v>
      </c>
      <c r="J767">
        <v>0.242806164621438</v>
      </c>
      <c r="K767">
        <v>0.71076578468430596</v>
      </c>
      <c r="L767" t="s">
        <v>38</v>
      </c>
      <c r="M767" t="s">
        <v>34</v>
      </c>
      <c r="N767" t="s">
        <v>35</v>
      </c>
      <c r="O767">
        <v>0.83619904718448801</v>
      </c>
      <c r="P767" t="s">
        <v>36</v>
      </c>
    </row>
    <row r="768" spans="1:16">
      <c r="A768">
        <v>767</v>
      </c>
      <c r="B768" t="s">
        <v>820</v>
      </c>
      <c r="C768">
        <v>68</v>
      </c>
      <c r="D768">
        <v>88</v>
      </c>
      <c r="E768">
        <v>62.020565613037199</v>
      </c>
      <c r="F768">
        <v>0.77639756791915804</v>
      </c>
      <c r="G768">
        <v>3021.0737444234401</v>
      </c>
      <c r="H768">
        <v>514.24683978453902</v>
      </c>
      <c r="I768">
        <v>0.72264941645601699</v>
      </c>
      <c r="J768">
        <v>0.14355817463371101</v>
      </c>
      <c r="K768">
        <v>0.66307822796372395</v>
      </c>
      <c r="L768" t="s">
        <v>33</v>
      </c>
      <c r="M768" t="s">
        <v>34</v>
      </c>
      <c r="N768" t="s">
        <v>35</v>
      </c>
      <c r="O768">
        <v>0.76746696467893605</v>
      </c>
      <c r="P768" t="s">
        <v>36</v>
      </c>
    </row>
    <row r="769" spans="1:16">
      <c r="A769">
        <v>768</v>
      </c>
      <c r="B769" t="s">
        <v>821</v>
      </c>
      <c r="C769">
        <v>68</v>
      </c>
      <c r="D769">
        <v>83</v>
      </c>
      <c r="E769">
        <v>62.072415906851802</v>
      </c>
      <c r="F769">
        <v>0.82236848577569399</v>
      </c>
      <c r="G769">
        <v>3026.1271984877098</v>
      </c>
      <c r="H769">
        <v>683.41922045293097</v>
      </c>
      <c r="I769">
        <v>0.62537436466338103</v>
      </c>
      <c r="J769">
        <v>8.1418419121029706E-2</v>
      </c>
      <c r="K769">
        <v>0.58229658229658199</v>
      </c>
      <c r="L769" t="s">
        <v>38</v>
      </c>
      <c r="M769" t="s">
        <v>34</v>
      </c>
      <c r="N769" t="s">
        <v>35</v>
      </c>
      <c r="O769">
        <v>0.67980680069114297</v>
      </c>
      <c r="P769" t="s">
        <v>36</v>
      </c>
    </row>
    <row r="770" spans="1:16">
      <c r="A770">
        <v>769</v>
      </c>
      <c r="B770" t="s">
        <v>822</v>
      </c>
      <c r="C770">
        <v>98</v>
      </c>
      <c r="D770">
        <v>59</v>
      </c>
      <c r="E770">
        <v>62.1516326874087</v>
      </c>
      <c r="F770">
        <v>1.6787233000439401</v>
      </c>
      <c r="G770">
        <v>3033.8560105860101</v>
      </c>
      <c r="H770">
        <v>364.78756589350502</v>
      </c>
      <c r="I770">
        <v>0.73807469004245296</v>
      </c>
      <c r="J770">
        <v>0.28650009860665498</v>
      </c>
      <c r="K770">
        <v>0.69803706996785397</v>
      </c>
      <c r="L770" t="s">
        <v>41</v>
      </c>
      <c r="M770" t="s">
        <v>34</v>
      </c>
      <c r="N770" t="s">
        <v>35</v>
      </c>
      <c r="O770">
        <v>0.71376839315366403</v>
      </c>
      <c r="P770" t="s">
        <v>36</v>
      </c>
    </row>
    <row r="771" spans="1:16">
      <c r="A771">
        <v>770</v>
      </c>
      <c r="B771" t="s">
        <v>823</v>
      </c>
      <c r="C771">
        <v>95</v>
      </c>
      <c r="D771">
        <v>71</v>
      </c>
      <c r="E771">
        <v>62.1896817602412</v>
      </c>
      <c r="F771">
        <v>1.3509503155740299</v>
      </c>
      <c r="G771">
        <v>3037.5717856332699</v>
      </c>
      <c r="H771">
        <v>467.46612230394197</v>
      </c>
      <c r="I771">
        <v>0.63953311600418905</v>
      </c>
      <c r="J771">
        <v>0.17467716268671701</v>
      </c>
      <c r="K771">
        <v>0.59508487901464602</v>
      </c>
      <c r="L771" t="s">
        <v>38</v>
      </c>
      <c r="M771" t="s">
        <v>34</v>
      </c>
      <c r="N771" t="s">
        <v>35</v>
      </c>
      <c r="O771">
        <v>0.83841454618447198</v>
      </c>
      <c r="P771" t="s">
        <v>36</v>
      </c>
    </row>
    <row r="772" spans="1:16">
      <c r="A772">
        <v>771</v>
      </c>
      <c r="B772" t="s">
        <v>824</v>
      </c>
      <c r="C772">
        <v>73</v>
      </c>
      <c r="D772">
        <v>83</v>
      </c>
      <c r="E772">
        <v>62.2824239449629</v>
      </c>
      <c r="F772">
        <v>0.88157892359260204</v>
      </c>
      <c r="G772">
        <v>3046.6382767485802</v>
      </c>
      <c r="H772">
        <v>404.26240687080099</v>
      </c>
      <c r="I772">
        <v>0.67323269971062505</v>
      </c>
      <c r="J772">
        <v>0.23426318491555401</v>
      </c>
      <c r="K772">
        <v>0.61446686051740196</v>
      </c>
      <c r="L772" t="s">
        <v>38</v>
      </c>
      <c r="M772" t="s">
        <v>34</v>
      </c>
      <c r="N772" t="s">
        <v>35</v>
      </c>
      <c r="O772">
        <v>0.76355669506316504</v>
      </c>
      <c r="P772" t="s">
        <v>36</v>
      </c>
    </row>
    <row r="773" spans="1:16">
      <c r="A773">
        <v>772</v>
      </c>
      <c r="B773" t="s">
        <v>825</v>
      </c>
      <c r="C773">
        <v>73</v>
      </c>
      <c r="D773">
        <v>53</v>
      </c>
      <c r="E773">
        <v>62.321911452223397</v>
      </c>
      <c r="F773">
        <v>1.3571428571428601</v>
      </c>
      <c r="G773">
        <v>3050.5026827977299</v>
      </c>
      <c r="H773">
        <v>389.48560171769998</v>
      </c>
      <c r="I773">
        <v>0.686575335793292</v>
      </c>
      <c r="J773">
        <v>0.25269605399023598</v>
      </c>
      <c r="K773">
        <v>0.82165018615637098</v>
      </c>
      <c r="L773" t="s">
        <v>38</v>
      </c>
      <c r="M773" t="s">
        <v>34</v>
      </c>
      <c r="N773" t="s">
        <v>35</v>
      </c>
      <c r="O773">
        <v>0.814335658904072</v>
      </c>
      <c r="P773" t="s">
        <v>36</v>
      </c>
    </row>
    <row r="774" spans="1:16">
      <c r="A774">
        <v>773</v>
      </c>
      <c r="B774" t="s">
        <v>826</v>
      </c>
      <c r="C774">
        <v>59</v>
      </c>
      <c r="D774">
        <v>88</v>
      </c>
      <c r="E774">
        <v>62.338610175554599</v>
      </c>
      <c r="F774">
        <v>0.67463818207078596</v>
      </c>
      <c r="G774">
        <v>3052.1376238185298</v>
      </c>
      <c r="H774">
        <v>315.31333901913302</v>
      </c>
      <c r="I774">
        <v>0.60705573101772203</v>
      </c>
      <c r="J774">
        <v>0.38577074471741402</v>
      </c>
      <c r="K774">
        <v>0.81462234211361495</v>
      </c>
      <c r="L774" t="s">
        <v>38</v>
      </c>
      <c r="M774" t="s">
        <v>34</v>
      </c>
      <c r="N774" t="s">
        <v>35</v>
      </c>
      <c r="O774">
        <v>0.785622950689845</v>
      </c>
      <c r="P774" t="s">
        <v>36</v>
      </c>
    </row>
    <row r="775" spans="1:16">
      <c r="A775">
        <v>774</v>
      </c>
      <c r="B775" t="s">
        <v>827</v>
      </c>
      <c r="C775">
        <v>67</v>
      </c>
      <c r="D775">
        <v>65</v>
      </c>
      <c r="E775">
        <v>62.371994210075798</v>
      </c>
      <c r="F775">
        <v>1.0226384788803899</v>
      </c>
      <c r="G775">
        <v>3055.4075058601102</v>
      </c>
      <c r="H775">
        <v>248.44922959794201</v>
      </c>
      <c r="I775">
        <v>0.69535224018432096</v>
      </c>
      <c r="J775">
        <v>0.62201906540637497</v>
      </c>
      <c r="K775">
        <v>0.90008319103288204</v>
      </c>
      <c r="L775" t="s">
        <v>33</v>
      </c>
      <c r="M775" t="s">
        <v>34</v>
      </c>
      <c r="N775" t="s">
        <v>35</v>
      </c>
      <c r="O775">
        <v>0.73346072256025197</v>
      </c>
      <c r="P775" t="s">
        <v>36</v>
      </c>
    </row>
    <row r="776" spans="1:16">
      <c r="A776">
        <v>775</v>
      </c>
      <c r="B776" t="s">
        <v>828</v>
      </c>
      <c r="C776">
        <v>51</v>
      </c>
      <c r="D776">
        <v>99</v>
      </c>
      <c r="E776">
        <v>62.440224141612802</v>
      </c>
      <c r="F776">
        <v>0.52039232816632897</v>
      </c>
      <c r="G776">
        <v>3062.0959009451799</v>
      </c>
      <c r="H776">
        <v>401.90774346455299</v>
      </c>
      <c r="I776">
        <v>0.88498896139445105</v>
      </c>
      <c r="J776">
        <v>0.238218729840458</v>
      </c>
      <c r="K776">
        <v>0.69700250355233795</v>
      </c>
      <c r="L776" t="s">
        <v>38</v>
      </c>
      <c r="M776" t="s">
        <v>34</v>
      </c>
      <c r="N776" t="s">
        <v>35</v>
      </c>
      <c r="O776">
        <v>0.80064575434431495</v>
      </c>
      <c r="P776" t="s">
        <v>36</v>
      </c>
    </row>
    <row r="777" spans="1:16">
      <c r="A777">
        <v>776</v>
      </c>
      <c r="B777" t="s">
        <v>829</v>
      </c>
      <c r="C777">
        <v>83</v>
      </c>
      <c r="D777">
        <v>78</v>
      </c>
      <c r="E777">
        <v>62.597626546456297</v>
      </c>
      <c r="F777">
        <v>1.0672913800655099</v>
      </c>
      <c r="G777">
        <v>3077.55352514178</v>
      </c>
      <c r="H777">
        <v>479.50791610510498</v>
      </c>
      <c r="I777">
        <v>0.65930839316557499</v>
      </c>
      <c r="J777">
        <v>0.16819919637433001</v>
      </c>
      <c r="K777">
        <v>0.60955577143866502</v>
      </c>
      <c r="L777" t="s">
        <v>830</v>
      </c>
      <c r="M777" t="s">
        <v>34</v>
      </c>
      <c r="N777" t="s">
        <v>35</v>
      </c>
      <c r="O777">
        <v>0.80217262291638203</v>
      </c>
      <c r="P777" t="s">
        <v>36</v>
      </c>
    </row>
    <row r="778" spans="1:16">
      <c r="A778">
        <v>777</v>
      </c>
      <c r="B778" t="s">
        <v>831</v>
      </c>
      <c r="C778">
        <v>73</v>
      </c>
      <c r="D778">
        <v>68</v>
      </c>
      <c r="E778">
        <v>62.599138110031497</v>
      </c>
      <c r="F778">
        <v>1.0719998867187399</v>
      </c>
      <c r="G778">
        <v>3077.70215614367</v>
      </c>
      <c r="H778">
        <v>509.346530884142</v>
      </c>
      <c r="I778">
        <v>0.60225167350083697</v>
      </c>
      <c r="J778">
        <v>0.14907669215766001</v>
      </c>
      <c r="K778">
        <v>0.73693013986262901</v>
      </c>
      <c r="L778" t="s">
        <v>43</v>
      </c>
      <c r="M778" t="s">
        <v>34</v>
      </c>
      <c r="N778" t="s">
        <v>35</v>
      </c>
      <c r="O778">
        <v>0.85955060805005401</v>
      </c>
      <c r="P778" t="s">
        <v>36</v>
      </c>
    </row>
    <row r="779" spans="1:16">
      <c r="A779">
        <v>778</v>
      </c>
      <c r="B779" t="s">
        <v>832</v>
      </c>
      <c r="C779">
        <v>63</v>
      </c>
      <c r="D779">
        <v>138</v>
      </c>
      <c r="E779">
        <v>62.609718033249898</v>
      </c>
      <c r="F779">
        <v>0.453632122030728</v>
      </c>
      <c r="G779">
        <v>3078.7425731569001</v>
      </c>
      <c r="H779">
        <v>662.59136518167395</v>
      </c>
      <c r="I779">
        <v>0.78871374486335599</v>
      </c>
      <c r="J779">
        <v>8.8123491827496903E-2</v>
      </c>
      <c r="K779">
        <v>0.52541599025973995</v>
      </c>
      <c r="L779" t="s">
        <v>33</v>
      </c>
      <c r="M779" t="s">
        <v>34</v>
      </c>
      <c r="N779" t="s">
        <v>35</v>
      </c>
      <c r="O779">
        <v>0.77730323717781002</v>
      </c>
      <c r="P779" t="s">
        <v>36</v>
      </c>
    </row>
    <row r="780" spans="1:16">
      <c r="A780">
        <v>779</v>
      </c>
      <c r="B780" t="s">
        <v>833</v>
      </c>
      <c r="C780">
        <v>103</v>
      </c>
      <c r="D780">
        <v>63</v>
      </c>
      <c r="E780">
        <v>62.632383279265099</v>
      </c>
      <c r="F780">
        <v>1.6347826086956501</v>
      </c>
      <c r="G780">
        <v>3080.9720381852599</v>
      </c>
      <c r="H780">
        <v>636.02405475046305</v>
      </c>
      <c r="I780">
        <v>0.69655635855450204</v>
      </c>
      <c r="J780">
        <v>9.5708506324572507E-2</v>
      </c>
      <c r="K780">
        <v>0.59941588109421096</v>
      </c>
      <c r="L780" t="s">
        <v>33</v>
      </c>
      <c r="M780" t="s">
        <v>34</v>
      </c>
      <c r="N780" t="s">
        <v>35</v>
      </c>
      <c r="O780">
        <v>0.79304093783594598</v>
      </c>
      <c r="P780" t="s">
        <v>36</v>
      </c>
    </row>
    <row r="781" spans="1:16">
      <c r="A781">
        <v>780</v>
      </c>
      <c r="B781" t="s">
        <v>834</v>
      </c>
      <c r="C781">
        <v>120</v>
      </c>
      <c r="D781">
        <v>81</v>
      </c>
      <c r="E781">
        <v>62.665610811375103</v>
      </c>
      <c r="F781">
        <v>1.48322147651007</v>
      </c>
      <c r="G781">
        <v>3084.2419202268402</v>
      </c>
      <c r="H781">
        <v>710.70506427339899</v>
      </c>
      <c r="I781">
        <v>0.69359414465180602</v>
      </c>
      <c r="J781">
        <v>7.6732523223044705E-2</v>
      </c>
      <c r="K781">
        <v>0.41123662306777597</v>
      </c>
      <c r="L781" t="s">
        <v>49</v>
      </c>
      <c r="M781" t="s">
        <v>34</v>
      </c>
      <c r="N781" t="s">
        <v>35</v>
      </c>
      <c r="O781">
        <v>0.70914449026473303</v>
      </c>
      <c r="P781" t="s">
        <v>36</v>
      </c>
    </row>
    <row r="782" spans="1:16">
      <c r="A782">
        <v>781</v>
      </c>
      <c r="B782" t="s">
        <v>835</v>
      </c>
      <c r="C782">
        <v>63</v>
      </c>
      <c r="D782">
        <v>68</v>
      </c>
      <c r="E782">
        <v>62.725979411484303</v>
      </c>
      <c r="F782">
        <v>0.92799999121093601</v>
      </c>
      <c r="G782">
        <v>3090.1871603024601</v>
      </c>
      <c r="H782">
        <v>313.474547901672</v>
      </c>
      <c r="I782">
        <v>0.83710074857898098</v>
      </c>
      <c r="J782">
        <v>0.39517556083331801</v>
      </c>
      <c r="K782">
        <v>0.84078777094791302</v>
      </c>
      <c r="L782" t="s">
        <v>188</v>
      </c>
      <c r="M782" t="s">
        <v>34</v>
      </c>
      <c r="N782" t="s">
        <v>35</v>
      </c>
      <c r="O782">
        <v>0.71371630974909495</v>
      </c>
      <c r="P782" t="s">
        <v>36</v>
      </c>
    </row>
    <row r="783" spans="1:16">
      <c r="A783">
        <v>782</v>
      </c>
      <c r="B783" t="s">
        <v>836</v>
      </c>
      <c r="C783">
        <v>102</v>
      </c>
      <c r="D783">
        <v>60</v>
      </c>
      <c r="E783">
        <v>62.8088914958294</v>
      </c>
      <c r="F783">
        <v>1.70251458754281</v>
      </c>
      <c r="G783">
        <v>3098.3618654064298</v>
      </c>
      <c r="H783">
        <v>515.49226393119204</v>
      </c>
      <c r="I783">
        <v>0.74509412896730398</v>
      </c>
      <c r="J783">
        <v>0.14652026600562701</v>
      </c>
      <c r="K783">
        <v>0.67048341963912395</v>
      </c>
      <c r="L783" t="s">
        <v>67</v>
      </c>
      <c r="M783" t="s">
        <v>34</v>
      </c>
      <c r="N783" t="s">
        <v>35</v>
      </c>
      <c r="O783">
        <v>0.69088559619784495</v>
      </c>
      <c r="P783" t="s">
        <v>36</v>
      </c>
    </row>
    <row r="784" spans="1:16">
      <c r="A784">
        <v>783</v>
      </c>
      <c r="B784" t="s">
        <v>837</v>
      </c>
      <c r="C784">
        <v>88</v>
      </c>
      <c r="D784">
        <v>59</v>
      </c>
      <c r="E784">
        <v>62.811904418455804</v>
      </c>
      <c r="F784">
        <v>1.5</v>
      </c>
      <c r="G784">
        <v>3098.6591274102102</v>
      </c>
      <c r="H784">
        <v>373.393663744305</v>
      </c>
      <c r="I784">
        <v>0.784143054453597</v>
      </c>
      <c r="J784">
        <v>0.27928639467750399</v>
      </c>
      <c r="K784">
        <v>0.74659790860908204</v>
      </c>
      <c r="L784" t="s">
        <v>33</v>
      </c>
      <c r="M784" t="s">
        <v>34</v>
      </c>
      <c r="N784" t="s">
        <v>35</v>
      </c>
      <c r="O784">
        <v>0.70306009933229996</v>
      </c>
      <c r="P784" t="s">
        <v>36</v>
      </c>
    </row>
    <row r="785" spans="1:16">
      <c r="A785">
        <v>784</v>
      </c>
      <c r="B785" t="s">
        <v>838</v>
      </c>
      <c r="C785">
        <v>61</v>
      </c>
      <c r="D785">
        <v>66</v>
      </c>
      <c r="E785">
        <v>62.814917196567201</v>
      </c>
      <c r="F785">
        <v>0.91758159876352696</v>
      </c>
      <c r="G785">
        <v>3098.9563894139901</v>
      </c>
      <c r="H785">
        <v>223.72071028419199</v>
      </c>
      <c r="I785">
        <v>0.66346468677377701</v>
      </c>
      <c r="J785">
        <v>0.77805975062036403</v>
      </c>
      <c r="K785">
        <v>0.948115138011005</v>
      </c>
      <c r="L785" t="s">
        <v>74</v>
      </c>
      <c r="M785" t="s">
        <v>34</v>
      </c>
      <c r="N785" t="s">
        <v>35</v>
      </c>
      <c r="O785">
        <v>0.67832997176845</v>
      </c>
      <c r="P785" t="s">
        <v>36</v>
      </c>
    </row>
    <row r="786" spans="1:16">
      <c r="A786">
        <v>785</v>
      </c>
      <c r="B786" t="s">
        <v>839</v>
      </c>
      <c r="C786">
        <v>112</v>
      </c>
      <c r="D786">
        <v>53</v>
      </c>
      <c r="E786">
        <v>62.852564737973097</v>
      </c>
      <c r="F786">
        <v>2.1020408322144899</v>
      </c>
      <c r="G786">
        <v>3102.6721644612498</v>
      </c>
      <c r="H786">
        <v>814.49447617354599</v>
      </c>
      <c r="I786">
        <v>0.76295280482602501</v>
      </c>
      <c r="J786">
        <v>5.8771864256438801E-2</v>
      </c>
      <c r="K786">
        <v>0.558633055020338</v>
      </c>
      <c r="L786" t="s">
        <v>33</v>
      </c>
      <c r="M786" t="s">
        <v>34</v>
      </c>
      <c r="N786" t="s">
        <v>35</v>
      </c>
      <c r="O786">
        <v>0.76090151385961602</v>
      </c>
      <c r="P786" t="s">
        <v>36</v>
      </c>
    </row>
    <row r="787" spans="1:16">
      <c r="A787">
        <v>786</v>
      </c>
      <c r="B787" t="s">
        <v>840</v>
      </c>
      <c r="C787">
        <v>78</v>
      </c>
      <c r="D787">
        <v>63</v>
      </c>
      <c r="E787">
        <v>63.038964219912998</v>
      </c>
      <c r="F787">
        <v>1.2327586206896599</v>
      </c>
      <c r="G787">
        <v>3121.10240869565</v>
      </c>
      <c r="H787">
        <v>467.03876316578499</v>
      </c>
      <c r="I787">
        <v>0.71173261288594003</v>
      </c>
      <c r="J787">
        <v>0.17980924927676201</v>
      </c>
      <c r="K787">
        <v>0.68480954865640498</v>
      </c>
      <c r="L787" t="s">
        <v>43</v>
      </c>
      <c r="M787" t="s">
        <v>34</v>
      </c>
      <c r="N787" t="s">
        <v>35</v>
      </c>
      <c r="O787">
        <v>0.82679880745621803</v>
      </c>
      <c r="P787" t="s">
        <v>36</v>
      </c>
    </row>
    <row r="788" spans="1:16">
      <c r="A788">
        <v>787</v>
      </c>
      <c r="B788" t="s">
        <v>841</v>
      </c>
      <c r="C788">
        <v>59</v>
      </c>
      <c r="D788">
        <v>111</v>
      </c>
      <c r="E788">
        <v>63.236785723590401</v>
      </c>
      <c r="F788">
        <v>0.53297829059414703</v>
      </c>
      <c r="G788">
        <v>3140.7217009451801</v>
      </c>
      <c r="H788">
        <v>380.66971730201101</v>
      </c>
      <c r="I788">
        <v>0.71095228914505904</v>
      </c>
      <c r="J788">
        <v>0.27235958274669902</v>
      </c>
      <c r="K788">
        <v>0.60905029543161804</v>
      </c>
      <c r="L788" t="s">
        <v>33</v>
      </c>
      <c r="M788" t="s">
        <v>34</v>
      </c>
      <c r="N788" t="s">
        <v>35</v>
      </c>
      <c r="O788">
        <v>0.71872871796847504</v>
      </c>
      <c r="P788" t="s">
        <v>36</v>
      </c>
    </row>
    <row r="789" spans="1:16">
      <c r="A789">
        <v>788</v>
      </c>
      <c r="B789" t="s">
        <v>842</v>
      </c>
      <c r="C789">
        <v>107</v>
      </c>
      <c r="D789">
        <v>81</v>
      </c>
      <c r="E789">
        <v>63.286144481507499</v>
      </c>
      <c r="F789">
        <v>1.3307667047442699</v>
      </c>
      <c r="G789">
        <v>3145.62652400756</v>
      </c>
      <c r="H789">
        <v>758.48770338597501</v>
      </c>
      <c r="I789">
        <v>0.47857447864481101</v>
      </c>
      <c r="J789">
        <v>6.8709997602967199E-2</v>
      </c>
      <c r="K789">
        <v>0.49754331523144602</v>
      </c>
      <c r="L789" t="s">
        <v>33</v>
      </c>
      <c r="M789" t="s">
        <v>34</v>
      </c>
      <c r="N789" t="s">
        <v>35</v>
      </c>
      <c r="O789">
        <v>0.69296662620943605</v>
      </c>
      <c r="P789" t="s">
        <v>36</v>
      </c>
    </row>
    <row r="790" spans="1:16">
      <c r="A790">
        <v>789</v>
      </c>
      <c r="B790" t="s">
        <v>843</v>
      </c>
      <c r="C790">
        <v>91</v>
      </c>
      <c r="D790">
        <v>54</v>
      </c>
      <c r="E790">
        <v>63.375789190234698</v>
      </c>
      <c r="F790">
        <v>1.7024963774403901</v>
      </c>
      <c r="G790">
        <v>3154.5443841209799</v>
      </c>
      <c r="H790">
        <v>278.52032842304402</v>
      </c>
      <c r="I790">
        <v>0.61831041802176501</v>
      </c>
      <c r="J790">
        <v>0.51101389482306103</v>
      </c>
      <c r="K790">
        <v>0.83250961010433799</v>
      </c>
      <c r="L790" t="s">
        <v>58</v>
      </c>
      <c r="M790" t="s">
        <v>34</v>
      </c>
      <c r="N790" t="s">
        <v>35</v>
      </c>
      <c r="O790">
        <v>0.72126613882688695</v>
      </c>
      <c r="P790" t="s">
        <v>36</v>
      </c>
    </row>
    <row r="791" spans="1:16">
      <c r="A791">
        <v>790</v>
      </c>
      <c r="B791" t="s">
        <v>844</v>
      </c>
      <c r="C791">
        <v>78</v>
      </c>
      <c r="D791">
        <v>83</v>
      </c>
      <c r="E791">
        <v>63.429515202116797</v>
      </c>
      <c r="F791">
        <v>0.94078947368421095</v>
      </c>
      <c r="G791">
        <v>3159.89510018904</v>
      </c>
      <c r="H791">
        <v>641.60852054637405</v>
      </c>
      <c r="I791">
        <v>0.63251479560961399</v>
      </c>
      <c r="J791">
        <v>9.6458895342830905E-2</v>
      </c>
      <c r="K791">
        <v>0.62862211709047899</v>
      </c>
      <c r="L791" t="s">
        <v>38</v>
      </c>
      <c r="M791" t="s">
        <v>34</v>
      </c>
      <c r="N791" t="s">
        <v>35</v>
      </c>
      <c r="O791">
        <v>0.8180872072134</v>
      </c>
      <c r="P791" t="s">
        <v>36</v>
      </c>
    </row>
    <row r="792" spans="1:16">
      <c r="A792">
        <v>791</v>
      </c>
      <c r="B792" t="s">
        <v>845</v>
      </c>
      <c r="C792">
        <v>69</v>
      </c>
      <c r="D792">
        <v>72</v>
      </c>
      <c r="E792">
        <v>63.569585718946797</v>
      </c>
      <c r="F792">
        <v>0.95379108487123698</v>
      </c>
      <c r="G792">
        <v>3173.8664143667302</v>
      </c>
      <c r="H792">
        <v>346.35976899084801</v>
      </c>
      <c r="I792">
        <v>0.64566454250799798</v>
      </c>
      <c r="J792">
        <v>0.33246323396719402</v>
      </c>
      <c r="K792">
        <v>0.779172443990367</v>
      </c>
      <c r="L792" t="s">
        <v>74</v>
      </c>
      <c r="M792" t="s">
        <v>34</v>
      </c>
      <c r="N792" t="s">
        <v>35</v>
      </c>
      <c r="O792">
        <v>0.74916384820052495</v>
      </c>
      <c r="P792" t="s">
        <v>36</v>
      </c>
    </row>
    <row r="793" spans="1:16">
      <c r="A793">
        <v>792</v>
      </c>
      <c r="B793" t="s">
        <v>846</v>
      </c>
      <c r="C793">
        <v>80</v>
      </c>
      <c r="D793">
        <v>58</v>
      </c>
      <c r="E793">
        <v>63.646939106887899</v>
      </c>
      <c r="F793">
        <v>1.3708610203741101</v>
      </c>
      <c r="G793">
        <v>3181.59522646503</v>
      </c>
      <c r="H793">
        <v>344.06151901556098</v>
      </c>
      <c r="I793">
        <v>0.63002978369640406</v>
      </c>
      <c r="J793">
        <v>0.33774006731802497</v>
      </c>
      <c r="K793">
        <v>0.752963523162967</v>
      </c>
      <c r="L793" t="s">
        <v>33</v>
      </c>
      <c r="M793" t="s">
        <v>34</v>
      </c>
      <c r="N793" t="s">
        <v>35</v>
      </c>
      <c r="O793">
        <v>0.69053981043420498</v>
      </c>
      <c r="P793" t="s">
        <v>36</v>
      </c>
    </row>
    <row r="794" spans="1:16">
      <c r="A794">
        <v>793</v>
      </c>
      <c r="B794" t="s">
        <v>847</v>
      </c>
      <c r="C794">
        <v>60</v>
      </c>
      <c r="D794">
        <v>102</v>
      </c>
      <c r="E794">
        <v>63.651398934221703</v>
      </c>
      <c r="F794">
        <v>0.591860004685138</v>
      </c>
      <c r="G794">
        <v>3182.0411194706999</v>
      </c>
      <c r="H794">
        <v>350.84050476146803</v>
      </c>
      <c r="I794">
        <v>0.63261787258166402</v>
      </c>
      <c r="J794">
        <v>0.32485996796508199</v>
      </c>
      <c r="K794">
        <v>0.78640170437849</v>
      </c>
      <c r="L794" t="s">
        <v>331</v>
      </c>
      <c r="M794" t="s">
        <v>34</v>
      </c>
      <c r="N794" t="s">
        <v>35</v>
      </c>
      <c r="O794">
        <v>0.68852872566522705</v>
      </c>
      <c r="P794" t="s">
        <v>36</v>
      </c>
    </row>
    <row r="795" spans="1:16">
      <c r="A795">
        <v>794</v>
      </c>
      <c r="B795" t="s">
        <v>848</v>
      </c>
      <c r="C795">
        <v>64</v>
      </c>
      <c r="D795">
        <v>147</v>
      </c>
      <c r="E795">
        <v>63.747951910474498</v>
      </c>
      <c r="F795">
        <v>0.43639672615879999</v>
      </c>
      <c r="G795">
        <v>3191.70213459357</v>
      </c>
      <c r="H795">
        <v>680.21439231851798</v>
      </c>
      <c r="I795">
        <v>0.87544815568216405</v>
      </c>
      <c r="J795">
        <v>8.6684327578249398E-2</v>
      </c>
      <c r="K795">
        <v>0.51493933144693305</v>
      </c>
      <c r="L795" t="s">
        <v>144</v>
      </c>
      <c r="M795" t="s">
        <v>34</v>
      </c>
      <c r="N795" t="s">
        <v>35</v>
      </c>
      <c r="O795">
        <v>0.77752741612968201</v>
      </c>
      <c r="P795" t="s">
        <v>36</v>
      </c>
    </row>
    <row r="796" spans="1:16">
      <c r="A796">
        <v>795</v>
      </c>
      <c r="B796" t="s">
        <v>849</v>
      </c>
      <c r="C796">
        <v>128</v>
      </c>
      <c r="D796">
        <v>60</v>
      </c>
      <c r="E796">
        <v>63.765761088615101</v>
      </c>
      <c r="F796">
        <v>2.1403354400015502</v>
      </c>
      <c r="G796">
        <v>3193.4857066162599</v>
      </c>
      <c r="H796">
        <v>518.57647919530496</v>
      </c>
      <c r="I796">
        <v>0.70019617950459001</v>
      </c>
      <c r="J796">
        <v>0.14922761949059299</v>
      </c>
      <c r="K796">
        <v>0.55404847859721496</v>
      </c>
      <c r="L796" t="s">
        <v>49</v>
      </c>
      <c r="M796" t="s">
        <v>34</v>
      </c>
      <c r="N796" t="s">
        <v>35</v>
      </c>
      <c r="O796">
        <v>0.82368674260409802</v>
      </c>
      <c r="P796" t="s">
        <v>36</v>
      </c>
    </row>
    <row r="797" spans="1:16">
      <c r="A797">
        <v>796</v>
      </c>
      <c r="B797" t="s">
        <v>850</v>
      </c>
      <c r="C797">
        <v>82</v>
      </c>
      <c r="D797">
        <v>73</v>
      </c>
      <c r="E797">
        <v>64.026393246739204</v>
      </c>
      <c r="F797">
        <v>1.12686567164179</v>
      </c>
      <c r="G797">
        <v>3219.6447629489599</v>
      </c>
      <c r="H797">
        <v>806.83873521410897</v>
      </c>
      <c r="I797">
        <v>0.697460152190021</v>
      </c>
      <c r="J797">
        <v>6.2150459083671401E-2</v>
      </c>
      <c r="K797">
        <v>0.60390298299414602</v>
      </c>
      <c r="L797" t="s">
        <v>38</v>
      </c>
      <c r="M797" t="s">
        <v>34</v>
      </c>
      <c r="N797" t="s">
        <v>35</v>
      </c>
      <c r="O797">
        <v>0.72549432659142299</v>
      </c>
      <c r="P797" t="s">
        <v>36</v>
      </c>
    </row>
    <row r="798" spans="1:16">
      <c r="A798">
        <v>797</v>
      </c>
      <c r="B798" t="s">
        <v>851</v>
      </c>
      <c r="C798">
        <v>135</v>
      </c>
      <c r="D798">
        <v>61</v>
      </c>
      <c r="E798">
        <v>64.0456024211298</v>
      </c>
      <c r="F798">
        <v>2.2220976833537098</v>
      </c>
      <c r="G798">
        <v>3221.5769659735402</v>
      </c>
      <c r="H798">
        <v>535.62656006844202</v>
      </c>
      <c r="I798">
        <v>0.55993342752036002</v>
      </c>
      <c r="J798">
        <v>0.14110882224438501</v>
      </c>
      <c r="K798">
        <v>0.54755589238347901</v>
      </c>
      <c r="L798" t="s">
        <v>144</v>
      </c>
      <c r="M798" t="s">
        <v>34</v>
      </c>
      <c r="N798" t="s">
        <v>35</v>
      </c>
      <c r="O798">
        <v>0.87860341050943103</v>
      </c>
      <c r="P798" t="s">
        <v>36</v>
      </c>
    </row>
    <row r="799" spans="1:16">
      <c r="A799">
        <v>798</v>
      </c>
      <c r="B799" t="s">
        <v>852</v>
      </c>
      <c r="C799">
        <v>79</v>
      </c>
      <c r="D799">
        <v>74</v>
      </c>
      <c r="E799">
        <v>64.228539647603696</v>
      </c>
      <c r="F799">
        <v>1.06666668173708</v>
      </c>
      <c r="G799">
        <v>3240.0072102079398</v>
      </c>
      <c r="H799">
        <v>385.14656006844098</v>
      </c>
      <c r="I799">
        <v>0.64373778382036195</v>
      </c>
      <c r="J799">
        <v>0.27447563219459398</v>
      </c>
      <c r="K799">
        <v>0.74905504776303999</v>
      </c>
      <c r="L799" t="s">
        <v>188</v>
      </c>
      <c r="M799" t="s">
        <v>34</v>
      </c>
      <c r="N799" t="s">
        <v>35</v>
      </c>
      <c r="O799">
        <v>0.65739394781492</v>
      </c>
      <c r="P799" t="s">
        <v>36</v>
      </c>
    </row>
    <row r="800" spans="1:16">
      <c r="A800">
        <v>799</v>
      </c>
      <c r="B800" t="s">
        <v>853</v>
      </c>
      <c r="C800">
        <v>57</v>
      </c>
      <c r="D800">
        <v>104</v>
      </c>
      <c r="E800">
        <v>64.299214326338898</v>
      </c>
      <c r="F800">
        <v>0.54973821989528804</v>
      </c>
      <c r="G800">
        <v>3247.1414982986798</v>
      </c>
      <c r="H800">
        <v>336.46446826115903</v>
      </c>
      <c r="I800">
        <v>0.74063268358486301</v>
      </c>
      <c r="J800">
        <v>0.36043973510055999</v>
      </c>
      <c r="K800">
        <v>0.73914808674763999</v>
      </c>
      <c r="L800" t="s">
        <v>43</v>
      </c>
      <c r="M800" t="s">
        <v>34</v>
      </c>
      <c r="N800" t="s">
        <v>35</v>
      </c>
      <c r="O800">
        <v>0.77808083789030802</v>
      </c>
      <c r="P800" t="s">
        <v>36</v>
      </c>
    </row>
    <row r="801" spans="1:16">
      <c r="A801">
        <v>800</v>
      </c>
      <c r="B801" t="s">
        <v>854</v>
      </c>
      <c r="C801">
        <v>52</v>
      </c>
      <c r="D801">
        <v>130</v>
      </c>
      <c r="E801">
        <v>64.318342020638298</v>
      </c>
      <c r="F801">
        <v>0.40167364016736401</v>
      </c>
      <c r="G801">
        <v>3249.0737013232501</v>
      </c>
      <c r="H801">
        <v>735.04611017703996</v>
      </c>
      <c r="I801">
        <v>0.81947573350575298</v>
      </c>
      <c r="J801">
        <v>7.5568405662191501E-2</v>
      </c>
      <c r="K801">
        <v>0.57349738961618202</v>
      </c>
      <c r="L801" t="s">
        <v>74</v>
      </c>
      <c r="M801" t="s">
        <v>34</v>
      </c>
      <c r="N801" t="s">
        <v>35</v>
      </c>
      <c r="O801">
        <v>0.68748128130930297</v>
      </c>
      <c r="P801" t="s">
        <v>36</v>
      </c>
    </row>
    <row r="802" spans="1:16">
      <c r="A802">
        <v>801</v>
      </c>
      <c r="B802" t="s">
        <v>855</v>
      </c>
      <c r="C802">
        <v>114</v>
      </c>
      <c r="D802">
        <v>62</v>
      </c>
      <c r="E802">
        <v>64.358050605589995</v>
      </c>
      <c r="F802">
        <v>1.85200965257477</v>
      </c>
      <c r="G802">
        <v>3253.0867383742898</v>
      </c>
      <c r="H802">
        <v>549.31843967323698</v>
      </c>
      <c r="I802">
        <v>0.70989833672957803</v>
      </c>
      <c r="J802">
        <v>0.135474373613515</v>
      </c>
      <c r="K802">
        <v>0.602283984589983</v>
      </c>
      <c r="L802" t="s">
        <v>38</v>
      </c>
      <c r="M802" t="s">
        <v>34</v>
      </c>
      <c r="N802" t="s">
        <v>35</v>
      </c>
      <c r="O802">
        <v>0.666754794838475</v>
      </c>
      <c r="P802" t="s">
        <v>36</v>
      </c>
    </row>
    <row r="803" spans="1:16">
      <c r="A803">
        <v>802</v>
      </c>
      <c r="B803" t="s">
        <v>856</v>
      </c>
      <c r="C803">
        <v>131</v>
      </c>
      <c r="D803">
        <v>46</v>
      </c>
      <c r="E803">
        <v>64.385979003709394</v>
      </c>
      <c r="F803">
        <v>2.8527646194607499</v>
      </c>
      <c r="G803">
        <v>3255.9107274102098</v>
      </c>
      <c r="H803">
        <v>364.55508184744002</v>
      </c>
      <c r="I803">
        <v>0.44930091034709102</v>
      </c>
      <c r="J803">
        <v>0.30786196668424598</v>
      </c>
      <c r="K803">
        <v>0.705598144688527</v>
      </c>
      <c r="L803" t="s">
        <v>33</v>
      </c>
      <c r="M803" t="s">
        <v>34</v>
      </c>
      <c r="N803" t="s">
        <v>35</v>
      </c>
      <c r="O803">
        <v>0.73471636744039603</v>
      </c>
      <c r="P803" t="s">
        <v>36</v>
      </c>
    </row>
    <row r="804" spans="1:16">
      <c r="A804">
        <v>803</v>
      </c>
      <c r="B804" t="s">
        <v>857</v>
      </c>
      <c r="C804">
        <v>127</v>
      </c>
      <c r="D804">
        <v>58</v>
      </c>
      <c r="E804">
        <v>64.493170349396493</v>
      </c>
      <c r="F804">
        <v>2.1919016673963498</v>
      </c>
      <c r="G804">
        <v>3266.7607905482</v>
      </c>
      <c r="H804">
        <v>412.75729408979402</v>
      </c>
      <c r="I804">
        <v>0.61715036574066395</v>
      </c>
      <c r="J804">
        <v>0.24095596665177799</v>
      </c>
      <c r="K804">
        <v>0.63089155519834705</v>
      </c>
      <c r="L804" t="s">
        <v>33</v>
      </c>
      <c r="M804" t="s">
        <v>34</v>
      </c>
      <c r="N804" t="s">
        <v>35</v>
      </c>
      <c r="O804">
        <v>0.75256715895705695</v>
      </c>
      <c r="P804" t="s">
        <v>36</v>
      </c>
    </row>
    <row r="805" spans="1:16">
      <c r="A805">
        <v>804</v>
      </c>
      <c r="B805" t="s">
        <v>858</v>
      </c>
      <c r="C805">
        <v>107</v>
      </c>
      <c r="D805">
        <v>57</v>
      </c>
      <c r="E805">
        <v>64.506373386967695</v>
      </c>
      <c r="F805">
        <v>1.8846153846153799</v>
      </c>
      <c r="G805">
        <v>3268.0984695652201</v>
      </c>
      <c r="H805">
        <v>311.15587721928301</v>
      </c>
      <c r="I805">
        <v>0.75739231032726795</v>
      </c>
      <c r="J805">
        <v>0.42417882095117398</v>
      </c>
      <c r="K805">
        <v>0.77781315221620895</v>
      </c>
      <c r="L805" t="s">
        <v>144</v>
      </c>
      <c r="M805" t="s">
        <v>34</v>
      </c>
      <c r="N805" t="s">
        <v>35</v>
      </c>
      <c r="O805">
        <v>0.80287332902637898</v>
      </c>
      <c r="P805" t="s">
        <v>36</v>
      </c>
    </row>
    <row r="806" spans="1:16">
      <c r="A806">
        <v>805</v>
      </c>
      <c r="B806" t="s">
        <v>859</v>
      </c>
      <c r="C806">
        <v>63</v>
      </c>
      <c r="D806">
        <v>83</v>
      </c>
      <c r="E806">
        <v>64.509307028344793</v>
      </c>
      <c r="F806">
        <v>0.76315789473684204</v>
      </c>
      <c r="G806">
        <v>3268.395731569</v>
      </c>
      <c r="H806">
        <v>534.513427804657</v>
      </c>
      <c r="I806">
        <v>0.54794956319344901</v>
      </c>
      <c r="J806">
        <v>0.14375642334733499</v>
      </c>
      <c r="K806">
        <v>0.62358212341197805</v>
      </c>
      <c r="L806" t="s">
        <v>33</v>
      </c>
      <c r="M806" t="s">
        <v>34</v>
      </c>
      <c r="N806" t="s">
        <v>35</v>
      </c>
      <c r="O806">
        <v>0.69431749165560197</v>
      </c>
      <c r="P806" t="s">
        <v>36</v>
      </c>
    </row>
    <row r="807" spans="1:16">
      <c r="A807">
        <v>806</v>
      </c>
      <c r="B807" t="s">
        <v>860</v>
      </c>
      <c r="C807">
        <v>84</v>
      </c>
      <c r="D807">
        <v>86</v>
      </c>
      <c r="E807">
        <v>64.607507036816898</v>
      </c>
      <c r="F807">
        <v>0.96802232562295898</v>
      </c>
      <c r="G807">
        <v>3278.35400869565</v>
      </c>
      <c r="H807">
        <v>702.77306053565906</v>
      </c>
      <c r="I807">
        <v>0.56976122119277195</v>
      </c>
      <c r="J807">
        <v>8.3413338184243097E-2</v>
      </c>
      <c r="K807">
        <v>0.545317444620253</v>
      </c>
      <c r="L807" t="s">
        <v>33</v>
      </c>
      <c r="M807" t="s">
        <v>34</v>
      </c>
      <c r="N807" t="s">
        <v>35</v>
      </c>
      <c r="O807">
        <v>0.82148332028825399</v>
      </c>
      <c r="P807" t="s">
        <v>36</v>
      </c>
    </row>
    <row r="808" spans="1:16">
      <c r="A808">
        <v>807</v>
      </c>
      <c r="B808" t="s">
        <v>861</v>
      </c>
      <c r="C808">
        <v>68</v>
      </c>
      <c r="D808">
        <v>93</v>
      </c>
      <c r="E808">
        <v>64.633863702842305</v>
      </c>
      <c r="F808">
        <v>0.72941176470588198</v>
      </c>
      <c r="G808">
        <v>3281.0293667296801</v>
      </c>
      <c r="H808">
        <v>463.12869688479799</v>
      </c>
      <c r="I808">
        <v>0.63900237254998304</v>
      </c>
      <c r="J808">
        <v>0.19222797787762799</v>
      </c>
      <c r="K808">
        <v>0.705001277465508</v>
      </c>
      <c r="L808" t="s">
        <v>43</v>
      </c>
      <c r="M808" t="s">
        <v>34</v>
      </c>
      <c r="N808" t="s">
        <v>35</v>
      </c>
      <c r="O808">
        <v>0.75052710098778297</v>
      </c>
      <c r="P808" t="s">
        <v>36</v>
      </c>
    </row>
    <row r="809" spans="1:16">
      <c r="A809">
        <v>808</v>
      </c>
      <c r="B809" t="s">
        <v>862</v>
      </c>
      <c r="C809">
        <v>75</v>
      </c>
      <c r="D809">
        <v>58</v>
      </c>
      <c r="E809">
        <v>64.761103038600993</v>
      </c>
      <c r="F809">
        <v>1.29799075644135</v>
      </c>
      <c r="G809">
        <v>3293.9602638941401</v>
      </c>
      <c r="H809">
        <v>243.87770390261801</v>
      </c>
      <c r="I809">
        <v>0.678975949475492</v>
      </c>
      <c r="J809">
        <v>0.69595959200106305</v>
      </c>
      <c r="K809">
        <v>0.91491557610535401</v>
      </c>
      <c r="L809" t="s">
        <v>38</v>
      </c>
      <c r="M809" t="s">
        <v>34</v>
      </c>
      <c r="N809" t="s">
        <v>35</v>
      </c>
      <c r="O809">
        <v>0.78345352751033004</v>
      </c>
      <c r="P809" t="s">
        <v>36</v>
      </c>
    </row>
    <row r="810" spans="1:16">
      <c r="A810">
        <v>809</v>
      </c>
      <c r="B810" t="s">
        <v>863</v>
      </c>
      <c r="C810">
        <v>114</v>
      </c>
      <c r="D810">
        <v>56</v>
      </c>
      <c r="E810">
        <v>64.823899220511606</v>
      </c>
      <c r="F810">
        <v>2.0457531822998098</v>
      </c>
      <c r="G810">
        <v>3300.3513969754299</v>
      </c>
      <c r="H810">
        <v>388.909422993764</v>
      </c>
      <c r="I810">
        <v>0.52663098228191696</v>
      </c>
      <c r="J810">
        <v>0.27420357643535898</v>
      </c>
      <c r="K810">
        <v>0.63508179842123302</v>
      </c>
      <c r="L810" t="s">
        <v>74</v>
      </c>
      <c r="M810" t="s">
        <v>34</v>
      </c>
      <c r="N810" t="s">
        <v>35</v>
      </c>
      <c r="O810">
        <v>0.77246002459417396</v>
      </c>
      <c r="P810" t="s">
        <v>36</v>
      </c>
    </row>
    <row r="811" spans="1:16">
      <c r="A811">
        <v>810</v>
      </c>
      <c r="B811" t="s">
        <v>864</v>
      </c>
      <c r="C811">
        <v>80</v>
      </c>
      <c r="D811">
        <v>104</v>
      </c>
      <c r="E811">
        <v>64.971158523904094</v>
      </c>
      <c r="F811">
        <v>0.76735486167975797</v>
      </c>
      <c r="G811">
        <v>3315.3631281663502</v>
      </c>
      <c r="H811">
        <v>504.058748573635</v>
      </c>
      <c r="I811">
        <v>0.80467466956939904</v>
      </c>
      <c r="J811">
        <v>0.16397538280016299</v>
      </c>
      <c r="K811">
        <v>0.52665627803749304</v>
      </c>
      <c r="L811" t="s">
        <v>33</v>
      </c>
      <c r="M811" t="s">
        <v>34</v>
      </c>
      <c r="N811" t="s">
        <v>35</v>
      </c>
      <c r="O811">
        <v>0.709307168862639</v>
      </c>
      <c r="P811" t="s">
        <v>36</v>
      </c>
    </row>
    <row r="812" spans="1:16">
      <c r="A812">
        <v>811</v>
      </c>
      <c r="B812" t="s">
        <v>865</v>
      </c>
      <c r="C812">
        <v>88</v>
      </c>
      <c r="D812">
        <v>78</v>
      </c>
      <c r="E812">
        <v>64.991544373916796</v>
      </c>
      <c r="F812">
        <v>1.13286713286713</v>
      </c>
      <c r="G812">
        <v>3317.44396219282</v>
      </c>
      <c r="H812">
        <v>865.42552998957399</v>
      </c>
      <c r="I812">
        <v>0.61099070353706797</v>
      </c>
      <c r="J812">
        <v>5.5661390851421598E-2</v>
      </c>
      <c r="K812">
        <v>0.572571956287517</v>
      </c>
      <c r="L812" t="s">
        <v>33</v>
      </c>
      <c r="M812" t="s">
        <v>34</v>
      </c>
      <c r="N812" t="s">
        <v>35</v>
      </c>
      <c r="O812">
        <v>0.79058143701855599</v>
      </c>
      <c r="P812" t="s">
        <v>36</v>
      </c>
    </row>
    <row r="813" spans="1:16">
      <c r="A813">
        <v>812</v>
      </c>
      <c r="B813" t="s">
        <v>866</v>
      </c>
      <c r="C813">
        <v>73</v>
      </c>
      <c r="D813">
        <v>78</v>
      </c>
      <c r="E813">
        <v>65.071569812873904</v>
      </c>
      <c r="F813">
        <v>0.93706292363155796</v>
      </c>
      <c r="G813">
        <v>3325.6186672967901</v>
      </c>
      <c r="H813">
        <v>660.46529281730204</v>
      </c>
      <c r="I813">
        <v>0.70692155663841505</v>
      </c>
      <c r="J813">
        <v>9.5803706632140495E-2</v>
      </c>
      <c r="K813">
        <v>0.66325774418259997</v>
      </c>
      <c r="L813" t="s">
        <v>33</v>
      </c>
      <c r="M813" t="s">
        <v>34</v>
      </c>
      <c r="N813" t="s">
        <v>35</v>
      </c>
      <c r="O813">
        <v>0.78379001784442504</v>
      </c>
      <c r="P813" t="s">
        <v>36</v>
      </c>
    </row>
    <row r="814" spans="1:16">
      <c r="A814">
        <v>813</v>
      </c>
      <c r="B814" t="s">
        <v>867</v>
      </c>
      <c r="C814">
        <v>110</v>
      </c>
      <c r="D814">
        <v>54</v>
      </c>
      <c r="E814">
        <v>65.074477974472302</v>
      </c>
      <c r="F814">
        <v>2.0507041472094798</v>
      </c>
      <c r="G814">
        <v>3325.91592930057</v>
      </c>
      <c r="H814">
        <v>383.63655215605502</v>
      </c>
      <c r="I814">
        <v>0.46936163100193201</v>
      </c>
      <c r="J814">
        <v>0.28397569607506601</v>
      </c>
      <c r="K814">
        <v>0.770451728412064</v>
      </c>
      <c r="L814" t="s">
        <v>33</v>
      </c>
      <c r="M814" t="s">
        <v>34</v>
      </c>
      <c r="N814" t="s">
        <v>35</v>
      </c>
      <c r="O814">
        <v>0.71578054539534397</v>
      </c>
      <c r="P814" t="s">
        <v>36</v>
      </c>
    </row>
    <row r="815" spans="1:16">
      <c r="A815">
        <v>814</v>
      </c>
      <c r="B815" t="s">
        <v>868</v>
      </c>
      <c r="C815">
        <v>68</v>
      </c>
      <c r="D815">
        <v>83</v>
      </c>
      <c r="E815">
        <v>65.086109321448305</v>
      </c>
      <c r="F815">
        <v>0.81054517291060502</v>
      </c>
      <c r="G815">
        <v>3327.1049773156901</v>
      </c>
      <c r="H815">
        <v>348.75042512095501</v>
      </c>
      <c r="I815">
        <v>0.60100009605742299</v>
      </c>
      <c r="J815">
        <v>0.34375330049630998</v>
      </c>
      <c r="K815">
        <v>0.729343151309788</v>
      </c>
      <c r="L815" t="s">
        <v>74</v>
      </c>
      <c r="M815" t="s">
        <v>34</v>
      </c>
      <c r="N815" t="s">
        <v>35</v>
      </c>
      <c r="O815">
        <v>0.72138471938082804</v>
      </c>
      <c r="P815" t="s">
        <v>36</v>
      </c>
    </row>
    <row r="816" spans="1:16">
      <c r="A816">
        <v>815</v>
      </c>
      <c r="B816" t="s">
        <v>869</v>
      </c>
      <c r="C816">
        <v>119</v>
      </c>
      <c r="D816">
        <v>43</v>
      </c>
      <c r="E816">
        <v>65.1674706220644</v>
      </c>
      <c r="F816">
        <v>2.7381630499239802</v>
      </c>
      <c r="G816">
        <v>3335.4283134215498</v>
      </c>
      <c r="H816">
        <v>324.94794898727702</v>
      </c>
      <c r="I816">
        <v>0.46258574465121999</v>
      </c>
      <c r="J816">
        <v>0.39694823461371698</v>
      </c>
      <c r="K816">
        <v>0.82394624761345303</v>
      </c>
      <c r="L816" t="s">
        <v>47</v>
      </c>
      <c r="M816" t="s">
        <v>34</v>
      </c>
      <c r="N816" t="s">
        <v>35</v>
      </c>
      <c r="O816">
        <v>0.92598955100584102</v>
      </c>
      <c r="P816" t="s">
        <v>36</v>
      </c>
    </row>
    <row r="817" spans="1:16">
      <c r="A817">
        <v>816</v>
      </c>
      <c r="B817" t="s">
        <v>870</v>
      </c>
      <c r="C817">
        <v>49</v>
      </c>
      <c r="D817">
        <v>86</v>
      </c>
      <c r="E817">
        <v>65.229875598933802</v>
      </c>
      <c r="F817">
        <v>0.57236683310646996</v>
      </c>
      <c r="G817">
        <v>3341.81944650284</v>
      </c>
      <c r="H817">
        <v>251.524042623561</v>
      </c>
      <c r="I817">
        <v>0.82387328544184801</v>
      </c>
      <c r="J817">
        <v>0.66379478587936802</v>
      </c>
      <c r="K817">
        <v>0.92602965403624404</v>
      </c>
      <c r="L817" t="s">
        <v>38</v>
      </c>
      <c r="M817" t="s">
        <v>34</v>
      </c>
      <c r="N817" t="s">
        <v>35</v>
      </c>
      <c r="O817">
        <v>0.86052552436233098</v>
      </c>
      <c r="P817" t="s">
        <v>36</v>
      </c>
    </row>
    <row r="818" spans="1:16">
      <c r="A818">
        <v>817</v>
      </c>
      <c r="B818" t="s">
        <v>871</v>
      </c>
      <c r="C818">
        <v>61</v>
      </c>
      <c r="D818">
        <v>80</v>
      </c>
      <c r="E818">
        <v>65.266130131806406</v>
      </c>
      <c r="F818">
        <v>0.75907295678436304</v>
      </c>
      <c r="G818">
        <v>3345.5352215500898</v>
      </c>
      <c r="H818">
        <v>254.46267076212399</v>
      </c>
      <c r="I818">
        <v>0.77220788516074501</v>
      </c>
      <c r="J818">
        <v>0.64927294794424895</v>
      </c>
      <c r="K818">
        <v>0.89442104426607305</v>
      </c>
      <c r="L818" t="s">
        <v>38</v>
      </c>
      <c r="M818" t="s">
        <v>34</v>
      </c>
      <c r="N818" t="s">
        <v>35</v>
      </c>
      <c r="O818">
        <v>0.89274304306507302</v>
      </c>
      <c r="P818" t="s">
        <v>36</v>
      </c>
    </row>
    <row r="819" spans="1:16">
      <c r="A819">
        <v>818</v>
      </c>
      <c r="B819" t="s">
        <v>872</v>
      </c>
      <c r="C819">
        <v>70</v>
      </c>
      <c r="D819">
        <v>156</v>
      </c>
      <c r="E819">
        <v>65.290771715135705</v>
      </c>
      <c r="F819">
        <v>0.44729332841265101</v>
      </c>
      <c r="G819">
        <v>3348.0619485822299</v>
      </c>
      <c r="H819">
        <v>753.09972891227096</v>
      </c>
      <c r="I819">
        <v>0.82542462231530001</v>
      </c>
      <c r="J819">
        <v>7.4181970706846206E-2</v>
      </c>
      <c r="K819">
        <v>0.39577623163960901</v>
      </c>
      <c r="L819" t="s">
        <v>873</v>
      </c>
      <c r="M819" t="s">
        <v>34</v>
      </c>
      <c r="N819" t="s">
        <v>35</v>
      </c>
      <c r="O819">
        <v>0.72291462113607896</v>
      </c>
      <c r="P819" t="s">
        <v>36</v>
      </c>
    </row>
    <row r="820" spans="1:16">
      <c r="A820">
        <v>819</v>
      </c>
      <c r="B820" t="s">
        <v>874</v>
      </c>
      <c r="C820">
        <v>83</v>
      </c>
      <c r="D820">
        <v>88</v>
      </c>
      <c r="E820">
        <v>65.502017755625701</v>
      </c>
      <c r="F820">
        <v>0.94409936828601304</v>
      </c>
      <c r="G820">
        <v>3369.7620748582199</v>
      </c>
      <c r="H820">
        <v>627.51036305448304</v>
      </c>
      <c r="I820">
        <v>0.61959882101696695</v>
      </c>
      <c r="J820">
        <v>0.107539322833162</v>
      </c>
      <c r="K820">
        <v>0.60949513414699696</v>
      </c>
      <c r="L820" t="s">
        <v>33</v>
      </c>
      <c r="M820" t="s">
        <v>34</v>
      </c>
      <c r="N820" t="s">
        <v>35</v>
      </c>
      <c r="O820">
        <v>0.71478103745606403</v>
      </c>
      <c r="P820" t="s">
        <v>36</v>
      </c>
    </row>
    <row r="821" spans="1:16">
      <c r="A821">
        <v>820</v>
      </c>
      <c r="B821" t="s">
        <v>875</v>
      </c>
      <c r="C821">
        <v>47</v>
      </c>
      <c r="D821">
        <v>102</v>
      </c>
      <c r="E821">
        <v>65.577091726117899</v>
      </c>
      <c r="F821">
        <v>0.46051314375456498</v>
      </c>
      <c r="G821">
        <v>3377.4908869565202</v>
      </c>
      <c r="H821">
        <v>288.70841963394798</v>
      </c>
      <c r="I821">
        <v>0.81790183321395904</v>
      </c>
      <c r="J821">
        <v>0.50919619656429205</v>
      </c>
      <c r="K821">
        <v>0.87182044887780596</v>
      </c>
      <c r="L821" t="s">
        <v>38</v>
      </c>
      <c r="M821" t="s">
        <v>34</v>
      </c>
      <c r="N821" t="s">
        <v>35</v>
      </c>
      <c r="O821">
        <v>0.69727642049719896</v>
      </c>
      <c r="P821" t="s">
        <v>36</v>
      </c>
    </row>
    <row r="822" spans="1:16">
      <c r="A822">
        <v>821</v>
      </c>
      <c r="B822" t="s">
        <v>876</v>
      </c>
      <c r="C822">
        <v>136</v>
      </c>
      <c r="D822">
        <v>59</v>
      </c>
      <c r="E822">
        <v>65.605943455141997</v>
      </c>
      <c r="F822">
        <v>2.3098207020407</v>
      </c>
      <c r="G822">
        <v>3380.4635069943301</v>
      </c>
      <c r="H822">
        <v>548.73447494092204</v>
      </c>
      <c r="I822">
        <v>0.90498442165362702</v>
      </c>
      <c r="J822">
        <v>0.141078756707818</v>
      </c>
      <c r="K822">
        <v>0.609236044144434</v>
      </c>
      <c r="L822" t="s">
        <v>33</v>
      </c>
      <c r="M822" t="s">
        <v>34</v>
      </c>
      <c r="N822" t="s">
        <v>35</v>
      </c>
      <c r="O822">
        <v>0.74116448305237204</v>
      </c>
      <c r="P822" t="s">
        <v>36</v>
      </c>
    </row>
    <row r="823" spans="1:16">
      <c r="A823">
        <v>822</v>
      </c>
      <c r="B823" t="s">
        <v>877</v>
      </c>
      <c r="C823">
        <v>103</v>
      </c>
      <c r="D823">
        <v>49</v>
      </c>
      <c r="E823">
        <v>65.6145964999738</v>
      </c>
      <c r="F823">
        <v>2.0963293851018499</v>
      </c>
      <c r="G823">
        <v>3381.3552930056699</v>
      </c>
      <c r="H823">
        <v>319.84725576048299</v>
      </c>
      <c r="I823">
        <v>0.67909907511730105</v>
      </c>
      <c r="J823">
        <v>0.415351145478142</v>
      </c>
      <c r="K823">
        <v>0.82685178454604902</v>
      </c>
      <c r="L823" t="s">
        <v>38</v>
      </c>
      <c r="M823" t="s">
        <v>34</v>
      </c>
      <c r="N823" t="s">
        <v>35</v>
      </c>
      <c r="O823">
        <v>0.67068117988684395</v>
      </c>
      <c r="P823" t="s">
        <v>36</v>
      </c>
    </row>
    <row r="824" spans="1:16">
      <c r="A824">
        <v>823</v>
      </c>
      <c r="B824" t="s">
        <v>878</v>
      </c>
      <c r="C824">
        <v>37</v>
      </c>
      <c r="D824">
        <v>116</v>
      </c>
      <c r="E824">
        <v>65.923914406899101</v>
      </c>
      <c r="F824">
        <v>0.31883754341909198</v>
      </c>
      <c r="G824">
        <v>3413.3109584120998</v>
      </c>
      <c r="H824">
        <v>276.43965102102402</v>
      </c>
      <c r="I824">
        <v>0.85816434479941495</v>
      </c>
      <c r="J824">
        <v>0.561287081895264</v>
      </c>
      <c r="K824">
        <v>0.96208630079597801</v>
      </c>
      <c r="L824" t="s">
        <v>38</v>
      </c>
      <c r="M824" t="s">
        <v>34</v>
      </c>
      <c r="N824" t="s">
        <v>35</v>
      </c>
      <c r="O824">
        <v>0.81719654527854302</v>
      </c>
      <c r="P824" t="s">
        <v>36</v>
      </c>
    </row>
    <row r="825" spans="1:16">
      <c r="A825">
        <v>824</v>
      </c>
      <c r="B825" t="s">
        <v>879</v>
      </c>
      <c r="C825">
        <v>57</v>
      </c>
      <c r="D825">
        <v>107</v>
      </c>
      <c r="E825">
        <v>66.208925544031203</v>
      </c>
      <c r="F825">
        <v>0.53319861283495196</v>
      </c>
      <c r="G825">
        <v>3442.88852778828</v>
      </c>
      <c r="H825">
        <v>355.79950386690098</v>
      </c>
      <c r="I825">
        <v>0.76558195669100704</v>
      </c>
      <c r="J825">
        <v>0.34176072259298002</v>
      </c>
      <c r="K825">
        <v>0.74034773715162405</v>
      </c>
      <c r="L825" t="s">
        <v>38</v>
      </c>
      <c r="M825" t="s">
        <v>34</v>
      </c>
      <c r="N825" t="s">
        <v>35</v>
      </c>
      <c r="O825">
        <v>0.80284995000804305</v>
      </c>
      <c r="P825" t="s">
        <v>36</v>
      </c>
    </row>
    <row r="826" spans="1:16">
      <c r="A826">
        <v>825</v>
      </c>
      <c r="B826" t="s">
        <v>880</v>
      </c>
      <c r="C826">
        <v>68</v>
      </c>
      <c r="D826">
        <v>68</v>
      </c>
      <c r="E826">
        <v>66.307462473453995</v>
      </c>
      <c r="F826">
        <v>1</v>
      </c>
      <c r="G826">
        <v>3453.14406691871</v>
      </c>
      <c r="H826">
        <v>374.72598481147202</v>
      </c>
      <c r="I826">
        <v>0.62357037771507196</v>
      </c>
      <c r="J826">
        <v>0.30902736761502803</v>
      </c>
      <c r="K826">
        <v>0.84974946051717204</v>
      </c>
      <c r="L826" t="s">
        <v>47</v>
      </c>
      <c r="M826" t="s">
        <v>34</v>
      </c>
      <c r="N826" t="s">
        <v>35</v>
      </c>
      <c r="O826">
        <v>0.94058160199123098</v>
      </c>
      <c r="P826" t="s">
        <v>36</v>
      </c>
    </row>
    <row r="827" spans="1:16">
      <c r="A827">
        <v>826</v>
      </c>
      <c r="B827" t="s">
        <v>881</v>
      </c>
      <c r="C827">
        <v>139</v>
      </c>
      <c r="D827">
        <v>50</v>
      </c>
      <c r="E827">
        <v>66.326011013537197</v>
      </c>
      <c r="F827">
        <v>2.8042837578717998</v>
      </c>
      <c r="G827">
        <v>3455.0762699432898</v>
      </c>
      <c r="H827">
        <v>484.32132808498699</v>
      </c>
      <c r="I827">
        <v>0.68246674855592504</v>
      </c>
      <c r="J827">
        <v>0.18509739801190001</v>
      </c>
      <c r="K827">
        <v>0.61573914655788897</v>
      </c>
      <c r="L827" t="s">
        <v>33</v>
      </c>
      <c r="M827" t="s">
        <v>34</v>
      </c>
      <c r="N827" t="s">
        <v>35</v>
      </c>
      <c r="O827">
        <v>0.80150373532292896</v>
      </c>
      <c r="P827" t="s">
        <v>36</v>
      </c>
    </row>
    <row r="828" spans="1:16">
      <c r="A828">
        <v>827</v>
      </c>
      <c r="B828" t="s">
        <v>882</v>
      </c>
      <c r="C828">
        <v>76</v>
      </c>
      <c r="D828">
        <v>82</v>
      </c>
      <c r="E828">
        <v>66.397303261705403</v>
      </c>
      <c r="F828">
        <v>0.92205809970720698</v>
      </c>
      <c r="G828">
        <v>3462.5078200378098</v>
      </c>
      <c r="H828">
        <v>375.95649748532702</v>
      </c>
      <c r="I828">
        <v>0.71366964063577198</v>
      </c>
      <c r="J828">
        <v>0.307840274108172</v>
      </c>
      <c r="K828">
        <v>0.76342782238243501</v>
      </c>
      <c r="L828" t="s">
        <v>38</v>
      </c>
      <c r="M828" t="s">
        <v>34</v>
      </c>
      <c r="N828" t="s">
        <v>35</v>
      </c>
      <c r="O828">
        <v>0.77469522166031901</v>
      </c>
      <c r="P828" t="s">
        <v>36</v>
      </c>
    </row>
    <row r="829" spans="1:16">
      <c r="A829">
        <v>828</v>
      </c>
      <c r="B829" t="s">
        <v>883</v>
      </c>
      <c r="C829">
        <v>94</v>
      </c>
      <c r="D829">
        <v>55</v>
      </c>
      <c r="E829">
        <v>66.499829826909107</v>
      </c>
      <c r="F829">
        <v>1.6983821713540399</v>
      </c>
      <c r="G829">
        <v>3473.20925217391</v>
      </c>
      <c r="H829">
        <v>299.64486717970499</v>
      </c>
      <c r="I829">
        <v>0.64982682371411504</v>
      </c>
      <c r="J829">
        <v>0.48610168638807599</v>
      </c>
      <c r="K829">
        <v>0.84792626728110598</v>
      </c>
      <c r="L829" t="s">
        <v>41</v>
      </c>
      <c r="M829" t="s">
        <v>34</v>
      </c>
      <c r="N829" t="s">
        <v>35</v>
      </c>
      <c r="O829">
        <v>0.84259405449600699</v>
      </c>
      <c r="P829" t="s">
        <v>36</v>
      </c>
    </row>
    <row r="830" spans="1:16">
      <c r="A830">
        <v>829</v>
      </c>
      <c r="B830" t="s">
        <v>884</v>
      </c>
      <c r="C830">
        <v>88</v>
      </c>
      <c r="D830">
        <v>63</v>
      </c>
      <c r="E830">
        <v>66.542502606103398</v>
      </c>
      <c r="F830">
        <v>1.38793103448276</v>
      </c>
      <c r="G830">
        <v>3477.66818223062</v>
      </c>
      <c r="H830">
        <v>451.64038432639597</v>
      </c>
      <c r="I830">
        <v>0.71445769799435999</v>
      </c>
      <c r="J830">
        <v>0.21424587519880001</v>
      </c>
      <c r="K830">
        <v>0.725924547034003</v>
      </c>
      <c r="L830" t="s">
        <v>43</v>
      </c>
      <c r="M830" t="s">
        <v>34</v>
      </c>
      <c r="N830" t="s">
        <v>35</v>
      </c>
      <c r="O830">
        <v>0.8336266629254</v>
      </c>
      <c r="P830" t="s">
        <v>36</v>
      </c>
    </row>
    <row r="831" spans="1:16">
      <c r="A831">
        <v>830</v>
      </c>
      <c r="B831" t="s">
        <v>885</v>
      </c>
      <c r="C831">
        <v>120</v>
      </c>
      <c r="D831">
        <v>50</v>
      </c>
      <c r="E831">
        <v>66.623505586441198</v>
      </c>
      <c r="F831">
        <v>2.3978778928987099</v>
      </c>
      <c r="G831">
        <v>3486.1401493383701</v>
      </c>
      <c r="H831">
        <v>467.03876316578499</v>
      </c>
      <c r="I831">
        <v>0.73459961266098195</v>
      </c>
      <c r="J831">
        <v>0.20083937053128501</v>
      </c>
      <c r="K831">
        <v>0.735381721272927</v>
      </c>
      <c r="L831" t="s">
        <v>33</v>
      </c>
      <c r="M831" t="s">
        <v>34</v>
      </c>
      <c r="N831" t="s">
        <v>35</v>
      </c>
      <c r="O831">
        <v>0.84521755191159897</v>
      </c>
      <c r="P831" t="s">
        <v>36</v>
      </c>
    </row>
    <row r="832" spans="1:16">
      <c r="A832">
        <v>831</v>
      </c>
      <c r="B832" t="s">
        <v>886</v>
      </c>
      <c r="C832">
        <v>71</v>
      </c>
      <c r="D832">
        <v>97</v>
      </c>
      <c r="E832">
        <v>66.633446531834394</v>
      </c>
      <c r="F832">
        <v>0.72821242863839697</v>
      </c>
      <c r="G832">
        <v>3487.1805663516102</v>
      </c>
      <c r="H832">
        <v>358.96121381303499</v>
      </c>
      <c r="I832">
        <v>0.69958685230012996</v>
      </c>
      <c r="J832">
        <v>0.340086388017528</v>
      </c>
      <c r="K832">
        <v>0.72389003733300405</v>
      </c>
      <c r="L832" t="s">
        <v>38</v>
      </c>
      <c r="M832" t="s">
        <v>34</v>
      </c>
      <c r="N832" t="s">
        <v>35</v>
      </c>
      <c r="O832">
        <v>0.76159922886404097</v>
      </c>
      <c r="P832" t="s">
        <v>36</v>
      </c>
    </row>
    <row r="833" spans="1:16">
      <c r="A833">
        <v>832</v>
      </c>
      <c r="B833" t="s">
        <v>887</v>
      </c>
      <c r="C833">
        <v>71</v>
      </c>
      <c r="D833">
        <v>90</v>
      </c>
      <c r="E833">
        <v>66.674614658931901</v>
      </c>
      <c r="F833">
        <v>0.78501709771053296</v>
      </c>
      <c r="G833">
        <v>3491.4908654064302</v>
      </c>
      <c r="H833">
        <v>434.83057350770298</v>
      </c>
      <c r="I833">
        <v>0.571499660810036</v>
      </c>
      <c r="J833">
        <v>0.23204949604577799</v>
      </c>
      <c r="K833">
        <v>0.65185781280350796</v>
      </c>
      <c r="L833" t="s">
        <v>33</v>
      </c>
      <c r="M833" t="s">
        <v>34</v>
      </c>
      <c r="N833" t="s">
        <v>35</v>
      </c>
      <c r="O833">
        <v>0.70529423956316695</v>
      </c>
      <c r="P833" t="s">
        <v>36</v>
      </c>
    </row>
    <row r="834" spans="1:16">
      <c r="A834">
        <v>833</v>
      </c>
      <c r="B834" t="s">
        <v>888</v>
      </c>
      <c r="C834">
        <v>128</v>
      </c>
      <c r="D834">
        <v>54</v>
      </c>
      <c r="E834">
        <v>66.715757382520096</v>
      </c>
      <c r="F834">
        <v>2.3791980328793301</v>
      </c>
      <c r="G834">
        <v>3495.8011644612502</v>
      </c>
      <c r="H834">
        <v>350.19234058981402</v>
      </c>
      <c r="I834">
        <v>0.82816881042406298</v>
      </c>
      <c r="J834">
        <v>0.358214614917506</v>
      </c>
      <c r="K834">
        <v>0.75522589345920399</v>
      </c>
      <c r="L834" t="s">
        <v>33</v>
      </c>
      <c r="M834" t="s">
        <v>34</v>
      </c>
      <c r="N834" t="s">
        <v>35</v>
      </c>
      <c r="O834">
        <v>0.74736588539635496</v>
      </c>
      <c r="P834" t="s">
        <v>36</v>
      </c>
    </row>
    <row r="835" spans="1:16">
      <c r="A835">
        <v>834</v>
      </c>
      <c r="B835" t="s">
        <v>889</v>
      </c>
      <c r="C835">
        <v>67</v>
      </c>
      <c r="D835">
        <v>77</v>
      </c>
      <c r="E835">
        <v>66.837617924884199</v>
      </c>
      <c r="F835">
        <v>0.87315313944345896</v>
      </c>
      <c r="G835">
        <v>3508.5834306238198</v>
      </c>
      <c r="H835">
        <v>268.92560418294801</v>
      </c>
      <c r="I835">
        <v>0.66884081650315497</v>
      </c>
      <c r="J835">
        <v>0.60964549103007504</v>
      </c>
      <c r="K835">
        <v>0.87967207005776005</v>
      </c>
      <c r="L835" t="s">
        <v>38</v>
      </c>
      <c r="M835" t="s">
        <v>34</v>
      </c>
      <c r="N835" t="s">
        <v>35</v>
      </c>
      <c r="O835">
        <v>0.769900728249584</v>
      </c>
      <c r="P835" t="s">
        <v>36</v>
      </c>
    </row>
    <row r="836" spans="1:16">
      <c r="A836">
        <v>835</v>
      </c>
      <c r="B836" t="s">
        <v>890</v>
      </c>
      <c r="C836">
        <v>63</v>
      </c>
      <c r="D836">
        <v>82</v>
      </c>
      <c r="E836">
        <v>67.070800228471796</v>
      </c>
      <c r="F836">
        <v>0.77495151323571398</v>
      </c>
      <c r="G836">
        <v>3533.1075459357298</v>
      </c>
      <c r="H836">
        <v>271.50334939676799</v>
      </c>
      <c r="I836">
        <v>0.73900323393519496</v>
      </c>
      <c r="J836">
        <v>0.60230481922023904</v>
      </c>
      <c r="K836">
        <v>0.89482401656314703</v>
      </c>
      <c r="L836" t="s">
        <v>49</v>
      </c>
      <c r="M836" t="s">
        <v>34</v>
      </c>
      <c r="N836" t="s">
        <v>35</v>
      </c>
      <c r="O836">
        <v>0.68667316578901505</v>
      </c>
      <c r="P836" t="s">
        <v>36</v>
      </c>
    </row>
    <row r="837" spans="1:16">
      <c r="A837">
        <v>836</v>
      </c>
      <c r="B837" t="s">
        <v>891</v>
      </c>
      <c r="C837">
        <v>53</v>
      </c>
      <c r="D837">
        <v>90</v>
      </c>
      <c r="E837">
        <v>67.073621707985396</v>
      </c>
      <c r="F837">
        <v>0.58743755910706397</v>
      </c>
      <c r="G837">
        <v>3533.4048079395102</v>
      </c>
      <c r="H837">
        <v>264.21238436626402</v>
      </c>
      <c r="I837">
        <v>0.83311114355499905</v>
      </c>
      <c r="J837">
        <v>0.63605829244504397</v>
      </c>
      <c r="K837">
        <v>0.90114097266972404</v>
      </c>
      <c r="L837" t="s">
        <v>33</v>
      </c>
      <c r="M837" t="s">
        <v>34</v>
      </c>
      <c r="N837" t="s">
        <v>35</v>
      </c>
      <c r="O837">
        <v>0.71669033185684605</v>
      </c>
      <c r="P837" t="s">
        <v>36</v>
      </c>
    </row>
    <row r="838" spans="1:16">
      <c r="A838">
        <v>837</v>
      </c>
      <c r="B838" t="s">
        <v>892</v>
      </c>
      <c r="C838">
        <v>103</v>
      </c>
      <c r="D838">
        <v>59</v>
      </c>
      <c r="E838">
        <v>67.075032403235696</v>
      </c>
      <c r="F838">
        <v>1.73117331212523</v>
      </c>
      <c r="G838">
        <v>3533.5534389414001</v>
      </c>
      <c r="H838">
        <v>351.17318097073098</v>
      </c>
      <c r="I838">
        <v>0.59952933960036403</v>
      </c>
      <c r="J838">
        <v>0.36006328935063298</v>
      </c>
      <c r="K838">
        <v>0.71011678962932001</v>
      </c>
      <c r="L838" t="s">
        <v>893</v>
      </c>
      <c r="M838" t="s">
        <v>34</v>
      </c>
      <c r="N838" t="s">
        <v>35</v>
      </c>
      <c r="O838">
        <v>0.62376750177144302</v>
      </c>
      <c r="P838" t="s">
        <v>36</v>
      </c>
    </row>
    <row r="839" spans="1:16">
      <c r="A839">
        <v>838</v>
      </c>
      <c r="B839" t="s">
        <v>894</v>
      </c>
      <c r="C839">
        <v>93</v>
      </c>
      <c r="D839">
        <v>72</v>
      </c>
      <c r="E839">
        <v>67.166664040964903</v>
      </c>
      <c r="F839">
        <v>1.28683642524058</v>
      </c>
      <c r="G839">
        <v>3543.2144540642698</v>
      </c>
      <c r="H839">
        <v>589.21285378031098</v>
      </c>
      <c r="I839">
        <v>0.78688033505243205</v>
      </c>
      <c r="J839">
        <v>0.12825162543590801</v>
      </c>
      <c r="K839">
        <v>0.626435422414926</v>
      </c>
      <c r="L839" t="s">
        <v>33</v>
      </c>
      <c r="M839" t="s">
        <v>34</v>
      </c>
      <c r="N839" t="s">
        <v>35</v>
      </c>
      <c r="O839">
        <v>0.69667217502494805</v>
      </c>
      <c r="P839" t="s">
        <v>36</v>
      </c>
    </row>
    <row r="840" spans="1:16">
      <c r="A840">
        <v>839</v>
      </c>
      <c r="B840" t="s">
        <v>895</v>
      </c>
      <c r="C840">
        <v>111</v>
      </c>
      <c r="D840">
        <v>56</v>
      </c>
      <c r="E840">
        <v>67.180750122960404</v>
      </c>
      <c r="F840">
        <v>1.97210945497253</v>
      </c>
      <c r="G840">
        <v>3544.7007640831798</v>
      </c>
      <c r="H840">
        <v>330.27723325594599</v>
      </c>
      <c r="I840">
        <v>0.60205376800811905</v>
      </c>
      <c r="J840">
        <v>0.40834963075244401</v>
      </c>
      <c r="K840">
        <v>0.76451354383715298</v>
      </c>
      <c r="L840" t="s">
        <v>38</v>
      </c>
      <c r="M840" t="s">
        <v>34</v>
      </c>
      <c r="N840" t="s">
        <v>35</v>
      </c>
      <c r="O840">
        <v>0.84848158158904696</v>
      </c>
      <c r="P840" t="s">
        <v>36</v>
      </c>
    </row>
    <row r="841" spans="1:16">
      <c r="A841">
        <v>840</v>
      </c>
      <c r="B841" t="s">
        <v>896</v>
      </c>
      <c r="C841">
        <v>78</v>
      </c>
      <c r="D841">
        <v>78</v>
      </c>
      <c r="E841">
        <v>67.218767800008905</v>
      </c>
      <c r="F841">
        <v>1</v>
      </c>
      <c r="G841">
        <v>3548.7138011342199</v>
      </c>
      <c r="H841">
        <v>659.80383340296498</v>
      </c>
      <c r="I841">
        <v>0.51649261618733</v>
      </c>
      <c r="J841">
        <v>0.102435660165085</v>
      </c>
      <c r="K841">
        <v>0.59272131473114498</v>
      </c>
      <c r="L841" t="s">
        <v>47</v>
      </c>
      <c r="M841" t="s">
        <v>34</v>
      </c>
      <c r="N841" t="s">
        <v>35</v>
      </c>
      <c r="O841">
        <v>0.95035976320133897</v>
      </c>
      <c r="P841" t="s">
        <v>36</v>
      </c>
    </row>
    <row r="842" spans="1:16">
      <c r="A842">
        <v>841</v>
      </c>
      <c r="B842" t="s">
        <v>897</v>
      </c>
      <c r="C842">
        <v>107</v>
      </c>
      <c r="D842">
        <v>68</v>
      </c>
      <c r="E842">
        <v>67.320043309051002</v>
      </c>
      <c r="F842">
        <v>1.5887096774193501</v>
      </c>
      <c r="G842">
        <v>3559.4152332703202</v>
      </c>
      <c r="H842">
        <v>596.82319977739598</v>
      </c>
      <c r="I842">
        <v>0.74579881497096001</v>
      </c>
      <c r="J842">
        <v>0.125573247341939</v>
      </c>
      <c r="K842">
        <v>0.61974017907975798</v>
      </c>
      <c r="L842" t="s">
        <v>38</v>
      </c>
      <c r="M842" t="s">
        <v>34</v>
      </c>
      <c r="N842" t="s">
        <v>35</v>
      </c>
      <c r="O842">
        <v>0.74440991283868496</v>
      </c>
      <c r="P842" t="s">
        <v>36</v>
      </c>
    </row>
    <row r="843" spans="1:16">
      <c r="A843">
        <v>842</v>
      </c>
      <c r="B843" t="s">
        <v>898</v>
      </c>
      <c r="C843">
        <v>103</v>
      </c>
      <c r="D843">
        <v>83</v>
      </c>
      <c r="E843">
        <v>67.327070673529306</v>
      </c>
      <c r="F843">
        <v>1.2368421528147999</v>
      </c>
      <c r="G843">
        <v>3560.15838827977</v>
      </c>
      <c r="H843">
        <v>813.54573551229805</v>
      </c>
      <c r="I843">
        <v>0.68655373761160199</v>
      </c>
      <c r="J843">
        <v>6.7595103595532405E-2</v>
      </c>
      <c r="K843">
        <v>0.55874874618022397</v>
      </c>
      <c r="L843" t="s">
        <v>43</v>
      </c>
      <c r="M843" t="s">
        <v>34</v>
      </c>
      <c r="N843" t="s">
        <v>35</v>
      </c>
      <c r="O843">
        <v>0.66644875418739802</v>
      </c>
      <c r="P843" t="s">
        <v>36</v>
      </c>
    </row>
    <row r="844" spans="1:16">
      <c r="A844">
        <v>843</v>
      </c>
      <c r="B844" t="s">
        <v>899</v>
      </c>
      <c r="C844">
        <v>86</v>
      </c>
      <c r="D844">
        <v>58</v>
      </c>
      <c r="E844">
        <v>67.336907751712701</v>
      </c>
      <c r="F844">
        <v>1.4897702354328799</v>
      </c>
      <c r="G844">
        <v>3561.1988052930101</v>
      </c>
      <c r="H844">
        <v>279.04949595451399</v>
      </c>
      <c r="I844">
        <v>0.64293031114569599</v>
      </c>
      <c r="J844">
        <v>0.57470317739559096</v>
      </c>
      <c r="K844">
        <v>0.89610292467649</v>
      </c>
      <c r="L844" t="s">
        <v>58</v>
      </c>
      <c r="M844" t="s">
        <v>34</v>
      </c>
      <c r="N844" t="s">
        <v>35</v>
      </c>
      <c r="O844">
        <v>0.67791912564349099</v>
      </c>
      <c r="P844" t="s">
        <v>36</v>
      </c>
    </row>
    <row r="845" spans="1:16">
      <c r="A845">
        <v>844</v>
      </c>
      <c r="B845" t="s">
        <v>900</v>
      </c>
      <c r="C845">
        <v>63</v>
      </c>
      <c r="D845">
        <v>107</v>
      </c>
      <c r="E845">
        <v>67.501115259355402</v>
      </c>
      <c r="F845">
        <v>0.58883250107082596</v>
      </c>
      <c r="G845">
        <v>3578.5886325141801</v>
      </c>
      <c r="H845">
        <v>716.15496141236804</v>
      </c>
      <c r="I845">
        <v>0.61667867402409005</v>
      </c>
      <c r="J845">
        <v>8.7681431606193502E-2</v>
      </c>
      <c r="K845">
        <v>0.64208757800416005</v>
      </c>
      <c r="L845" t="s">
        <v>33</v>
      </c>
      <c r="M845" t="s">
        <v>34</v>
      </c>
      <c r="N845" t="s">
        <v>35</v>
      </c>
      <c r="O845">
        <v>0.68166986819722497</v>
      </c>
      <c r="P845" t="s">
        <v>36</v>
      </c>
    </row>
    <row r="846" spans="1:16">
      <c r="A846">
        <v>845</v>
      </c>
      <c r="B846" t="s">
        <v>901</v>
      </c>
      <c r="C846">
        <v>77</v>
      </c>
      <c r="D846">
        <v>128</v>
      </c>
      <c r="E846">
        <v>67.5319472870341</v>
      </c>
      <c r="F846">
        <v>0.6</v>
      </c>
      <c r="G846">
        <v>3581.8585145557699</v>
      </c>
      <c r="H846">
        <v>528.71755921374199</v>
      </c>
      <c r="I846">
        <v>0.67234995690385502</v>
      </c>
      <c r="J846">
        <v>0.16101666344608501</v>
      </c>
      <c r="K846">
        <v>0.509126632019267</v>
      </c>
      <c r="L846" t="s">
        <v>33</v>
      </c>
      <c r="M846" t="s">
        <v>34</v>
      </c>
      <c r="N846" t="s">
        <v>35</v>
      </c>
      <c r="O846">
        <v>0.749289728754441</v>
      </c>
      <c r="P846" t="s">
        <v>36</v>
      </c>
    </row>
    <row r="847" spans="1:16">
      <c r="A847">
        <v>846</v>
      </c>
      <c r="B847" t="s">
        <v>902</v>
      </c>
      <c r="C847">
        <v>58</v>
      </c>
      <c r="D847">
        <v>88</v>
      </c>
      <c r="E847">
        <v>67.594968995420601</v>
      </c>
      <c r="F847">
        <v>0.66049382716049398</v>
      </c>
      <c r="G847">
        <v>3588.5469096408301</v>
      </c>
      <c r="H847">
        <v>361.77305930303498</v>
      </c>
      <c r="I847">
        <v>0.73622994712525003</v>
      </c>
      <c r="J847">
        <v>0.34455300885765699</v>
      </c>
      <c r="K847">
        <v>0.81802473318651503</v>
      </c>
      <c r="L847" t="s">
        <v>74</v>
      </c>
      <c r="M847" t="s">
        <v>34</v>
      </c>
      <c r="N847" t="s">
        <v>35</v>
      </c>
      <c r="O847">
        <v>0.70713612339579501</v>
      </c>
      <c r="P847" t="s">
        <v>36</v>
      </c>
    </row>
    <row r="848" spans="1:16">
      <c r="A848">
        <v>847</v>
      </c>
      <c r="B848" t="s">
        <v>903</v>
      </c>
      <c r="C848">
        <v>70</v>
      </c>
      <c r="D848">
        <v>102</v>
      </c>
      <c r="E848">
        <v>67.615963178302593</v>
      </c>
      <c r="F848">
        <v>0.68560616556682297</v>
      </c>
      <c r="G848">
        <v>3590.7763746691899</v>
      </c>
      <c r="H848">
        <v>559.79219590093805</v>
      </c>
      <c r="I848">
        <v>0.51994613539881396</v>
      </c>
      <c r="J848">
        <v>0.143994048977682</v>
      </c>
      <c r="K848">
        <v>0.65113333153653297</v>
      </c>
      <c r="L848" t="s">
        <v>38</v>
      </c>
      <c r="M848" t="s">
        <v>34</v>
      </c>
      <c r="N848" t="s">
        <v>35</v>
      </c>
      <c r="O848">
        <v>0.71466066500096803</v>
      </c>
      <c r="P848" t="s">
        <v>36</v>
      </c>
    </row>
    <row r="849" spans="1:16">
      <c r="A849">
        <v>848</v>
      </c>
      <c r="B849" t="s">
        <v>904</v>
      </c>
      <c r="C849">
        <v>68</v>
      </c>
      <c r="D849">
        <v>74</v>
      </c>
      <c r="E849">
        <v>67.6565334593475</v>
      </c>
      <c r="F849">
        <v>0.92592592592592604</v>
      </c>
      <c r="G849">
        <v>3595.0866737240099</v>
      </c>
      <c r="H849">
        <v>307.173825490578</v>
      </c>
      <c r="I849">
        <v>0.67442081937201004</v>
      </c>
      <c r="J849">
        <v>0.47879633399919802</v>
      </c>
      <c r="K849">
        <v>0.88251605370694697</v>
      </c>
      <c r="L849" t="s">
        <v>43</v>
      </c>
      <c r="M849" t="s">
        <v>34</v>
      </c>
      <c r="N849" t="s">
        <v>35</v>
      </c>
      <c r="O849">
        <v>0.78871897085261999</v>
      </c>
      <c r="P849" t="s">
        <v>36</v>
      </c>
    </row>
    <row r="850" spans="1:16">
      <c r="A850">
        <v>849</v>
      </c>
      <c r="B850" t="s">
        <v>905</v>
      </c>
      <c r="C850">
        <v>83</v>
      </c>
      <c r="D850">
        <v>69</v>
      </c>
      <c r="E850">
        <v>67.664924273591595</v>
      </c>
      <c r="F850">
        <v>1.2063492063492101</v>
      </c>
      <c r="G850">
        <v>3595.97845973535</v>
      </c>
      <c r="H850">
        <v>583.02172577090903</v>
      </c>
      <c r="I850">
        <v>0.52245560093792198</v>
      </c>
      <c r="J850">
        <v>0.132940549121805</v>
      </c>
      <c r="K850">
        <v>0.72792369949153102</v>
      </c>
      <c r="L850" t="s">
        <v>33</v>
      </c>
      <c r="M850" t="s">
        <v>34</v>
      </c>
      <c r="N850" t="s">
        <v>35</v>
      </c>
      <c r="O850">
        <v>0.70119535398016097</v>
      </c>
      <c r="P850" t="s">
        <v>36</v>
      </c>
    </row>
    <row r="851" spans="1:16">
      <c r="A851">
        <v>850</v>
      </c>
      <c r="B851" t="s">
        <v>906</v>
      </c>
      <c r="C851">
        <v>69</v>
      </c>
      <c r="D851">
        <v>130</v>
      </c>
      <c r="E851">
        <v>67.701272451480406</v>
      </c>
      <c r="F851">
        <v>0.53361344537815103</v>
      </c>
      <c r="G851">
        <v>3599.8428657845002</v>
      </c>
      <c r="H851">
        <v>496.23310677735702</v>
      </c>
      <c r="I851">
        <v>0.804600255244035</v>
      </c>
      <c r="J851">
        <v>0.18370540627902401</v>
      </c>
      <c r="K851">
        <v>0.61121485893100502</v>
      </c>
      <c r="L851" t="s">
        <v>38</v>
      </c>
      <c r="M851" t="s">
        <v>34</v>
      </c>
      <c r="N851" t="s">
        <v>35</v>
      </c>
      <c r="O851">
        <v>0.69916354200062503</v>
      </c>
      <c r="P851" t="s">
        <v>36</v>
      </c>
    </row>
    <row r="852" spans="1:16">
      <c r="A852">
        <v>851</v>
      </c>
      <c r="B852" t="s">
        <v>907</v>
      </c>
      <c r="C852">
        <v>59</v>
      </c>
      <c r="D852">
        <v>103</v>
      </c>
      <c r="E852">
        <v>67.747378593068305</v>
      </c>
      <c r="F852">
        <v>0.57446808510638303</v>
      </c>
      <c r="G852">
        <v>3604.74768884688</v>
      </c>
      <c r="H852">
        <v>503.84896200874601</v>
      </c>
      <c r="I852">
        <v>0.78327468135582801</v>
      </c>
      <c r="J852">
        <v>0.17843662475500599</v>
      </c>
      <c r="K852">
        <v>0.70915204678362598</v>
      </c>
      <c r="L852" t="s">
        <v>33</v>
      </c>
      <c r="M852" t="s">
        <v>34</v>
      </c>
      <c r="N852" t="s">
        <v>35</v>
      </c>
      <c r="O852">
        <v>0.62647368620663302</v>
      </c>
      <c r="P852" t="s">
        <v>36</v>
      </c>
    </row>
    <row r="853" spans="1:16">
      <c r="A853">
        <v>852</v>
      </c>
      <c r="B853" t="s">
        <v>908</v>
      </c>
      <c r="C853">
        <v>84</v>
      </c>
      <c r="D853">
        <v>72</v>
      </c>
      <c r="E853">
        <v>67.850654223462598</v>
      </c>
      <c r="F853">
        <v>1.16522743689667</v>
      </c>
      <c r="G853">
        <v>3615.7463829867702</v>
      </c>
      <c r="H853">
        <v>344.38089998214099</v>
      </c>
      <c r="I853">
        <v>0.72647905946664904</v>
      </c>
      <c r="J853">
        <v>0.383115489605034</v>
      </c>
      <c r="K853">
        <v>0.77998653371380899</v>
      </c>
      <c r="L853" t="s">
        <v>38</v>
      </c>
      <c r="M853" t="s">
        <v>34</v>
      </c>
      <c r="N853" t="s">
        <v>35</v>
      </c>
      <c r="O853">
        <v>0.79140581375705799</v>
      </c>
      <c r="P853" t="s">
        <v>36</v>
      </c>
    </row>
    <row r="854" spans="1:16">
      <c r="A854">
        <v>853</v>
      </c>
      <c r="B854" t="s">
        <v>909</v>
      </c>
      <c r="C854">
        <v>83</v>
      </c>
      <c r="D854">
        <v>93</v>
      </c>
      <c r="E854">
        <v>68.012230160294095</v>
      </c>
      <c r="F854">
        <v>0.89411764705882402</v>
      </c>
      <c r="G854">
        <v>3632.9875792060502</v>
      </c>
      <c r="H854">
        <v>643.54750382703298</v>
      </c>
      <c r="I854">
        <v>0.60371742938637696</v>
      </c>
      <c r="J854">
        <v>0.110233236030545</v>
      </c>
      <c r="K854">
        <v>0.61788720645112405</v>
      </c>
      <c r="L854" t="s">
        <v>38</v>
      </c>
      <c r="M854" t="s">
        <v>34</v>
      </c>
      <c r="N854" t="s">
        <v>35</v>
      </c>
      <c r="O854">
        <v>0.83707672293940705</v>
      </c>
      <c r="P854" t="s">
        <v>36</v>
      </c>
    </row>
    <row r="855" spans="1:16">
      <c r="A855">
        <v>854</v>
      </c>
      <c r="B855" t="s">
        <v>910</v>
      </c>
      <c r="C855">
        <v>104</v>
      </c>
      <c r="D855">
        <v>73</v>
      </c>
      <c r="E855">
        <v>68.126216441613806</v>
      </c>
      <c r="F855">
        <v>1.4179104477611899</v>
      </c>
      <c r="G855">
        <v>3645.17532136106</v>
      </c>
      <c r="H855">
        <v>637.86284586792397</v>
      </c>
      <c r="I855">
        <v>0.58067106219721398</v>
      </c>
      <c r="J855">
        <v>0.112583221875071</v>
      </c>
      <c r="K855">
        <v>0.60992290475006194</v>
      </c>
      <c r="L855" t="s">
        <v>38</v>
      </c>
      <c r="M855" t="s">
        <v>34</v>
      </c>
      <c r="N855" t="s">
        <v>35</v>
      </c>
      <c r="O855">
        <v>0.65868356308610698</v>
      </c>
      <c r="P855" t="s">
        <v>36</v>
      </c>
    </row>
    <row r="856" spans="1:16">
      <c r="A856">
        <v>855</v>
      </c>
      <c r="B856" t="s">
        <v>911</v>
      </c>
      <c r="C856">
        <v>113</v>
      </c>
      <c r="D856">
        <v>59</v>
      </c>
      <c r="E856">
        <v>68.126216441613806</v>
      </c>
      <c r="F856">
        <v>1.9142743784501399</v>
      </c>
      <c r="G856">
        <v>3645.17532136106</v>
      </c>
      <c r="H856">
        <v>414.737779328616</v>
      </c>
      <c r="I856">
        <v>0.76648004877156795</v>
      </c>
      <c r="J856">
        <v>0.266306084647844</v>
      </c>
      <c r="K856">
        <v>0.68444407233757498</v>
      </c>
      <c r="L856" t="s">
        <v>47</v>
      </c>
      <c r="M856" t="s">
        <v>34</v>
      </c>
      <c r="N856" t="s">
        <v>35</v>
      </c>
      <c r="O856">
        <v>0.92508629835954603</v>
      </c>
      <c r="P856" t="s">
        <v>36</v>
      </c>
    </row>
    <row r="857" spans="1:16">
      <c r="A857">
        <v>856</v>
      </c>
      <c r="B857" t="s">
        <v>912</v>
      </c>
      <c r="C857">
        <v>95</v>
      </c>
      <c r="D857">
        <v>72</v>
      </c>
      <c r="E857">
        <v>68.187301258324794</v>
      </c>
      <c r="F857">
        <v>1.3212220377092001</v>
      </c>
      <c r="G857">
        <v>3651.7150854442302</v>
      </c>
      <c r="H857">
        <v>395.14756219563299</v>
      </c>
      <c r="I857">
        <v>0.61628421058052096</v>
      </c>
      <c r="J857">
        <v>0.29389225128990099</v>
      </c>
      <c r="K857">
        <v>0.73524658846061797</v>
      </c>
      <c r="L857" t="s">
        <v>298</v>
      </c>
      <c r="M857" t="s">
        <v>34</v>
      </c>
      <c r="N857" t="s">
        <v>35</v>
      </c>
      <c r="O857">
        <v>0.64151762267281998</v>
      </c>
      <c r="P857" t="s">
        <v>36</v>
      </c>
    </row>
    <row r="858" spans="1:16">
      <c r="A858">
        <v>857</v>
      </c>
      <c r="B858" t="s">
        <v>913</v>
      </c>
      <c r="C858">
        <v>52</v>
      </c>
      <c r="D858">
        <v>114</v>
      </c>
      <c r="E858">
        <v>68.199789139821902</v>
      </c>
      <c r="F858">
        <v>0.45424415321303502</v>
      </c>
      <c r="G858">
        <v>3653.0527644612498</v>
      </c>
      <c r="H858">
        <v>388.59004202718302</v>
      </c>
      <c r="I858">
        <v>0.77899626139020195</v>
      </c>
      <c r="J858">
        <v>0.30400622375066699</v>
      </c>
      <c r="K858">
        <v>0.77768636881407405</v>
      </c>
      <c r="L858" t="s">
        <v>49</v>
      </c>
      <c r="M858" t="s">
        <v>34</v>
      </c>
      <c r="N858" t="s">
        <v>35</v>
      </c>
      <c r="O858">
        <v>0.72111882462556698</v>
      </c>
      <c r="P858" t="s">
        <v>36</v>
      </c>
    </row>
    <row r="859" spans="1:16">
      <c r="A859">
        <v>858</v>
      </c>
      <c r="B859" t="s">
        <v>914</v>
      </c>
      <c r="C859">
        <v>69</v>
      </c>
      <c r="D859">
        <v>78</v>
      </c>
      <c r="E859">
        <v>68.2705106546331</v>
      </c>
      <c r="F859">
        <v>0.88386213971878702</v>
      </c>
      <c r="G859">
        <v>3660.6329455576602</v>
      </c>
      <c r="H859">
        <v>301.47976529297603</v>
      </c>
      <c r="I859">
        <v>0.69439481035087902</v>
      </c>
      <c r="J859">
        <v>0.50611558518561095</v>
      </c>
      <c r="K859">
        <v>0.89251676028266003</v>
      </c>
      <c r="L859" t="s">
        <v>144</v>
      </c>
      <c r="M859" t="s">
        <v>34</v>
      </c>
      <c r="N859" t="s">
        <v>35</v>
      </c>
      <c r="O859">
        <v>0.78007711828183701</v>
      </c>
      <c r="P859" t="s">
        <v>36</v>
      </c>
    </row>
    <row r="860" spans="1:16">
      <c r="A860">
        <v>859</v>
      </c>
      <c r="B860" t="s">
        <v>915</v>
      </c>
      <c r="C860">
        <v>111</v>
      </c>
      <c r="D860">
        <v>58</v>
      </c>
      <c r="E860">
        <v>68.271896618693305</v>
      </c>
      <c r="F860">
        <v>1.89719626168224</v>
      </c>
      <c r="G860">
        <v>3660.7815765595501</v>
      </c>
      <c r="H860">
        <v>381.62786020175298</v>
      </c>
      <c r="I860">
        <v>0.78075460362468996</v>
      </c>
      <c r="J860">
        <v>0.31586647708155502</v>
      </c>
      <c r="K860">
        <v>0.68752791424743198</v>
      </c>
      <c r="L860" t="s">
        <v>38</v>
      </c>
      <c r="M860" t="s">
        <v>34</v>
      </c>
      <c r="N860" t="s">
        <v>35</v>
      </c>
      <c r="O860">
        <v>0.749884567402058</v>
      </c>
      <c r="P860" t="s">
        <v>36</v>
      </c>
    </row>
    <row r="861" spans="1:16">
      <c r="A861">
        <v>860</v>
      </c>
      <c r="B861" t="s">
        <v>916</v>
      </c>
      <c r="C861">
        <v>78</v>
      </c>
      <c r="D861">
        <v>113</v>
      </c>
      <c r="E861">
        <v>68.424181277698807</v>
      </c>
      <c r="F861">
        <v>0.68930249591671</v>
      </c>
      <c r="G861">
        <v>3677.13098676749</v>
      </c>
      <c r="H861">
        <v>490.57503930361401</v>
      </c>
      <c r="I861">
        <v>0.71259349684940898</v>
      </c>
      <c r="J861">
        <v>0.19200302452221199</v>
      </c>
      <c r="K861">
        <v>0.58109219025249603</v>
      </c>
      <c r="L861" t="s">
        <v>38</v>
      </c>
      <c r="M861" t="s">
        <v>34</v>
      </c>
      <c r="N861" t="s">
        <v>35</v>
      </c>
      <c r="O861">
        <v>0.80923956556261001</v>
      </c>
      <c r="P861" t="s">
        <v>36</v>
      </c>
    </row>
    <row r="862" spans="1:16">
      <c r="A862">
        <v>861</v>
      </c>
      <c r="B862" t="s">
        <v>917</v>
      </c>
      <c r="C862">
        <v>87</v>
      </c>
      <c r="D862">
        <v>61</v>
      </c>
      <c r="E862">
        <v>68.4421561672537</v>
      </c>
      <c r="F862">
        <v>1.4198446148791399</v>
      </c>
      <c r="G862">
        <v>3679.0631897920598</v>
      </c>
      <c r="H862">
        <v>288.20194958365499</v>
      </c>
      <c r="I862">
        <v>0.63278325117270195</v>
      </c>
      <c r="J862">
        <v>0.55661291948066605</v>
      </c>
      <c r="K862">
        <v>0.88937194596148295</v>
      </c>
      <c r="L862" t="s">
        <v>33</v>
      </c>
      <c r="M862" t="s">
        <v>34</v>
      </c>
      <c r="N862" t="s">
        <v>35</v>
      </c>
      <c r="O862">
        <v>0.715369983536565</v>
      </c>
      <c r="P862" t="s">
        <v>36</v>
      </c>
    </row>
    <row r="863" spans="1:16">
      <c r="A863">
        <v>862</v>
      </c>
      <c r="B863" t="s">
        <v>918</v>
      </c>
      <c r="C863">
        <v>48</v>
      </c>
      <c r="D863">
        <v>156</v>
      </c>
      <c r="E863">
        <v>68.462890560218398</v>
      </c>
      <c r="F863">
        <v>0.306680153182253</v>
      </c>
      <c r="G863">
        <v>3681.29265482042</v>
      </c>
      <c r="H863">
        <v>430.55573129778298</v>
      </c>
      <c r="I863">
        <v>0.72586797860034402</v>
      </c>
      <c r="J863">
        <v>0.249546486151937</v>
      </c>
      <c r="K863">
        <v>0.58006042296072502</v>
      </c>
      <c r="L863" t="s">
        <v>47</v>
      </c>
      <c r="M863" t="s">
        <v>34</v>
      </c>
      <c r="N863" t="s">
        <v>35</v>
      </c>
      <c r="O863">
        <v>0.94992058834683402</v>
      </c>
      <c r="P863" t="s">
        <v>36</v>
      </c>
    </row>
    <row r="864" spans="1:16">
      <c r="A864">
        <v>863</v>
      </c>
      <c r="B864" t="s">
        <v>919</v>
      </c>
      <c r="C864">
        <v>116</v>
      </c>
      <c r="D864">
        <v>75</v>
      </c>
      <c r="E864">
        <v>68.523675252458403</v>
      </c>
      <c r="F864">
        <v>1.5362318840579701</v>
      </c>
      <c r="G864">
        <v>3687.8324189035902</v>
      </c>
      <c r="H864">
        <v>570.17677843404897</v>
      </c>
      <c r="I864">
        <v>0.77906776426684599</v>
      </c>
      <c r="J864">
        <v>0.14254828284992499</v>
      </c>
      <c r="K864">
        <v>0.54489952783573103</v>
      </c>
      <c r="L864" t="s">
        <v>47</v>
      </c>
      <c r="M864" t="s">
        <v>34</v>
      </c>
      <c r="N864" t="s">
        <v>35</v>
      </c>
      <c r="O864">
        <v>0.95066655189732996</v>
      </c>
      <c r="P864" t="s">
        <v>36</v>
      </c>
    </row>
    <row r="865" spans="1:16">
      <c r="A865">
        <v>864</v>
      </c>
      <c r="B865" t="s">
        <v>920</v>
      </c>
      <c r="C865">
        <v>117</v>
      </c>
      <c r="D865">
        <v>62</v>
      </c>
      <c r="E865">
        <v>68.653353157783499</v>
      </c>
      <c r="F865">
        <v>1.87553372244376</v>
      </c>
      <c r="G865">
        <v>3701.8037330812899</v>
      </c>
      <c r="H865">
        <v>439.434198922696</v>
      </c>
      <c r="I865">
        <v>0.65043813115030202</v>
      </c>
      <c r="J865">
        <v>0.24089930520793201</v>
      </c>
      <c r="K865">
        <v>0.59542422721078703</v>
      </c>
      <c r="L865" t="s">
        <v>58</v>
      </c>
      <c r="M865" t="s">
        <v>34</v>
      </c>
      <c r="N865" t="s">
        <v>35</v>
      </c>
      <c r="O865">
        <v>0.69060015644100603</v>
      </c>
      <c r="P865" t="s">
        <v>36</v>
      </c>
    </row>
    <row r="866" spans="1:16">
      <c r="A866">
        <v>865</v>
      </c>
      <c r="B866" t="s">
        <v>921</v>
      </c>
      <c r="C866">
        <v>87</v>
      </c>
      <c r="D866">
        <v>99</v>
      </c>
      <c r="E866">
        <v>68.793790944123302</v>
      </c>
      <c r="F866">
        <v>0.879120879120879</v>
      </c>
      <c r="G866">
        <v>3716.9640952741001</v>
      </c>
      <c r="H866">
        <v>540.34756589350502</v>
      </c>
      <c r="I866">
        <v>0.55617496918831999</v>
      </c>
      <c r="J866">
        <v>0.15997489401183701</v>
      </c>
      <c r="K866">
        <v>0.601674526032143</v>
      </c>
      <c r="L866" t="s">
        <v>33</v>
      </c>
      <c r="M866" t="s">
        <v>34</v>
      </c>
      <c r="N866" t="s">
        <v>35</v>
      </c>
      <c r="O866">
        <v>0.725491794872416</v>
      </c>
      <c r="P866" t="s">
        <v>36</v>
      </c>
    </row>
    <row r="867" spans="1:16">
      <c r="A867">
        <v>866</v>
      </c>
      <c r="B867" t="s">
        <v>922</v>
      </c>
      <c r="C867">
        <v>113</v>
      </c>
      <c r="D867">
        <v>70</v>
      </c>
      <c r="E867">
        <v>68.836416244661805</v>
      </c>
      <c r="F867">
        <v>1.6046511627907001</v>
      </c>
      <c r="G867">
        <v>3721.5716563327001</v>
      </c>
      <c r="H867">
        <v>579.23293290418098</v>
      </c>
      <c r="I867">
        <v>0.68571510103147304</v>
      </c>
      <c r="J867">
        <v>0.13938940271698699</v>
      </c>
      <c r="K867">
        <v>0.62514668064814105</v>
      </c>
      <c r="L867" t="s">
        <v>49</v>
      </c>
      <c r="M867" t="s">
        <v>34</v>
      </c>
      <c r="N867" t="s">
        <v>35</v>
      </c>
      <c r="O867">
        <v>0.82882848900708295</v>
      </c>
      <c r="P867" t="s">
        <v>36</v>
      </c>
    </row>
    <row r="868" spans="1:16">
      <c r="A868">
        <v>867</v>
      </c>
      <c r="B868" t="s">
        <v>923</v>
      </c>
      <c r="C868">
        <v>78</v>
      </c>
      <c r="D868">
        <v>113</v>
      </c>
      <c r="E868">
        <v>69.154584425460897</v>
      </c>
      <c r="F868">
        <v>0.69082125603864697</v>
      </c>
      <c r="G868">
        <v>3756.0540487712701</v>
      </c>
      <c r="H868">
        <v>714.95493222806795</v>
      </c>
      <c r="I868">
        <v>0.571564126991287</v>
      </c>
      <c r="J868">
        <v>9.2338829261968694E-2</v>
      </c>
      <c r="K868">
        <v>0.587561032318066</v>
      </c>
      <c r="L868" t="s">
        <v>33</v>
      </c>
      <c r="M868" t="s">
        <v>34</v>
      </c>
      <c r="N868" t="s">
        <v>35</v>
      </c>
      <c r="O868">
        <v>0.73282587433427904</v>
      </c>
      <c r="P868" t="s">
        <v>36</v>
      </c>
    </row>
    <row r="869" spans="1:16">
      <c r="A869">
        <v>868</v>
      </c>
      <c r="B869" t="s">
        <v>924</v>
      </c>
      <c r="C869">
        <v>85</v>
      </c>
      <c r="D869">
        <v>101</v>
      </c>
      <c r="E869">
        <v>69.186047242557095</v>
      </c>
      <c r="F869">
        <v>0.83377716994828399</v>
      </c>
      <c r="G869">
        <v>3759.47256181475</v>
      </c>
      <c r="H869">
        <v>699.853236874083</v>
      </c>
      <c r="I869">
        <v>0.59034109524751399</v>
      </c>
      <c r="J869">
        <v>9.6454575129878303E-2</v>
      </c>
      <c r="K869">
        <v>0.56497654679472897</v>
      </c>
      <c r="L869" t="s">
        <v>38</v>
      </c>
      <c r="M869" t="s">
        <v>34</v>
      </c>
      <c r="N869" t="s">
        <v>35</v>
      </c>
      <c r="O869">
        <v>0.69172824792577903</v>
      </c>
      <c r="P869" t="s">
        <v>36</v>
      </c>
    </row>
    <row r="870" spans="1:16">
      <c r="A870">
        <v>869</v>
      </c>
      <c r="B870" t="s">
        <v>925</v>
      </c>
      <c r="C870">
        <v>72</v>
      </c>
      <c r="D870">
        <v>83</v>
      </c>
      <c r="E870">
        <v>69.229797810358505</v>
      </c>
      <c r="F870">
        <v>0.86809689884099805</v>
      </c>
      <c r="G870">
        <v>3764.2287538752398</v>
      </c>
      <c r="H870">
        <v>352.03664094157801</v>
      </c>
      <c r="I870">
        <v>0.64662707499056105</v>
      </c>
      <c r="J870">
        <v>0.38168943151173301</v>
      </c>
      <c r="K870">
        <v>0.83104183757177996</v>
      </c>
      <c r="L870" t="s">
        <v>72</v>
      </c>
      <c r="M870" t="s">
        <v>34</v>
      </c>
      <c r="N870" t="s">
        <v>35</v>
      </c>
      <c r="O870">
        <v>0.71304076034698105</v>
      </c>
      <c r="P870" t="s">
        <v>36</v>
      </c>
    </row>
    <row r="871" spans="1:16">
      <c r="A871">
        <v>870</v>
      </c>
      <c r="B871" t="s">
        <v>926</v>
      </c>
      <c r="C871">
        <v>127</v>
      </c>
      <c r="D871">
        <v>65</v>
      </c>
      <c r="E871">
        <v>69.581531781872002</v>
      </c>
      <c r="F871">
        <v>1.96421691240497</v>
      </c>
      <c r="G871">
        <v>3802.57555236295</v>
      </c>
      <c r="H871">
        <v>518.03629319522702</v>
      </c>
      <c r="I871">
        <v>0.70287984156271099</v>
      </c>
      <c r="J871">
        <v>0.17806039869349299</v>
      </c>
      <c r="K871">
        <v>0.63303228999133998</v>
      </c>
      <c r="L871" t="s">
        <v>38</v>
      </c>
      <c r="M871" t="s">
        <v>34</v>
      </c>
      <c r="N871" t="s">
        <v>35</v>
      </c>
      <c r="O871">
        <v>0.71775367044921601</v>
      </c>
      <c r="P871" t="s">
        <v>36</v>
      </c>
    </row>
    <row r="872" spans="1:16">
      <c r="A872">
        <v>871</v>
      </c>
      <c r="B872" t="s">
        <v>927</v>
      </c>
      <c r="C872">
        <v>81</v>
      </c>
      <c r="D872">
        <v>99</v>
      </c>
      <c r="E872">
        <v>69.618238433470395</v>
      </c>
      <c r="F872">
        <v>0.82365547613929602</v>
      </c>
      <c r="G872">
        <v>3806.5885894139901</v>
      </c>
      <c r="H872">
        <v>394.735775074233</v>
      </c>
      <c r="I872">
        <v>0.58629628683212798</v>
      </c>
      <c r="J872">
        <v>0.30699607890311797</v>
      </c>
      <c r="K872">
        <v>0.68945002288206303</v>
      </c>
      <c r="L872" t="s">
        <v>144</v>
      </c>
      <c r="M872" t="s">
        <v>34</v>
      </c>
      <c r="N872" t="s">
        <v>35</v>
      </c>
      <c r="O872">
        <v>0.67950865782098602</v>
      </c>
      <c r="P872" t="s">
        <v>36</v>
      </c>
    </row>
    <row r="873" spans="1:16">
      <c r="A873">
        <v>872</v>
      </c>
      <c r="B873" t="s">
        <v>928</v>
      </c>
      <c r="C873">
        <v>64</v>
      </c>
      <c r="D873">
        <v>89</v>
      </c>
      <c r="E873">
        <v>69.824523189886193</v>
      </c>
      <c r="F873">
        <v>0.72450318742587705</v>
      </c>
      <c r="G873">
        <v>3829.1805017013198</v>
      </c>
      <c r="H873">
        <v>412.59451871737201</v>
      </c>
      <c r="I873">
        <v>0.78753701540670695</v>
      </c>
      <c r="J873">
        <v>0.28266288977354398</v>
      </c>
      <c r="K873">
        <v>0.78200030353619698</v>
      </c>
      <c r="L873" t="s">
        <v>33</v>
      </c>
      <c r="M873" t="s">
        <v>34</v>
      </c>
      <c r="N873" t="s">
        <v>35</v>
      </c>
      <c r="O873">
        <v>0.687886562073179</v>
      </c>
      <c r="P873" t="s">
        <v>36</v>
      </c>
    </row>
    <row r="874" spans="1:16">
      <c r="A874">
        <v>873</v>
      </c>
      <c r="B874" t="s">
        <v>929</v>
      </c>
      <c r="C874">
        <v>63</v>
      </c>
      <c r="D874">
        <v>107</v>
      </c>
      <c r="E874">
        <v>69.842137682020507</v>
      </c>
      <c r="F874">
        <v>0.58883248730964499</v>
      </c>
      <c r="G874">
        <v>3831.1127047259001</v>
      </c>
      <c r="H874">
        <v>521.24112132963899</v>
      </c>
      <c r="I874">
        <v>0.74177833250958902</v>
      </c>
      <c r="J874">
        <v>0.177197443393383</v>
      </c>
      <c r="K874">
        <v>0.71635817908954502</v>
      </c>
      <c r="L874" t="s">
        <v>74</v>
      </c>
      <c r="M874" t="s">
        <v>34</v>
      </c>
      <c r="N874" t="s">
        <v>35</v>
      </c>
      <c r="O874">
        <v>0.71647724251794298</v>
      </c>
      <c r="P874" t="s">
        <v>36</v>
      </c>
    </row>
    <row r="875" spans="1:16">
      <c r="A875">
        <v>874</v>
      </c>
      <c r="B875" t="s">
        <v>930</v>
      </c>
      <c r="C875">
        <v>144</v>
      </c>
      <c r="D875">
        <v>50</v>
      </c>
      <c r="E875">
        <v>70.277026117148694</v>
      </c>
      <c r="F875">
        <v>2.8804347826086998</v>
      </c>
      <c r="G875">
        <v>3878.9718873345901</v>
      </c>
      <c r="H875">
        <v>479.95407972024799</v>
      </c>
      <c r="I875">
        <v>0.84113890117449197</v>
      </c>
      <c r="J875">
        <v>0.21160558246858599</v>
      </c>
      <c r="K875">
        <v>0.631194524391129</v>
      </c>
      <c r="L875" t="s">
        <v>33</v>
      </c>
      <c r="M875" t="s">
        <v>34</v>
      </c>
      <c r="N875" t="s">
        <v>35</v>
      </c>
      <c r="O875">
        <v>0.827344471554046</v>
      </c>
      <c r="P875" t="s">
        <v>36</v>
      </c>
    </row>
    <row r="876" spans="1:16">
      <c r="A876">
        <v>875</v>
      </c>
      <c r="B876" t="s">
        <v>931</v>
      </c>
      <c r="C876">
        <v>100</v>
      </c>
      <c r="D876">
        <v>98</v>
      </c>
      <c r="E876">
        <v>70.303949087188599</v>
      </c>
      <c r="F876">
        <v>1.0279329608938499</v>
      </c>
      <c r="G876">
        <v>3881.9445073724</v>
      </c>
      <c r="H876">
        <v>500.27935794540099</v>
      </c>
      <c r="I876">
        <v>0.64927610292009696</v>
      </c>
      <c r="J876">
        <v>0.19490995411502801</v>
      </c>
      <c r="K876">
        <v>0.53977307954615905</v>
      </c>
      <c r="L876" t="s">
        <v>49</v>
      </c>
      <c r="M876" t="s">
        <v>34</v>
      </c>
      <c r="N876" t="s">
        <v>35</v>
      </c>
      <c r="O876">
        <v>0.796473147483579</v>
      </c>
      <c r="P876" t="s">
        <v>36</v>
      </c>
    </row>
    <row r="877" spans="1:16">
      <c r="A877">
        <v>876</v>
      </c>
      <c r="B877" t="s">
        <v>932</v>
      </c>
      <c r="C877">
        <v>83</v>
      </c>
      <c r="D877">
        <v>82</v>
      </c>
      <c r="E877">
        <v>70.359108968849199</v>
      </c>
      <c r="F877">
        <v>1.0071156553601199</v>
      </c>
      <c r="G877">
        <v>3888.0383784499099</v>
      </c>
      <c r="H877">
        <v>350.963394405842</v>
      </c>
      <c r="I877">
        <v>0.63219540567877996</v>
      </c>
      <c r="J877">
        <v>0.39665849854136898</v>
      </c>
      <c r="K877">
        <v>0.76129914728907799</v>
      </c>
      <c r="L877" t="s">
        <v>74</v>
      </c>
      <c r="M877" t="s">
        <v>34</v>
      </c>
      <c r="N877" t="s">
        <v>35</v>
      </c>
      <c r="O877">
        <v>0.72648138919931304</v>
      </c>
      <c r="P877" t="s">
        <v>36</v>
      </c>
    </row>
    <row r="878" spans="1:16">
      <c r="A878">
        <v>877</v>
      </c>
      <c r="B878" t="s">
        <v>933</v>
      </c>
      <c r="C878">
        <v>75</v>
      </c>
      <c r="D878">
        <v>83</v>
      </c>
      <c r="E878">
        <v>70.371211448382994</v>
      </c>
      <c r="F878">
        <v>0.90789473684210498</v>
      </c>
      <c r="G878">
        <v>3889.37605746692</v>
      </c>
      <c r="H878">
        <v>355.56701982083501</v>
      </c>
      <c r="I878">
        <v>0.66459467742327305</v>
      </c>
      <c r="J878">
        <v>0.386586654037124</v>
      </c>
      <c r="K878">
        <v>0.80161744884205399</v>
      </c>
      <c r="L878" t="s">
        <v>49</v>
      </c>
      <c r="M878" t="s">
        <v>34</v>
      </c>
      <c r="N878" t="s">
        <v>35</v>
      </c>
      <c r="O878">
        <v>0.67096332005561499</v>
      </c>
      <c r="P878" t="s">
        <v>36</v>
      </c>
    </row>
    <row r="879" spans="1:16">
      <c r="A879">
        <v>878</v>
      </c>
      <c r="B879" t="s">
        <v>934</v>
      </c>
      <c r="C879">
        <v>123</v>
      </c>
      <c r="D879">
        <v>92</v>
      </c>
      <c r="E879">
        <v>70.373900605632102</v>
      </c>
      <c r="F879">
        <v>1.3284278328052299</v>
      </c>
      <c r="G879">
        <v>3889.6733194706999</v>
      </c>
      <c r="H879">
        <v>794.40785177272301</v>
      </c>
      <c r="I879">
        <v>0.71984955343450097</v>
      </c>
      <c r="J879">
        <v>7.7452588378364495E-2</v>
      </c>
      <c r="K879">
        <v>0.40784839323006</v>
      </c>
      <c r="L879" t="s">
        <v>144</v>
      </c>
      <c r="M879" t="s">
        <v>34</v>
      </c>
      <c r="N879" t="s">
        <v>35</v>
      </c>
      <c r="O879">
        <v>0.69265017894968905</v>
      </c>
      <c r="P879" t="s">
        <v>36</v>
      </c>
    </row>
    <row r="880" spans="1:16">
      <c r="A880">
        <v>879</v>
      </c>
      <c r="B880" t="s">
        <v>935</v>
      </c>
      <c r="C880">
        <v>103</v>
      </c>
      <c r="D880">
        <v>83</v>
      </c>
      <c r="E880">
        <v>70.548475954090193</v>
      </c>
      <c r="F880">
        <v>1.2287581699346399</v>
      </c>
      <c r="G880">
        <v>3908.9953497164502</v>
      </c>
      <c r="H880">
        <v>589.84999948335701</v>
      </c>
      <c r="I880">
        <v>0.56617563530860604</v>
      </c>
      <c r="J880">
        <v>0.14118607049176801</v>
      </c>
      <c r="K880">
        <v>0.59392078045255403</v>
      </c>
      <c r="L880" t="s">
        <v>38</v>
      </c>
      <c r="M880" t="s">
        <v>34</v>
      </c>
      <c r="N880" t="s">
        <v>35</v>
      </c>
      <c r="O880">
        <v>0.83760638854811598</v>
      </c>
      <c r="P880" t="s">
        <v>36</v>
      </c>
    </row>
    <row r="881" spans="1:16">
      <c r="A881">
        <v>880</v>
      </c>
      <c r="B881" t="s">
        <v>936</v>
      </c>
      <c r="C881">
        <v>77</v>
      </c>
      <c r="D881">
        <v>88</v>
      </c>
      <c r="E881">
        <v>70.671761004020794</v>
      </c>
      <c r="F881">
        <v>0.881987577639752</v>
      </c>
      <c r="G881">
        <v>3922.6694018903599</v>
      </c>
      <c r="H881">
        <v>681.42543997142604</v>
      </c>
      <c r="I881">
        <v>0.675437065312809</v>
      </c>
      <c r="J881">
        <v>0.106158527364396</v>
      </c>
      <c r="K881">
        <v>0.65726951237734699</v>
      </c>
      <c r="L881" t="s">
        <v>893</v>
      </c>
      <c r="M881" t="s">
        <v>34</v>
      </c>
      <c r="N881" t="s">
        <v>35</v>
      </c>
      <c r="O881">
        <v>0.66058377371483601</v>
      </c>
      <c r="P881" t="s">
        <v>36</v>
      </c>
    </row>
    <row r="882" spans="1:16">
      <c r="A882">
        <v>881</v>
      </c>
      <c r="B882" t="s">
        <v>937</v>
      </c>
      <c r="C882">
        <v>109</v>
      </c>
      <c r="D882">
        <v>81</v>
      </c>
      <c r="E882">
        <v>70.695856845042101</v>
      </c>
      <c r="F882">
        <v>1.33842527740229</v>
      </c>
      <c r="G882">
        <v>3925.34475992439</v>
      </c>
      <c r="H882">
        <v>446.50597514981803</v>
      </c>
      <c r="I882">
        <v>0.71652420994113897</v>
      </c>
      <c r="J882">
        <v>0.247419041733387</v>
      </c>
      <c r="K882">
        <v>0.65161608684924699</v>
      </c>
      <c r="L882" t="s">
        <v>41</v>
      </c>
      <c r="M882" t="s">
        <v>34</v>
      </c>
      <c r="N882" t="s">
        <v>35</v>
      </c>
      <c r="O882">
        <v>0.68700545158534598</v>
      </c>
      <c r="P882" t="s">
        <v>36</v>
      </c>
    </row>
    <row r="883" spans="1:16">
      <c r="A883">
        <v>882</v>
      </c>
      <c r="B883" t="s">
        <v>938</v>
      </c>
      <c r="C883">
        <v>55</v>
      </c>
      <c r="D883">
        <v>150</v>
      </c>
      <c r="E883">
        <v>70.698533653768493</v>
      </c>
      <c r="F883">
        <v>0.36430594623284102</v>
      </c>
      <c r="G883">
        <v>3925.6420219281699</v>
      </c>
      <c r="H883">
        <v>480.49654249440101</v>
      </c>
      <c r="I883">
        <v>0.60709840422373995</v>
      </c>
      <c r="J883">
        <v>0.21366826522368701</v>
      </c>
      <c r="K883">
        <v>0.61708838578537895</v>
      </c>
      <c r="L883" t="s">
        <v>298</v>
      </c>
      <c r="M883" t="s">
        <v>34</v>
      </c>
      <c r="N883" t="s">
        <v>35</v>
      </c>
      <c r="O883">
        <v>0.74451619990922602</v>
      </c>
      <c r="P883" t="s">
        <v>36</v>
      </c>
    </row>
    <row r="884" spans="1:16">
      <c r="A884">
        <v>883</v>
      </c>
      <c r="B884" t="s">
        <v>939</v>
      </c>
      <c r="C884">
        <v>156</v>
      </c>
      <c r="D884">
        <v>66</v>
      </c>
      <c r="E884">
        <v>70.821557486104794</v>
      </c>
      <c r="F884">
        <v>2.3719006211336802</v>
      </c>
      <c r="G884">
        <v>3939.3160741020802</v>
      </c>
      <c r="H884">
        <v>869.72534645474502</v>
      </c>
      <c r="I884">
        <v>0.76973369144066195</v>
      </c>
      <c r="J884">
        <v>6.54434880105704E-2</v>
      </c>
      <c r="K884">
        <v>0.47856704344371798</v>
      </c>
      <c r="L884" t="s">
        <v>38</v>
      </c>
      <c r="M884" t="s">
        <v>34</v>
      </c>
      <c r="N884" t="s">
        <v>35</v>
      </c>
      <c r="O884">
        <v>0.69107965868826504</v>
      </c>
      <c r="P884" t="s">
        <v>36</v>
      </c>
    </row>
    <row r="885" spans="1:16">
      <c r="A885">
        <v>884</v>
      </c>
      <c r="B885" t="s">
        <v>940</v>
      </c>
      <c r="C885">
        <v>103</v>
      </c>
      <c r="D885">
        <v>67</v>
      </c>
      <c r="E885">
        <v>70.836252556996698</v>
      </c>
      <c r="F885">
        <v>1.5364431282059099</v>
      </c>
      <c r="G885">
        <v>3940.9510151228701</v>
      </c>
      <c r="H885">
        <v>365.40363034549</v>
      </c>
      <c r="I885">
        <v>0.59153258036753598</v>
      </c>
      <c r="J885">
        <v>0.37090713273565201</v>
      </c>
      <c r="K885">
        <v>0.77249155110126999</v>
      </c>
      <c r="L885" t="s">
        <v>74</v>
      </c>
      <c r="M885" t="s">
        <v>34</v>
      </c>
      <c r="N885" t="s">
        <v>35</v>
      </c>
      <c r="O885">
        <v>0.72849918915935996</v>
      </c>
      <c r="P885" t="s">
        <v>36</v>
      </c>
    </row>
    <row r="886" spans="1:16">
      <c r="A886">
        <v>885</v>
      </c>
      <c r="B886" t="s">
        <v>941</v>
      </c>
      <c r="C886">
        <v>108</v>
      </c>
      <c r="D886">
        <v>113</v>
      </c>
      <c r="E886">
        <v>70.873644443161496</v>
      </c>
      <c r="F886">
        <v>0.95673076923076905</v>
      </c>
      <c r="G886">
        <v>3945.1126831758002</v>
      </c>
      <c r="H886">
        <v>964.47417590151701</v>
      </c>
      <c r="I886">
        <v>0.61925379053830198</v>
      </c>
      <c r="J886">
        <v>5.3295196629264102E-2</v>
      </c>
      <c r="K886">
        <v>0.408077609003136</v>
      </c>
      <c r="L886" t="s">
        <v>33</v>
      </c>
      <c r="M886" t="s">
        <v>34</v>
      </c>
      <c r="N886" t="s">
        <v>35</v>
      </c>
      <c r="O886">
        <v>0.69483677404839495</v>
      </c>
      <c r="P886" t="s">
        <v>36</v>
      </c>
    </row>
    <row r="887" spans="1:16">
      <c r="A887">
        <v>886</v>
      </c>
      <c r="B887" t="s">
        <v>942</v>
      </c>
      <c r="C887">
        <v>110</v>
      </c>
      <c r="D887">
        <v>69</v>
      </c>
      <c r="E887">
        <v>70.900340859824396</v>
      </c>
      <c r="F887">
        <v>1.5934271907398101</v>
      </c>
      <c r="G887">
        <v>3948.0853032136101</v>
      </c>
      <c r="H887">
        <v>437.63690976339802</v>
      </c>
      <c r="I887">
        <v>0.59873647321512702</v>
      </c>
      <c r="J887">
        <v>0.25904099889691801</v>
      </c>
      <c r="K887">
        <v>0.66397540368944696</v>
      </c>
      <c r="L887" t="s">
        <v>33</v>
      </c>
      <c r="M887" t="s">
        <v>34</v>
      </c>
      <c r="N887" t="s">
        <v>35</v>
      </c>
      <c r="O887">
        <v>0.73726946020712503</v>
      </c>
      <c r="P887" t="s">
        <v>36</v>
      </c>
    </row>
    <row r="888" spans="1:16">
      <c r="A888">
        <v>887</v>
      </c>
      <c r="B888" t="s">
        <v>943</v>
      </c>
      <c r="C888">
        <v>74</v>
      </c>
      <c r="D888">
        <v>74</v>
      </c>
      <c r="E888">
        <v>71.027011809672999</v>
      </c>
      <c r="F888">
        <v>1.00310871236161</v>
      </c>
      <c r="G888">
        <v>3962.2052483931998</v>
      </c>
      <c r="H888">
        <v>297.54700153081302</v>
      </c>
      <c r="I888">
        <v>0.65612741493346305</v>
      </c>
      <c r="J888">
        <v>0.56238752268635805</v>
      </c>
      <c r="K888">
        <v>0.894143690883478</v>
      </c>
      <c r="L888" t="s">
        <v>58</v>
      </c>
      <c r="M888" t="s">
        <v>34</v>
      </c>
      <c r="N888" t="s">
        <v>35</v>
      </c>
      <c r="O888">
        <v>0.721361637919123</v>
      </c>
      <c r="P888" t="s">
        <v>36</v>
      </c>
    </row>
    <row r="889" spans="1:16">
      <c r="A889">
        <v>888</v>
      </c>
      <c r="B889" t="s">
        <v>944</v>
      </c>
      <c r="C889">
        <v>126</v>
      </c>
      <c r="D889">
        <v>78</v>
      </c>
      <c r="E889">
        <v>71.069629086025202</v>
      </c>
      <c r="F889">
        <v>1.61532068985231</v>
      </c>
      <c r="G889">
        <v>3966.9614404536901</v>
      </c>
      <c r="H889">
        <v>657.57984564947003</v>
      </c>
      <c r="I889">
        <v>0.62241517932275503</v>
      </c>
      <c r="J889">
        <v>0.115284482725972</v>
      </c>
      <c r="K889">
        <v>0.512195590013241</v>
      </c>
      <c r="L889" t="s">
        <v>41</v>
      </c>
      <c r="M889" t="s">
        <v>34</v>
      </c>
      <c r="N889" t="s">
        <v>35</v>
      </c>
      <c r="O889">
        <v>0.70178443593390305</v>
      </c>
      <c r="P889" t="s">
        <v>36</v>
      </c>
    </row>
    <row r="890" spans="1:16">
      <c r="A890">
        <v>889</v>
      </c>
      <c r="B890" t="s">
        <v>945</v>
      </c>
      <c r="C890">
        <v>93</v>
      </c>
      <c r="D890">
        <v>107</v>
      </c>
      <c r="E890">
        <v>71.176060638107998</v>
      </c>
      <c r="F890">
        <v>0.86831463634545203</v>
      </c>
      <c r="G890">
        <v>3978.85192060492</v>
      </c>
      <c r="H890">
        <v>573.38388334253602</v>
      </c>
      <c r="I890">
        <v>0.71134688382718603</v>
      </c>
      <c r="J890">
        <v>0.15208160149143801</v>
      </c>
      <c r="K890">
        <v>0.55448538702127204</v>
      </c>
      <c r="L890" t="s">
        <v>38</v>
      </c>
      <c r="M890" t="s">
        <v>34</v>
      </c>
      <c r="N890" t="s">
        <v>35</v>
      </c>
      <c r="O890">
        <v>0.91737143901223395</v>
      </c>
      <c r="P890" t="s">
        <v>36</v>
      </c>
    </row>
    <row r="891" spans="1:16">
      <c r="A891">
        <v>890</v>
      </c>
      <c r="B891" t="s">
        <v>946</v>
      </c>
      <c r="C891">
        <v>106</v>
      </c>
      <c r="D891">
        <v>64</v>
      </c>
      <c r="E891">
        <v>71.195998841208294</v>
      </c>
      <c r="F891">
        <v>1.65254237288136</v>
      </c>
      <c r="G891">
        <v>3981.0813856332702</v>
      </c>
      <c r="H891">
        <v>413.19567169655897</v>
      </c>
      <c r="I891">
        <v>0.62789852193673201</v>
      </c>
      <c r="J891">
        <v>0.29302143637737799</v>
      </c>
      <c r="K891">
        <v>0.78772461253418802</v>
      </c>
      <c r="L891" t="s">
        <v>188</v>
      </c>
      <c r="M891" t="s">
        <v>34</v>
      </c>
      <c r="N891" t="s">
        <v>35</v>
      </c>
      <c r="O891">
        <v>0.879387507559104</v>
      </c>
      <c r="P891" t="s">
        <v>36</v>
      </c>
    </row>
    <row r="892" spans="1:16">
      <c r="A892">
        <v>891</v>
      </c>
      <c r="B892" t="s">
        <v>947</v>
      </c>
      <c r="C892">
        <v>96</v>
      </c>
      <c r="D892">
        <v>83</v>
      </c>
      <c r="E892">
        <v>71.235858505901007</v>
      </c>
      <c r="F892">
        <v>1.16215189167189</v>
      </c>
      <c r="G892">
        <v>3985.5403156899802</v>
      </c>
      <c r="H892">
        <v>467.96319011574201</v>
      </c>
      <c r="I892">
        <v>0.67174063193033295</v>
      </c>
      <c r="J892">
        <v>0.228703960176072</v>
      </c>
      <c r="K892">
        <v>0.59728254816794701</v>
      </c>
      <c r="L892" t="s">
        <v>47</v>
      </c>
      <c r="M892" t="s">
        <v>34</v>
      </c>
      <c r="N892" t="s">
        <v>35</v>
      </c>
      <c r="O892">
        <v>0.95020605768746502</v>
      </c>
      <c r="P892" t="s">
        <v>36</v>
      </c>
    </row>
    <row r="893" spans="1:16">
      <c r="A893">
        <v>892</v>
      </c>
      <c r="B893" t="s">
        <v>948</v>
      </c>
      <c r="C893">
        <v>71</v>
      </c>
      <c r="D893">
        <v>83</v>
      </c>
      <c r="E893">
        <v>71.263747005932402</v>
      </c>
      <c r="F893">
        <v>0.85229194153356802</v>
      </c>
      <c r="G893">
        <v>3988.6615667296801</v>
      </c>
      <c r="H893">
        <v>311.34296630299599</v>
      </c>
      <c r="I893">
        <v>0.71485479820987397</v>
      </c>
      <c r="J893">
        <v>0.51708142249603295</v>
      </c>
      <c r="K893">
        <v>0.83209822951226298</v>
      </c>
      <c r="L893" t="s">
        <v>144</v>
      </c>
      <c r="M893" t="s">
        <v>34</v>
      </c>
      <c r="N893" t="s">
        <v>35</v>
      </c>
      <c r="O893">
        <v>0.71493955617275495</v>
      </c>
      <c r="P893" t="s">
        <v>36</v>
      </c>
    </row>
    <row r="894" spans="1:16">
      <c r="A894">
        <v>893</v>
      </c>
      <c r="B894" t="s">
        <v>949</v>
      </c>
      <c r="C894">
        <v>69</v>
      </c>
      <c r="D894">
        <v>91</v>
      </c>
      <c r="E894">
        <v>71.278350913068394</v>
      </c>
      <c r="F894">
        <v>0.753424660034964</v>
      </c>
      <c r="G894">
        <v>3990.29650775047</v>
      </c>
      <c r="H894">
        <v>335.884396533033</v>
      </c>
      <c r="I894">
        <v>0.68229673181959405</v>
      </c>
      <c r="J894">
        <v>0.44446275476796998</v>
      </c>
      <c r="K894">
        <v>0.78525256661499299</v>
      </c>
      <c r="L894" t="s">
        <v>58</v>
      </c>
      <c r="M894" t="s">
        <v>34</v>
      </c>
      <c r="N894" t="s">
        <v>35</v>
      </c>
      <c r="O894">
        <v>0.66260816381765297</v>
      </c>
      <c r="P894" t="s">
        <v>36</v>
      </c>
    </row>
    <row r="895" spans="1:16">
      <c r="A895">
        <v>894</v>
      </c>
      <c r="B895" t="s">
        <v>950</v>
      </c>
      <c r="C895">
        <v>70</v>
      </c>
      <c r="D895">
        <v>133</v>
      </c>
      <c r="E895">
        <v>71.368563275372097</v>
      </c>
      <c r="F895">
        <v>0.52246909696589205</v>
      </c>
      <c r="G895">
        <v>4000.40341587902</v>
      </c>
      <c r="H895">
        <v>461.29769177571598</v>
      </c>
      <c r="I895">
        <v>0.57860040690880299</v>
      </c>
      <c r="J895">
        <v>0.236238725222957</v>
      </c>
      <c r="K895">
        <v>0.58056514236410695</v>
      </c>
      <c r="L895" t="s">
        <v>38</v>
      </c>
      <c r="M895" t="s">
        <v>34</v>
      </c>
      <c r="N895" t="s">
        <v>35</v>
      </c>
      <c r="O895">
        <v>0.77887405812178301</v>
      </c>
      <c r="P895" t="s">
        <v>36</v>
      </c>
    </row>
    <row r="896" spans="1:16">
      <c r="A896">
        <v>895</v>
      </c>
      <c r="B896" t="s">
        <v>951</v>
      </c>
      <c r="C896">
        <v>70</v>
      </c>
      <c r="D896">
        <v>107</v>
      </c>
      <c r="E896">
        <v>71.391098554139504</v>
      </c>
      <c r="F896">
        <v>0.65224131050686196</v>
      </c>
      <c r="G896">
        <v>4002.9301429111501</v>
      </c>
      <c r="H896">
        <v>464.06252607324899</v>
      </c>
      <c r="I896">
        <v>0.82070034814242399</v>
      </c>
      <c r="J896">
        <v>0.23357958131422701</v>
      </c>
      <c r="K896">
        <v>0.66228943809172502</v>
      </c>
      <c r="L896" t="s">
        <v>74</v>
      </c>
      <c r="M896" t="s">
        <v>34</v>
      </c>
      <c r="N896" t="s">
        <v>35</v>
      </c>
      <c r="O896">
        <v>0.746611128962691</v>
      </c>
      <c r="P896" t="s">
        <v>36</v>
      </c>
    </row>
    <row r="897" spans="1:16">
      <c r="A897">
        <v>896</v>
      </c>
      <c r="B897" t="s">
        <v>952</v>
      </c>
      <c r="C897">
        <v>77</v>
      </c>
      <c r="D897">
        <v>128</v>
      </c>
      <c r="E897">
        <v>71.3963999389576</v>
      </c>
      <c r="F897">
        <v>0.60509276027296199</v>
      </c>
      <c r="G897">
        <v>4003.52466691871</v>
      </c>
      <c r="H897">
        <v>693.91729039192205</v>
      </c>
      <c r="I897">
        <v>0.69981185441514404</v>
      </c>
      <c r="J897">
        <v>0.104480911974973</v>
      </c>
      <c r="K897">
        <v>0.56240865244080696</v>
      </c>
      <c r="L897" t="s">
        <v>38</v>
      </c>
      <c r="M897" t="s">
        <v>34</v>
      </c>
      <c r="N897" t="s">
        <v>35</v>
      </c>
      <c r="O897">
        <v>0.66718702680662501</v>
      </c>
      <c r="P897" t="s">
        <v>36</v>
      </c>
    </row>
    <row r="898" spans="1:16">
      <c r="A898">
        <v>897</v>
      </c>
      <c r="B898" t="s">
        <v>953</v>
      </c>
      <c r="C898">
        <v>60</v>
      </c>
      <c r="D898">
        <v>129</v>
      </c>
      <c r="E898">
        <v>71.459985879961096</v>
      </c>
      <c r="F898">
        <v>0.46949570997085899</v>
      </c>
      <c r="G898">
        <v>4010.65895500945</v>
      </c>
      <c r="H898">
        <v>547.56654547629205</v>
      </c>
      <c r="I898">
        <v>0.88613670536734801</v>
      </c>
      <c r="J898">
        <v>0.16809383473664</v>
      </c>
      <c r="K898">
        <v>0.64321128909229597</v>
      </c>
      <c r="L898" t="s">
        <v>33</v>
      </c>
      <c r="M898" t="s">
        <v>34</v>
      </c>
      <c r="N898" t="s">
        <v>35</v>
      </c>
      <c r="O898">
        <v>0.82270613937681103</v>
      </c>
      <c r="P898" t="s">
        <v>36</v>
      </c>
    </row>
    <row r="899" spans="1:16">
      <c r="A899">
        <v>898</v>
      </c>
      <c r="B899" t="s">
        <v>954</v>
      </c>
      <c r="C899">
        <v>87</v>
      </c>
      <c r="D899">
        <v>71</v>
      </c>
      <c r="E899">
        <v>71.568481171791205</v>
      </c>
      <c r="F899">
        <v>1.21666064736825</v>
      </c>
      <c r="G899">
        <v>4022.8466971644598</v>
      </c>
      <c r="H899">
        <v>310.54921500579201</v>
      </c>
      <c r="I899">
        <v>0.71235483389686005</v>
      </c>
      <c r="J899">
        <v>0.52418244860743102</v>
      </c>
      <c r="K899">
        <v>0.83883964544722001</v>
      </c>
      <c r="L899" t="s">
        <v>38</v>
      </c>
      <c r="M899" t="s">
        <v>34</v>
      </c>
      <c r="N899" t="s">
        <v>35</v>
      </c>
      <c r="O899">
        <v>0.78861580190469405</v>
      </c>
      <c r="P899" t="s">
        <v>36</v>
      </c>
    </row>
    <row r="900" spans="1:16">
      <c r="A900">
        <v>899</v>
      </c>
      <c r="B900" t="s">
        <v>955</v>
      </c>
      <c r="C900">
        <v>110</v>
      </c>
      <c r="D900">
        <v>70</v>
      </c>
      <c r="E900">
        <v>71.9298272164786</v>
      </c>
      <c r="F900">
        <v>1.5658914728682201</v>
      </c>
      <c r="G900">
        <v>4063.5715916824201</v>
      </c>
      <c r="H900">
        <v>383.79543452428697</v>
      </c>
      <c r="I900">
        <v>0.55005796597844303</v>
      </c>
      <c r="J900">
        <v>0.34667152511552102</v>
      </c>
      <c r="K900">
        <v>0.76069113268968602</v>
      </c>
      <c r="L900" t="s">
        <v>33</v>
      </c>
      <c r="M900" t="s">
        <v>34</v>
      </c>
      <c r="N900" t="s">
        <v>35</v>
      </c>
      <c r="O900">
        <v>0.684121880867679</v>
      </c>
      <c r="P900" t="s">
        <v>36</v>
      </c>
    </row>
    <row r="901" spans="1:16">
      <c r="A901">
        <v>900</v>
      </c>
      <c r="B901" t="s">
        <v>956</v>
      </c>
      <c r="C901">
        <v>117</v>
      </c>
      <c r="D901">
        <v>83</v>
      </c>
      <c r="E901">
        <v>72.062567073201606</v>
      </c>
      <c r="F901">
        <v>1.4144736842105301</v>
      </c>
      <c r="G901">
        <v>4078.58332287335</v>
      </c>
      <c r="H901">
        <v>832.34771058238096</v>
      </c>
      <c r="I901">
        <v>0.65870677480461004</v>
      </c>
      <c r="J901">
        <v>7.3979198955111194E-2</v>
      </c>
      <c r="K901">
        <v>0.55019548872180402</v>
      </c>
      <c r="L901" t="s">
        <v>957</v>
      </c>
      <c r="M901" t="s">
        <v>34</v>
      </c>
      <c r="N901" t="s">
        <v>35</v>
      </c>
      <c r="O901">
        <v>0.67905807837257603</v>
      </c>
      <c r="P901" t="s">
        <v>36</v>
      </c>
    </row>
    <row r="902" spans="1:16">
      <c r="A902">
        <v>901</v>
      </c>
      <c r="B902" t="s">
        <v>958</v>
      </c>
      <c r="C902">
        <v>75</v>
      </c>
      <c r="D902">
        <v>100</v>
      </c>
      <c r="E902">
        <v>72.074383514549098</v>
      </c>
      <c r="F902">
        <v>0.74876433892132299</v>
      </c>
      <c r="G902">
        <v>4079.92100189036</v>
      </c>
      <c r="H902">
        <v>407.424116816935</v>
      </c>
      <c r="I902">
        <v>0.59262858829778498</v>
      </c>
      <c r="J902">
        <v>0.30886461230410001</v>
      </c>
      <c r="K902">
        <v>0.71749699409273904</v>
      </c>
      <c r="L902" t="s">
        <v>47</v>
      </c>
      <c r="M902" t="s">
        <v>34</v>
      </c>
      <c r="N902" t="s">
        <v>35</v>
      </c>
      <c r="O902">
        <v>0.94395506397297302</v>
      </c>
      <c r="P902" t="s">
        <v>36</v>
      </c>
    </row>
    <row r="903" spans="1:16">
      <c r="A903">
        <v>902</v>
      </c>
      <c r="B903" t="s">
        <v>959</v>
      </c>
      <c r="C903">
        <v>79</v>
      </c>
      <c r="D903">
        <v>68</v>
      </c>
      <c r="E903">
        <v>72.100635339682796</v>
      </c>
      <c r="F903">
        <v>1.1519999999999999</v>
      </c>
      <c r="G903">
        <v>4082.89362192817</v>
      </c>
      <c r="H903">
        <v>310.18054607266998</v>
      </c>
      <c r="I903">
        <v>0.67001164388100398</v>
      </c>
      <c r="J903">
        <v>0.53327204309944698</v>
      </c>
      <c r="K903">
        <v>0.91174615818646498</v>
      </c>
      <c r="L903" t="s">
        <v>43</v>
      </c>
      <c r="M903" t="s">
        <v>34</v>
      </c>
      <c r="N903" t="s">
        <v>35</v>
      </c>
      <c r="O903">
        <v>0.745548089619264</v>
      </c>
      <c r="P903" t="s">
        <v>36</v>
      </c>
    </row>
    <row r="904" spans="1:16">
      <c r="A904">
        <v>903</v>
      </c>
      <c r="B904" t="s">
        <v>960</v>
      </c>
      <c r="C904">
        <v>86</v>
      </c>
      <c r="D904">
        <v>98</v>
      </c>
      <c r="E904">
        <v>72.149176035112106</v>
      </c>
      <c r="F904">
        <v>0.88268156424581001</v>
      </c>
      <c r="G904">
        <v>4088.3929689981101</v>
      </c>
      <c r="H904">
        <v>480.84802318065101</v>
      </c>
      <c r="I904">
        <v>0.62919234973437799</v>
      </c>
      <c r="J904">
        <v>0.22220141838318599</v>
      </c>
      <c r="K904">
        <v>0.77530370078074395</v>
      </c>
      <c r="L904" t="s">
        <v>33</v>
      </c>
      <c r="M904" t="s">
        <v>34</v>
      </c>
      <c r="N904" t="s">
        <v>35</v>
      </c>
      <c r="O904">
        <v>0.66044384462220496</v>
      </c>
      <c r="P904" t="s">
        <v>36</v>
      </c>
    </row>
    <row r="905" spans="1:16">
      <c r="A905">
        <v>904</v>
      </c>
      <c r="B905" t="s">
        <v>961</v>
      </c>
      <c r="C905">
        <v>63</v>
      </c>
      <c r="D905">
        <v>113</v>
      </c>
      <c r="E905">
        <v>72.150487492565006</v>
      </c>
      <c r="F905">
        <v>0.559451195180514</v>
      </c>
      <c r="G905">
        <v>4088.5416</v>
      </c>
      <c r="H905">
        <v>475.78493890783102</v>
      </c>
      <c r="I905">
        <v>0.738895415832591</v>
      </c>
      <c r="J905">
        <v>0.22696396222197701</v>
      </c>
      <c r="K905">
        <v>0.72389473684210504</v>
      </c>
      <c r="L905" t="s">
        <v>288</v>
      </c>
      <c r="M905" t="s">
        <v>34</v>
      </c>
      <c r="N905" t="s">
        <v>35</v>
      </c>
      <c r="O905">
        <v>0.70090846358613501</v>
      </c>
      <c r="P905" t="s">
        <v>36</v>
      </c>
    </row>
    <row r="906" spans="1:16">
      <c r="A906">
        <v>905</v>
      </c>
      <c r="B906" t="s">
        <v>962</v>
      </c>
      <c r="C906">
        <v>90</v>
      </c>
      <c r="D906">
        <v>80</v>
      </c>
      <c r="E906">
        <v>72.166223123043807</v>
      </c>
      <c r="F906">
        <v>1.1301369863013699</v>
      </c>
      <c r="G906">
        <v>4090.3251720226799</v>
      </c>
      <c r="H906">
        <v>449.53150020889598</v>
      </c>
      <c r="I906">
        <v>0.49534338704004799</v>
      </c>
      <c r="J906">
        <v>0.25435919368520399</v>
      </c>
      <c r="K906">
        <v>0.79116835326586898</v>
      </c>
      <c r="L906" t="s">
        <v>33</v>
      </c>
      <c r="M906" t="s">
        <v>34</v>
      </c>
      <c r="N906" t="s">
        <v>35</v>
      </c>
      <c r="O906">
        <v>0.75422722752703497</v>
      </c>
      <c r="P906" t="s">
        <v>36</v>
      </c>
    </row>
    <row r="907" spans="1:16">
      <c r="A907">
        <v>906</v>
      </c>
      <c r="B907" t="s">
        <v>963</v>
      </c>
      <c r="C907">
        <v>74</v>
      </c>
      <c r="D907">
        <v>147</v>
      </c>
      <c r="E907">
        <v>72.168845394555802</v>
      </c>
      <c r="F907">
        <v>0.505576209443661</v>
      </c>
      <c r="G907">
        <v>4090.6224340264698</v>
      </c>
      <c r="H907">
        <v>847.37418802841898</v>
      </c>
      <c r="I907">
        <v>0.73192946715594498</v>
      </c>
      <c r="J907">
        <v>7.1589412484636794E-2</v>
      </c>
      <c r="K907">
        <v>0.498776708530419</v>
      </c>
      <c r="L907" t="s">
        <v>38</v>
      </c>
      <c r="M907" t="s">
        <v>34</v>
      </c>
      <c r="N907" t="s">
        <v>35</v>
      </c>
      <c r="O907">
        <v>0.68450542787903401</v>
      </c>
      <c r="P907" t="s">
        <v>36</v>
      </c>
    </row>
    <row r="908" spans="1:16">
      <c r="A908">
        <v>907</v>
      </c>
      <c r="B908" t="s">
        <v>964</v>
      </c>
      <c r="C908">
        <v>120</v>
      </c>
      <c r="D908">
        <v>54</v>
      </c>
      <c r="E908">
        <v>72.176711637469197</v>
      </c>
      <c r="F908">
        <v>2.2185565504438798</v>
      </c>
      <c r="G908">
        <v>4091.51422003781</v>
      </c>
      <c r="H908">
        <v>355.72200918487903</v>
      </c>
      <c r="I908">
        <v>0.59733210502678502</v>
      </c>
      <c r="J908">
        <v>0.40632398173436701</v>
      </c>
      <c r="K908">
        <v>0.81443786982248501</v>
      </c>
      <c r="L908" t="s">
        <v>38</v>
      </c>
      <c r="M908" t="s">
        <v>34</v>
      </c>
      <c r="N908" t="s">
        <v>35</v>
      </c>
      <c r="O908">
        <v>0.76811167340522502</v>
      </c>
      <c r="P908" t="s">
        <v>36</v>
      </c>
    </row>
    <row r="909" spans="1:16">
      <c r="A909">
        <v>908</v>
      </c>
      <c r="B909" t="s">
        <v>965</v>
      </c>
      <c r="C909">
        <v>82</v>
      </c>
      <c r="D909">
        <v>78</v>
      </c>
      <c r="E909">
        <v>72.213409441290295</v>
      </c>
      <c r="F909">
        <v>1.0471805373968299</v>
      </c>
      <c r="G909">
        <v>4095.67588809074</v>
      </c>
      <c r="H909">
        <v>387.49182123619602</v>
      </c>
      <c r="I909">
        <v>0.72371630832760703</v>
      </c>
      <c r="J909">
        <v>0.342775967054051</v>
      </c>
      <c r="K909">
        <v>0.82775608290778002</v>
      </c>
      <c r="L909" t="s">
        <v>38</v>
      </c>
      <c r="M909" t="s">
        <v>34</v>
      </c>
      <c r="N909" t="s">
        <v>35</v>
      </c>
      <c r="O909">
        <v>0.77863813587637998</v>
      </c>
      <c r="P909" t="s">
        <v>36</v>
      </c>
    </row>
    <row r="910" spans="1:16">
      <c r="A910">
        <v>909</v>
      </c>
      <c r="B910" t="s">
        <v>966</v>
      </c>
      <c r="C910">
        <v>83</v>
      </c>
      <c r="D910">
        <v>82</v>
      </c>
      <c r="E910">
        <v>72.2343712441821</v>
      </c>
      <c r="F910">
        <v>1.0133333333333301</v>
      </c>
      <c r="G910">
        <v>4098.0539841209802</v>
      </c>
      <c r="H910">
        <v>321.11148438412198</v>
      </c>
      <c r="I910">
        <v>0.57520941622024802</v>
      </c>
      <c r="J910">
        <v>0.49943142207769903</v>
      </c>
      <c r="K910">
        <v>0.80920376837965502</v>
      </c>
      <c r="L910" t="s">
        <v>74</v>
      </c>
      <c r="M910" t="s">
        <v>34</v>
      </c>
      <c r="N910" t="s">
        <v>35</v>
      </c>
      <c r="O910">
        <v>0.68800758600426004</v>
      </c>
      <c r="P910" t="s">
        <v>36</v>
      </c>
    </row>
    <row r="911" spans="1:16">
      <c r="A911">
        <v>910</v>
      </c>
      <c r="B911" t="s">
        <v>967</v>
      </c>
      <c r="C911">
        <v>62</v>
      </c>
      <c r="D911">
        <v>100</v>
      </c>
      <c r="E911">
        <v>72.273658238100396</v>
      </c>
      <c r="F911">
        <v>0.61702568200234498</v>
      </c>
      <c r="G911">
        <v>4102.5129141776897</v>
      </c>
      <c r="H911">
        <v>332.35791065796599</v>
      </c>
      <c r="I911">
        <v>0.66627328287694298</v>
      </c>
      <c r="J911">
        <v>0.46671072444379302</v>
      </c>
      <c r="K911">
        <v>0.84044820656476504</v>
      </c>
      <c r="L911" t="s">
        <v>47</v>
      </c>
      <c r="M911" t="s">
        <v>34</v>
      </c>
      <c r="N911" t="s">
        <v>35</v>
      </c>
      <c r="O911">
        <v>0.95448064575592695</v>
      </c>
      <c r="P911" t="s">
        <v>36</v>
      </c>
    </row>
    <row r="912" spans="1:16">
      <c r="A912">
        <v>911</v>
      </c>
      <c r="B912" t="s">
        <v>968</v>
      </c>
      <c r="C912">
        <v>78</v>
      </c>
      <c r="D912">
        <v>93</v>
      </c>
      <c r="E912">
        <v>72.290675971504598</v>
      </c>
      <c r="F912">
        <v>0.84117647058823497</v>
      </c>
      <c r="G912">
        <v>4104.44511720227</v>
      </c>
      <c r="H912">
        <v>917.40162362585897</v>
      </c>
      <c r="I912">
        <v>0.58528718507398503</v>
      </c>
      <c r="J912">
        <v>6.1283746583632698E-2</v>
      </c>
      <c r="K912">
        <v>0.605645232037898</v>
      </c>
      <c r="L912" t="s">
        <v>33</v>
      </c>
      <c r="M912" t="s">
        <v>34</v>
      </c>
      <c r="N912" t="s">
        <v>35</v>
      </c>
      <c r="O912">
        <v>0.82317499665636895</v>
      </c>
      <c r="P912" t="s">
        <v>36</v>
      </c>
    </row>
    <row r="913" spans="1:16">
      <c r="A913">
        <v>912</v>
      </c>
      <c r="B913" t="s">
        <v>969</v>
      </c>
      <c r="C913">
        <v>132</v>
      </c>
      <c r="D913">
        <v>46</v>
      </c>
      <c r="E913">
        <v>72.344321062910495</v>
      </c>
      <c r="F913">
        <v>2.88095238095238</v>
      </c>
      <c r="G913">
        <v>4110.5389882797699</v>
      </c>
      <c r="H913">
        <v>410.08875895126999</v>
      </c>
      <c r="I913">
        <v>0.89592585559109394</v>
      </c>
      <c r="J913">
        <v>0.30715168776398599</v>
      </c>
      <c r="K913">
        <v>0.80173938251920596</v>
      </c>
      <c r="L913" t="s">
        <v>47</v>
      </c>
      <c r="M913" t="s">
        <v>34</v>
      </c>
      <c r="N913" t="s">
        <v>35</v>
      </c>
      <c r="O913">
        <v>0.85587012326352196</v>
      </c>
      <c r="P913" t="s">
        <v>36</v>
      </c>
    </row>
    <row r="914" spans="1:16">
      <c r="A914">
        <v>913</v>
      </c>
      <c r="B914" t="s">
        <v>970</v>
      </c>
      <c r="C914">
        <v>72</v>
      </c>
      <c r="D914">
        <v>139</v>
      </c>
      <c r="E914">
        <v>72.461939308023702</v>
      </c>
      <c r="F914">
        <v>0.52026877496994095</v>
      </c>
      <c r="G914">
        <v>4123.9157784499102</v>
      </c>
      <c r="H914">
        <v>496.71137011217002</v>
      </c>
      <c r="I914">
        <v>0.61145062617380597</v>
      </c>
      <c r="J914">
        <v>0.21004456495335899</v>
      </c>
      <c r="K914">
        <v>0.55003568313377205</v>
      </c>
      <c r="L914" t="s">
        <v>38</v>
      </c>
      <c r="M914" t="s">
        <v>34</v>
      </c>
      <c r="N914" t="s">
        <v>35</v>
      </c>
      <c r="O914">
        <v>0.88759660129932705</v>
      </c>
      <c r="P914" t="s">
        <v>36</v>
      </c>
    </row>
    <row r="915" spans="1:16">
      <c r="A915">
        <v>914</v>
      </c>
      <c r="B915" t="s">
        <v>971</v>
      </c>
      <c r="C915">
        <v>143</v>
      </c>
      <c r="D915">
        <v>83</v>
      </c>
      <c r="E915">
        <v>72.499797872035103</v>
      </c>
      <c r="F915">
        <v>1.73657411572506</v>
      </c>
      <c r="G915">
        <v>4128.2260775047298</v>
      </c>
      <c r="H915">
        <v>522.37533484448602</v>
      </c>
      <c r="I915">
        <v>0.85089396961538</v>
      </c>
      <c r="J915">
        <v>0.19011133512881501</v>
      </c>
      <c r="K915">
        <v>0.511095981157073</v>
      </c>
      <c r="L915" t="s">
        <v>38</v>
      </c>
      <c r="M915" t="s">
        <v>34</v>
      </c>
      <c r="N915" t="s">
        <v>35</v>
      </c>
      <c r="O915">
        <v>0.73823007651669004</v>
      </c>
      <c r="P915" t="s">
        <v>36</v>
      </c>
    </row>
    <row r="916" spans="1:16">
      <c r="A916">
        <v>915</v>
      </c>
      <c r="B916" t="s">
        <v>972</v>
      </c>
      <c r="C916">
        <v>59</v>
      </c>
      <c r="D916">
        <v>100</v>
      </c>
      <c r="E916">
        <v>72.499797872035103</v>
      </c>
      <c r="F916">
        <v>0.58951529248197598</v>
      </c>
      <c r="G916">
        <v>4128.2260775047298</v>
      </c>
      <c r="H916">
        <v>312.64318765049399</v>
      </c>
      <c r="I916">
        <v>0.814651132909196</v>
      </c>
      <c r="J916">
        <v>0.53073215034687204</v>
      </c>
      <c r="K916">
        <v>0.86499532855808203</v>
      </c>
      <c r="L916" t="s">
        <v>41</v>
      </c>
      <c r="M916" t="s">
        <v>34</v>
      </c>
      <c r="N916" t="s">
        <v>35</v>
      </c>
      <c r="O916">
        <v>0.70240942707210297</v>
      </c>
      <c r="P916" t="s">
        <v>36</v>
      </c>
    </row>
    <row r="917" spans="1:16">
      <c r="A917">
        <v>916</v>
      </c>
      <c r="B917" t="s">
        <v>973</v>
      </c>
      <c r="C917">
        <v>133</v>
      </c>
      <c r="D917">
        <v>64</v>
      </c>
      <c r="E917">
        <v>72.531114153487806</v>
      </c>
      <c r="F917">
        <v>2.08484845393615</v>
      </c>
      <c r="G917">
        <v>4131.7932215500996</v>
      </c>
      <c r="H917">
        <v>393.14827247982402</v>
      </c>
      <c r="I917">
        <v>0.42945944978404499</v>
      </c>
      <c r="J917">
        <v>0.33591987457314498</v>
      </c>
      <c r="K917">
        <v>0.66932318878963704</v>
      </c>
      <c r="L917" t="s">
        <v>33</v>
      </c>
      <c r="M917" t="s">
        <v>34</v>
      </c>
      <c r="N917" t="s">
        <v>35</v>
      </c>
      <c r="O917">
        <v>0.69886180251289498</v>
      </c>
      <c r="P917" t="s">
        <v>36</v>
      </c>
    </row>
    <row r="918" spans="1:16">
      <c r="A918">
        <v>917</v>
      </c>
      <c r="B918" t="s">
        <v>974</v>
      </c>
      <c r="C918">
        <v>122</v>
      </c>
      <c r="D918">
        <v>84</v>
      </c>
      <c r="E918">
        <v>72.593706187705607</v>
      </c>
      <c r="F918">
        <v>1.4467432217786</v>
      </c>
      <c r="G918">
        <v>4138.9275096408301</v>
      </c>
      <c r="H918">
        <v>457.87139806384602</v>
      </c>
      <c r="I918">
        <v>0.54840648811013804</v>
      </c>
      <c r="J918">
        <v>0.24809079665479</v>
      </c>
      <c r="K918">
        <v>0.60214937508108801</v>
      </c>
      <c r="L918" t="s">
        <v>49</v>
      </c>
      <c r="M918" t="s">
        <v>34</v>
      </c>
      <c r="N918" t="s">
        <v>35</v>
      </c>
      <c r="O918">
        <v>0.81710784845095596</v>
      </c>
      <c r="P918" t="s">
        <v>36</v>
      </c>
    </row>
    <row r="919" spans="1:16">
      <c r="A919">
        <v>918</v>
      </c>
      <c r="B919" t="s">
        <v>975</v>
      </c>
      <c r="C919">
        <v>103</v>
      </c>
      <c r="D919">
        <v>132</v>
      </c>
      <c r="E919">
        <v>72.735642231354504</v>
      </c>
      <c r="F919">
        <v>0.77685950413223104</v>
      </c>
      <c r="G919">
        <v>4155.1282888468804</v>
      </c>
      <c r="H919">
        <v>1211.10665131921</v>
      </c>
      <c r="I919">
        <v>0.787265697681925</v>
      </c>
      <c r="J919">
        <v>3.5598321632255001E-2</v>
      </c>
      <c r="K919">
        <v>0.397621892245548</v>
      </c>
      <c r="L919" t="s">
        <v>144</v>
      </c>
      <c r="M919" t="s">
        <v>34</v>
      </c>
      <c r="N919" t="s">
        <v>35</v>
      </c>
      <c r="O919">
        <v>0.97328898785634699</v>
      </c>
      <c r="P919" t="s">
        <v>36</v>
      </c>
    </row>
    <row r="920" spans="1:16">
      <c r="A920">
        <v>919</v>
      </c>
      <c r="B920" t="s">
        <v>976</v>
      </c>
      <c r="C920">
        <v>61</v>
      </c>
      <c r="D920">
        <v>107</v>
      </c>
      <c r="E920">
        <v>73.434765609791498</v>
      </c>
      <c r="F920">
        <v>0.57388242218737995</v>
      </c>
      <c r="G920">
        <v>4235.3890298676797</v>
      </c>
      <c r="H920">
        <v>339.36548744574799</v>
      </c>
      <c r="I920">
        <v>0.84686063541506196</v>
      </c>
      <c r="J920">
        <v>0.46213389639680902</v>
      </c>
      <c r="K920">
        <v>0.85875297592140598</v>
      </c>
      <c r="L920" t="s">
        <v>33</v>
      </c>
      <c r="M920" t="s">
        <v>34</v>
      </c>
      <c r="N920" t="s">
        <v>35</v>
      </c>
      <c r="O920">
        <v>0.67787190966385302</v>
      </c>
      <c r="P920" t="s">
        <v>36</v>
      </c>
    </row>
    <row r="921" spans="1:16">
      <c r="A921">
        <v>920</v>
      </c>
      <c r="B921" t="s">
        <v>977</v>
      </c>
      <c r="C921">
        <v>113</v>
      </c>
      <c r="D921">
        <v>114</v>
      </c>
      <c r="E921">
        <v>73.442496263267799</v>
      </c>
      <c r="F921">
        <v>0.995215311004785</v>
      </c>
      <c r="G921">
        <v>4236.2808158790203</v>
      </c>
      <c r="H921">
        <v>790.70367905243597</v>
      </c>
      <c r="I921">
        <v>0.64064253705542096</v>
      </c>
      <c r="J921">
        <v>8.5146555933006199E-2</v>
      </c>
      <c r="K921">
        <v>0.41740378419541901</v>
      </c>
      <c r="L921" t="s">
        <v>38</v>
      </c>
      <c r="M921" t="s">
        <v>34</v>
      </c>
      <c r="N921" t="s">
        <v>35</v>
      </c>
      <c r="O921">
        <v>0.84439550208015801</v>
      </c>
      <c r="P921" t="s">
        <v>36</v>
      </c>
    </row>
    <row r="922" spans="1:16">
      <c r="A922">
        <v>921</v>
      </c>
      <c r="B922" t="s">
        <v>978</v>
      </c>
      <c r="C922">
        <v>90</v>
      </c>
      <c r="D922">
        <v>84</v>
      </c>
      <c r="E922">
        <v>73.508173992477197</v>
      </c>
      <c r="F922">
        <v>1.07099367750139</v>
      </c>
      <c r="G922">
        <v>4243.8609969754298</v>
      </c>
      <c r="H922">
        <v>447.19953428382502</v>
      </c>
      <c r="I922">
        <v>0.68712140685991496</v>
      </c>
      <c r="J922">
        <v>0.26666641931863799</v>
      </c>
      <c r="K922">
        <v>0.74184832029930603</v>
      </c>
      <c r="L922" t="s">
        <v>41</v>
      </c>
      <c r="M922" t="s">
        <v>34</v>
      </c>
      <c r="N922" t="s">
        <v>35</v>
      </c>
      <c r="O922">
        <v>0.66336321916421603</v>
      </c>
      <c r="P922" t="s">
        <v>36</v>
      </c>
    </row>
    <row r="923" spans="1:16">
      <c r="A923">
        <v>922</v>
      </c>
      <c r="B923" t="s">
        <v>979</v>
      </c>
      <c r="C923">
        <v>129</v>
      </c>
      <c r="D923">
        <v>86</v>
      </c>
      <c r="E923">
        <v>73.560931215861501</v>
      </c>
      <c r="F923">
        <v>1.49902661285364</v>
      </c>
      <c r="G923">
        <v>4249.9548680529297</v>
      </c>
      <c r="H923">
        <v>803.56970764035805</v>
      </c>
      <c r="I923">
        <v>0.59762520902727401</v>
      </c>
      <c r="J923">
        <v>8.2707914245868305E-2</v>
      </c>
      <c r="K923">
        <v>0.50936102748632806</v>
      </c>
      <c r="L923" t="s">
        <v>38</v>
      </c>
      <c r="M923" t="s">
        <v>34</v>
      </c>
      <c r="N923" t="s">
        <v>35</v>
      </c>
      <c r="O923">
        <v>0.70067164607987398</v>
      </c>
      <c r="P923" t="s">
        <v>36</v>
      </c>
    </row>
    <row r="924" spans="1:16">
      <c r="A924">
        <v>923</v>
      </c>
      <c r="B924" t="s">
        <v>980</v>
      </c>
      <c r="C924">
        <v>82</v>
      </c>
      <c r="D924">
        <v>88</v>
      </c>
      <c r="E924">
        <v>73.811333552747101</v>
      </c>
      <c r="F924">
        <v>0.93788818698445897</v>
      </c>
      <c r="G924">
        <v>4278.9379134215496</v>
      </c>
      <c r="H924">
        <v>593.72958227478898</v>
      </c>
      <c r="I924">
        <v>0.56903301197488299</v>
      </c>
      <c r="J924">
        <v>0.152534637078794</v>
      </c>
      <c r="K924">
        <v>0.69945819869287396</v>
      </c>
      <c r="L924" t="s">
        <v>33</v>
      </c>
      <c r="M924" t="s">
        <v>34</v>
      </c>
      <c r="N924" t="s">
        <v>35</v>
      </c>
      <c r="O924">
        <v>0.78335560465203902</v>
      </c>
      <c r="P924" t="s">
        <v>36</v>
      </c>
    </row>
    <row r="925" spans="1:16">
      <c r="A925">
        <v>924</v>
      </c>
      <c r="B925" t="s">
        <v>981</v>
      </c>
      <c r="C925">
        <v>80</v>
      </c>
      <c r="D925">
        <v>115</v>
      </c>
      <c r="E925">
        <v>73.893331935042895</v>
      </c>
      <c r="F925">
        <v>0.69668246445497595</v>
      </c>
      <c r="G925">
        <v>4288.4502975425303</v>
      </c>
      <c r="H925">
        <v>618.44319011574203</v>
      </c>
      <c r="I925">
        <v>0.60950161180820295</v>
      </c>
      <c r="J925">
        <v>0.14089987947520399</v>
      </c>
      <c r="K925">
        <v>0.60191926567226495</v>
      </c>
      <c r="L925" t="s">
        <v>33</v>
      </c>
      <c r="M925" t="s">
        <v>34</v>
      </c>
      <c r="N925" t="s">
        <v>35</v>
      </c>
      <c r="O925">
        <v>0.68872214476528903</v>
      </c>
      <c r="P925" t="s">
        <v>36</v>
      </c>
    </row>
    <row r="926" spans="1:16">
      <c r="A926">
        <v>925</v>
      </c>
      <c r="B926" t="s">
        <v>982</v>
      </c>
      <c r="C926">
        <v>90</v>
      </c>
      <c r="D926">
        <v>91</v>
      </c>
      <c r="E926">
        <v>73.938136336289602</v>
      </c>
      <c r="F926">
        <v>0.99009535965896101</v>
      </c>
      <c r="G926">
        <v>4293.6523826086996</v>
      </c>
      <c r="H926">
        <v>416.56716820758299</v>
      </c>
      <c r="I926">
        <v>0.71209905380671801</v>
      </c>
      <c r="J926">
        <v>0.31093289378329297</v>
      </c>
      <c r="K926">
        <v>0.711124239962583</v>
      </c>
      <c r="L926" t="s">
        <v>38</v>
      </c>
      <c r="M926" t="s">
        <v>34</v>
      </c>
      <c r="N926" t="s">
        <v>35</v>
      </c>
      <c r="O926">
        <v>0.68662494062822599</v>
      </c>
      <c r="P926" t="s">
        <v>36</v>
      </c>
    </row>
    <row r="927" spans="1:16">
      <c r="A927">
        <v>926</v>
      </c>
      <c r="B927" t="s">
        <v>983</v>
      </c>
      <c r="C927">
        <v>100</v>
      </c>
      <c r="D927">
        <v>75</v>
      </c>
      <c r="E927">
        <v>74.011045448818194</v>
      </c>
      <c r="F927">
        <v>1.3342602644000601</v>
      </c>
      <c r="G927">
        <v>4302.1243497164496</v>
      </c>
      <c r="H927">
        <v>400.12374954793802</v>
      </c>
      <c r="I927">
        <v>0.70224663383658004</v>
      </c>
      <c r="J927">
        <v>0.337679085806386</v>
      </c>
      <c r="K927">
        <v>0.74483415249221596</v>
      </c>
      <c r="L927" t="s">
        <v>144</v>
      </c>
      <c r="M927" t="s">
        <v>34</v>
      </c>
      <c r="N927" t="s">
        <v>35</v>
      </c>
      <c r="O927">
        <v>0.78252260857250699</v>
      </c>
      <c r="P927" t="s">
        <v>36</v>
      </c>
    </row>
    <row r="928" spans="1:16">
      <c r="A928">
        <v>927</v>
      </c>
      <c r="B928" t="s">
        <v>984</v>
      </c>
      <c r="C928">
        <v>59</v>
      </c>
      <c r="D928">
        <v>136</v>
      </c>
      <c r="E928">
        <v>74.036610577542206</v>
      </c>
      <c r="F928">
        <v>0.435133197751845</v>
      </c>
      <c r="G928">
        <v>4305.0969697542496</v>
      </c>
      <c r="H928">
        <v>560.97114383417602</v>
      </c>
      <c r="I928">
        <v>0.90555749332734303</v>
      </c>
      <c r="J928">
        <v>0.171914203087906</v>
      </c>
      <c r="K928">
        <v>0.70293161190117903</v>
      </c>
      <c r="L928" t="s">
        <v>41</v>
      </c>
      <c r="M928" t="s">
        <v>34</v>
      </c>
      <c r="N928" t="s">
        <v>35</v>
      </c>
      <c r="O928">
        <v>0.71449249287981897</v>
      </c>
      <c r="P928" t="s">
        <v>36</v>
      </c>
    </row>
    <row r="929" spans="1:16">
      <c r="A929">
        <v>928</v>
      </c>
      <c r="B929" t="s">
        <v>985</v>
      </c>
      <c r="C929">
        <v>193</v>
      </c>
      <c r="D929">
        <v>64</v>
      </c>
      <c r="E929">
        <v>74.104315514531294</v>
      </c>
      <c r="F929">
        <v>2.99748992525052</v>
      </c>
      <c r="G929">
        <v>4312.9744128544398</v>
      </c>
      <c r="H929">
        <v>648.867385857209</v>
      </c>
      <c r="I929">
        <v>0.69455927756319902</v>
      </c>
      <c r="J929">
        <v>0.12872854316315999</v>
      </c>
      <c r="K929">
        <v>0.50757390239636202</v>
      </c>
      <c r="L929" t="s">
        <v>47</v>
      </c>
      <c r="M929" t="s">
        <v>34</v>
      </c>
      <c r="N929" t="s">
        <v>35</v>
      </c>
      <c r="O929">
        <v>0.95185541884828795</v>
      </c>
      <c r="P929" t="s">
        <v>36</v>
      </c>
    </row>
    <row r="930" spans="1:16">
      <c r="A930">
        <v>929</v>
      </c>
      <c r="B930" t="s">
        <v>986</v>
      </c>
      <c r="C930">
        <v>103</v>
      </c>
      <c r="D930">
        <v>79</v>
      </c>
      <c r="E930">
        <v>74.202569219698105</v>
      </c>
      <c r="F930">
        <v>1.30555555555556</v>
      </c>
      <c r="G930">
        <v>4324.4189999999999</v>
      </c>
      <c r="H930">
        <v>424.51180664404598</v>
      </c>
      <c r="I930">
        <v>0.70961674828233301</v>
      </c>
      <c r="J930">
        <v>0.30154913282996099</v>
      </c>
      <c r="K930">
        <v>0.75025786487880397</v>
      </c>
      <c r="L930" t="s">
        <v>33</v>
      </c>
      <c r="M930" t="s">
        <v>34</v>
      </c>
      <c r="N930" t="s">
        <v>35</v>
      </c>
      <c r="O930">
        <v>0.68178945068830099</v>
      </c>
      <c r="P930" t="s">
        <v>36</v>
      </c>
    </row>
    <row r="931" spans="1:16">
      <c r="A931">
        <v>930</v>
      </c>
      <c r="B931" t="s">
        <v>987</v>
      </c>
      <c r="C931">
        <v>105</v>
      </c>
      <c r="D931">
        <v>80</v>
      </c>
      <c r="E931">
        <v>74.261204210451595</v>
      </c>
      <c r="F931">
        <v>1.3048921779645399</v>
      </c>
      <c r="G931">
        <v>4331.2560260869604</v>
      </c>
      <c r="H931">
        <v>446.81757010801999</v>
      </c>
      <c r="I931">
        <v>0.58509238704713895</v>
      </c>
      <c r="J931">
        <v>0.272623466264931</v>
      </c>
      <c r="K931">
        <v>0.707391673746814</v>
      </c>
      <c r="L931" t="s">
        <v>33</v>
      </c>
      <c r="M931" t="s">
        <v>34</v>
      </c>
      <c r="N931" t="s">
        <v>35</v>
      </c>
      <c r="O931">
        <v>0.71099097016119694</v>
      </c>
      <c r="P931" t="s">
        <v>36</v>
      </c>
    </row>
    <row r="932" spans="1:16">
      <c r="A932">
        <v>931</v>
      </c>
      <c r="B932" t="s">
        <v>988</v>
      </c>
      <c r="C932">
        <v>97</v>
      </c>
      <c r="D932">
        <v>66</v>
      </c>
      <c r="E932">
        <v>74.393599920834205</v>
      </c>
      <c r="F932">
        <v>1.4686594369607999</v>
      </c>
      <c r="G932">
        <v>4346.7136502835501</v>
      </c>
      <c r="H932">
        <v>297.719179141729</v>
      </c>
      <c r="I932">
        <v>0.57953442855464099</v>
      </c>
      <c r="J932">
        <v>0.61625047807724398</v>
      </c>
      <c r="K932">
        <v>0.89766413947635004</v>
      </c>
      <c r="L932" t="s">
        <v>33</v>
      </c>
      <c r="M932" t="s">
        <v>34</v>
      </c>
      <c r="N932" t="s">
        <v>35</v>
      </c>
      <c r="O932">
        <v>0.763933798331353</v>
      </c>
      <c r="P932" t="s">
        <v>36</v>
      </c>
    </row>
    <row r="933" spans="1:16">
      <c r="A933">
        <v>932</v>
      </c>
      <c r="B933" t="s">
        <v>989</v>
      </c>
      <c r="C933">
        <v>146</v>
      </c>
      <c r="D933">
        <v>75</v>
      </c>
      <c r="E933">
        <v>74.605705333669206</v>
      </c>
      <c r="F933">
        <v>1.93549419124258</v>
      </c>
      <c r="G933">
        <v>4371.5350275992396</v>
      </c>
      <c r="H933">
        <v>748.96819705382597</v>
      </c>
      <c r="I933">
        <v>0.69841767066468796</v>
      </c>
      <c r="J933">
        <v>9.7930297255138896E-2</v>
      </c>
      <c r="K933">
        <v>0.56274753659236598</v>
      </c>
      <c r="L933" t="s">
        <v>38</v>
      </c>
      <c r="M933" t="s">
        <v>34</v>
      </c>
      <c r="N933" t="s">
        <v>35</v>
      </c>
      <c r="O933">
        <v>0.70627609202103003</v>
      </c>
      <c r="P933" t="s">
        <v>36</v>
      </c>
    </row>
    <row r="934" spans="1:16">
      <c r="A934">
        <v>933</v>
      </c>
      <c r="B934" t="s">
        <v>990</v>
      </c>
      <c r="C934">
        <v>82</v>
      </c>
      <c r="D934">
        <v>75</v>
      </c>
      <c r="E934">
        <v>74.608241864237996</v>
      </c>
      <c r="F934">
        <v>1.09347440625985</v>
      </c>
      <c r="G934">
        <v>4371.8322896030204</v>
      </c>
      <c r="H934">
        <v>288.33424146652197</v>
      </c>
      <c r="I934">
        <v>0.71324238228770498</v>
      </c>
      <c r="J934">
        <v>0.66081655753527102</v>
      </c>
      <c r="K934">
        <v>0.90262988308221104</v>
      </c>
      <c r="L934" t="s">
        <v>74</v>
      </c>
      <c r="M934" t="s">
        <v>34</v>
      </c>
      <c r="N934" t="s">
        <v>35</v>
      </c>
      <c r="O934">
        <v>0.67553499369758996</v>
      </c>
      <c r="P934" t="s">
        <v>36</v>
      </c>
    </row>
    <row r="935" spans="1:16">
      <c r="A935">
        <v>934</v>
      </c>
      <c r="B935" t="s">
        <v>991</v>
      </c>
      <c r="C935">
        <v>112</v>
      </c>
      <c r="D935">
        <v>152</v>
      </c>
      <c r="E935">
        <v>74.638673507324398</v>
      </c>
      <c r="F935">
        <v>0.73741007194244601</v>
      </c>
      <c r="G935">
        <v>4375.3994336483902</v>
      </c>
      <c r="H935">
        <v>795.09751790253995</v>
      </c>
      <c r="I935">
        <v>0.64946420474480404</v>
      </c>
      <c r="J935">
        <v>8.6973465455958895E-2</v>
      </c>
      <c r="K935">
        <v>0.40981735159817401</v>
      </c>
      <c r="L935" t="s">
        <v>74</v>
      </c>
      <c r="M935" t="s">
        <v>34</v>
      </c>
      <c r="N935" t="s">
        <v>35</v>
      </c>
      <c r="O935">
        <v>0.70954928615560597</v>
      </c>
      <c r="P935" t="s">
        <v>36</v>
      </c>
    </row>
    <row r="936" spans="1:16">
      <c r="A936">
        <v>935</v>
      </c>
      <c r="B936" t="s">
        <v>992</v>
      </c>
      <c r="C936">
        <v>108</v>
      </c>
      <c r="D936">
        <v>65</v>
      </c>
      <c r="E936">
        <v>74.664023735106696</v>
      </c>
      <c r="F936">
        <v>1.65772447216685</v>
      </c>
      <c r="G936">
        <v>4378.3720536862002</v>
      </c>
      <c r="H936">
        <v>374.52398425496102</v>
      </c>
      <c r="I936">
        <v>0.53623180730133901</v>
      </c>
      <c r="J936">
        <v>0.39225027565654602</v>
      </c>
      <c r="K936">
        <v>0.77362256421030495</v>
      </c>
      <c r="L936" t="s">
        <v>38</v>
      </c>
      <c r="M936" t="s">
        <v>34</v>
      </c>
      <c r="N936" t="s">
        <v>35</v>
      </c>
      <c r="O936">
        <v>0.77999736975879597</v>
      </c>
      <c r="P936" t="s">
        <v>36</v>
      </c>
    </row>
    <row r="937" spans="1:16">
      <c r="A937">
        <v>936</v>
      </c>
      <c r="B937" t="s">
        <v>993</v>
      </c>
      <c r="C937">
        <v>129</v>
      </c>
      <c r="D937">
        <v>56</v>
      </c>
      <c r="E937">
        <v>74.752681832555098</v>
      </c>
      <c r="F937">
        <v>2.29126213592233</v>
      </c>
      <c r="G937">
        <v>4388.7762238185296</v>
      </c>
      <c r="H937">
        <v>542.793019224457</v>
      </c>
      <c r="I937">
        <v>0.81169862928844605</v>
      </c>
      <c r="J937">
        <v>0.187190926674698</v>
      </c>
      <c r="K937">
        <v>0.73648766617614003</v>
      </c>
      <c r="L937" t="s">
        <v>41</v>
      </c>
      <c r="M937" t="s">
        <v>34</v>
      </c>
      <c r="N937" t="s">
        <v>35</v>
      </c>
      <c r="O937">
        <v>0.68112535779591898</v>
      </c>
      <c r="P937" t="s">
        <v>36</v>
      </c>
    </row>
    <row r="938" spans="1:16">
      <c r="A938">
        <v>937</v>
      </c>
      <c r="B938" t="s">
        <v>994</v>
      </c>
      <c r="C938">
        <v>68</v>
      </c>
      <c r="D938">
        <v>142</v>
      </c>
      <c r="E938">
        <v>74.934734364787005</v>
      </c>
      <c r="F938">
        <v>0.480769230769231</v>
      </c>
      <c r="G938">
        <v>4410.1790880907402</v>
      </c>
      <c r="H938">
        <v>634.31755551587003</v>
      </c>
      <c r="I938">
        <v>0.80631423736679397</v>
      </c>
      <c r="J938">
        <v>0.13773763674600301</v>
      </c>
      <c r="K938">
        <v>0.63628760748825897</v>
      </c>
      <c r="L938" t="s">
        <v>38</v>
      </c>
      <c r="M938" t="s">
        <v>34</v>
      </c>
      <c r="N938" t="s">
        <v>35</v>
      </c>
      <c r="O938">
        <v>0.70369387221894697</v>
      </c>
      <c r="P938" t="s">
        <v>36</v>
      </c>
    </row>
    <row r="939" spans="1:16">
      <c r="A939">
        <v>938</v>
      </c>
      <c r="B939" t="s">
        <v>995</v>
      </c>
      <c r="C939">
        <v>148</v>
      </c>
      <c r="D939">
        <v>81</v>
      </c>
      <c r="E939">
        <v>74.965033470155404</v>
      </c>
      <c r="F939">
        <v>1.8313938308634099</v>
      </c>
      <c r="G939">
        <v>4413.7462321361099</v>
      </c>
      <c r="H939">
        <v>983.37634313479703</v>
      </c>
      <c r="I939">
        <v>0.62848113932905803</v>
      </c>
      <c r="J939">
        <v>5.7355848792294398E-2</v>
      </c>
      <c r="K939">
        <v>0.45541821304787899</v>
      </c>
      <c r="L939" t="s">
        <v>74</v>
      </c>
      <c r="M939" t="s">
        <v>34</v>
      </c>
      <c r="N939" t="s">
        <v>35</v>
      </c>
      <c r="O939">
        <v>0.64291453952353395</v>
      </c>
      <c r="P939" t="s">
        <v>36</v>
      </c>
    </row>
    <row r="940" spans="1:16">
      <c r="A940">
        <v>939</v>
      </c>
      <c r="B940" t="s">
        <v>996</v>
      </c>
      <c r="C940">
        <v>108</v>
      </c>
      <c r="D940">
        <v>62</v>
      </c>
      <c r="E940">
        <v>75.011720613122804</v>
      </c>
      <c r="F940">
        <v>1.7354776496422899</v>
      </c>
      <c r="G940">
        <v>4419.24557920605</v>
      </c>
      <c r="H940">
        <v>387.32742963365899</v>
      </c>
      <c r="I940">
        <v>0.67441960181315797</v>
      </c>
      <c r="J940">
        <v>0.37017023320833597</v>
      </c>
      <c r="K940">
        <v>0.85784766301211801</v>
      </c>
      <c r="L940" t="s">
        <v>61</v>
      </c>
      <c r="M940" t="s">
        <v>34</v>
      </c>
      <c r="N940" t="s">
        <v>35</v>
      </c>
      <c r="O940">
        <v>0.66051826616641796</v>
      </c>
      <c r="P940" t="s">
        <v>36</v>
      </c>
    </row>
    <row r="941" spans="1:16">
      <c r="A941">
        <v>940</v>
      </c>
      <c r="B941" t="s">
        <v>997</v>
      </c>
      <c r="C941">
        <v>119</v>
      </c>
      <c r="D941">
        <v>64</v>
      </c>
      <c r="E941">
        <v>75.011720613122804</v>
      </c>
      <c r="F941">
        <v>1.8766840859426499</v>
      </c>
      <c r="G941">
        <v>4419.24557920605</v>
      </c>
      <c r="H941">
        <v>376.385472853598</v>
      </c>
      <c r="I941">
        <v>0.70347505784543196</v>
      </c>
      <c r="J941">
        <v>0.39200562101948799</v>
      </c>
      <c r="K941">
        <v>0.79020384298509005</v>
      </c>
      <c r="L941" t="s">
        <v>49</v>
      </c>
      <c r="M941" t="s">
        <v>34</v>
      </c>
      <c r="N941" t="s">
        <v>35</v>
      </c>
      <c r="O941">
        <v>0.717988939264387</v>
      </c>
      <c r="P941" t="s">
        <v>36</v>
      </c>
    </row>
    <row r="942" spans="1:16">
      <c r="A942">
        <v>941</v>
      </c>
      <c r="B942" t="s">
        <v>998</v>
      </c>
      <c r="C942">
        <v>70</v>
      </c>
      <c r="D942">
        <v>111</v>
      </c>
      <c r="E942">
        <v>75.127681804417406</v>
      </c>
      <c r="F942">
        <v>0.62753076037859601</v>
      </c>
      <c r="G942">
        <v>4432.9196313799603</v>
      </c>
      <c r="H942">
        <v>536.23322228193297</v>
      </c>
      <c r="I942">
        <v>0.76429376626186996</v>
      </c>
      <c r="J942">
        <v>0.193727952002717</v>
      </c>
      <c r="K942">
        <v>0.76582359738092198</v>
      </c>
      <c r="L942" t="s">
        <v>33</v>
      </c>
      <c r="M942" t="s">
        <v>34</v>
      </c>
      <c r="N942" t="s">
        <v>35</v>
      </c>
      <c r="O942">
        <v>0.66285182405520504</v>
      </c>
      <c r="P942" t="s">
        <v>36</v>
      </c>
    </row>
    <row r="943" spans="1:16">
      <c r="A943">
        <v>942</v>
      </c>
      <c r="B943" t="s">
        <v>999</v>
      </c>
      <c r="C943">
        <v>109</v>
      </c>
      <c r="D943">
        <v>73</v>
      </c>
      <c r="E943">
        <v>75.227114526419498</v>
      </c>
      <c r="F943">
        <v>1.4847278953787399</v>
      </c>
      <c r="G943">
        <v>4444.6614805293002</v>
      </c>
      <c r="H943">
        <v>395.950715731331</v>
      </c>
      <c r="I943">
        <v>0.66890855820899298</v>
      </c>
      <c r="J943">
        <v>0.35625936432691402</v>
      </c>
      <c r="K943">
        <v>0.79358845071917605</v>
      </c>
      <c r="L943" t="s">
        <v>49</v>
      </c>
      <c r="M943" t="s">
        <v>34</v>
      </c>
      <c r="N943" t="s">
        <v>35</v>
      </c>
      <c r="O943">
        <v>0.81278629912651601</v>
      </c>
      <c r="P943" t="s">
        <v>36</v>
      </c>
    </row>
    <row r="944" spans="1:16">
      <c r="A944">
        <v>943</v>
      </c>
      <c r="B944" t="s">
        <v>1000</v>
      </c>
      <c r="C944">
        <v>77</v>
      </c>
      <c r="D944">
        <v>133</v>
      </c>
      <c r="E944">
        <v>75.230887862490206</v>
      </c>
      <c r="F944">
        <v>0.58249371873649203</v>
      </c>
      <c r="G944">
        <v>4445.1073735349701</v>
      </c>
      <c r="H944">
        <v>513.49686721957301</v>
      </c>
      <c r="I944">
        <v>0.59931721138999405</v>
      </c>
      <c r="J944">
        <v>0.21184417325973301</v>
      </c>
      <c r="K944">
        <v>0.60393780290791599</v>
      </c>
      <c r="L944" t="s">
        <v>38</v>
      </c>
      <c r="M944" t="s">
        <v>34</v>
      </c>
      <c r="N944" t="s">
        <v>35</v>
      </c>
      <c r="O944">
        <v>0.84231958325192302</v>
      </c>
      <c r="P944" t="s">
        <v>36</v>
      </c>
    </row>
    <row r="945" spans="1:16">
      <c r="A945">
        <v>944</v>
      </c>
      <c r="B945" t="s">
        <v>1001</v>
      </c>
      <c r="C945">
        <v>123</v>
      </c>
      <c r="D945">
        <v>76</v>
      </c>
      <c r="E945">
        <v>75.389197436339103</v>
      </c>
      <c r="F945">
        <v>1.6142857142857101</v>
      </c>
      <c r="G945">
        <v>4463.8348797731596</v>
      </c>
      <c r="H945">
        <v>600.40286662319397</v>
      </c>
      <c r="I945">
        <v>0.64251324189417902</v>
      </c>
      <c r="J945">
        <v>0.155608197184326</v>
      </c>
      <c r="K945">
        <v>0.54008416055243802</v>
      </c>
      <c r="L945" t="s">
        <v>38</v>
      </c>
      <c r="M945" t="s">
        <v>34</v>
      </c>
      <c r="N945" t="s">
        <v>35</v>
      </c>
      <c r="O945">
        <v>0.81239141432027795</v>
      </c>
      <c r="P945" t="s">
        <v>36</v>
      </c>
    </row>
    <row r="946" spans="1:16">
      <c r="A946">
        <v>945</v>
      </c>
      <c r="B946" t="s">
        <v>1002</v>
      </c>
      <c r="C946">
        <v>84</v>
      </c>
      <c r="D946">
        <v>106</v>
      </c>
      <c r="E946">
        <v>75.395472705204398</v>
      </c>
      <c r="F946">
        <v>0.79132767322559605</v>
      </c>
      <c r="G946">
        <v>4464.5780347826103</v>
      </c>
      <c r="H946">
        <v>424.99396298304902</v>
      </c>
      <c r="I946">
        <v>0.69528881731296699</v>
      </c>
      <c r="J946">
        <v>0.31061667060968901</v>
      </c>
      <c r="K946">
        <v>0.73065602880007796</v>
      </c>
      <c r="L946" t="s">
        <v>38</v>
      </c>
      <c r="M946" t="s">
        <v>34</v>
      </c>
      <c r="N946" t="s">
        <v>35</v>
      </c>
      <c r="O946">
        <v>0.83806554571726999</v>
      </c>
      <c r="P946" t="s">
        <v>36</v>
      </c>
    </row>
    <row r="947" spans="1:16">
      <c r="A947">
        <v>946</v>
      </c>
      <c r="B947" t="s">
        <v>1003</v>
      </c>
      <c r="C947">
        <v>75</v>
      </c>
      <c r="D947">
        <v>162</v>
      </c>
      <c r="E947">
        <v>75.429350135799893</v>
      </c>
      <c r="F947">
        <v>0.46188725470069703</v>
      </c>
      <c r="G947">
        <v>4468.5910718336499</v>
      </c>
      <c r="H947">
        <v>789.37135798526901</v>
      </c>
      <c r="I947">
        <v>0.63418090741321598</v>
      </c>
      <c r="J947">
        <v>9.0119287446948804E-2</v>
      </c>
      <c r="K947">
        <v>0.54159461017437704</v>
      </c>
      <c r="L947" t="s">
        <v>43</v>
      </c>
      <c r="M947" t="s">
        <v>34</v>
      </c>
      <c r="N947" t="s">
        <v>35</v>
      </c>
      <c r="O947">
        <v>0.85973852291266695</v>
      </c>
      <c r="P947" t="s">
        <v>36</v>
      </c>
    </row>
    <row r="948" spans="1:16">
      <c r="A948">
        <v>947</v>
      </c>
      <c r="B948" t="s">
        <v>1004</v>
      </c>
      <c r="C948">
        <v>122</v>
      </c>
      <c r="D948">
        <v>92</v>
      </c>
      <c r="E948">
        <v>75.487032223365304</v>
      </c>
      <c r="F948">
        <v>1.3273810118504501</v>
      </c>
      <c r="G948">
        <v>4475.4280979206096</v>
      </c>
      <c r="H948">
        <v>713.78927953751202</v>
      </c>
      <c r="I948">
        <v>0.61655875646038405</v>
      </c>
      <c r="J948">
        <v>0.110383562488911</v>
      </c>
      <c r="K948">
        <v>0.49978422520249599</v>
      </c>
      <c r="L948" t="s">
        <v>38</v>
      </c>
      <c r="M948" t="s">
        <v>34</v>
      </c>
      <c r="N948" t="s">
        <v>35</v>
      </c>
      <c r="O948">
        <v>0.73059900552905099</v>
      </c>
      <c r="P948" t="s">
        <v>36</v>
      </c>
    </row>
    <row r="949" spans="1:16">
      <c r="A949">
        <v>948</v>
      </c>
      <c r="B949" t="s">
        <v>1005</v>
      </c>
      <c r="C949">
        <v>108</v>
      </c>
      <c r="D949">
        <v>68</v>
      </c>
      <c r="E949">
        <v>75.606018983038197</v>
      </c>
      <c r="F949">
        <v>1.5967741935483899</v>
      </c>
      <c r="G949">
        <v>4489.5480431001897</v>
      </c>
      <c r="H949">
        <v>359.51469505579598</v>
      </c>
      <c r="I949">
        <v>0.76459474532871197</v>
      </c>
      <c r="J949">
        <v>0.43649492021438602</v>
      </c>
      <c r="K949">
        <v>0.85586376901935202</v>
      </c>
      <c r="L949" t="s">
        <v>43</v>
      </c>
      <c r="M949" t="s">
        <v>34</v>
      </c>
      <c r="N949" t="s">
        <v>35</v>
      </c>
      <c r="O949">
        <v>0.71153665211116501</v>
      </c>
      <c r="P949" t="s">
        <v>36</v>
      </c>
    </row>
    <row r="950" spans="1:16">
      <c r="A950">
        <v>949</v>
      </c>
      <c r="B950" t="s">
        <v>1006</v>
      </c>
      <c r="C950">
        <v>82</v>
      </c>
      <c r="D950">
        <v>83</v>
      </c>
      <c r="E950">
        <v>75.693975660604806</v>
      </c>
      <c r="F950">
        <v>0.983333256921744</v>
      </c>
      <c r="G950">
        <v>4500</v>
      </c>
      <c r="H950">
        <v>309.70562458038302</v>
      </c>
      <c r="I950">
        <v>0.72717727662769904</v>
      </c>
      <c r="J950">
        <v>0.58955481740501903</v>
      </c>
      <c r="K950">
        <v>0.83526682134570795</v>
      </c>
      <c r="L950" t="s">
        <v>74</v>
      </c>
      <c r="M950" t="s">
        <v>34</v>
      </c>
      <c r="N950" t="s">
        <v>35</v>
      </c>
      <c r="O950">
        <v>0.67456569629687402</v>
      </c>
      <c r="P950" t="s">
        <v>36</v>
      </c>
    </row>
    <row r="951" spans="1:16">
      <c r="A951">
        <v>950</v>
      </c>
      <c r="B951" t="s">
        <v>1007</v>
      </c>
      <c r="C951">
        <v>125</v>
      </c>
      <c r="D951">
        <v>152</v>
      </c>
      <c r="E951">
        <v>75.8521651087961</v>
      </c>
      <c r="F951">
        <v>0.81957083833571198</v>
      </c>
      <c r="G951">
        <v>4518.8283504725896</v>
      </c>
      <c r="H951">
        <v>1134.57649275417</v>
      </c>
      <c r="I951">
        <v>0.58051254423556997</v>
      </c>
      <c r="J951">
        <v>4.4113157695127997E-2</v>
      </c>
      <c r="K951">
        <v>0.33991100576897298</v>
      </c>
      <c r="L951" t="s">
        <v>41</v>
      </c>
      <c r="M951" t="s">
        <v>34</v>
      </c>
      <c r="N951" t="s">
        <v>35</v>
      </c>
      <c r="O951">
        <v>0.72603127503014298</v>
      </c>
      <c r="P951" t="s">
        <v>36</v>
      </c>
    </row>
    <row r="952" spans="1:16">
      <c r="A952">
        <v>951</v>
      </c>
      <c r="B952" t="s">
        <v>1008</v>
      </c>
      <c r="C952">
        <v>89</v>
      </c>
      <c r="D952">
        <v>101</v>
      </c>
      <c r="E952">
        <v>75.8908260637388</v>
      </c>
      <c r="F952">
        <v>0.87634408602150504</v>
      </c>
      <c r="G952">
        <v>4523.43591153119</v>
      </c>
      <c r="H952">
        <v>444.68598850934399</v>
      </c>
      <c r="I952">
        <v>0.59563073785160103</v>
      </c>
      <c r="J952">
        <v>0.28745602409154702</v>
      </c>
      <c r="K952">
        <v>0.72446380537503896</v>
      </c>
      <c r="L952" t="s">
        <v>33</v>
      </c>
      <c r="M952" t="s">
        <v>34</v>
      </c>
      <c r="N952" t="s">
        <v>35</v>
      </c>
      <c r="O952">
        <v>0.79156200613604999</v>
      </c>
      <c r="P952" t="s">
        <v>36</v>
      </c>
    </row>
    <row r="953" spans="1:16">
      <c r="A953">
        <v>952</v>
      </c>
      <c r="B953" t="s">
        <v>1009</v>
      </c>
      <c r="C953">
        <v>83</v>
      </c>
      <c r="D953">
        <v>112</v>
      </c>
      <c r="E953">
        <v>75.900799887682993</v>
      </c>
      <c r="F953">
        <v>0.73786403883614204</v>
      </c>
      <c r="G953">
        <v>4524.6249595463096</v>
      </c>
      <c r="H953">
        <v>846.99773308691795</v>
      </c>
      <c r="I953">
        <v>0.61246330006828398</v>
      </c>
      <c r="J953">
        <v>7.9255234439880806E-2</v>
      </c>
      <c r="K953">
        <v>0.64026416522946195</v>
      </c>
      <c r="L953" t="s">
        <v>47</v>
      </c>
      <c r="M953" t="s">
        <v>34</v>
      </c>
      <c r="N953" t="s">
        <v>35</v>
      </c>
      <c r="O953">
        <v>0.91741422189548505</v>
      </c>
      <c r="P953" t="s">
        <v>36</v>
      </c>
    </row>
    <row r="954" spans="1:16">
      <c r="A954">
        <v>953</v>
      </c>
      <c r="B954" t="s">
        <v>1010</v>
      </c>
      <c r="C954">
        <v>86</v>
      </c>
      <c r="D954">
        <v>120</v>
      </c>
      <c r="E954">
        <v>75.918250926629199</v>
      </c>
      <c r="F954">
        <v>0.71236445994428099</v>
      </c>
      <c r="G954">
        <v>4526.7057935727798</v>
      </c>
      <c r="H954">
        <v>699.29196962294395</v>
      </c>
      <c r="I954">
        <v>0.69154655796758602</v>
      </c>
      <c r="J954">
        <v>0.116325532989334</v>
      </c>
      <c r="K954">
        <v>0.62737666083015797</v>
      </c>
      <c r="L954" t="s">
        <v>41</v>
      </c>
      <c r="M954" t="s">
        <v>34</v>
      </c>
      <c r="N954" t="s">
        <v>35</v>
      </c>
      <c r="O954">
        <v>0.72857340307405905</v>
      </c>
      <c r="P954" t="s">
        <v>36</v>
      </c>
    </row>
    <row r="955" spans="1:16">
      <c r="A955">
        <v>954</v>
      </c>
      <c r="B955" t="s">
        <v>1011</v>
      </c>
      <c r="C955">
        <v>80</v>
      </c>
      <c r="D955">
        <v>98</v>
      </c>
      <c r="E955">
        <v>75.9369440180228</v>
      </c>
      <c r="F955">
        <v>0.81971071531958895</v>
      </c>
      <c r="G955">
        <v>4528.93525860113</v>
      </c>
      <c r="H955">
        <v>367.02323265956801</v>
      </c>
      <c r="I955">
        <v>0.69569249756921703</v>
      </c>
      <c r="J955">
        <v>0.42249236429081499</v>
      </c>
      <c r="K955">
        <v>0.73813618856132401</v>
      </c>
      <c r="L955" t="s">
        <v>144</v>
      </c>
      <c r="M955" t="s">
        <v>34</v>
      </c>
      <c r="N955" t="s">
        <v>35</v>
      </c>
      <c r="O955">
        <v>0.79215583576329296</v>
      </c>
      <c r="P955" t="s">
        <v>36</v>
      </c>
    </row>
    <row r="956" spans="1:16">
      <c r="A956">
        <v>955</v>
      </c>
      <c r="B956" t="s">
        <v>1012</v>
      </c>
      <c r="C956">
        <v>99</v>
      </c>
      <c r="D956">
        <v>71</v>
      </c>
      <c r="E956">
        <v>76.136051420238502</v>
      </c>
      <c r="F956">
        <v>1.39118672757116</v>
      </c>
      <c r="G956">
        <v>4552.7162189035898</v>
      </c>
      <c r="H956">
        <v>366.08778724100301</v>
      </c>
      <c r="I956">
        <v>0.67491397453041002</v>
      </c>
      <c r="J956">
        <v>0.42688408385235999</v>
      </c>
      <c r="K956">
        <v>0.82963625037241695</v>
      </c>
      <c r="L956" t="s">
        <v>74</v>
      </c>
      <c r="M956" t="s">
        <v>34</v>
      </c>
      <c r="N956" t="s">
        <v>35</v>
      </c>
      <c r="O956">
        <v>0.74948338002502501</v>
      </c>
      <c r="P956" t="s">
        <v>36</v>
      </c>
    </row>
    <row r="957" spans="1:16">
      <c r="A957">
        <v>956</v>
      </c>
      <c r="B957" t="s">
        <v>1013</v>
      </c>
      <c r="C957">
        <v>142</v>
      </c>
      <c r="D957">
        <v>68</v>
      </c>
      <c r="E957">
        <v>76.174568294213501</v>
      </c>
      <c r="F957">
        <v>2.08</v>
      </c>
      <c r="G957">
        <v>4557.3237799621902</v>
      </c>
      <c r="H957">
        <v>914.75967897270004</v>
      </c>
      <c r="I957">
        <v>0.72996432413752799</v>
      </c>
      <c r="J957">
        <v>6.8439325670573203E-2</v>
      </c>
      <c r="K957">
        <v>0.54989239598278306</v>
      </c>
      <c r="L957" t="s">
        <v>38</v>
      </c>
      <c r="M957" t="s">
        <v>34</v>
      </c>
      <c r="N957" t="s">
        <v>35</v>
      </c>
      <c r="O957">
        <v>0.70937993958607604</v>
      </c>
      <c r="P957" t="s">
        <v>36</v>
      </c>
    </row>
    <row r="958" spans="1:16">
      <c r="A958">
        <v>957</v>
      </c>
      <c r="B958" t="s">
        <v>1014</v>
      </c>
      <c r="C958">
        <v>128</v>
      </c>
      <c r="D958">
        <v>77</v>
      </c>
      <c r="E958">
        <v>76.205616108914896</v>
      </c>
      <c r="F958">
        <v>1.6549295774647901</v>
      </c>
      <c r="G958">
        <v>4561.0395550094499</v>
      </c>
      <c r="H958">
        <v>701.639507564773</v>
      </c>
      <c r="I958">
        <v>0.71902788723730005</v>
      </c>
      <c r="J958">
        <v>0.116424835365612</v>
      </c>
      <c r="K958">
        <v>0.56134413814549899</v>
      </c>
      <c r="L958" t="s">
        <v>74</v>
      </c>
      <c r="M958" t="s">
        <v>34</v>
      </c>
      <c r="N958" t="s">
        <v>35</v>
      </c>
      <c r="O958">
        <v>0.71683277543991797</v>
      </c>
      <c r="P958" t="s">
        <v>36</v>
      </c>
    </row>
    <row r="959" spans="1:16">
      <c r="A959">
        <v>958</v>
      </c>
      <c r="B959" t="s">
        <v>1015</v>
      </c>
      <c r="C959">
        <v>82</v>
      </c>
      <c r="D959">
        <v>121</v>
      </c>
      <c r="E959">
        <v>76.219273140723999</v>
      </c>
      <c r="F959">
        <v>0.67354731283945701</v>
      </c>
      <c r="G959">
        <v>4562.6744960302503</v>
      </c>
      <c r="H959">
        <v>490.62043426596603</v>
      </c>
      <c r="I959">
        <v>0.68954165424917302</v>
      </c>
      <c r="J959">
        <v>0.23819798646045801</v>
      </c>
      <c r="K959">
        <v>0.58891915742623602</v>
      </c>
      <c r="L959" t="s">
        <v>298</v>
      </c>
      <c r="M959" t="s">
        <v>34</v>
      </c>
      <c r="N959" t="s">
        <v>35</v>
      </c>
      <c r="O959">
        <v>0.81734345786802998</v>
      </c>
      <c r="P959" t="s">
        <v>36</v>
      </c>
    </row>
    <row r="960" spans="1:16">
      <c r="A960">
        <v>959</v>
      </c>
      <c r="B960" t="s">
        <v>1016</v>
      </c>
      <c r="C960">
        <v>142</v>
      </c>
      <c r="D960">
        <v>62</v>
      </c>
      <c r="E960">
        <v>76.580914828049501</v>
      </c>
      <c r="F960">
        <v>2.28070175438596</v>
      </c>
      <c r="G960">
        <v>4606.0747485822303</v>
      </c>
      <c r="H960">
        <v>791.90370823673595</v>
      </c>
      <c r="I960">
        <v>0.77686261667775003</v>
      </c>
      <c r="J960">
        <v>9.2298807989030895E-2</v>
      </c>
      <c r="K960">
        <v>0.55536639128331</v>
      </c>
      <c r="L960" t="s">
        <v>74</v>
      </c>
      <c r="M960" t="s">
        <v>34</v>
      </c>
      <c r="N960" t="s">
        <v>35</v>
      </c>
      <c r="O960">
        <v>0.74342212431751098</v>
      </c>
      <c r="P960" t="s">
        <v>36</v>
      </c>
    </row>
    <row r="961" spans="1:16">
      <c r="A961">
        <v>960</v>
      </c>
      <c r="B961" t="s">
        <v>1017</v>
      </c>
      <c r="C961">
        <v>65</v>
      </c>
      <c r="D961">
        <v>140</v>
      </c>
      <c r="E961">
        <v>76.647606817412793</v>
      </c>
      <c r="F961">
        <v>0.46865788937241798</v>
      </c>
      <c r="G961">
        <v>4614.1008226843096</v>
      </c>
      <c r="H961">
        <v>431.53657167870102</v>
      </c>
      <c r="I961">
        <v>0.81323865288969799</v>
      </c>
      <c r="J961">
        <v>0.311359219588418</v>
      </c>
      <c r="K961">
        <v>0.72202065308400798</v>
      </c>
      <c r="L961" t="s">
        <v>33</v>
      </c>
      <c r="M961" t="s">
        <v>34</v>
      </c>
      <c r="N961" t="s">
        <v>35</v>
      </c>
      <c r="O961">
        <v>0.70063066858295997</v>
      </c>
      <c r="P961" t="s">
        <v>36</v>
      </c>
    </row>
    <row r="962" spans="1:16">
      <c r="A962">
        <v>961</v>
      </c>
      <c r="B962" t="s">
        <v>1018</v>
      </c>
      <c r="C962">
        <v>83</v>
      </c>
      <c r="D962">
        <v>137</v>
      </c>
      <c r="E962">
        <v>76.715474245041605</v>
      </c>
      <c r="F962">
        <v>0.60557768924302802</v>
      </c>
      <c r="G962">
        <v>4622.2755277882798</v>
      </c>
      <c r="H962">
        <v>795.16333357199403</v>
      </c>
      <c r="I962">
        <v>0.62786546971634505</v>
      </c>
      <c r="J962">
        <v>9.1865618254296205E-2</v>
      </c>
      <c r="K962">
        <v>0.56537468639784705</v>
      </c>
      <c r="L962" t="s">
        <v>74</v>
      </c>
      <c r="M962" t="s">
        <v>34</v>
      </c>
      <c r="N962" t="s">
        <v>35</v>
      </c>
      <c r="O962">
        <v>0.72543376251760405</v>
      </c>
      <c r="P962" t="s">
        <v>36</v>
      </c>
    </row>
    <row r="963" spans="1:16">
      <c r="A963">
        <v>962</v>
      </c>
      <c r="B963" t="s">
        <v>1019</v>
      </c>
      <c r="C963">
        <v>127</v>
      </c>
      <c r="D963">
        <v>86</v>
      </c>
      <c r="E963">
        <v>76.738079819605403</v>
      </c>
      <c r="F963">
        <v>1.47028427693407</v>
      </c>
      <c r="G963">
        <v>4625</v>
      </c>
      <c r="H963">
        <v>474.55843687057501</v>
      </c>
      <c r="I963">
        <v>0.68484809425520699</v>
      </c>
      <c r="J963">
        <v>0.25807278194726802</v>
      </c>
      <c r="K963">
        <v>0.60955518945634302</v>
      </c>
      <c r="L963" t="s">
        <v>38</v>
      </c>
      <c r="M963" t="s">
        <v>34</v>
      </c>
      <c r="N963" t="s">
        <v>35</v>
      </c>
      <c r="O963">
        <v>0.78227328842541799</v>
      </c>
      <c r="P963" t="s">
        <v>36</v>
      </c>
    </row>
    <row r="964" spans="1:16">
      <c r="A964">
        <v>963</v>
      </c>
      <c r="B964" t="s">
        <v>1020</v>
      </c>
      <c r="C964">
        <v>71</v>
      </c>
      <c r="D964">
        <v>118</v>
      </c>
      <c r="E964">
        <v>76.843641552417296</v>
      </c>
      <c r="F964">
        <v>0.60493683647103202</v>
      </c>
      <c r="G964">
        <v>4637.7331519848804</v>
      </c>
      <c r="H964">
        <v>662.42697357913698</v>
      </c>
      <c r="I964">
        <v>0.72985764504725803</v>
      </c>
      <c r="J964">
        <v>0.132812699404213</v>
      </c>
      <c r="K964">
        <v>0.64964293893527103</v>
      </c>
      <c r="L964" t="s">
        <v>47</v>
      </c>
      <c r="M964" t="s">
        <v>34</v>
      </c>
      <c r="N964" t="s">
        <v>35</v>
      </c>
      <c r="O964">
        <v>0.93793039320612304</v>
      </c>
      <c r="P964" t="s">
        <v>36</v>
      </c>
    </row>
    <row r="965" spans="1:16">
      <c r="A965">
        <v>964</v>
      </c>
      <c r="B965" t="s">
        <v>1021</v>
      </c>
      <c r="C965">
        <v>101</v>
      </c>
      <c r="D965">
        <v>102</v>
      </c>
      <c r="E965">
        <v>76.947005452113302</v>
      </c>
      <c r="F965">
        <v>0.98119022100972697</v>
      </c>
      <c r="G965">
        <v>4650.2181561436701</v>
      </c>
      <c r="H965">
        <v>574.57451028834203</v>
      </c>
      <c r="I965">
        <v>0.60574701351334403</v>
      </c>
      <c r="J965">
        <v>0.17700701582109701</v>
      </c>
      <c r="K965">
        <v>0.52696557299737201</v>
      </c>
      <c r="L965" t="s">
        <v>38</v>
      </c>
      <c r="M965" t="s">
        <v>34</v>
      </c>
      <c r="N965" t="s">
        <v>35</v>
      </c>
      <c r="O965">
        <v>0.86546192706168501</v>
      </c>
      <c r="P965" t="s">
        <v>36</v>
      </c>
    </row>
    <row r="966" spans="1:16">
      <c r="A966">
        <v>965</v>
      </c>
      <c r="B966" t="s">
        <v>1022</v>
      </c>
      <c r="C966">
        <v>86</v>
      </c>
      <c r="D966">
        <v>73</v>
      </c>
      <c r="E966">
        <v>76.9740540128264</v>
      </c>
      <c r="F966">
        <v>1.17386236492746</v>
      </c>
      <c r="G966">
        <v>4653.4880381852599</v>
      </c>
      <c r="H966">
        <v>281.098073636864</v>
      </c>
      <c r="I966">
        <v>0.58343662302813903</v>
      </c>
      <c r="J966">
        <v>0.74006987631246202</v>
      </c>
      <c r="K966">
        <v>0.92373281406738705</v>
      </c>
      <c r="L966" t="s">
        <v>188</v>
      </c>
      <c r="M966" t="s">
        <v>34</v>
      </c>
      <c r="N966" t="s">
        <v>35</v>
      </c>
      <c r="O966">
        <v>0.90353429312171396</v>
      </c>
      <c r="P966" t="s">
        <v>36</v>
      </c>
    </row>
    <row r="967" spans="1:16">
      <c r="A967">
        <v>966</v>
      </c>
      <c r="B967" t="s">
        <v>1023</v>
      </c>
      <c r="C967">
        <v>87</v>
      </c>
      <c r="D967">
        <v>89</v>
      </c>
      <c r="E967">
        <v>77.007236988723307</v>
      </c>
      <c r="F967">
        <v>0.97862371150635796</v>
      </c>
      <c r="G967">
        <v>4657.5010752362996</v>
      </c>
      <c r="H967">
        <v>495.30317059309601</v>
      </c>
      <c r="I967">
        <v>0.69688157610717405</v>
      </c>
      <c r="J967">
        <v>0.2385726264577</v>
      </c>
      <c r="K967">
        <v>0.74750125235562104</v>
      </c>
      <c r="L967" t="s">
        <v>61</v>
      </c>
      <c r="M967" t="s">
        <v>34</v>
      </c>
      <c r="N967" t="s">
        <v>35</v>
      </c>
      <c r="O967">
        <v>0.83108344571827497</v>
      </c>
      <c r="P967" t="s">
        <v>36</v>
      </c>
    </row>
    <row r="968" spans="1:16">
      <c r="A968">
        <v>967</v>
      </c>
      <c r="B968" t="s">
        <v>1024</v>
      </c>
      <c r="C968">
        <v>84</v>
      </c>
      <c r="D968">
        <v>103</v>
      </c>
      <c r="E968">
        <v>77.030579402934606</v>
      </c>
      <c r="F968">
        <v>0.81737266814213805</v>
      </c>
      <c r="G968">
        <v>4660.3250642722096</v>
      </c>
      <c r="H968">
        <v>505.44425061153299</v>
      </c>
      <c r="I968">
        <v>0.65085965179230898</v>
      </c>
      <c r="J968">
        <v>0.22923427451571701</v>
      </c>
      <c r="K968">
        <v>0.61292907967784804</v>
      </c>
      <c r="L968" t="s">
        <v>38</v>
      </c>
      <c r="M968" t="s">
        <v>34</v>
      </c>
      <c r="N968" t="s">
        <v>35</v>
      </c>
      <c r="O968">
        <v>0.76835252759331196</v>
      </c>
      <c r="P968" t="s">
        <v>36</v>
      </c>
    </row>
    <row r="969" spans="1:16">
      <c r="A969">
        <v>968</v>
      </c>
      <c r="B969" t="s">
        <v>1025</v>
      </c>
      <c r="C969">
        <v>97</v>
      </c>
      <c r="D969">
        <v>71</v>
      </c>
      <c r="E969">
        <v>77.036720967975498</v>
      </c>
      <c r="F969">
        <v>1.3692307692307699</v>
      </c>
      <c r="G969">
        <v>4661.0682192816603</v>
      </c>
      <c r="H969">
        <v>418.25096996100098</v>
      </c>
      <c r="I969">
        <v>0.76052741599402596</v>
      </c>
      <c r="J969">
        <v>0.33482772321569498</v>
      </c>
      <c r="K969">
        <v>0.82563251981149499</v>
      </c>
      <c r="L969" t="s">
        <v>33</v>
      </c>
      <c r="M969" t="s">
        <v>34</v>
      </c>
      <c r="N969" t="s">
        <v>35</v>
      </c>
      <c r="O969">
        <v>0.72836828984284896</v>
      </c>
      <c r="P969" t="s">
        <v>36</v>
      </c>
    </row>
    <row r="970" spans="1:16">
      <c r="A970">
        <v>969</v>
      </c>
      <c r="B970" t="s">
        <v>1026</v>
      </c>
      <c r="C970">
        <v>103</v>
      </c>
      <c r="D970">
        <v>75</v>
      </c>
      <c r="E970">
        <v>77.062510196271901</v>
      </c>
      <c r="F970">
        <v>1.38689379989433</v>
      </c>
      <c r="G970">
        <v>4664.1894703213602</v>
      </c>
      <c r="H970">
        <v>381.34057895484199</v>
      </c>
      <c r="I970">
        <v>0.679952811876261</v>
      </c>
      <c r="J970">
        <v>0.40305100187481202</v>
      </c>
      <c r="K970">
        <v>0.73785563131906895</v>
      </c>
      <c r="L970" t="s">
        <v>41</v>
      </c>
      <c r="M970" t="s">
        <v>34</v>
      </c>
      <c r="N970" t="s">
        <v>35</v>
      </c>
      <c r="O970">
        <v>0.67551225501092405</v>
      </c>
      <c r="P970" t="s">
        <v>36</v>
      </c>
    </row>
    <row r="971" spans="1:16">
      <c r="A971">
        <v>970</v>
      </c>
      <c r="B971" t="s">
        <v>1027</v>
      </c>
      <c r="C971">
        <v>82</v>
      </c>
      <c r="D971">
        <v>146</v>
      </c>
      <c r="E971">
        <v>77.106700234421993</v>
      </c>
      <c r="F971">
        <v>0.56142568521399305</v>
      </c>
      <c r="G971">
        <v>4669.5401863894103</v>
      </c>
      <c r="H971">
        <v>846.94293588607195</v>
      </c>
      <c r="I971">
        <v>0.70775823179864905</v>
      </c>
      <c r="J971">
        <v>8.1804214960356905E-2</v>
      </c>
      <c r="K971">
        <v>0.47353982967819702</v>
      </c>
      <c r="L971" t="s">
        <v>830</v>
      </c>
      <c r="M971" t="s">
        <v>34</v>
      </c>
      <c r="N971" t="s">
        <v>35</v>
      </c>
      <c r="O971">
        <v>0.86975870036765202</v>
      </c>
      <c r="P971" t="s">
        <v>36</v>
      </c>
    </row>
    <row r="972" spans="1:16">
      <c r="A972">
        <v>971</v>
      </c>
      <c r="B972" t="s">
        <v>1028</v>
      </c>
      <c r="C972">
        <v>65</v>
      </c>
      <c r="D972">
        <v>120</v>
      </c>
      <c r="E972">
        <v>77.111608675462904</v>
      </c>
      <c r="F972">
        <v>0.54153025182412196</v>
      </c>
      <c r="G972">
        <v>4670.1347103969802</v>
      </c>
      <c r="H972">
        <v>392.67779515338998</v>
      </c>
      <c r="I972">
        <v>0.70818773783753197</v>
      </c>
      <c r="J972">
        <v>0.380598072405117</v>
      </c>
      <c r="K972">
        <v>0.71987261730205299</v>
      </c>
      <c r="L972" t="s">
        <v>74</v>
      </c>
      <c r="M972" t="s">
        <v>34</v>
      </c>
      <c r="N972" t="s">
        <v>35</v>
      </c>
      <c r="O972">
        <v>0.69268044756700997</v>
      </c>
      <c r="P972" t="s">
        <v>36</v>
      </c>
    </row>
    <row r="973" spans="1:16">
      <c r="A973">
        <v>972</v>
      </c>
      <c r="B973" t="s">
        <v>1029</v>
      </c>
      <c r="C973">
        <v>100</v>
      </c>
      <c r="D973">
        <v>147</v>
      </c>
      <c r="E973">
        <v>77.3505174643836</v>
      </c>
      <c r="F973">
        <v>0.68029739776951703</v>
      </c>
      <c r="G973">
        <v>4699.1177557656001</v>
      </c>
      <c r="H973">
        <v>956.27597216792697</v>
      </c>
      <c r="I973">
        <v>0.67279357459879596</v>
      </c>
      <c r="J973">
        <v>6.4574299693767101E-2</v>
      </c>
      <c r="K973">
        <v>0.46419028042871802</v>
      </c>
      <c r="L973" t="s">
        <v>38</v>
      </c>
      <c r="M973" t="s">
        <v>34</v>
      </c>
      <c r="N973" t="s">
        <v>35</v>
      </c>
      <c r="O973">
        <v>0.77129975181014299</v>
      </c>
      <c r="P973" t="s">
        <v>36</v>
      </c>
    </row>
    <row r="974" spans="1:16">
      <c r="A974">
        <v>973</v>
      </c>
      <c r="B974" t="s">
        <v>1030</v>
      </c>
      <c r="C974">
        <v>94</v>
      </c>
      <c r="D974">
        <v>132</v>
      </c>
      <c r="E974">
        <v>77.425101659784204</v>
      </c>
      <c r="F974">
        <v>0.71153428600131496</v>
      </c>
      <c r="G974">
        <v>4708.18424688091</v>
      </c>
      <c r="H974">
        <v>990.69323810670699</v>
      </c>
      <c r="I974">
        <v>0.68761948096022296</v>
      </c>
      <c r="J974">
        <v>6.0281620196637402E-2</v>
      </c>
      <c r="K974">
        <v>0.501488142355064</v>
      </c>
      <c r="L974" t="s">
        <v>43</v>
      </c>
      <c r="M974" t="s">
        <v>34</v>
      </c>
      <c r="N974" t="s">
        <v>35</v>
      </c>
      <c r="O974">
        <v>0.82274435413199798</v>
      </c>
      <c r="P974" t="s">
        <v>36</v>
      </c>
    </row>
    <row r="975" spans="1:16">
      <c r="A975">
        <v>974</v>
      </c>
      <c r="B975" t="s">
        <v>1031</v>
      </c>
      <c r="C975">
        <v>81</v>
      </c>
      <c r="D975">
        <v>111</v>
      </c>
      <c r="E975">
        <v>77.432433929478094</v>
      </c>
      <c r="F975">
        <v>0.72521634829058101</v>
      </c>
      <c r="G975">
        <v>4709.0760328922497</v>
      </c>
      <c r="H975">
        <v>616.02205049608096</v>
      </c>
      <c r="I975">
        <v>0.63588551179145203</v>
      </c>
      <c r="J975">
        <v>0.15593839166970999</v>
      </c>
      <c r="K975">
        <v>0.67630798130083003</v>
      </c>
      <c r="L975" t="s">
        <v>43</v>
      </c>
      <c r="M975" t="s">
        <v>34</v>
      </c>
      <c r="N975" t="s">
        <v>35</v>
      </c>
      <c r="O975">
        <v>0.65141685282599304</v>
      </c>
      <c r="P975" t="s">
        <v>36</v>
      </c>
    </row>
    <row r="976" spans="1:16">
      <c r="A976">
        <v>975</v>
      </c>
      <c r="B976" t="s">
        <v>1032</v>
      </c>
      <c r="C976">
        <v>103</v>
      </c>
      <c r="D976">
        <v>93</v>
      </c>
      <c r="E976">
        <v>77.570395567254806</v>
      </c>
      <c r="F976">
        <v>1.1058823529411801</v>
      </c>
      <c r="G976">
        <v>4725.8713361058599</v>
      </c>
      <c r="H976">
        <v>750.806988171287</v>
      </c>
      <c r="I976">
        <v>0.58454582752039597</v>
      </c>
      <c r="J976">
        <v>0.10535014683485799</v>
      </c>
      <c r="K976">
        <v>0.62394034536891696</v>
      </c>
      <c r="L976" t="s">
        <v>38</v>
      </c>
      <c r="M976" t="s">
        <v>34</v>
      </c>
      <c r="N976" t="s">
        <v>35</v>
      </c>
      <c r="O976">
        <v>0.72691677724820802</v>
      </c>
      <c r="P976" t="s">
        <v>36</v>
      </c>
    </row>
    <row r="977" spans="1:16">
      <c r="A977">
        <v>976</v>
      </c>
      <c r="B977" t="s">
        <v>1033</v>
      </c>
      <c r="C977">
        <v>83</v>
      </c>
      <c r="D977">
        <v>93</v>
      </c>
      <c r="E977">
        <v>77.793301212382005</v>
      </c>
      <c r="F977">
        <v>0.89411762805133199</v>
      </c>
      <c r="G977">
        <v>4753.0708094518004</v>
      </c>
      <c r="H977">
        <v>620.46128430853696</v>
      </c>
      <c r="I977">
        <v>0.67667475690872503</v>
      </c>
      <c r="J977">
        <v>0.155151069405947</v>
      </c>
      <c r="K977">
        <v>0.70120159628119105</v>
      </c>
      <c r="L977" t="s">
        <v>33</v>
      </c>
      <c r="M977" t="s">
        <v>34</v>
      </c>
      <c r="N977" t="s">
        <v>35</v>
      </c>
      <c r="O977">
        <v>0.84128930903602805</v>
      </c>
      <c r="P977" t="s">
        <v>36</v>
      </c>
    </row>
    <row r="978" spans="1:16">
      <c r="A978">
        <v>977</v>
      </c>
      <c r="B978" t="s">
        <v>1034</v>
      </c>
      <c r="C978">
        <v>105</v>
      </c>
      <c r="D978">
        <v>118</v>
      </c>
      <c r="E978">
        <v>78.007079540873406</v>
      </c>
      <c r="F978">
        <v>0.89105064508188303</v>
      </c>
      <c r="G978">
        <v>4779.2298657845004</v>
      </c>
      <c r="H978">
        <v>775.02191197032505</v>
      </c>
      <c r="I978">
        <v>0.72546648015350301</v>
      </c>
      <c r="J978">
        <v>9.9986144119625101E-2</v>
      </c>
      <c r="K978">
        <v>0.46579847027465499</v>
      </c>
      <c r="L978" t="s">
        <v>74</v>
      </c>
      <c r="M978" t="s">
        <v>34</v>
      </c>
      <c r="N978" t="s">
        <v>35</v>
      </c>
      <c r="O978">
        <v>0.64997592682271599</v>
      </c>
      <c r="P978" t="s">
        <v>36</v>
      </c>
    </row>
    <row r="979" spans="1:16">
      <c r="A979">
        <v>978</v>
      </c>
      <c r="B979" t="s">
        <v>1035</v>
      </c>
      <c r="C979">
        <v>129</v>
      </c>
      <c r="D979">
        <v>133</v>
      </c>
      <c r="E979">
        <v>78.036185756074005</v>
      </c>
      <c r="F979">
        <v>0.97131147540983598</v>
      </c>
      <c r="G979">
        <v>4782.7970098298701</v>
      </c>
      <c r="H979">
        <v>1017.51800683923</v>
      </c>
      <c r="I979">
        <v>0.62328119975393803</v>
      </c>
      <c r="J979">
        <v>5.8050719363625297E-2</v>
      </c>
      <c r="K979">
        <v>0.40830076638075402</v>
      </c>
      <c r="L979" t="s">
        <v>33</v>
      </c>
      <c r="M979" t="s">
        <v>34</v>
      </c>
      <c r="N979" t="s">
        <v>35</v>
      </c>
      <c r="O979">
        <v>0.79946920887468897</v>
      </c>
      <c r="P979" t="s">
        <v>36</v>
      </c>
    </row>
    <row r="980" spans="1:16">
      <c r="A980">
        <v>979</v>
      </c>
      <c r="B980" t="s">
        <v>1036</v>
      </c>
      <c r="C980">
        <v>110</v>
      </c>
      <c r="D980">
        <v>87</v>
      </c>
      <c r="E980">
        <v>78.165819092227196</v>
      </c>
      <c r="F980">
        <v>1.2657357486005401</v>
      </c>
      <c r="G980">
        <v>4798.7005270321397</v>
      </c>
      <c r="H980">
        <v>590.99684769692601</v>
      </c>
      <c r="I980">
        <v>0.83490026025320596</v>
      </c>
      <c r="J980">
        <v>0.17264864845495001</v>
      </c>
      <c r="K980">
        <v>0.68982757515543902</v>
      </c>
      <c r="L980" t="s">
        <v>33</v>
      </c>
      <c r="M980" t="s">
        <v>34</v>
      </c>
      <c r="N980" t="s">
        <v>35</v>
      </c>
      <c r="O980">
        <v>0.83118515514896996</v>
      </c>
      <c r="P980" t="s">
        <v>36</v>
      </c>
    </row>
    <row r="981" spans="1:16">
      <c r="A981">
        <v>980</v>
      </c>
      <c r="B981" t="s">
        <v>1037</v>
      </c>
      <c r="C981">
        <v>136</v>
      </c>
      <c r="D981">
        <v>73</v>
      </c>
      <c r="E981">
        <v>78.182764561809293</v>
      </c>
      <c r="F981">
        <v>1.8656716417910399</v>
      </c>
      <c r="G981">
        <v>4800.7813610585999</v>
      </c>
      <c r="H981">
        <v>831.09288419723498</v>
      </c>
      <c r="I981">
        <v>0.82847759139211097</v>
      </c>
      <c r="J981">
        <v>8.7341905768227104E-2</v>
      </c>
      <c r="K981">
        <v>0.59572113611213595</v>
      </c>
      <c r="L981" t="s">
        <v>1038</v>
      </c>
      <c r="M981" t="s">
        <v>34</v>
      </c>
      <c r="N981" t="s">
        <v>35</v>
      </c>
      <c r="O981">
        <v>0.83945123976163705</v>
      </c>
      <c r="P981" t="s">
        <v>36</v>
      </c>
    </row>
    <row r="982" spans="1:16">
      <c r="A982">
        <v>981</v>
      </c>
      <c r="B982" t="s">
        <v>1039</v>
      </c>
      <c r="C982">
        <v>147</v>
      </c>
      <c r="D982">
        <v>95</v>
      </c>
      <c r="E982">
        <v>78.215434742735894</v>
      </c>
      <c r="F982">
        <v>1.5371427764269601</v>
      </c>
      <c r="G982">
        <v>4804.7943981096396</v>
      </c>
      <c r="H982">
        <v>844.82854253426899</v>
      </c>
      <c r="I982">
        <v>0.660874821489846</v>
      </c>
      <c r="J982">
        <v>8.4595549617562299E-2</v>
      </c>
      <c r="K982">
        <v>0.42459546075443899</v>
      </c>
      <c r="L982" t="s">
        <v>33</v>
      </c>
      <c r="M982" t="s">
        <v>34</v>
      </c>
      <c r="N982" t="s">
        <v>35</v>
      </c>
      <c r="O982">
        <v>0.60927031643846297</v>
      </c>
      <c r="P982" t="s">
        <v>36</v>
      </c>
    </row>
    <row r="983" spans="1:16">
      <c r="A983">
        <v>982</v>
      </c>
      <c r="B983" t="s">
        <v>1040</v>
      </c>
      <c r="C983">
        <v>107</v>
      </c>
      <c r="D983">
        <v>80</v>
      </c>
      <c r="E983">
        <v>78.257764678123095</v>
      </c>
      <c r="F983">
        <v>1.3512796873478199</v>
      </c>
      <c r="G983">
        <v>4809.9964831757998</v>
      </c>
      <c r="H983">
        <v>458.84283620627002</v>
      </c>
      <c r="I983">
        <v>0.71831928253751198</v>
      </c>
      <c r="J983">
        <v>0.28709571577673598</v>
      </c>
      <c r="K983">
        <v>0.73774677426708601</v>
      </c>
      <c r="L983" t="s">
        <v>38</v>
      </c>
      <c r="M983" t="s">
        <v>34</v>
      </c>
      <c r="N983" t="s">
        <v>35</v>
      </c>
      <c r="O983">
        <v>0.77424666273808995</v>
      </c>
      <c r="P983" t="s">
        <v>36</v>
      </c>
    </row>
    <row r="984" spans="1:16">
      <c r="A984">
        <v>983</v>
      </c>
      <c r="B984" t="s">
        <v>1041</v>
      </c>
      <c r="C984">
        <v>91</v>
      </c>
      <c r="D984">
        <v>83</v>
      </c>
      <c r="E984">
        <v>78.642521625931096</v>
      </c>
      <c r="F984">
        <v>1.0986842105263199</v>
      </c>
      <c r="G984">
        <v>4857.4097727788303</v>
      </c>
      <c r="H984">
        <v>477.45382918845098</v>
      </c>
      <c r="I984">
        <v>0.55393032804789999</v>
      </c>
      <c r="J984">
        <v>0.26776378893986102</v>
      </c>
      <c r="K984">
        <v>0.70799393414211398</v>
      </c>
      <c r="L984" t="s">
        <v>43</v>
      </c>
      <c r="M984" t="s">
        <v>34</v>
      </c>
      <c r="N984" t="s">
        <v>35</v>
      </c>
      <c r="O984">
        <v>0.84440122871450696</v>
      </c>
      <c r="P984" t="s">
        <v>36</v>
      </c>
    </row>
    <row r="985" spans="1:16">
      <c r="A985">
        <v>984</v>
      </c>
      <c r="B985" t="s">
        <v>1042</v>
      </c>
      <c r="C985">
        <v>126</v>
      </c>
      <c r="D985">
        <v>73</v>
      </c>
      <c r="E985">
        <v>78.652146510050798</v>
      </c>
      <c r="F985">
        <v>1.71175306328695</v>
      </c>
      <c r="G985">
        <v>4858.5988207939499</v>
      </c>
      <c r="H985">
        <v>423.72584135521998</v>
      </c>
      <c r="I985">
        <v>0.54851695709960502</v>
      </c>
      <c r="J985">
        <v>0.340056439295427</v>
      </c>
      <c r="K985">
        <v>0.68846485962806203</v>
      </c>
      <c r="L985" t="s">
        <v>144</v>
      </c>
      <c r="M985" t="s">
        <v>34</v>
      </c>
      <c r="N985" t="s">
        <v>35</v>
      </c>
      <c r="O985">
        <v>0.70638495285776703</v>
      </c>
      <c r="P985" t="s">
        <v>36</v>
      </c>
    </row>
    <row r="986" spans="1:16">
      <c r="A986">
        <v>985</v>
      </c>
      <c r="B986" t="s">
        <v>1043</v>
      </c>
      <c r="C986">
        <v>168</v>
      </c>
      <c r="D986">
        <v>81</v>
      </c>
      <c r="E986">
        <v>78.7915752061311</v>
      </c>
      <c r="F986">
        <v>2.07796651889279</v>
      </c>
      <c r="G986">
        <v>4875.84001701323</v>
      </c>
      <c r="H986">
        <v>730.58417888340796</v>
      </c>
      <c r="I986">
        <v>0.63117598966968202</v>
      </c>
      <c r="J986">
        <v>0.11479389320544101</v>
      </c>
      <c r="K986">
        <v>0.481513012080025</v>
      </c>
      <c r="L986" t="s">
        <v>58</v>
      </c>
      <c r="M986" t="s">
        <v>34</v>
      </c>
      <c r="N986" t="s">
        <v>35</v>
      </c>
      <c r="O986">
        <v>0.70668343844273895</v>
      </c>
      <c r="P986" t="s">
        <v>36</v>
      </c>
    </row>
    <row r="987" spans="1:16">
      <c r="A987">
        <v>986</v>
      </c>
      <c r="B987" t="s">
        <v>1044</v>
      </c>
      <c r="C987">
        <v>66</v>
      </c>
      <c r="D987">
        <v>159</v>
      </c>
      <c r="E987">
        <v>78.873194677074494</v>
      </c>
      <c r="F987">
        <v>0.41836043090444502</v>
      </c>
      <c r="G987">
        <v>4885.9469251417804</v>
      </c>
      <c r="H987">
        <v>502.51502471146398</v>
      </c>
      <c r="I987">
        <v>0.678138414639611</v>
      </c>
      <c r="J987">
        <v>0.243142292121621</v>
      </c>
      <c r="K987">
        <v>0.63776579233276398</v>
      </c>
      <c r="L987" t="s">
        <v>38</v>
      </c>
      <c r="M987" t="s">
        <v>34</v>
      </c>
      <c r="N987" t="s">
        <v>35</v>
      </c>
      <c r="O987">
        <v>0.77570294621091695</v>
      </c>
      <c r="P987" t="s">
        <v>36</v>
      </c>
    </row>
    <row r="988" spans="1:16">
      <c r="A988">
        <v>987</v>
      </c>
      <c r="B988" t="s">
        <v>1045</v>
      </c>
      <c r="C988">
        <v>79</v>
      </c>
      <c r="D988">
        <v>113</v>
      </c>
      <c r="E988">
        <v>78.939148692981306</v>
      </c>
      <c r="F988">
        <v>0.70163949282113502</v>
      </c>
      <c r="G988">
        <v>4894.1216302457497</v>
      </c>
      <c r="H988">
        <v>453.84233514267498</v>
      </c>
      <c r="I988">
        <v>0.68984465058709599</v>
      </c>
      <c r="J988">
        <v>0.29858955541221199</v>
      </c>
      <c r="K988">
        <v>0.71834027792927402</v>
      </c>
      <c r="L988" t="s">
        <v>33</v>
      </c>
      <c r="M988" t="s">
        <v>34</v>
      </c>
      <c r="N988" t="s">
        <v>35</v>
      </c>
      <c r="O988">
        <v>0.68990755520881897</v>
      </c>
      <c r="P988" t="s">
        <v>36</v>
      </c>
    </row>
    <row r="989" spans="1:16">
      <c r="A989">
        <v>988</v>
      </c>
      <c r="B989" t="s">
        <v>1046</v>
      </c>
      <c r="C989">
        <v>103</v>
      </c>
      <c r="D989">
        <v>103</v>
      </c>
      <c r="E989">
        <v>79.049348766053797</v>
      </c>
      <c r="F989">
        <v>0.99756603403031996</v>
      </c>
      <c r="G989">
        <v>4907.7956824196599</v>
      </c>
      <c r="H989">
        <v>497.53722112904399</v>
      </c>
      <c r="I989">
        <v>0.61016236076915997</v>
      </c>
      <c r="J989">
        <v>0.249140990004413</v>
      </c>
      <c r="K989">
        <v>0.62360717658168097</v>
      </c>
      <c r="L989" t="s">
        <v>38</v>
      </c>
      <c r="M989" t="s">
        <v>34</v>
      </c>
      <c r="N989" t="s">
        <v>35</v>
      </c>
      <c r="O989">
        <v>0.80863882859782699</v>
      </c>
      <c r="P989" t="s">
        <v>36</v>
      </c>
    </row>
    <row r="990" spans="1:16">
      <c r="A990">
        <v>989</v>
      </c>
      <c r="B990" t="s">
        <v>1047</v>
      </c>
      <c r="C990">
        <v>95</v>
      </c>
      <c r="D990">
        <v>82</v>
      </c>
      <c r="E990">
        <v>79.074481601778402</v>
      </c>
      <c r="F990">
        <v>1.1496410546273499</v>
      </c>
      <c r="G990">
        <v>4910.9169334593598</v>
      </c>
      <c r="H990">
        <v>358.82892193016801</v>
      </c>
      <c r="I990">
        <v>0.70722874480815401</v>
      </c>
      <c r="J990">
        <v>0.47928912128523099</v>
      </c>
      <c r="K990">
        <v>0.82672771856077698</v>
      </c>
      <c r="L990" t="s">
        <v>49</v>
      </c>
      <c r="M990" t="s">
        <v>34</v>
      </c>
      <c r="N990" t="s">
        <v>35</v>
      </c>
      <c r="O990">
        <v>0.71125778216792301</v>
      </c>
      <c r="P990" t="s">
        <v>36</v>
      </c>
    </row>
    <row r="991" spans="1:16">
      <c r="A991">
        <v>990</v>
      </c>
      <c r="B991" t="s">
        <v>1048</v>
      </c>
      <c r="C991">
        <v>119</v>
      </c>
      <c r="D991">
        <v>108</v>
      </c>
      <c r="E991">
        <v>79.101998878543796</v>
      </c>
      <c r="F991">
        <v>1.09731546824191</v>
      </c>
      <c r="G991">
        <v>4914.3354465028397</v>
      </c>
      <c r="H991">
        <v>576.85557201675704</v>
      </c>
      <c r="I991">
        <v>0.67733796840073901</v>
      </c>
      <c r="J991">
        <v>0.18558397716754299</v>
      </c>
      <c r="K991">
        <v>0.56389528438645897</v>
      </c>
      <c r="L991" t="s">
        <v>74</v>
      </c>
      <c r="M991" t="s">
        <v>34</v>
      </c>
      <c r="N991" t="s">
        <v>35</v>
      </c>
      <c r="O991">
        <v>0.72297222755429702</v>
      </c>
      <c r="P991" t="s">
        <v>36</v>
      </c>
    </row>
    <row r="992" spans="1:16">
      <c r="A992">
        <v>991</v>
      </c>
      <c r="B992" t="s">
        <v>1049</v>
      </c>
      <c r="C992">
        <v>132</v>
      </c>
      <c r="D992">
        <v>81</v>
      </c>
      <c r="E992">
        <v>79.320600550179606</v>
      </c>
      <c r="F992">
        <v>1.63513513513514</v>
      </c>
      <c r="G992">
        <v>4941.5349198487702</v>
      </c>
      <c r="H992">
        <v>414.09901739545501</v>
      </c>
      <c r="I992">
        <v>0.65879028538573403</v>
      </c>
      <c r="J992">
        <v>0.36212902284755799</v>
      </c>
      <c r="K992">
        <v>0.68302654285479503</v>
      </c>
      <c r="L992" t="s">
        <v>33</v>
      </c>
      <c r="M992" t="s">
        <v>34</v>
      </c>
      <c r="N992" t="s">
        <v>35</v>
      </c>
      <c r="O992">
        <v>0.86697220196477398</v>
      </c>
      <c r="P992" t="s">
        <v>36</v>
      </c>
    </row>
    <row r="993" spans="1:16">
      <c r="A993">
        <v>992</v>
      </c>
      <c r="B993" t="s">
        <v>1050</v>
      </c>
      <c r="C993">
        <v>75</v>
      </c>
      <c r="D993">
        <v>121</v>
      </c>
      <c r="E993">
        <v>79.327757618983796</v>
      </c>
      <c r="F993">
        <v>0.61854784827182197</v>
      </c>
      <c r="G993">
        <v>4942.4267058601099</v>
      </c>
      <c r="H993">
        <v>567.21706904442397</v>
      </c>
      <c r="I993">
        <v>0.72203645913926595</v>
      </c>
      <c r="J993">
        <v>0.19304187126817199</v>
      </c>
      <c r="K993">
        <v>0.70235505333192505</v>
      </c>
      <c r="L993" t="s">
        <v>74</v>
      </c>
      <c r="M993" t="s">
        <v>34</v>
      </c>
      <c r="N993" t="s">
        <v>35</v>
      </c>
      <c r="O993">
        <v>0.64256047719033904</v>
      </c>
      <c r="P993" t="s">
        <v>36</v>
      </c>
    </row>
    <row r="994" spans="1:16">
      <c r="A994">
        <v>993</v>
      </c>
      <c r="B994" t="s">
        <v>1051</v>
      </c>
      <c r="C994">
        <v>66</v>
      </c>
      <c r="D994">
        <v>130</v>
      </c>
      <c r="E994">
        <v>79.410017547093503</v>
      </c>
      <c r="F994">
        <v>0.50301636731151</v>
      </c>
      <c r="G994">
        <v>4952.6822449905503</v>
      </c>
      <c r="H994">
        <v>466.58547408622201</v>
      </c>
      <c r="I994">
        <v>0.73042376507760098</v>
      </c>
      <c r="J994">
        <v>0.28588271721236702</v>
      </c>
      <c r="K994">
        <v>0.71403775687316495</v>
      </c>
      <c r="L994" t="s">
        <v>33</v>
      </c>
      <c r="M994" t="s">
        <v>34</v>
      </c>
      <c r="N994" t="s">
        <v>35</v>
      </c>
      <c r="O994">
        <v>0.71806438672919004</v>
      </c>
      <c r="P994" t="s">
        <v>36</v>
      </c>
    </row>
    <row r="995" spans="1:16">
      <c r="A995">
        <v>994</v>
      </c>
      <c r="B995" t="s">
        <v>1052</v>
      </c>
      <c r="C995">
        <v>161</v>
      </c>
      <c r="D995">
        <v>83</v>
      </c>
      <c r="E995">
        <v>79.415975100577796</v>
      </c>
      <c r="F995">
        <v>1.9473684210526301</v>
      </c>
      <c r="G995">
        <v>4953.4254000000001</v>
      </c>
      <c r="H995">
        <v>779.587267887385</v>
      </c>
      <c r="I995">
        <v>0.69100490274006598</v>
      </c>
      <c r="J995">
        <v>0.102420293367253</v>
      </c>
      <c r="K995">
        <v>0.51683389420467396</v>
      </c>
      <c r="L995" t="s">
        <v>41</v>
      </c>
      <c r="M995" t="s">
        <v>34</v>
      </c>
      <c r="N995" t="s">
        <v>35</v>
      </c>
      <c r="O995">
        <v>0.80876276602316899</v>
      </c>
      <c r="P995" t="s">
        <v>36</v>
      </c>
    </row>
    <row r="996" spans="1:16">
      <c r="A996">
        <v>995</v>
      </c>
      <c r="B996" t="s">
        <v>1053</v>
      </c>
      <c r="C996">
        <v>142</v>
      </c>
      <c r="D996">
        <v>97</v>
      </c>
      <c r="E996">
        <v>79.421932207177505</v>
      </c>
      <c r="F996">
        <v>1.4606741573033699</v>
      </c>
      <c r="G996">
        <v>4954.1685550094498</v>
      </c>
      <c r="H996">
        <v>948.31414548459304</v>
      </c>
      <c r="I996">
        <v>0.66560358820399601</v>
      </c>
      <c r="J996">
        <v>6.9227107343346903E-2</v>
      </c>
      <c r="K996">
        <v>0.40599763699923302</v>
      </c>
      <c r="L996" t="s">
        <v>38</v>
      </c>
      <c r="M996" t="s">
        <v>34</v>
      </c>
      <c r="N996" t="s">
        <v>35</v>
      </c>
      <c r="O996">
        <v>0.65901792608426901</v>
      </c>
      <c r="P996" t="s">
        <v>36</v>
      </c>
    </row>
    <row r="997" spans="1:16">
      <c r="A997">
        <v>996</v>
      </c>
      <c r="B997" t="s">
        <v>1054</v>
      </c>
      <c r="C997">
        <v>99</v>
      </c>
      <c r="D997">
        <v>73</v>
      </c>
      <c r="E997">
        <v>79.466000916625802</v>
      </c>
      <c r="F997">
        <v>1.3624518327876101</v>
      </c>
      <c r="G997">
        <v>4959.6679020793999</v>
      </c>
      <c r="H997">
        <v>327.64469084128098</v>
      </c>
      <c r="I997">
        <v>0.69466344476684405</v>
      </c>
      <c r="J997">
        <v>0.58057213965087995</v>
      </c>
      <c r="K997">
        <v>0.85572509296063604</v>
      </c>
      <c r="L997" t="s">
        <v>33</v>
      </c>
      <c r="M997" t="s">
        <v>34</v>
      </c>
      <c r="N997" t="s">
        <v>35</v>
      </c>
      <c r="O997">
        <v>0.71797131812152803</v>
      </c>
      <c r="P997" t="s">
        <v>36</v>
      </c>
    </row>
    <row r="998" spans="1:16">
      <c r="A998">
        <v>997</v>
      </c>
      <c r="B998" t="s">
        <v>1055</v>
      </c>
      <c r="C998">
        <v>88</v>
      </c>
      <c r="D998">
        <v>88</v>
      </c>
      <c r="E998">
        <v>79.649160093091695</v>
      </c>
      <c r="F998">
        <v>1</v>
      </c>
      <c r="G998">
        <v>4982.55707637051</v>
      </c>
      <c r="H998">
        <v>379.61689147337597</v>
      </c>
      <c r="I998">
        <v>0.67936705820607002</v>
      </c>
      <c r="J998">
        <v>0.43448129994477402</v>
      </c>
      <c r="K998">
        <v>0.85445925623837105</v>
      </c>
      <c r="L998" t="s">
        <v>33</v>
      </c>
      <c r="M998" t="s">
        <v>34</v>
      </c>
      <c r="N998" t="s">
        <v>35</v>
      </c>
      <c r="O998">
        <v>0.72059981579115595</v>
      </c>
      <c r="P998" t="s">
        <v>36</v>
      </c>
    </row>
    <row r="999" spans="1:16">
      <c r="A999">
        <v>998</v>
      </c>
      <c r="B999" t="s">
        <v>1056</v>
      </c>
      <c r="C999">
        <v>93</v>
      </c>
      <c r="D999">
        <v>73</v>
      </c>
      <c r="E999">
        <v>79.774986353293002</v>
      </c>
      <c r="F999">
        <v>1.28571428571429</v>
      </c>
      <c r="G999">
        <v>4998.3119625708896</v>
      </c>
      <c r="H999">
        <v>423.98263911257601</v>
      </c>
      <c r="I999">
        <v>0.62884228700281097</v>
      </c>
      <c r="J999">
        <v>0.34941140368342399</v>
      </c>
      <c r="K999">
        <v>0.83810591900311504</v>
      </c>
      <c r="L999" t="s">
        <v>33</v>
      </c>
      <c r="M999" t="s">
        <v>34</v>
      </c>
      <c r="N999" t="s">
        <v>35</v>
      </c>
      <c r="O999">
        <v>0.66806409058613303</v>
      </c>
      <c r="P999" t="s">
        <v>36</v>
      </c>
    </row>
    <row r="1000" spans="1:16">
      <c r="A1000">
        <v>999</v>
      </c>
      <c r="B1000" t="s">
        <v>1057</v>
      </c>
      <c r="C1000">
        <v>105</v>
      </c>
      <c r="D1000">
        <v>127</v>
      </c>
      <c r="E1000">
        <v>80.031957056417298</v>
      </c>
      <c r="F1000">
        <v>0.83333333333333304</v>
      </c>
      <c r="G1000">
        <v>5030.5648899811004</v>
      </c>
      <c r="H1000">
        <v>1041.3730033996801</v>
      </c>
      <c r="I1000">
        <v>0.77277027771997497</v>
      </c>
      <c r="J1000">
        <v>5.82926756198026E-2</v>
      </c>
      <c r="K1000">
        <v>0.50428356452165601</v>
      </c>
      <c r="L1000" t="s">
        <v>33</v>
      </c>
      <c r="M1000" t="s">
        <v>34</v>
      </c>
      <c r="N1000" t="s">
        <v>35</v>
      </c>
      <c r="O1000">
        <v>0.68754965756827902</v>
      </c>
      <c r="P1000" t="s">
        <v>36</v>
      </c>
    </row>
    <row r="1001" spans="1:16">
      <c r="A1001">
        <v>1000</v>
      </c>
      <c r="B1001" t="s">
        <v>1058</v>
      </c>
      <c r="C1001">
        <v>92</v>
      </c>
      <c r="D1001">
        <v>83</v>
      </c>
      <c r="E1001">
        <v>80.087103871992895</v>
      </c>
      <c r="F1001">
        <v>1.10810800218504</v>
      </c>
      <c r="G1001">
        <v>5037.5</v>
      </c>
      <c r="H1001">
        <v>310.91882765293099</v>
      </c>
      <c r="I1001">
        <v>0.61520595743351303</v>
      </c>
      <c r="J1001">
        <v>0.65483348677090703</v>
      </c>
      <c r="K1001">
        <v>0.88766519823788503</v>
      </c>
      <c r="L1001" t="s">
        <v>49</v>
      </c>
      <c r="M1001" t="s">
        <v>34</v>
      </c>
      <c r="N1001" t="s">
        <v>35</v>
      </c>
      <c r="O1001">
        <v>0.77575346505307996</v>
      </c>
      <c r="P1001" t="s">
        <v>36</v>
      </c>
    </row>
    <row r="1002" spans="1:16">
      <c r="A1002">
        <v>1001</v>
      </c>
      <c r="B1002" t="s">
        <v>1059</v>
      </c>
      <c r="C1002">
        <v>52</v>
      </c>
      <c r="D1002">
        <v>147</v>
      </c>
      <c r="E1002">
        <v>80.125303974122204</v>
      </c>
      <c r="F1002">
        <v>0.35315987470772903</v>
      </c>
      <c r="G1002">
        <v>5042.3067391304403</v>
      </c>
      <c r="H1002">
        <v>479.06013625984599</v>
      </c>
      <c r="I1002">
        <v>0.86204606631704295</v>
      </c>
      <c r="J1002">
        <v>0.27609532837034001</v>
      </c>
      <c r="K1002">
        <v>0.72894284486463301</v>
      </c>
      <c r="L1002" t="s">
        <v>49</v>
      </c>
      <c r="M1002" t="s">
        <v>34</v>
      </c>
      <c r="N1002" t="s">
        <v>35</v>
      </c>
      <c r="O1002">
        <v>0.69413554783476905</v>
      </c>
      <c r="P1002" t="s">
        <v>36</v>
      </c>
    </row>
    <row r="1003" spans="1:16">
      <c r="A1003">
        <v>1002</v>
      </c>
      <c r="B1003" t="s">
        <v>1060</v>
      </c>
      <c r="C1003">
        <v>89</v>
      </c>
      <c r="D1003">
        <v>127</v>
      </c>
      <c r="E1003">
        <v>80.212644322854899</v>
      </c>
      <c r="F1003">
        <v>0.69743640497515302</v>
      </c>
      <c r="G1003">
        <v>5053.3054332703196</v>
      </c>
      <c r="H1003">
        <v>555.80463493792899</v>
      </c>
      <c r="I1003">
        <v>0.57898154071504604</v>
      </c>
      <c r="J1003">
        <v>0.205561171743536</v>
      </c>
      <c r="K1003">
        <v>0.54178219715077902</v>
      </c>
      <c r="L1003" t="s">
        <v>1038</v>
      </c>
      <c r="M1003" t="s">
        <v>34</v>
      </c>
      <c r="N1003" t="s">
        <v>35</v>
      </c>
      <c r="O1003">
        <v>0.69754033105010904</v>
      </c>
      <c r="P1003" t="s">
        <v>36</v>
      </c>
    </row>
    <row r="1004" spans="1:16">
      <c r="A1004">
        <v>1003</v>
      </c>
      <c r="B1004" t="s">
        <v>1061</v>
      </c>
      <c r="C1004">
        <v>115</v>
      </c>
      <c r="D1004">
        <v>100</v>
      </c>
      <c r="E1004">
        <v>80.243308904004707</v>
      </c>
      <c r="F1004">
        <v>1.14969134124478</v>
      </c>
      <c r="G1004">
        <v>5057.1698393194702</v>
      </c>
      <c r="H1004">
        <v>454.50379455701199</v>
      </c>
      <c r="I1004">
        <v>0.55552993537714901</v>
      </c>
      <c r="J1004">
        <v>0.307639698016897</v>
      </c>
      <c r="K1004">
        <v>0.62218849431298695</v>
      </c>
      <c r="L1004" t="s">
        <v>288</v>
      </c>
      <c r="M1004" t="s">
        <v>34</v>
      </c>
      <c r="N1004" t="s">
        <v>35</v>
      </c>
      <c r="O1004">
        <v>0.71023789054563702</v>
      </c>
      <c r="P1004" t="s">
        <v>36</v>
      </c>
    </row>
    <row r="1005" spans="1:16">
      <c r="A1005">
        <v>1004</v>
      </c>
      <c r="B1005" t="s">
        <v>1062</v>
      </c>
      <c r="C1005">
        <v>94</v>
      </c>
      <c r="D1005">
        <v>94</v>
      </c>
      <c r="E1005">
        <v>80.311672316519406</v>
      </c>
      <c r="F1005">
        <v>0.99663601888626996</v>
      </c>
      <c r="G1005">
        <v>5065.7904374291102</v>
      </c>
      <c r="H1005">
        <v>539.41601347912899</v>
      </c>
      <c r="I1005">
        <v>0.61408353451727304</v>
      </c>
      <c r="J1005">
        <v>0.21878090461447</v>
      </c>
      <c r="K1005">
        <v>0.63437377854709898</v>
      </c>
      <c r="L1005" t="s">
        <v>33</v>
      </c>
      <c r="M1005" t="s">
        <v>34</v>
      </c>
      <c r="N1005" t="s">
        <v>35</v>
      </c>
      <c r="O1005">
        <v>0.76279150051592703</v>
      </c>
      <c r="P1005" t="s">
        <v>36</v>
      </c>
    </row>
    <row r="1006" spans="1:16">
      <c r="A1006">
        <v>1005</v>
      </c>
      <c r="B1006" t="s">
        <v>1063</v>
      </c>
      <c r="C1006">
        <v>62</v>
      </c>
      <c r="D1006">
        <v>160</v>
      </c>
      <c r="E1006">
        <v>80.376445978165194</v>
      </c>
      <c r="F1006">
        <v>0.38446751108794902</v>
      </c>
      <c r="G1006">
        <v>5073.9651425330803</v>
      </c>
      <c r="H1006">
        <v>499.64059601224</v>
      </c>
      <c r="I1006">
        <v>0.73342729602965395</v>
      </c>
      <c r="J1006">
        <v>0.25541235877499902</v>
      </c>
      <c r="K1006">
        <v>0.68554330582163603</v>
      </c>
      <c r="L1006" t="s">
        <v>38</v>
      </c>
      <c r="M1006" t="s">
        <v>34</v>
      </c>
      <c r="N1006" t="s">
        <v>35</v>
      </c>
      <c r="O1006">
        <v>0.67419461612376397</v>
      </c>
      <c r="P1006" t="s">
        <v>36</v>
      </c>
    </row>
    <row r="1007" spans="1:16">
      <c r="A1007">
        <v>1006</v>
      </c>
      <c r="B1007" t="s">
        <v>1064</v>
      </c>
      <c r="C1007">
        <v>114</v>
      </c>
      <c r="D1007">
        <v>84</v>
      </c>
      <c r="E1007">
        <v>80.471744982226696</v>
      </c>
      <c r="F1007">
        <v>1.3473387815931901</v>
      </c>
      <c r="G1007">
        <v>5086.0042536862002</v>
      </c>
      <c r="H1007">
        <v>506.238001908738</v>
      </c>
      <c r="I1007">
        <v>0.65195131388582706</v>
      </c>
      <c r="J1007">
        <v>0.24938888664096601</v>
      </c>
      <c r="K1007">
        <v>0.69267828586465896</v>
      </c>
      <c r="L1007" t="s">
        <v>33</v>
      </c>
      <c r="M1007" t="s">
        <v>34</v>
      </c>
      <c r="N1007" t="s">
        <v>35</v>
      </c>
      <c r="O1007">
        <v>0.69286805070515101</v>
      </c>
      <c r="P1007" t="s">
        <v>36</v>
      </c>
    </row>
    <row r="1008" spans="1:16">
      <c r="A1008">
        <v>1007</v>
      </c>
      <c r="B1008" t="s">
        <v>1065</v>
      </c>
      <c r="C1008">
        <v>136</v>
      </c>
      <c r="D1008">
        <v>87</v>
      </c>
      <c r="E1008">
        <v>80.5058369541659</v>
      </c>
      <c r="F1008">
        <v>1.56205096027271</v>
      </c>
      <c r="G1008">
        <v>5090.3145527410197</v>
      </c>
      <c r="H1008">
        <v>507.98989610568299</v>
      </c>
      <c r="I1008">
        <v>0.68577417025309495</v>
      </c>
      <c r="J1008">
        <v>0.247881625608252</v>
      </c>
      <c r="K1008">
        <v>0.63265230723759602</v>
      </c>
      <c r="L1008" t="s">
        <v>38</v>
      </c>
      <c r="M1008" t="s">
        <v>34</v>
      </c>
      <c r="N1008" t="s">
        <v>35</v>
      </c>
      <c r="O1008">
        <v>0.79982572386051598</v>
      </c>
      <c r="P1008" t="s">
        <v>36</v>
      </c>
    </row>
    <row r="1009" spans="1:16">
      <c r="A1009">
        <v>1008</v>
      </c>
      <c r="B1009" t="s">
        <v>1066</v>
      </c>
      <c r="C1009">
        <v>112</v>
      </c>
      <c r="D1009">
        <v>92</v>
      </c>
      <c r="E1009">
        <v>80.525815192811393</v>
      </c>
      <c r="F1009">
        <v>1.2157073678957</v>
      </c>
      <c r="G1009">
        <v>5092.8412797731598</v>
      </c>
      <c r="H1009">
        <v>500.70833331367197</v>
      </c>
      <c r="I1009">
        <v>0.52605583797522604</v>
      </c>
      <c r="J1009">
        <v>0.25527034573406898</v>
      </c>
      <c r="K1009">
        <v>0.68165993594206897</v>
      </c>
      <c r="L1009" t="s">
        <v>38</v>
      </c>
      <c r="M1009" t="s">
        <v>34</v>
      </c>
      <c r="N1009" t="s">
        <v>35</v>
      </c>
      <c r="O1009">
        <v>0.85466823054305696</v>
      </c>
      <c r="P1009" t="s">
        <v>36</v>
      </c>
    </row>
    <row r="1010" spans="1:16">
      <c r="A1010">
        <v>1009</v>
      </c>
      <c r="B1010" t="s">
        <v>1067</v>
      </c>
      <c r="C1010">
        <v>104</v>
      </c>
      <c r="D1010">
        <v>94</v>
      </c>
      <c r="E1010">
        <v>80.544613714224894</v>
      </c>
      <c r="F1010">
        <v>1.1040462427745701</v>
      </c>
      <c r="G1010">
        <v>5095.2193758034</v>
      </c>
      <c r="H1010">
        <v>542.00316093144204</v>
      </c>
      <c r="I1010">
        <v>0.613414030947523</v>
      </c>
      <c r="J1010">
        <v>0.21795614241321801</v>
      </c>
      <c r="K1010">
        <v>0.65461732355637003</v>
      </c>
      <c r="L1010" t="s">
        <v>33</v>
      </c>
      <c r="M1010" t="s">
        <v>34</v>
      </c>
      <c r="N1010" t="s">
        <v>35</v>
      </c>
      <c r="O1010">
        <v>0.67504832805577797</v>
      </c>
      <c r="P1010" t="s">
        <v>36</v>
      </c>
    </row>
    <row r="1011" spans="1:16">
      <c r="A1011">
        <v>1010</v>
      </c>
      <c r="B1011" t="s">
        <v>1068</v>
      </c>
      <c r="C1011">
        <v>176</v>
      </c>
      <c r="D1011">
        <v>112</v>
      </c>
      <c r="E1011">
        <v>80.562233344237697</v>
      </c>
      <c r="F1011">
        <v>1.5679611010447501</v>
      </c>
      <c r="G1011">
        <v>5097.4488408317602</v>
      </c>
      <c r="H1011">
        <v>1348.2281084676399</v>
      </c>
      <c r="I1011">
        <v>0.73864738433709798</v>
      </c>
      <c r="J1011">
        <v>3.5240006941478899E-2</v>
      </c>
      <c r="K1011">
        <v>0.29436099905587498</v>
      </c>
      <c r="L1011" t="s">
        <v>49</v>
      </c>
      <c r="M1011" t="s">
        <v>34</v>
      </c>
      <c r="N1011" t="s">
        <v>35</v>
      </c>
      <c r="O1011">
        <v>0.64081142642200595</v>
      </c>
      <c r="P1011" t="s">
        <v>36</v>
      </c>
    </row>
    <row r="1012" spans="1:16">
      <c r="A1012">
        <v>1011</v>
      </c>
      <c r="B1012" t="s">
        <v>1069</v>
      </c>
      <c r="C1012">
        <v>146</v>
      </c>
      <c r="D1012">
        <v>87</v>
      </c>
      <c r="E1012">
        <v>80.584546011787097</v>
      </c>
      <c r="F1012">
        <v>1.6749657567546701</v>
      </c>
      <c r="G1012">
        <v>5100.2728298676802</v>
      </c>
      <c r="H1012">
        <v>593.58237891912495</v>
      </c>
      <c r="I1012">
        <v>0.69281934083587005</v>
      </c>
      <c r="J1012">
        <v>0.18190359095151301</v>
      </c>
      <c r="K1012">
        <v>0.531751689084485</v>
      </c>
      <c r="L1012" t="s">
        <v>33</v>
      </c>
      <c r="M1012" t="s">
        <v>34</v>
      </c>
      <c r="N1012" t="s">
        <v>35</v>
      </c>
      <c r="O1012">
        <v>0.647076616102361</v>
      </c>
      <c r="P1012" t="s">
        <v>36</v>
      </c>
    </row>
    <row r="1013" spans="1:16">
      <c r="A1013">
        <v>1012</v>
      </c>
      <c r="B1013" t="s">
        <v>1070</v>
      </c>
      <c r="C1013">
        <v>161</v>
      </c>
      <c r="D1013">
        <v>83</v>
      </c>
      <c r="E1013">
        <v>80.672562071093097</v>
      </c>
      <c r="F1013">
        <v>1.9281385301277301</v>
      </c>
      <c r="G1013">
        <v>5111.4201550094504</v>
      </c>
      <c r="H1013">
        <v>1092.5780432199399</v>
      </c>
      <c r="I1013">
        <v>0.48679152950374899</v>
      </c>
      <c r="J1013">
        <v>5.3807957634354302E-2</v>
      </c>
      <c r="K1013">
        <v>0.51139067332857502</v>
      </c>
      <c r="L1013" t="s">
        <v>33</v>
      </c>
      <c r="M1013" t="s">
        <v>34</v>
      </c>
      <c r="N1013" t="s">
        <v>35</v>
      </c>
      <c r="O1013">
        <v>0.68706338394463895</v>
      </c>
      <c r="P1013" t="s">
        <v>36</v>
      </c>
    </row>
    <row r="1014" spans="1:16">
      <c r="A1014">
        <v>1013</v>
      </c>
      <c r="B1014" t="s">
        <v>1071</v>
      </c>
      <c r="C1014">
        <v>179</v>
      </c>
      <c r="D1014">
        <v>84</v>
      </c>
      <c r="E1014">
        <v>80.8857495069756</v>
      </c>
      <c r="F1014">
        <v>2.1229657083929898</v>
      </c>
      <c r="G1014">
        <v>5138.4709973535</v>
      </c>
      <c r="H1014">
        <v>1012.86670968781</v>
      </c>
      <c r="I1014">
        <v>0.69012168206152202</v>
      </c>
      <c r="J1014">
        <v>6.29418029765271E-2</v>
      </c>
      <c r="K1014">
        <v>0.46161857583485799</v>
      </c>
      <c r="L1014" t="s">
        <v>1072</v>
      </c>
      <c r="M1014" t="s">
        <v>34</v>
      </c>
      <c r="N1014" t="s">
        <v>35</v>
      </c>
      <c r="O1014">
        <v>0.83632872981874495</v>
      </c>
      <c r="P1014" t="s">
        <v>36</v>
      </c>
    </row>
    <row r="1015" spans="1:16">
      <c r="A1015">
        <v>1014</v>
      </c>
      <c r="B1015" t="s">
        <v>1073</v>
      </c>
      <c r="C1015">
        <v>118</v>
      </c>
      <c r="D1015">
        <v>91</v>
      </c>
      <c r="E1015">
        <v>80.951232689683707</v>
      </c>
      <c r="F1015">
        <v>1.2967477302811801</v>
      </c>
      <c r="G1015">
        <v>5146.7943334593601</v>
      </c>
      <c r="H1015">
        <v>645.66255772279703</v>
      </c>
      <c r="I1015">
        <v>0.62830760152380505</v>
      </c>
      <c r="J1015">
        <v>0.155144174801325</v>
      </c>
      <c r="K1015">
        <v>0.61257053901537295</v>
      </c>
      <c r="L1015" t="s">
        <v>38</v>
      </c>
      <c r="M1015" t="s">
        <v>34</v>
      </c>
      <c r="N1015" t="s">
        <v>35</v>
      </c>
      <c r="O1015">
        <v>0.73889457730831498</v>
      </c>
      <c r="P1015" t="s">
        <v>36</v>
      </c>
    </row>
    <row r="1016" spans="1:16">
      <c r="A1016">
        <v>1015</v>
      </c>
      <c r="B1016" t="s">
        <v>1074</v>
      </c>
      <c r="C1016">
        <v>93</v>
      </c>
      <c r="D1016">
        <v>83</v>
      </c>
      <c r="E1016">
        <v>81.107709981539301</v>
      </c>
      <c r="F1016">
        <v>1.1291361930888999</v>
      </c>
      <c r="G1016">
        <v>5166.7108877126702</v>
      </c>
      <c r="H1016">
        <v>429.909183356244</v>
      </c>
      <c r="I1016">
        <v>0.68054112845673598</v>
      </c>
      <c r="J1016">
        <v>0.35129387690340202</v>
      </c>
      <c r="K1016">
        <v>0.85627016774638498</v>
      </c>
      <c r="L1016" t="s">
        <v>38</v>
      </c>
      <c r="M1016" t="s">
        <v>34</v>
      </c>
      <c r="N1016" t="s">
        <v>35</v>
      </c>
      <c r="O1016">
        <v>0.88937236581457801</v>
      </c>
      <c r="P1016" t="s">
        <v>36</v>
      </c>
    </row>
    <row r="1017" spans="1:16">
      <c r="A1017">
        <v>1016</v>
      </c>
      <c r="B1017" t="s">
        <v>1075</v>
      </c>
      <c r="C1017">
        <v>69</v>
      </c>
      <c r="D1017">
        <v>173</v>
      </c>
      <c r="E1017">
        <v>81.107709981539301</v>
      </c>
      <c r="F1017">
        <v>0.39917063194896701</v>
      </c>
      <c r="G1017">
        <v>5166.7108877126702</v>
      </c>
      <c r="H1017">
        <v>829.58515305892297</v>
      </c>
      <c r="I1017">
        <v>0.78758194287885996</v>
      </c>
      <c r="J1017">
        <v>9.4341349138719804E-2</v>
      </c>
      <c r="K1017">
        <v>0.520171185730532</v>
      </c>
      <c r="L1017" t="s">
        <v>43</v>
      </c>
      <c r="M1017" t="s">
        <v>34</v>
      </c>
      <c r="N1017" t="s">
        <v>35</v>
      </c>
      <c r="O1017">
        <v>0.707079036970374</v>
      </c>
      <c r="P1017" t="s">
        <v>36</v>
      </c>
    </row>
    <row r="1018" spans="1:16">
      <c r="A1018">
        <v>1017</v>
      </c>
      <c r="B1018" t="s">
        <v>1076</v>
      </c>
      <c r="C1018">
        <v>67</v>
      </c>
      <c r="D1018">
        <v>134</v>
      </c>
      <c r="E1018">
        <v>81.241759880034806</v>
      </c>
      <c r="F1018">
        <v>0.498807471794115</v>
      </c>
      <c r="G1018">
        <v>5183.8034529300603</v>
      </c>
      <c r="H1018">
        <v>368.03617276015501</v>
      </c>
      <c r="I1018">
        <v>0.73557839425261096</v>
      </c>
      <c r="J1018">
        <v>0.48092502815133598</v>
      </c>
      <c r="K1018">
        <v>0.81738498675853699</v>
      </c>
      <c r="L1018" t="s">
        <v>41</v>
      </c>
      <c r="M1018" t="s">
        <v>34</v>
      </c>
      <c r="N1018" t="s">
        <v>35</v>
      </c>
      <c r="O1018">
        <v>0.70900990274737596</v>
      </c>
      <c r="P1018" t="s">
        <v>36</v>
      </c>
    </row>
    <row r="1019" spans="1:16">
      <c r="A1019">
        <v>1018</v>
      </c>
      <c r="B1019" t="s">
        <v>1077</v>
      </c>
      <c r="C1019">
        <v>135</v>
      </c>
      <c r="D1019">
        <v>101</v>
      </c>
      <c r="E1019">
        <v>81.302301182700901</v>
      </c>
      <c r="F1019">
        <v>1.33976665904957</v>
      </c>
      <c r="G1019">
        <v>5191.5322650283597</v>
      </c>
      <c r="H1019">
        <v>587.98851088471997</v>
      </c>
      <c r="I1019">
        <v>0.56084991999804201</v>
      </c>
      <c r="J1019">
        <v>0.18869819291957199</v>
      </c>
      <c r="K1019">
        <v>0.52190479036547799</v>
      </c>
      <c r="L1019" t="s">
        <v>38</v>
      </c>
      <c r="M1019" t="s">
        <v>34</v>
      </c>
      <c r="N1019" t="s">
        <v>35</v>
      </c>
      <c r="O1019">
        <v>0.77961606407303197</v>
      </c>
      <c r="P1019" t="s">
        <v>36</v>
      </c>
    </row>
    <row r="1020" spans="1:16">
      <c r="A1020">
        <v>1019</v>
      </c>
      <c r="B1020" t="s">
        <v>1078</v>
      </c>
      <c r="C1020">
        <v>91</v>
      </c>
      <c r="D1020">
        <v>140</v>
      </c>
      <c r="E1020">
        <v>81.316265851505904</v>
      </c>
      <c r="F1020">
        <v>0.64805206139457405</v>
      </c>
      <c r="G1020">
        <v>5193.31583705104</v>
      </c>
      <c r="H1020">
        <v>932.18393801326295</v>
      </c>
      <c r="I1020">
        <v>0.69560187126297901</v>
      </c>
      <c r="J1020">
        <v>7.5101976789498995E-2</v>
      </c>
      <c r="K1020">
        <v>0.55383664347192096</v>
      </c>
      <c r="L1020" t="s">
        <v>49</v>
      </c>
      <c r="M1020" t="s">
        <v>34</v>
      </c>
      <c r="N1020" t="s">
        <v>35</v>
      </c>
      <c r="O1020">
        <v>0.75157344485350397</v>
      </c>
      <c r="P1020" t="s">
        <v>36</v>
      </c>
    </row>
    <row r="1021" spans="1:16">
      <c r="A1021">
        <v>1020</v>
      </c>
      <c r="B1021" t="s">
        <v>1079</v>
      </c>
      <c r="C1021">
        <v>92</v>
      </c>
      <c r="D1021">
        <v>135</v>
      </c>
      <c r="E1021">
        <v>81.390703619395794</v>
      </c>
      <c r="F1021">
        <v>0.68455708102318702</v>
      </c>
      <c r="G1021">
        <v>5202.8282211720198</v>
      </c>
      <c r="H1021">
        <v>691.71372334552905</v>
      </c>
      <c r="I1021">
        <v>0.72955848721995498</v>
      </c>
      <c r="J1021">
        <v>0.13664588800507499</v>
      </c>
      <c r="K1021">
        <v>0.60302503057761503</v>
      </c>
      <c r="L1021" t="s">
        <v>43</v>
      </c>
      <c r="M1021" t="s">
        <v>34</v>
      </c>
      <c r="N1021" t="s">
        <v>35</v>
      </c>
      <c r="O1021">
        <v>0.74742213848860295</v>
      </c>
      <c r="P1021" t="s">
        <v>36</v>
      </c>
    </row>
    <row r="1022" spans="1:16">
      <c r="A1022">
        <v>1021</v>
      </c>
      <c r="B1022" t="s">
        <v>1080</v>
      </c>
      <c r="C1022">
        <v>150</v>
      </c>
      <c r="D1022">
        <v>76</v>
      </c>
      <c r="E1022">
        <v>81.409302426486903</v>
      </c>
      <c r="F1022">
        <v>1.98687953634951</v>
      </c>
      <c r="G1022">
        <v>5205.2063172022699</v>
      </c>
      <c r="H1022">
        <v>681.33854305091097</v>
      </c>
      <c r="I1022">
        <v>0.70458601105511298</v>
      </c>
      <c r="J1022">
        <v>0.14090353770751499</v>
      </c>
      <c r="K1022">
        <v>0.64497771556963401</v>
      </c>
      <c r="L1022" t="s">
        <v>38</v>
      </c>
      <c r="M1022" t="s">
        <v>34</v>
      </c>
      <c r="N1022" t="s">
        <v>35</v>
      </c>
      <c r="O1022">
        <v>0.72812962211918797</v>
      </c>
      <c r="P1022" t="s">
        <v>36</v>
      </c>
    </row>
    <row r="1023" spans="1:16">
      <c r="A1023">
        <v>1022</v>
      </c>
      <c r="B1023" t="s">
        <v>1081</v>
      </c>
      <c r="C1023">
        <v>96</v>
      </c>
      <c r="D1023">
        <v>139</v>
      </c>
      <c r="E1023">
        <v>81.467396331454196</v>
      </c>
      <c r="F1023">
        <v>0.69354902530691198</v>
      </c>
      <c r="G1023">
        <v>5212.6378672967903</v>
      </c>
      <c r="H1023">
        <v>1124.2554491164401</v>
      </c>
      <c r="I1023">
        <v>0.69353014111356603</v>
      </c>
      <c r="J1023">
        <v>5.1824773923755799E-2</v>
      </c>
      <c r="K1023">
        <v>0.49264633581030798</v>
      </c>
      <c r="L1023" t="s">
        <v>101</v>
      </c>
      <c r="M1023" t="s">
        <v>34</v>
      </c>
      <c r="N1023" t="s">
        <v>35</v>
      </c>
      <c r="O1023">
        <v>0.75840201607203905</v>
      </c>
      <c r="P1023" t="s">
        <v>36</v>
      </c>
    </row>
    <row r="1024" spans="1:16">
      <c r="A1024">
        <v>1023</v>
      </c>
      <c r="B1024" t="s">
        <v>1082</v>
      </c>
      <c r="C1024">
        <v>84</v>
      </c>
      <c r="D1024">
        <v>148</v>
      </c>
      <c r="E1024">
        <v>81.597376590025505</v>
      </c>
      <c r="F1024">
        <v>0.56617647058823495</v>
      </c>
      <c r="G1024">
        <v>5229.2845395085096</v>
      </c>
      <c r="H1024">
        <v>788.95178485549002</v>
      </c>
      <c r="I1024">
        <v>0.73623535158898001</v>
      </c>
      <c r="J1024">
        <v>0.10557259860884501</v>
      </c>
      <c r="K1024">
        <v>0.52347864901056396</v>
      </c>
      <c r="L1024" t="s">
        <v>33</v>
      </c>
      <c r="M1024" t="s">
        <v>34</v>
      </c>
      <c r="N1024" t="s">
        <v>35</v>
      </c>
      <c r="O1024">
        <v>0.69387623107103102</v>
      </c>
      <c r="P1024" t="s">
        <v>36</v>
      </c>
    </row>
    <row r="1025" spans="1:16">
      <c r="A1025">
        <v>1024</v>
      </c>
      <c r="B1025" t="s">
        <v>1083</v>
      </c>
      <c r="C1025">
        <v>181</v>
      </c>
      <c r="D1025">
        <v>67</v>
      </c>
      <c r="E1025">
        <v>81.621724844720305</v>
      </c>
      <c r="F1025">
        <v>2.6991869918699201</v>
      </c>
      <c r="G1025">
        <v>5232.4057905482096</v>
      </c>
      <c r="H1025">
        <v>982.89807979998398</v>
      </c>
      <c r="I1025">
        <v>0.84976515453118195</v>
      </c>
      <c r="J1025">
        <v>6.8060370413182095E-2</v>
      </c>
      <c r="K1025">
        <v>0.48280212847660298</v>
      </c>
      <c r="L1025" t="s">
        <v>38</v>
      </c>
      <c r="M1025" t="s">
        <v>34</v>
      </c>
      <c r="N1025" t="s">
        <v>35</v>
      </c>
      <c r="O1025">
        <v>0.88883421527555095</v>
      </c>
      <c r="P1025" t="s">
        <v>36</v>
      </c>
    </row>
    <row r="1026" spans="1:16">
      <c r="A1026">
        <v>1025</v>
      </c>
      <c r="B1026" t="s">
        <v>1084</v>
      </c>
      <c r="C1026">
        <v>72</v>
      </c>
      <c r="D1026">
        <v>135</v>
      </c>
      <c r="E1026">
        <v>81.657654237504403</v>
      </c>
      <c r="F1026">
        <v>0.53559735020066501</v>
      </c>
      <c r="G1026">
        <v>5237.0133516068099</v>
      </c>
      <c r="H1026">
        <v>564.84911039549399</v>
      </c>
      <c r="I1026">
        <v>0.88858863100295604</v>
      </c>
      <c r="J1026">
        <v>0.20626647508800999</v>
      </c>
      <c r="K1026">
        <v>0.71102815053980395</v>
      </c>
      <c r="L1026" t="s">
        <v>49</v>
      </c>
      <c r="M1026" t="s">
        <v>34</v>
      </c>
      <c r="N1026" t="s">
        <v>35</v>
      </c>
      <c r="O1026">
        <v>0.79330403729531396</v>
      </c>
      <c r="P1026" t="s">
        <v>36</v>
      </c>
    </row>
    <row r="1027" spans="1:16">
      <c r="A1027">
        <v>1026</v>
      </c>
      <c r="B1027" t="s">
        <v>1085</v>
      </c>
      <c r="C1027">
        <v>143</v>
      </c>
      <c r="D1027">
        <v>73</v>
      </c>
      <c r="E1027">
        <v>81.817406531365407</v>
      </c>
      <c r="F1027">
        <v>1.9583720261180799</v>
      </c>
      <c r="G1027">
        <v>5257.5244298676798</v>
      </c>
      <c r="H1027">
        <v>603.76268412164995</v>
      </c>
      <c r="I1027">
        <v>0.51790264047377099</v>
      </c>
      <c r="J1027">
        <v>0.18124190902947801</v>
      </c>
      <c r="K1027">
        <v>0.65304803751430796</v>
      </c>
      <c r="L1027" t="s">
        <v>1072</v>
      </c>
      <c r="M1027" t="s">
        <v>34</v>
      </c>
      <c r="N1027" t="s">
        <v>35</v>
      </c>
      <c r="O1027">
        <v>0.69329530800438399</v>
      </c>
      <c r="P1027" t="s">
        <v>36</v>
      </c>
    </row>
    <row r="1028" spans="1:16">
      <c r="A1028">
        <v>1027</v>
      </c>
      <c r="B1028" t="s">
        <v>1086</v>
      </c>
      <c r="C1028">
        <v>59</v>
      </c>
      <c r="D1028">
        <v>137</v>
      </c>
      <c r="E1028">
        <v>81.999929175879302</v>
      </c>
      <c r="F1028">
        <v>0.432539682539683</v>
      </c>
      <c r="G1028">
        <v>5281.0081281663497</v>
      </c>
      <c r="H1028">
        <v>457.51602437340699</v>
      </c>
      <c r="I1028">
        <v>0.74245056457892999</v>
      </c>
      <c r="J1028">
        <v>0.31704001547122701</v>
      </c>
      <c r="K1028">
        <v>0.75681605180199396</v>
      </c>
      <c r="L1028" t="s">
        <v>41</v>
      </c>
      <c r="M1028" t="s">
        <v>34</v>
      </c>
      <c r="N1028" t="s">
        <v>35</v>
      </c>
      <c r="O1028">
        <v>0.69695896827944004</v>
      </c>
      <c r="P1028" t="s">
        <v>36</v>
      </c>
    </row>
    <row r="1029" spans="1:16">
      <c r="A1029">
        <v>1028</v>
      </c>
      <c r="B1029" t="s">
        <v>1087</v>
      </c>
      <c r="C1029">
        <v>80</v>
      </c>
      <c r="D1029">
        <v>112</v>
      </c>
      <c r="E1029">
        <v>82.041459812339497</v>
      </c>
      <c r="F1029">
        <v>0.71732220372635402</v>
      </c>
      <c r="G1029">
        <v>5286.3588442344098</v>
      </c>
      <c r="H1029">
        <v>367.84908367644198</v>
      </c>
      <c r="I1029">
        <v>0.712132858989591</v>
      </c>
      <c r="J1029">
        <v>0.49093856309761702</v>
      </c>
      <c r="K1029">
        <v>0.81830940548499898</v>
      </c>
      <c r="L1029" t="s">
        <v>144</v>
      </c>
      <c r="M1029" t="s">
        <v>34</v>
      </c>
      <c r="N1029" t="s">
        <v>35</v>
      </c>
      <c r="O1029">
        <v>0.74201332970257405</v>
      </c>
      <c r="P1029" t="s">
        <v>36</v>
      </c>
    </row>
    <row r="1030" spans="1:16">
      <c r="A1030">
        <v>1029</v>
      </c>
      <c r="B1030" t="s">
        <v>1088</v>
      </c>
      <c r="C1030">
        <v>93</v>
      </c>
      <c r="D1030">
        <v>107</v>
      </c>
      <c r="E1030">
        <v>82.177440862459406</v>
      </c>
      <c r="F1030">
        <v>0.86294416243654803</v>
      </c>
      <c r="G1030">
        <v>5303.8973024574698</v>
      </c>
      <c r="H1030">
        <v>706.79272121833696</v>
      </c>
      <c r="I1030">
        <v>0.58368770490046396</v>
      </c>
      <c r="J1030">
        <v>0.133419968475639</v>
      </c>
      <c r="K1030">
        <v>0.68943199381761999</v>
      </c>
      <c r="L1030" t="s">
        <v>33</v>
      </c>
      <c r="M1030" t="s">
        <v>34</v>
      </c>
      <c r="N1030" t="s">
        <v>35</v>
      </c>
      <c r="O1030">
        <v>0.72213273264052202</v>
      </c>
      <c r="P1030" t="s">
        <v>36</v>
      </c>
    </row>
    <row r="1031" spans="1:16">
      <c r="A1031">
        <v>1030</v>
      </c>
      <c r="B1031" t="s">
        <v>1089</v>
      </c>
      <c r="C1031">
        <v>92</v>
      </c>
      <c r="D1031">
        <v>139</v>
      </c>
      <c r="E1031">
        <v>82.321243584815704</v>
      </c>
      <c r="F1031">
        <v>0.66484628821212</v>
      </c>
      <c r="G1031">
        <v>5322.4761776937603</v>
      </c>
      <c r="H1031">
        <v>868.29283322438005</v>
      </c>
      <c r="I1031">
        <v>0.66565036348419604</v>
      </c>
      <c r="J1031">
        <v>8.8713794912237701E-2</v>
      </c>
      <c r="K1031">
        <v>0.513427100807203</v>
      </c>
      <c r="L1031" t="s">
        <v>38</v>
      </c>
      <c r="M1031" t="s">
        <v>34</v>
      </c>
      <c r="N1031" t="s">
        <v>35</v>
      </c>
      <c r="O1031">
        <v>0.71941512170550204</v>
      </c>
      <c r="P1031" t="s">
        <v>36</v>
      </c>
    </row>
    <row r="1032" spans="1:16">
      <c r="A1032">
        <v>1031</v>
      </c>
      <c r="B1032" t="s">
        <v>1090</v>
      </c>
      <c r="C1032">
        <v>107</v>
      </c>
      <c r="D1032">
        <v>91</v>
      </c>
      <c r="E1032">
        <v>82.329289110466704</v>
      </c>
      <c r="F1032">
        <v>1.18033219136219</v>
      </c>
      <c r="G1032">
        <v>5323.516594707</v>
      </c>
      <c r="H1032">
        <v>758.04315600094606</v>
      </c>
      <c r="I1032">
        <v>0.74045703750099501</v>
      </c>
      <c r="J1032">
        <v>0.116418128679132</v>
      </c>
      <c r="K1032">
        <v>0.68218958916633299</v>
      </c>
      <c r="L1032" t="s">
        <v>33</v>
      </c>
      <c r="M1032" t="s">
        <v>34</v>
      </c>
      <c r="N1032" t="s">
        <v>35</v>
      </c>
      <c r="O1032">
        <v>0.718761578949494</v>
      </c>
      <c r="P1032" t="s">
        <v>36</v>
      </c>
    </row>
    <row r="1033" spans="1:16">
      <c r="A1033">
        <v>1032</v>
      </c>
      <c r="B1033" t="s">
        <v>1091</v>
      </c>
      <c r="C1033">
        <v>112</v>
      </c>
      <c r="D1033">
        <v>88</v>
      </c>
      <c r="E1033">
        <v>82.354569931223494</v>
      </c>
      <c r="F1033">
        <v>1.2732919254658399</v>
      </c>
      <c r="G1033">
        <v>5326.7864767485798</v>
      </c>
      <c r="H1033">
        <v>944.81748255512002</v>
      </c>
      <c r="I1033">
        <v>0.64052201372756801</v>
      </c>
      <c r="J1033">
        <v>7.4985848681286493E-2</v>
      </c>
      <c r="K1033">
        <v>0.62160052726515902</v>
      </c>
      <c r="L1033" t="s">
        <v>43</v>
      </c>
      <c r="M1033" t="s">
        <v>34</v>
      </c>
      <c r="N1033" t="s">
        <v>35</v>
      </c>
      <c r="O1033">
        <v>0.648429237008041</v>
      </c>
      <c r="P1033" t="s">
        <v>36</v>
      </c>
    </row>
    <row r="1034" spans="1:16">
      <c r="A1034">
        <v>1033</v>
      </c>
      <c r="B1034" t="s">
        <v>1092</v>
      </c>
      <c r="C1034">
        <v>154</v>
      </c>
      <c r="D1034">
        <v>64</v>
      </c>
      <c r="E1034">
        <v>82.387882796944197</v>
      </c>
      <c r="F1034">
        <v>2.4036555428285702</v>
      </c>
      <c r="G1034">
        <v>5331.0967758034003</v>
      </c>
      <c r="H1034">
        <v>590.30167233280497</v>
      </c>
      <c r="I1034">
        <v>0.51316037029448802</v>
      </c>
      <c r="J1034">
        <v>0.19225533637652301</v>
      </c>
      <c r="K1034">
        <v>0.63797090107075505</v>
      </c>
      <c r="L1034" t="s">
        <v>33</v>
      </c>
      <c r="M1034" t="s">
        <v>34</v>
      </c>
      <c r="N1034" t="s">
        <v>35</v>
      </c>
      <c r="O1034">
        <v>0.69401701804304095</v>
      </c>
      <c r="P1034" t="s">
        <v>36</v>
      </c>
    </row>
    <row r="1035" spans="1:16">
      <c r="A1035">
        <v>1034</v>
      </c>
      <c r="B1035" t="s">
        <v>1093</v>
      </c>
      <c r="C1035">
        <v>112</v>
      </c>
      <c r="D1035">
        <v>107</v>
      </c>
      <c r="E1035">
        <v>82.415441882109405</v>
      </c>
      <c r="F1035">
        <v>1.0456852862649999</v>
      </c>
      <c r="G1035">
        <v>5334.6639198487701</v>
      </c>
      <c r="H1035">
        <v>1109.7283162562701</v>
      </c>
      <c r="I1035">
        <v>0.58457307457180596</v>
      </c>
      <c r="J1035">
        <v>5.4435672526317702E-2</v>
      </c>
      <c r="K1035">
        <v>0.58182171862082399</v>
      </c>
      <c r="L1035" t="s">
        <v>38</v>
      </c>
      <c r="M1035" t="s">
        <v>34</v>
      </c>
      <c r="N1035" t="s">
        <v>35</v>
      </c>
      <c r="O1035">
        <v>0.79429048907062005</v>
      </c>
      <c r="P1035" t="s">
        <v>36</v>
      </c>
    </row>
    <row r="1036" spans="1:16">
      <c r="A1036">
        <v>1035</v>
      </c>
      <c r="B1036" t="s">
        <v>1094</v>
      </c>
      <c r="C1036">
        <v>79</v>
      </c>
      <c r="D1036">
        <v>113</v>
      </c>
      <c r="E1036">
        <v>82.529025831353493</v>
      </c>
      <c r="F1036">
        <v>0.700293676201861</v>
      </c>
      <c r="G1036">
        <v>5349.37838903592</v>
      </c>
      <c r="H1036">
        <v>512.08866770049804</v>
      </c>
      <c r="I1036">
        <v>0.79430289065466098</v>
      </c>
      <c r="J1036">
        <v>0.25634382039872</v>
      </c>
      <c r="K1036">
        <v>0.703567588701007</v>
      </c>
      <c r="L1036" t="s">
        <v>38</v>
      </c>
      <c r="M1036" t="s">
        <v>34</v>
      </c>
      <c r="N1036" t="s">
        <v>35</v>
      </c>
      <c r="O1036">
        <v>0.74736208800415704</v>
      </c>
      <c r="P1036" t="s">
        <v>36</v>
      </c>
    </row>
    <row r="1037" spans="1:16">
      <c r="A1037">
        <v>1036</v>
      </c>
      <c r="B1037" t="s">
        <v>1095</v>
      </c>
      <c r="C1037">
        <v>95</v>
      </c>
      <c r="D1037">
        <v>95</v>
      </c>
      <c r="E1037">
        <v>82.606952611608193</v>
      </c>
      <c r="F1037">
        <v>0.99352135192174895</v>
      </c>
      <c r="G1037">
        <v>5359.4852971644596</v>
      </c>
      <c r="H1037">
        <v>435.31434607682002</v>
      </c>
      <c r="I1037">
        <v>0.68713103338830195</v>
      </c>
      <c r="J1037">
        <v>0.35540782723445902</v>
      </c>
      <c r="K1037">
        <v>0.74708904819127298</v>
      </c>
      <c r="L1037" t="s">
        <v>58</v>
      </c>
      <c r="M1037" t="s">
        <v>34</v>
      </c>
      <c r="N1037" t="s">
        <v>35</v>
      </c>
      <c r="O1037">
        <v>0.70371186651014295</v>
      </c>
      <c r="P1037" t="s">
        <v>36</v>
      </c>
    </row>
    <row r="1038" spans="1:16">
      <c r="A1038">
        <v>1037</v>
      </c>
      <c r="B1038" t="s">
        <v>1096</v>
      </c>
      <c r="C1038">
        <v>148</v>
      </c>
      <c r="D1038">
        <v>120</v>
      </c>
      <c r="E1038">
        <v>82.696248787792996</v>
      </c>
      <c r="F1038">
        <v>1.2307692307692299</v>
      </c>
      <c r="G1038">
        <v>5371.0785153119105</v>
      </c>
      <c r="H1038">
        <v>1149.22262225452</v>
      </c>
      <c r="I1038">
        <v>0.67094007211518103</v>
      </c>
      <c r="J1038">
        <v>5.1104957587234601E-2</v>
      </c>
      <c r="K1038">
        <v>0.48424790619765501</v>
      </c>
      <c r="L1038" t="s">
        <v>33</v>
      </c>
      <c r="M1038" t="s">
        <v>34</v>
      </c>
      <c r="N1038" t="s">
        <v>35</v>
      </c>
      <c r="O1038">
        <v>0.801660053991057</v>
      </c>
      <c r="P1038" t="s">
        <v>36</v>
      </c>
    </row>
    <row r="1039" spans="1:16">
      <c r="A1039">
        <v>1038</v>
      </c>
      <c r="B1039" t="s">
        <v>1097</v>
      </c>
      <c r="C1039">
        <v>89</v>
      </c>
      <c r="D1039">
        <v>93</v>
      </c>
      <c r="E1039">
        <v>82.951013998623196</v>
      </c>
      <c r="F1039">
        <v>0.95671712030678602</v>
      </c>
      <c r="G1039">
        <v>5404.22322873346</v>
      </c>
      <c r="H1039">
        <v>453.78915417194401</v>
      </c>
      <c r="I1039">
        <v>0.77624866642963097</v>
      </c>
      <c r="J1039">
        <v>0.329788054208631</v>
      </c>
      <c r="K1039">
        <v>0.79959536428210098</v>
      </c>
      <c r="L1039" t="s">
        <v>67</v>
      </c>
      <c r="M1039" t="s">
        <v>34</v>
      </c>
      <c r="N1039" t="s">
        <v>35</v>
      </c>
      <c r="O1039">
        <v>0.65143307401841899</v>
      </c>
      <c r="P1039" t="s">
        <v>36</v>
      </c>
    </row>
    <row r="1040" spans="1:16">
      <c r="A1040">
        <v>1039</v>
      </c>
      <c r="B1040" t="s">
        <v>1098</v>
      </c>
      <c r="C1040">
        <v>104</v>
      </c>
      <c r="D1040">
        <v>97</v>
      </c>
      <c r="E1040">
        <v>83.129909502303093</v>
      </c>
      <c r="F1040">
        <v>1.0674157418953101</v>
      </c>
      <c r="G1040">
        <v>5427.5582960302499</v>
      </c>
      <c r="H1040">
        <v>614.64271823644594</v>
      </c>
      <c r="I1040">
        <v>0.58008468399032098</v>
      </c>
      <c r="J1040">
        <v>0.18053810480365301</v>
      </c>
      <c r="K1040">
        <v>0.599523887703169</v>
      </c>
      <c r="L1040" t="s">
        <v>38</v>
      </c>
      <c r="M1040" t="s">
        <v>34</v>
      </c>
      <c r="N1040" t="s">
        <v>35</v>
      </c>
      <c r="O1040">
        <v>0.78163413897746903</v>
      </c>
      <c r="P1040" t="s">
        <v>36</v>
      </c>
    </row>
    <row r="1041" spans="1:16">
      <c r="A1041">
        <v>1040</v>
      </c>
      <c r="B1041" t="s">
        <v>1099</v>
      </c>
      <c r="C1041">
        <v>108</v>
      </c>
      <c r="D1041">
        <v>82</v>
      </c>
      <c r="E1041">
        <v>83.176564076051505</v>
      </c>
      <c r="F1041">
        <v>1.3207961839952</v>
      </c>
      <c r="G1041">
        <v>5433.6521671077498</v>
      </c>
      <c r="H1041">
        <v>386.22208337825299</v>
      </c>
      <c r="I1041">
        <v>0.60681662652866397</v>
      </c>
      <c r="J1041">
        <v>0.45774909399991698</v>
      </c>
      <c r="K1041">
        <v>0.79923919459565795</v>
      </c>
      <c r="L1041" t="s">
        <v>33</v>
      </c>
      <c r="M1041" t="s">
        <v>34</v>
      </c>
      <c r="N1041" t="s">
        <v>35</v>
      </c>
      <c r="O1041">
        <v>0.72736109138770799</v>
      </c>
      <c r="P1041" t="s">
        <v>36</v>
      </c>
    </row>
    <row r="1042" spans="1:16">
      <c r="A1042">
        <v>1041</v>
      </c>
      <c r="B1042" t="s">
        <v>1100</v>
      </c>
      <c r="C1042">
        <v>129</v>
      </c>
      <c r="D1042">
        <v>69</v>
      </c>
      <c r="E1042">
        <v>83.193626285522697</v>
      </c>
      <c r="F1042">
        <v>1.85901391168444</v>
      </c>
      <c r="G1042">
        <v>5435.8816321361101</v>
      </c>
      <c r="H1042">
        <v>407.11803109303798</v>
      </c>
      <c r="I1042">
        <v>0.78131593325651905</v>
      </c>
      <c r="J1042">
        <v>0.41213469849225298</v>
      </c>
      <c r="K1042">
        <v>0.76984444397667695</v>
      </c>
      <c r="L1042" t="s">
        <v>33</v>
      </c>
      <c r="M1042" t="s">
        <v>34</v>
      </c>
      <c r="N1042" t="s">
        <v>35</v>
      </c>
      <c r="O1042">
        <v>0.70110013596229903</v>
      </c>
      <c r="P1042" t="s">
        <v>36</v>
      </c>
    </row>
    <row r="1043" spans="1:16">
      <c r="A1043">
        <v>1042</v>
      </c>
      <c r="B1043" t="s">
        <v>1101</v>
      </c>
      <c r="C1043">
        <v>112</v>
      </c>
      <c r="D1043">
        <v>91</v>
      </c>
      <c r="E1043">
        <v>83.234561318155002</v>
      </c>
      <c r="F1043">
        <v>1.24096389972069</v>
      </c>
      <c r="G1043">
        <v>5441.2323482041602</v>
      </c>
      <c r="H1043">
        <v>598.737869346764</v>
      </c>
      <c r="I1043">
        <v>0.58939974210659096</v>
      </c>
      <c r="J1043">
        <v>0.19073644339582799</v>
      </c>
      <c r="K1043">
        <v>0.66085998989096695</v>
      </c>
      <c r="L1043" t="s">
        <v>211</v>
      </c>
      <c r="M1043" t="s">
        <v>34</v>
      </c>
      <c r="N1043" t="s">
        <v>35</v>
      </c>
      <c r="O1043">
        <v>0.73849410649663105</v>
      </c>
      <c r="P1043" t="s">
        <v>36</v>
      </c>
    </row>
    <row r="1044" spans="1:16">
      <c r="A1044">
        <v>1043</v>
      </c>
      <c r="B1044" t="s">
        <v>1102</v>
      </c>
      <c r="C1044">
        <v>131</v>
      </c>
      <c r="D1044">
        <v>78</v>
      </c>
      <c r="E1044">
        <v>83.284565701393007</v>
      </c>
      <c r="F1044">
        <v>1.67431391722147</v>
      </c>
      <c r="G1044">
        <v>5447.77211228734</v>
      </c>
      <c r="H1044">
        <v>429.67508308006398</v>
      </c>
      <c r="I1044">
        <v>0.664305147280432</v>
      </c>
      <c r="J1044">
        <v>0.37080745499708501</v>
      </c>
      <c r="K1044">
        <v>0.74428379969946801</v>
      </c>
      <c r="L1044" t="s">
        <v>33</v>
      </c>
      <c r="M1044" t="s">
        <v>34</v>
      </c>
      <c r="N1044" t="s">
        <v>35</v>
      </c>
      <c r="O1044">
        <v>0.70420630153525099</v>
      </c>
      <c r="P1044" t="s">
        <v>36</v>
      </c>
    </row>
    <row r="1045" spans="1:16">
      <c r="A1045">
        <v>1044</v>
      </c>
      <c r="B1045" t="s">
        <v>1103</v>
      </c>
      <c r="C1045">
        <v>103</v>
      </c>
      <c r="D1045">
        <v>115</v>
      </c>
      <c r="E1045">
        <v>83.302741671427199</v>
      </c>
      <c r="F1045">
        <v>0.89388074926608696</v>
      </c>
      <c r="G1045">
        <v>5450.1502083175801</v>
      </c>
      <c r="H1045">
        <v>769.21208759276794</v>
      </c>
      <c r="I1045">
        <v>0.66450694765546103</v>
      </c>
      <c r="J1045">
        <v>0.11575136877974999</v>
      </c>
      <c r="K1045">
        <v>0.63522502858330698</v>
      </c>
      <c r="L1045" t="s">
        <v>33</v>
      </c>
      <c r="M1045" t="s">
        <v>34</v>
      </c>
      <c r="N1045" t="s">
        <v>35</v>
      </c>
      <c r="O1045">
        <v>0.81049388537394795</v>
      </c>
      <c r="P1045" t="s">
        <v>36</v>
      </c>
    </row>
    <row r="1046" spans="1:16">
      <c r="A1046">
        <v>1045</v>
      </c>
      <c r="B1046" t="s">
        <v>1104</v>
      </c>
      <c r="C1046">
        <v>181</v>
      </c>
      <c r="D1046">
        <v>94</v>
      </c>
      <c r="E1046">
        <v>83.413983067326399</v>
      </c>
      <c r="F1046">
        <v>1.9350676022439299</v>
      </c>
      <c r="G1046">
        <v>5464.7160465028401</v>
      </c>
      <c r="H1046">
        <v>1145.3579509358799</v>
      </c>
      <c r="I1046">
        <v>0.78784739822143202</v>
      </c>
      <c r="J1046">
        <v>5.2347385353829497E-2</v>
      </c>
      <c r="K1046">
        <v>0.42854478699224902</v>
      </c>
      <c r="L1046" t="s">
        <v>49</v>
      </c>
      <c r="M1046" t="s">
        <v>34</v>
      </c>
      <c r="N1046" t="s">
        <v>35</v>
      </c>
      <c r="O1046">
        <v>0.69352110348055995</v>
      </c>
      <c r="P1046" t="s">
        <v>36</v>
      </c>
    </row>
    <row r="1047" spans="1:16">
      <c r="A1047">
        <v>1046</v>
      </c>
      <c r="B1047" t="s">
        <v>1105</v>
      </c>
      <c r="C1047">
        <v>120</v>
      </c>
      <c r="D1047">
        <v>93</v>
      </c>
      <c r="E1047">
        <v>83.570378048104502</v>
      </c>
      <c r="F1047">
        <v>1.2917024849093299</v>
      </c>
      <c r="G1047">
        <v>5485.22712476371</v>
      </c>
      <c r="H1047">
        <v>669.34376044221597</v>
      </c>
      <c r="I1047">
        <v>0.61642621034204204</v>
      </c>
      <c r="J1047">
        <v>0.153853025279935</v>
      </c>
      <c r="K1047">
        <v>0.66305539086221499</v>
      </c>
      <c r="L1047" t="s">
        <v>41</v>
      </c>
      <c r="M1047" t="s">
        <v>34</v>
      </c>
      <c r="N1047" t="s">
        <v>35</v>
      </c>
      <c r="O1047">
        <v>0.76981193190850605</v>
      </c>
      <c r="P1047" t="s">
        <v>36</v>
      </c>
    </row>
    <row r="1048" spans="1:16">
      <c r="A1048">
        <v>1047</v>
      </c>
      <c r="B1048" t="s">
        <v>1106</v>
      </c>
      <c r="C1048">
        <v>136</v>
      </c>
      <c r="D1048">
        <v>101</v>
      </c>
      <c r="E1048">
        <v>83.591887773979195</v>
      </c>
      <c r="F1048">
        <v>1.34951667635489</v>
      </c>
      <c r="G1048">
        <v>5488.05111379962</v>
      </c>
      <c r="H1048">
        <v>705.33978728087095</v>
      </c>
      <c r="I1048">
        <v>0.75477269713797701</v>
      </c>
      <c r="J1048">
        <v>0.13862170830908899</v>
      </c>
      <c r="K1048">
        <v>0.53745160257343305</v>
      </c>
      <c r="L1048" t="s">
        <v>38</v>
      </c>
      <c r="M1048" t="s">
        <v>34</v>
      </c>
      <c r="N1048" t="s">
        <v>35</v>
      </c>
      <c r="O1048">
        <v>0.71275317067711597</v>
      </c>
      <c r="P1048" t="s">
        <v>36</v>
      </c>
    </row>
    <row r="1049" spans="1:16">
      <c r="A1049">
        <v>1048</v>
      </c>
      <c r="B1049" t="s">
        <v>1107</v>
      </c>
      <c r="C1049">
        <v>89</v>
      </c>
      <c r="D1049">
        <v>116</v>
      </c>
      <c r="E1049">
        <v>83.606601766349101</v>
      </c>
      <c r="F1049">
        <v>0.76921512424161997</v>
      </c>
      <c r="G1049">
        <v>5489.9833168242003</v>
      </c>
      <c r="H1049">
        <v>447.72870181529402</v>
      </c>
      <c r="I1049">
        <v>0.66055175481631401</v>
      </c>
      <c r="J1049">
        <v>0.34415256992469401</v>
      </c>
      <c r="K1049">
        <v>0.67590762699458395</v>
      </c>
      <c r="L1049" t="s">
        <v>74</v>
      </c>
      <c r="M1049" t="s">
        <v>34</v>
      </c>
      <c r="N1049" t="s">
        <v>35</v>
      </c>
      <c r="O1049">
        <v>0.65253903118053402</v>
      </c>
      <c r="P1049" t="s">
        <v>36</v>
      </c>
    </row>
    <row r="1050" spans="1:16">
      <c r="A1050">
        <v>1049</v>
      </c>
      <c r="B1050" t="s">
        <v>1108</v>
      </c>
      <c r="C1050">
        <v>163</v>
      </c>
      <c r="D1050">
        <v>66</v>
      </c>
      <c r="E1050">
        <v>83.780709359438205</v>
      </c>
      <c r="F1050">
        <v>2.45160464595399</v>
      </c>
      <c r="G1050">
        <v>5512.8724911153104</v>
      </c>
      <c r="H1050">
        <v>511.87726490549397</v>
      </c>
      <c r="I1050">
        <v>0.779253285847891</v>
      </c>
      <c r="J1050">
        <v>0.264396760825785</v>
      </c>
      <c r="K1050">
        <v>0.68176972281449899</v>
      </c>
      <c r="L1050" t="s">
        <v>38</v>
      </c>
      <c r="M1050" t="s">
        <v>34</v>
      </c>
      <c r="N1050" t="s">
        <v>35</v>
      </c>
      <c r="O1050">
        <v>0.69958177277951406</v>
      </c>
      <c r="P1050" t="s">
        <v>36</v>
      </c>
    </row>
    <row r="1051" spans="1:16">
      <c r="A1051">
        <v>1050</v>
      </c>
      <c r="B1051" t="s">
        <v>1109</v>
      </c>
      <c r="C1051">
        <v>100</v>
      </c>
      <c r="D1051">
        <v>143</v>
      </c>
      <c r="E1051">
        <v>83.854087838741606</v>
      </c>
      <c r="F1051">
        <v>0.70229007633587803</v>
      </c>
      <c r="G1051">
        <v>5522.5335062381901</v>
      </c>
      <c r="H1051">
        <v>586.268716407444</v>
      </c>
      <c r="I1051">
        <v>0.61740886116209603</v>
      </c>
      <c r="J1051">
        <v>0.20190858362705699</v>
      </c>
      <c r="K1051">
        <v>0.57319161408759201</v>
      </c>
      <c r="L1051" t="s">
        <v>33</v>
      </c>
      <c r="M1051" t="s">
        <v>34</v>
      </c>
      <c r="N1051" t="s">
        <v>35</v>
      </c>
      <c r="O1051">
        <v>0.70880917811727495</v>
      </c>
      <c r="P1051" t="s">
        <v>36</v>
      </c>
    </row>
    <row r="1052" spans="1:16">
      <c r="A1052">
        <v>1051</v>
      </c>
      <c r="B1052" t="s">
        <v>1110</v>
      </c>
      <c r="C1052">
        <v>58</v>
      </c>
      <c r="D1052">
        <v>152</v>
      </c>
      <c r="E1052">
        <v>83.945438945013606</v>
      </c>
      <c r="F1052">
        <v>0.38129496402877699</v>
      </c>
      <c r="G1052">
        <v>5534.5726173913099</v>
      </c>
      <c r="H1052">
        <v>652.56766557330695</v>
      </c>
      <c r="I1052">
        <v>0.81370389967536505</v>
      </c>
      <c r="J1052">
        <v>0.16332130908065201</v>
      </c>
      <c r="K1052">
        <v>0.77661216317677495</v>
      </c>
      <c r="L1052" t="s">
        <v>41</v>
      </c>
      <c r="M1052" t="s">
        <v>34</v>
      </c>
      <c r="N1052" t="s">
        <v>35</v>
      </c>
      <c r="O1052">
        <v>0.78978661376921999</v>
      </c>
      <c r="P1052" t="s">
        <v>36</v>
      </c>
    </row>
    <row r="1053" spans="1:16">
      <c r="A1053">
        <v>1052</v>
      </c>
      <c r="B1053" t="s">
        <v>1111</v>
      </c>
      <c r="C1053">
        <v>103</v>
      </c>
      <c r="D1053">
        <v>95</v>
      </c>
      <c r="E1053">
        <v>84.015294902536596</v>
      </c>
      <c r="F1053">
        <v>1.0804597842266499</v>
      </c>
      <c r="G1053">
        <v>5543.7877395085097</v>
      </c>
      <c r="H1053">
        <v>468.994934693316</v>
      </c>
      <c r="I1053">
        <v>0.64165886680031103</v>
      </c>
      <c r="J1053">
        <v>0.31672340173198799</v>
      </c>
      <c r="K1053">
        <v>0.739560613871595</v>
      </c>
      <c r="L1053" t="s">
        <v>43</v>
      </c>
      <c r="M1053" t="s">
        <v>34</v>
      </c>
      <c r="N1053" t="s">
        <v>35</v>
      </c>
      <c r="O1053">
        <v>0.79207601071517897</v>
      </c>
      <c r="P1053" t="s">
        <v>36</v>
      </c>
    </row>
    <row r="1054" spans="1:16">
      <c r="A1054">
        <v>1053</v>
      </c>
      <c r="B1054" t="s">
        <v>1112</v>
      </c>
      <c r="C1054">
        <v>88</v>
      </c>
      <c r="D1054">
        <v>132</v>
      </c>
      <c r="E1054">
        <v>84.050201109246501</v>
      </c>
      <c r="F1054">
        <v>0.665289256198347</v>
      </c>
      <c r="G1054">
        <v>5548.3953005671101</v>
      </c>
      <c r="H1054">
        <v>584.53951969167497</v>
      </c>
      <c r="I1054">
        <v>0.668143538709426</v>
      </c>
      <c r="J1054">
        <v>0.20405606264249099</v>
      </c>
      <c r="K1054">
        <v>0.62643687805205495</v>
      </c>
      <c r="L1054" t="s">
        <v>33</v>
      </c>
      <c r="M1054" t="s">
        <v>34</v>
      </c>
      <c r="N1054" t="s">
        <v>35</v>
      </c>
      <c r="O1054">
        <v>0.67187320445347098</v>
      </c>
      <c r="P1054" t="s">
        <v>36</v>
      </c>
    </row>
    <row r="1055" spans="1:16">
      <c r="A1055">
        <v>1054</v>
      </c>
      <c r="B1055" t="s">
        <v>1113</v>
      </c>
      <c r="C1055">
        <v>176</v>
      </c>
      <c r="D1055">
        <v>60</v>
      </c>
      <c r="E1055">
        <v>84.197548196888803</v>
      </c>
      <c r="F1055">
        <v>2.9155464941448299</v>
      </c>
      <c r="G1055">
        <v>5567.8659618147503</v>
      </c>
      <c r="H1055">
        <v>504.32171610925502</v>
      </c>
      <c r="I1055">
        <v>0.54721809164694002</v>
      </c>
      <c r="J1055">
        <v>0.27509538020520602</v>
      </c>
      <c r="K1055">
        <v>0.70689134619013505</v>
      </c>
      <c r="L1055" t="s">
        <v>38</v>
      </c>
      <c r="M1055" t="s">
        <v>34</v>
      </c>
      <c r="N1055" t="s">
        <v>35</v>
      </c>
      <c r="O1055">
        <v>0.74897037213183104</v>
      </c>
      <c r="P1055" t="s">
        <v>36</v>
      </c>
    </row>
    <row r="1056" spans="1:16">
      <c r="A1056">
        <v>1055</v>
      </c>
      <c r="B1056" t="s">
        <v>1114</v>
      </c>
      <c r="C1056">
        <v>93</v>
      </c>
      <c r="D1056">
        <v>116</v>
      </c>
      <c r="E1056">
        <v>84.271686536661406</v>
      </c>
      <c r="F1056">
        <v>0.79921782110607698</v>
      </c>
      <c r="G1056">
        <v>5577.67560793951</v>
      </c>
      <c r="H1056">
        <v>555.35296208848104</v>
      </c>
      <c r="I1056">
        <v>0.65844021836233702</v>
      </c>
      <c r="J1056">
        <v>0.22726100941671501</v>
      </c>
      <c r="K1056">
        <v>0.68301694483373698</v>
      </c>
      <c r="L1056" t="s">
        <v>43</v>
      </c>
      <c r="M1056" t="s">
        <v>34</v>
      </c>
      <c r="N1056" t="s">
        <v>35</v>
      </c>
      <c r="O1056">
        <v>0.74174649880423105</v>
      </c>
      <c r="P1056" t="s">
        <v>36</v>
      </c>
    </row>
    <row r="1057" spans="1:16">
      <c r="A1057">
        <v>1056</v>
      </c>
      <c r="B1057" t="s">
        <v>1115</v>
      </c>
      <c r="C1057">
        <v>86</v>
      </c>
      <c r="D1057">
        <v>138</v>
      </c>
      <c r="E1057">
        <v>84.318831539810304</v>
      </c>
      <c r="F1057">
        <v>0.62408620607677201</v>
      </c>
      <c r="G1057">
        <v>5583.9181100188998</v>
      </c>
      <c r="H1057">
        <v>539.99608520725496</v>
      </c>
      <c r="I1057">
        <v>0.690548810994011</v>
      </c>
      <c r="J1057">
        <v>0.240639924097754</v>
      </c>
      <c r="K1057">
        <v>0.60127716782433305</v>
      </c>
      <c r="L1057" t="s">
        <v>74</v>
      </c>
      <c r="M1057" t="s">
        <v>34</v>
      </c>
      <c r="N1057" t="s">
        <v>35</v>
      </c>
      <c r="O1057">
        <v>0.69905895196773404</v>
      </c>
      <c r="P1057" t="s">
        <v>36</v>
      </c>
    </row>
    <row r="1058" spans="1:16">
      <c r="A1058">
        <v>1057</v>
      </c>
      <c r="B1058" t="s">
        <v>1116</v>
      </c>
      <c r="C1058">
        <v>153</v>
      </c>
      <c r="D1058">
        <v>77</v>
      </c>
      <c r="E1058">
        <v>84.331174685283997</v>
      </c>
      <c r="F1058">
        <v>1.9991720051214401</v>
      </c>
      <c r="G1058">
        <v>5585.5530510397002</v>
      </c>
      <c r="H1058">
        <v>617.23375869294898</v>
      </c>
      <c r="I1058">
        <v>0.70492765181470596</v>
      </c>
      <c r="J1058">
        <v>0.18423693618221201</v>
      </c>
      <c r="K1058">
        <v>0.558287403621886</v>
      </c>
      <c r="L1058" t="s">
        <v>49</v>
      </c>
      <c r="M1058" t="s">
        <v>34</v>
      </c>
      <c r="N1058" t="s">
        <v>35</v>
      </c>
      <c r="O1058">
        <v>0.70573506260582897</v>
      </c>
      <c r="P1058" t="s">
        <v>36</v>
      </c>
    </row>
    <row r="1059" spans="1:16">
      <c r="A1059">
        <v>1058</v>
      </c>
      <c r="B1059" t="s">
        <v>1117</v>
      </c>
      <c r="C1059">
        <v>104</v>
      </c>
      <c r="D1059">
        <v>101</v>
      </c>
      <c r="E1059">
        <v>84.430975590460505</v>
      </c>
      <c r="F1059">
        <v>1.0256551470623401</v>
      </c>
      <c r="G1059">
        <v>5598.7812102079397</v>
      </c>
      <c r="H1059">
        <v>477.62211379517697</v>
      </c>
      <c r="I1059">
        <v>0.61533998051055105</v>
      </c>
      <c r="J1059">
        <v>0.30841430096865502</v>
      </c>
      <c r="K1059">
        <v>0.69596304849884505</v>
      </c>
      <c r="L1059" t="s">
        <v>49</v>
      </c>
      <c r="M1059" t="s">
        <v>34</v>
      </c>
      <c r="N1059" t="s">
        <v>35</v>
      </c>
      <c r="O1059">
        <v>0.80646618343292997</v>
      </c>
      <c r="P1059" t="s">
        <v>36</v>
      </c>
    </row>
    <row r="1060" spans="1:16">
      <c r="A1060">
        <v>1059</v>
      </c>
      <c r="B1060" t="s">
        <v>1118</v>
      </c>
      <c r="C1060">
        <v>123</v>
      </c>
      <c r="D1060">
        <v>87</v>
      </c>
      <c r="E1060">
        <v>84.627988184363105</v>
      </c>
      <c r="F1060">
        <v>1.41186898888723</v>
      </c>
      <c r="G1060">
        <v>5624.9402665406396</v>
      </c>
      <c r="H1060">
        <v>487.62311592236802</v>
      </c>
      <c r="I1060">
        <v>0.64257919228761995</v>
      </c>
      <c r="J1060">
        <v>0.29727556163965402</v>
      </c>
      <c r="K1060">
        <v>0.70218569096036798</v>
      </c>
      <c r="L1060" t="s">
        <v>38</v>
      </c>
      <c r="M1060" t="s">
        <v>34</v>
      </c>
      <c r="N1060" t="s">
        <v>35</v>
      </c>
      <c r="O1060">
        <v>0.73505845479270404</v>
      </c>
      <c r="P1060" t="s">
        <v>36</v>
      </c>
    </row>
    <row r="1061" spans="1:16">
      <c r="A1061">
        <v>1060</v>
      </c>
      <c r="B1061" t="s">
        <v>1119</v>
      </c>
      <c r="C1061">
        <v>112</v>
      </c>
      <c r="D1061">
        <v>116</v>
      </c>
      <c r="E1061">
        <v>84.839043408137201</v>
      </c>
      <c r="F1061">
        <v>0.96244131455399096</v>
      </c>
      <c r="G1061">
        <v>5653.0315258979199</v>
      </c>
      <c r="H1061">
        <v>693.51879851320496</v>
      </c>
      <c r="I1061">
        <v>0.54031426232979896</v>
      </c>
      <c r="J1061">
        <v>0.147698061848163</v>
      </c>
      <c r="K1061">
        <v>0.54554843151598598</v>
      </c>
      <c r="L1061" t="s">
        <v>33</v>
      </c>
      <c r="M1061" t="s">
        <v>34</v>
      </c>
      <c r="N1061" t="s">
        <v>35</v>
      </c>
      <c r="O1061">
        <v>0.67090300623801802</v>
      </c>
      <c r="P1061" t="s">
        <v>36</v>
      </c>
    </row>
    <row r="1062" spans="1:16">
      <c r="A1062">
        <v>1061</v>
      </c>
      <c r="B1062" t="s">
        <v>1120</v>
      </c>
      <c r="C1062">
        <v>98</v>
      </c>
      <c r="D1062">
        <v>102</v>
      </c>
      <c r="E1062">
        <v>84.905935355301395</v>
      </c>
      <c r="F1062">
        <v>0.957219251336898</v>
      </c>
      <c r="G1062">
        <v>5661.9493860113398</v>
      </c>
      <c r="H1062">
        <v>908.81043724785695</v>
      </c>
      <c r="I1062">
        <v>0.64360607682177395</v>
      </c>
      <c r="J1062">
        <v>8.6144833245798705E-2</v>
      </c>
      <c r="K1062">
        <v>0.68912245156388496</v>
      </c>
      <c r="L1062" t="s">
        <v>38</v>
      </c>
      <c r="M1062" t="s">
        <v>34</v>
      </c>
      <c r="N1062" t="s">
        <v>35</v>
      </c>
      <c r="O1062">
        <v>0.76569779699093798</v>
      </c>
      <c r="P1062" t="s">
        <v>36</v>
      </c>
    </row>
    <row r="1063" spans="1:16">
      <c r="A1063">
        <v>1062</v>
      </c>
      <c r="B1063" t="s">
        <v>1121</v>
      </c>
      <c r="C1063">
        <v>142</v>
      </c>
      <c r="D1063">
        <v>76</v>
      </c>
      <c r="E1063">
        <v>85.5697674084048</v>
      </c>
      <c r="F1063">
        <v>1.874168421309</v>
      </c>
      <c r="G1063">
        <v>5750.83072514178</v>
      </c>
      <c r="H1063">
        <v>531.52778847362697</v>
      </c>
      <c r="I1063">
        <v>0.66094784194829803</v>
      </c>
      <c r="J1063">
        <v>0.25579290805542698</v>
      </c>
      <c r="K1063">
        <v>0.67359551539840901</v>
      </c>
      <c r="L1063" t="s">
        <v>47</v>
      </c>
      <c r="M1063" t="s">
        <v>34</v>
      </c>
      <c r="N1063" t="s">
        <v>35</v>
      </c>
      <c r="O1063">
        <v>0.92634697618573103</v>
      </c>
      <c r="P1063" t="s">
        <v>36</v>
      </c>
    </row>
    <row r="1064" spans="1:16">
      <c r="A1064">
        <v>1063</v>
      </c>
      <c r="B1064" t="s">
        <v>1122</v>
      </c>
      <c r="C1064">
        <v>119</v>
      </c>
      <c r="D1064">
        <v>83</v>
      </c>
      <c r="E1064">
        <v>85.630563773301304</v>
      </c>
      <c r="F1064">
        <v>1.42943255200462</v>
      </c>
      <c r="G1064">
        <v>5759.0054302457502</v>
      </c>
      <c r="H1064">
        <v>451.903351862016</v>
      </c>
      <c r="I1064">
        <v>0.62119344367603402</v>
      </c>
      <c r="J1064">
        <v>0.35437757085148502</v>
      </c>
      <c r="K1064">
        <v>0.74419006645411601</v>
      </c>
      <c r="L1064" t="s">
        <v>288</v>
      </c>
      <c r="M1064" t="s">
        <v>34</v>
      </c>
      <c r="N1064" t="s">
        <v>35</v>
      </c>
      <c r="O1064">
        <v>0.66025985104061302</v>
      </c>
      <c r="P1064" t="s">
        <v>36</v>
      </c>
    </row>
    <row r="1065" spans="1:16">
      <c r="A1065">
        <v>1064</v>
      </c>
      <c r="B1065" t="s">
        <v>1123</v>
      </c>
      <c r="C1065">
        <v>120</v>
      </c>
      <c r="D1065">
        <v>113</v>
      </c>
      <c r="E1065">
        <v>85.673647780583394</v>
      </c>
      <c r="F1065">
        <v>1.0583571360031201</v>
      </c>
      <c r="G1065">
        <v>5764.8020393194702</v>
      </c>
      <c r="H1065">
        <v>673.38839538014497</v>
      </c>
      <c r="I1065">
        <v>0.58009570066305505</v>
      </c>
      <c r="J1065">
        <v>0.15975814410918601</v>
      </c>
      <c r="K1065">
        <v>0.53314089347078997</v>
      </c>
      <c r="L1065" t="s">
        <v>74</v>
      </c>
      <c r="M1065" t="s">
        <v>34</v>
      </c>
      <c r="N1065" t="s">
        <v>35</v>
      </c>
      <c r="O1065">
        <v>0.723865151317299</v>
      </c>
      <c r="P1065" t="s">
        <v>36</v>
      </c>
    </row>
    <row r="1066" spans="1:16">
      <c r="A1066">
        <v>1065</v>
      </c>
      <c r="B1066" t="s">
        <v>1124</v>
      </c>
      <c r="C1066">
        <v>120</v>
      </c>
      <c r="D1066">
        <v>98</v>
      </c>
      <c r="E1066">
        <v>85.838051652745094</v>
      </c>
      <c r="F1066">
        <v>1.22279373994157</v>
      </c>
      <c r="G1066">
        <v>5786.9480586011396</v>
      </c>
      <c r="H1066">
        <v>776.54844758562399</v>
      </c>
      <c r="I1066">
        <v>0.63423352681529899</v>
      </c>
      <c r="J1066">
        <v>0.12059306592449499</v>
      </c>
      <c r="K1066">
        <v>0.62753852104957797</v>
      </c>
      <c r="L1066" t="s">
        <v>74</v>
      </c>
      <c r="M1066" t="s">
        <v>34</v>
      </c>
      <c r="N1066" t="s">
        <v>35</v>
      </c>
      <c r="O1066">
        <v>0.686708787201466</v>
      </c>
      <c r="P1066" t="s">
        <v>36</v>
      </c>
    </row>
    <row r="1067" spans="1:16">
      <c r="A1067">
        <v>1066</v>
      </c>
      <c r="B1067" t="s">
        <v>1125</v>
      </c>
      <c r="C1067">
        <v>70</v>
      </c>
      <c r="D1067">
        <v>131</v>
      </c>
      <c r="E1067">
        <v>85.904165694628404</v>
      </c>
      <c r="F1067">
        <v>0.53687310076105099</v>
      </c>
      <c r="G1067">
        <v>5795.8659187145604</v>
      </c>
      <c r="H1067">
        <v>497.74700769393303</v>
      </c>
      <c r="I1067">
        <v>0.72838516617280002</v>
      </c>
      <c r="J1067">
        <v>0.29397532439413299</v>
      </c>
      <c r="K1067">
        <v>0.73949404536145003</v>
      </c>
      <c r="L1067" t="s">
        <v>38</v>
      </c>
      <c r="M1067" t="s">
        <v>34</v>
      </c>
      <c r="N1067" t="s">
        <v>35</v>
      </c>
      <c r="O1067">
        <v>0.84878670348401397</v>
      </c>
      <c r="P1067" t="s">
        <v>36</v>
      </c>
    </row>
    <row r="1068" spans="1:16">
      <c r="A1068">
        <v>1067</v>
      </c>
      <c r="B1068" t="s">
        <v>1126</v>
      </c>
      <c r="C1068">
        <v>118</v>
      </c>
      <c r="D1068">
        <v>113</v>
      </c>
      <c r="E1068">
        <v>85.933900418624305</v>
      </c>
      <c r="F1068">
        <v>1.0422005066689599</v>
      </c>
      <c r="G1068">
        <v>5799.8789557656</v>
      </c>
      <c r="H1068">
        <v>590.11458324909199</v>
      </c>
      <c r="I1068">
        <v>0.56841789287426103</v>
      </c>
      <c r="J1068">
        <v>0.20929367279752301</v>
      </c>
      <c r="K1068">
        <v>0.58718550619959098</v>
      </c>
      <c r="L1068" t="s">
        <v>33</v>
      </c>
      <c r="M1068" t="s">
        <v>34</v>
      </c>
      <c r="N1068" t="s">
        <v>35</v>
      </c>
      <c r="O1068">
        <v>0.72657675379049003</v>
      </c>
      <c r="P1068" t="s">
        <v>36</v>
      </c>
    </row>
    <row r="1069" spans="1:16">
      <c r="A1069">
        <v>1068</v>
      </c>
      <c r="B1069" t="s">
        <v>1127</v>
      </c>
      <c r="C1069">
        <v>161</v>
      </c>
      <c r="D1069">
        <v>78</v>
      </c>
      <c r="E1069">
        <v>86.020842984844606</v>
      </c>
      <c r="F1069">
        <v>2.06993006993007</v>
      </c>
      <c r="G1069">
        <v>5811.62080491493</v>
      </c>
      <c r="H1069">
        <v>751.59912323837705</v>
      </c>
      <c r="I1069">
        <v>0.72289074549766696</v>
      </c>
      <c r="J1069">
        <v>0.12928097066897401</v>
      </c>
      <c r="K1069">
        <v>0.52992437589786701</v>
      </c>
      <c r="L1069" t="s">
        <v>47</v>
      </c>
      <c r="M1069" t="s">
        <v>34</v>
      </c>
      <c r="N1069" t="s">
        <v>35</v>
      </c>
      <c r="O1069">
        <v>0.92897483574010697</v>
      </c>
      <c r="P1069" t="s">
        <v>36</v>
      </c>
    </row>
    <row r="1070" spans="1:16">
      <c r="A1070">
        <v>1069</v>
      </c>
      <c r="B1070" t="s">
        <v>1128</v>
      </c>
      <c r="C1070">
        <v>139</v>
      </c>
      <c r="D1070">
        <v>66</v>
      </c>
      <c r="E1070">
        <v>86.039540657765897</v>
      </c>
      <c r="F1070">
        <v>2.0893978107709099</v>
      </c>
      <c r="G1070">
        <v>5814.1475319470701</v>
      </c>
      <c r="H1070">
        <v>422.43891525040499</v>
      </c>
      <c r="I1070">
        <v>0.60270714257906299</v>
      </c>
      <c r="J1070">
        <v>0.4094190763153</v>
      </c>
      <c r="K1070">
        <v>0.79409674996447499</v>
      </c>
      <c r="L1070" t="s">
        <v>38</v>
      </c>
      <c r="M1070" t="s">
        <v>34</v>
      </c>
      <c r="N1070" t="s">
        <v>35</v>
      </c>
      <c r="O1070">
        <v>0.70556485064808006</v>
      </c>
      <c r="P1070" t="s">
        <v>36</v>
      </c>
    </row>
    <row r="1071" spans="1:16">
      <c r="A1071">
        <v>1070</v>
      </c>
      <c r="B1071" t="s">
        <v>1129</v>
      </c>
      <c r="C1071">
        <v>101</v>
      </c>
      <c r="D1071">
        <v>103</v>
      </c>
      <c r="E1071">
        <v>86.097807339478294</v>
      </c>
      <c r="F1071">
        <v>0.9850463457859</v>
      </c>
      <c r="G1071">
        <v>5822.0249750472603</v>
      </c>
      <c r="H1071">
        <v>551.67537985356</v>
      </c>
      <c r="I1071">
        <v>0.68904960204682897</v>
      </c>
      <c r="J1071">
        <v>0.24039018003563301</v>
      </c>
      <c r="K1071">
        <v>0.70522468673484096</v>
      </c>
      <c r="L1071" t="s">
        <v>38</v>
      </c>
      <c r="M1071" t="s">
        <v>34</v>
      </c>
      <c r="N1071" t="s">
        <v>35</v>
      </c>
      <c r="O1071">
        <v>0.81370051885341699</v>
      </c>
      <c r="P1071" t="s">
        <v>36</v>
      </c>
    </row>
    <row r="1072" spans="1:16">
      <c r="A1072">
        <v>1071</v>
      </c>
      <c r="B1072" t="s">
        <v>1130</v>
      </c>
      <c r="C1072">
        <v>125</v>
      </c>
      <c r="D1072">
        <v>93</v>
      </c>
      <c r="E1072">
        <v>86.109895483776498</v>
      </c>
      <c r="F1072">
        <v>1.3391812865497099</v>
      </c>
      <c r="G1072">
        <v>5823.6599160680498</v>
      </c>
      <c r="H1072">
        <v>562.99540780523603</v>
      </c>
      <c r="I1072">
        <v>0.60458737139680396</v>
      </c>
      <c r="J1072">
        <v>0.230885237030826</v>
      </c>
      <c r="K1072">
        <v>0.69733750978856701</v>
      </c>
      <c r="L1072" t="s">
        <v>893</v>
      </c>
      <c r="M1072" t="s">
        <v>34</v>
      </c>
      <c r="N1072" t="s">
        <v>35</v>
      </c>
      <c r="O1072">
        <v>0.65381425642123403</v>
      </c>
      <c r="P1072" t="s">
        <v>36</v>
      </c>
    </row>
    <row r="1073" spans="1:16">
      <c r="A1073">
        <v>1072</v>
      </c>
      <c r="B1073" t="s">
        <v>1131</v>
      </c>
      <c r="C1073">
        <v>117</v>
      </c>
      <c r="D1073">
        <v>93</v>
      </c>
      <c r="E1073">
        <v>86.300882727028295</v>
      </c>
      <c r="F1073">
        <v>1.25882352941176</v>
      </c>
      <c r="G1073">
        <v>5849.5217103969799</v>
      </c>
      <c r="H1073">
        <v>771.52524904085203</v>
      </c>
      <c r="I1073">
        <v>0.74480812329629198</v>
      </c>
      <c r="J1073">
        <v>0.123489472186046</v>
      </c>
      <c r="K1073">
        <v>0.65387363139444099</v>
      </c>
      <c r="L1073" t="s">
        <v>38</v>
      </c>
      <c r="M1073" t="s">
        <v>34</v>
      </c>
      <c r="N1073" t="s">
        <v>35</v>
      </c>
      <c r="O1073">
        <v>0.70811790426836396</v>
      </c>
      <c r="P1073" t="s">
        <v>36</v>
      </c>
    </row>
    <row r="1074" spans="1:16">
      <c r="A1074">
        <v>1073</v>
      </c>
      <c r="B1074" t="s">
        <v>1132</v>
      </c>
      <c r="C1074">
        <v>96</v>
      </c>
      <c r="D1074">
        <v>117</v>
      </c>
      <c r="E1074">
        <v>86.581109567702399</v>
      </c>
      <c r="F1074">
        <v>0.82045442072918595</v>
      </c>
      <c r="G1074">
        <v>5887.5712468809097</v>
      </c>
      <c r="H1074">
        <v>490.497544621592</v>
      </c>
      <c r="I1074">
        <v>0.69848013091914396</v>
      </c>
      <c r="J1074">
        <v>0.30751929072218998</v>
      </c>
      <c r="K1074">
        <v>0.64130294003367405</v>
      </c>
      <c r="L1074" t="s">
        <v>41</v>
      </c>
      <c r="M1074" t="s">
        <v>34</v>
      </c>
      <c r="N1074" t="s">
        <v>35</v>
      </c>
      <c r="O1074">
        <v>0.74506043286383505</v>
      </c>
      <c r="P1074" t="s">
        <v>36</v>
      </c>
    </row>
    <row r="1075" spans="1:16">
      <c r="A1075">
        <v>1074</v>
      </c>
      <c r="B1075" t="s">
        <v>1133</v>
      </c>
      <c r="C1075">
        <v>122</v>
      </c>
      <c r="D1075">
        <v>95</v>
      </c>
      <c r="E1075">
        <v>86.602964102610798</v>
      </c>
      <c r="F1075">
        <v>1.2780735641851599</v>
      </c>
      <c r="G1075">
        <v>5890.5438669187197</v>
      </c>
      <c r="H1075">
        <v>625.47346438470095</v>
      </c>
      <c r="I1075">
        <v>0.68330528036000204</v>
      </c>
      <c r="J1075">
        <v>0.189211478569559</v>
      </c>
      <c r="K1075">
        <v>0.62062701619217597</v>
      </c>
      <c r="L1075" t="s">
        <v>33</v>
      </c>
      <c r="M1075" t="s">
        <v>34</v>
      </c>
      <c r="N1075" t="s">
        <v>35</v>
      </c>
      <c r="O1075">
        <v>0.64469449016689495</v>
      </c>
      <c r="P1075" t="s">
        <v>36</v>
      </c>
    </row>
    <row r="1076" spans="1:16">
      <c r="A1076">
        <v>1075</v>
      </c>
      <c r="B1076" t="s">
        <v>1134</v>
      </c>
      <c r="C1076">
        <v>132</v>
      </c>
      <c r="D1076">
        <v>94</v>
      </c>
      <c r="E1076">
        <v>86.728520806674894</v>
      </c>
      <c r="F1076">
        <v>1.40462427745665</v>
      </c>
      <c r="G1076">
        <v>5907.6364321361098</v>
      </c>
      <c r="H1076">
        <v>696.65781097816398</v>
      </c>
      <c r="I1076">
        <v>0.63307275075291503</v>
      </c>
      <c r="J1076">
        <v>0.15296236948885</v>
      </c>
      <c r="K1076">
        <v>0.60154370034052196</v>
      </c>
      <c r="L1076" t="s">
        <v>144</v>
      </c>
      <c r="M1076" t="s">
        <v>34</v>
      </c>
      <c r="N1076" t="s">
        <v>35</v>
      </c>
      <c r="O1076">
        <v>0.73290424640442298</v>
      </c>
      <c r="P1076" t="s">
        <v>36</v>
      </c>
    </row>
    <row r="1077" spans="1:16">
      <c r="A1077">
        <v>1076</v>
      </c>
      <c r="B1077" t="s">
        <v>1135</v>
      </c>
      <c r="C1077">
        <v>142</v>
      </c>
      <c r="D1077">
        <v>142</v>
      </c>
      <c r="E1077">
        <v>86.775421431927299</v>
      </c>
      <c r="F1077">
        <v>1</v>
      </c>
      <c r="G1077">
        <v>5914.0275652173896</v>
      </c>
      <c r="H1077">
        <v>997.99037291547495</v>
      </c>
      <c r="I1077">
        <v>0.62202074844371702</v>
      </c>
      <c r="J1077">
        <v>7.4617467424909503E-2</v>
      </c>
      <c r="K1077">
        <v>0.43223220396058998</v>
      </c>
      <c r="L1077" t="s">
        <v>33</v>
      </c>
      <c r="M1077" t="s">
        <v>34</v>
      </c>
      <c r="N1077" t="s">
        <v>35</v>
      </c>
      <c r="O1077">
        <v>0.70659359427476398</v>
      </c>
      <c r="P1077" t="s">
        <v>36</v>
      </c>
    </row>
    <row r="1078" spans="1:16">
      <c r="A1078">
        <v>1077</v>
      </c>
      <c r="B1078" t="s">
        <v>1136</v>
      </c>
      <c r="C1078">
        <v>88</v>
      </c>
      <c r="D1078">
        <v>98</v>
      </c>
      <c r="E1078">
        <v>86.954066007485693</v>
      </c>
      <c r="F1078">
        <v>0.89544716951347603</v>
      </c>
      <c r="G1078">
        <v>5938.4030495274101</v>
      </c>
      <c r="H1078">
        <v>367.233019224457</v>
      </c>
      <c r="I1078">
        <v>0.64551298277108904</v>
      </c>
      <c r="J1078">
        <v>0.55334512494870902</v>
      </c>
      <c r="K1078">
        <v>0.89031999286924002</v>
      </c>
      <c r="L1078" t="s">
        <v>288</v>
      </c>
      <c r="M1078" t="s">
        <v>34</v>
      </c>
      <c r="N1078" t="s">
        <v>35</v>
      </c>
      <c r="O1078">
        <v>0.76254405405968995</v>
      </c>
      <c r="P1078" t="s">
        <v>36</v>
      </c>
    </row>
    <row r="1079" spans="1:16">
      <c r="A1079">
        <v>1078</v>
      </c>
      <c r="B1079" t="s">
        <v>1137</v>
      </c>
      <c r="C1079">
        <v>152</v>
      </c>
      <c r="D1079">
        <v>72</v>
      </c>
      <c r="E1079">
        <v>87.108450122004797</v>
      </c>
      <c r="F1079">
        <v>2.10606063058116</v>
      </c>
      <c r="G1079">
        <v>5959.5086517958398</v>
      </c>
      <c r="H1079">
        <v>696.94509222507497</v>
      </c>
      <c r="I1079">
        <v>0.67394372004358605</v>
      </c>
      <c r="J1079">
        <v>0.15417827780104801</v>
      </c>
      <c r="K1079">
        <v>0.62911475821382601</v>
      </c>
      <c r="L1079" t="s">
        <v>33</v>
      </c>
      <c r="M1079" t="s">
        <v>34</v>
      </c>
      <c r="N1079" t="s">
        <v>35</v>
      </c>
      <c r="O1079">
        <v>0.75170494646687502</v>
      </c>
      <c r="P1079" t="s">
        <v>36</v>
      </c>
    </row>
    <row r="1080" spans="1:16">
      <c r="A1080">
        <v>1079</v>
      </c>
      <c r="B1080" t="s">
        <v>1138</v>
      </c>
      <c r="C1080">
        <v>89</v>
      </c>
      <c r="D1080">
        <v>128</v>
      </c>
      <c r="E1080">
        <v>87.186624944648401</v>
      </c>
      <c r="F1080">
        <v>0.69215268039324596</v>
      </c>
      <c r="G1080">
        <v>5970.2100839319501</v>
      </c>
      <c r="H1080">
        <v>496.027213216657</v>
      </c>
      <c r="I1080">
        <v>0.64260319510514696</v>
      </c>
      <c r="J1080">
        <v>0.30492179701628502</v>
      </c>
      <c r="K1080">
        <v>0.67055072366993296</v>
      </c>
      <c r="L1080" t="s">
        <v>38</v>
      </c>
      <c r="M1080" t="s">
        <v>34</v>
      </c>
      <c r="N1080" t="s">
        <v>35</v>
      </c>
      <c r="O1080">
        <v>0.73359279313473702</v>
      </c>
      <c r="P1080" t="s">
        <v>36</v>
      </c>
    </row>
    <row r="1081" spans="1:16">
      <c r="A1081">
        <v>1080</v>
      </c>
      <c r="B1081" t="s">
        <v>1139</v>
      </c>
      <c r="C1081">
        <v>98</v>
      </c>
      <c r="D1081">
        <v>112</v>
      </c>
      <c r="E1081">
        <v>87.392583863752805</v>
      </c>
      <c r="F1081">
        <v>0.86893203883495096</v>
      </c>
      <c r="G1081">
        <v>5998.4499742911203</v>
      </c>
      <c r="H1081">
        <v>1116.1613305502401</v>
      </c>
      <c r="I1081">
        <v>0.60452673599279005</v>
      </c>
      <c r="J1081">
        <v>6.0505514844205403E-2</v>
      </c>
      <c r="K1081">
        <v>0.65549221198980001</v>
      </c>
      <c r="L1081" t="s">
        <v>101</v>
      </c>
      <c r="M1081" t="s">
        <v>34</v>
      </c>
      <c r="N1081" t="s">
        <v>35</v>
      </c>
      <c r="O1081">
        <v>0.73604143392594801</v>
      </c>
      <c r="P1081" t="s">
        <v>36</v>
      </c>
    </row>
    <row r="1082" spans="1:16">
      <c r="A1082">
        <v>1081</v>
      </c>
      <c r="B1082" t="s">
        <v>1140</v>
      </c>
      <c r="C1082">
        <v>100</v>
      </c>
      <c r="D1082">
        <v>161</v>
      </c>
      <c r="E1082">
        <v>87.433717428758101</v>
      </c>
      <c r="F1082">
        <v>0.61824324324324298</v>
      </c>
      <c r="G1082">
        <v>6004.0979523629503</v>
      </c>
      <c r="H1082">
        <v>677.89182863194003</v>
      </c>
      <c r="I1082">
        <v>0.68784982287947605</v>
      </c>
      <c r="J1082">
        <v>0.16418626938665501</v>
      </c>
      <c r="K1082">
        <v>0.48466088375385402</v>
      </c>
      <c r="L1082" t="s">
        <v>43</v>
      </c>
      <c r="M1082" t="s">
        <v>34</v>
      </c>
      <c r="N1082" t="s">
        <v>35</v>
      </c>
      <c r="O1082">
        <v>0.68462264117432603</v>
      </c>
      <c r="P1082" t="s">
        <v>36</v>
      </c>
    </row>
    <row r="1083" spans="1:16">
      <c r="A1083">
        <v>1082</v>
      </c>
      <c r="B1083" t="s">
        <v>1141</v>
      </c>
      <c r="C1083">
        <v>82</v>
      </c>
      <c r="D1083">
        <v>132</v>
      </c>
      <c r="E1083">
        <v>87.496462956078304</v>
      </c>
      <c r="F1083">
        <v>0.618887489028209</v>
      </c>
      <c r="G1083">
        <v>6012.7185504725903</v>
      </c>
      <c r="H1083">
        <v>563.04080276758805</v>
      </c>
      <c r="I1083">
        <v>0.57915219476976598</v>
      </c>
      <c r="J1083">
        <v>0.23834223199336499</v>
      </c>
      <c r="K1083">
        <v>0.68826241557071599</v>
      </c>
      <c r="L1083" t="s">
        <v>74</v>
      </c>
      <c r="M1083" t="s">
        <v>34</v>
      </c>
      <c r="N1083" t="s">
        <v>35</v>
      </c>
      <c r="O1083">
        <v>0.6943879412949</v>
      </c>
      <c r="P1083" t="s">
        <v>36</v>
      </c>
    </row>
    <row r="1084" spans="1:16">
      <c r="A1084">
        <v>1083</v>
      </c>
      <c r="B1084" t="s">
        <v>1142</v>
      </c>
      <c r="C1084">
        <v>137</v>
      </c>
      <c r="D1084">
        <v>134</v>
      </c>
      <c r="E1084">
        <v>87.520251216197707</v>
      </c>
      <c r="F1084">
        <v>1.0244897959183701</v>
      </c>
      <c r="G1084">
        <v>6015.9884325141802</v>
      </c>
      <c r="H1084">
        <v>1238.9388509180201</v>
      </c>
      <c r="I1084">
        <v>0.54620168540891401</v>
      </c>
      <c r="J1084">
        <v>4.9251233605118502E-2</v>
      </c>
      <c r="K1084">
        <v>0.43309294014423599</v>
      </c>
      <c r="L1084" t="s">
        <v>74</v>
      </c>
      <c r="M1084" t="s">
        <v>34</v>
      </c>
      <c r="N1084" t="s">
        <v>35</v>
      </c>
      <c r="O1084">
        <v>0.70478823583461903</v>
      </c>
      <c r="P1084" t="s">
        <v>36</v>
      </c>
    </row>
    <row r="1085" spans="1:16">
      <c r="A1085">
        <v>1084</v>
      </c>
      <c r="B1085" t="s">
        <v>1143</v>
      </c>
      <c r="C1085">
        <v>97</v>
      </c>
      <c r="D1085">
        <v>112</v>
      </c>
      <c r="E1085">
        <v>87.550517835609696</v>
      </c>
      <c r="F1085">
        <v>0.86979816337966198</v>
      </c>
      <c r="G1085">
        <v>6020.1501005671098</v>
      </c>
      <c r="H1085">
        <v>572.53695107459998</v>
      </c>
      <c r="I1085">
        <v>0.62816701060782698</v>
      </c>
      <c r="J1085">
        <v>0.23078636232566799</v>
      </c>
      <c r="K1085">
        <v>0.72090415591349999</v>
      </c>
      <c r="L1085" t="s">
        <v>33</v>
      </c>
      <c r="M1085" t="s">
        <v>34</v>
      </c>
      <c r="N1085" t="s">
        <v>35</v>
      </c>
      <c r="O1085">
        <v>0.74652620301342798</v>
      </c>
      <c r="P1085" t="s">
        <v>36</v>
      </c>
    </row>
    <row r="1086" spans="1:16">
      <c r="A1086">
        <v>1085</v>
      </c>
      <c r="B1086" t="s">
        <v>1144</v>
      </c>
      <c r="C1086">
        <v>93</v>
      </c>
      <c r="D1086">
        <v>98</v>
      </c>
      <c r="E1086">
        <v>87.588336402198706</v>
      </c>
      <c r="F1086">
        <v>0.94972067039106101</v>
      </c>
      <c r="G1086">
        <v>6025.35218563327</v>
      </c>
      <c r="H1086">
        <v>669.827533011333</v>
      </c>
      <c r="I1086">
        <v>0.56629523329047504</v>
      </c>
      <c r="J1086">
        <v>0.168758754172317</v>
      </c>
      <c r="K1086">
        <v>0.79032635395952699</v>
      </c>
      <c r="L1086" t="s">
        <v>38</v>
      </c>
      <c r="M1086" t="s">
        <v>34</v>
      </c>
      <c r="N1086" t="s">
        <v>35</v>
      </c>
      <c r="O1086">
        <v>0.85541661573664496</v>
      </c>
      <c r="P1086" t="s">
        <v>36</v>
      </c>
    </row>
    <row r="1087" spans="1:16">
      <c r="A1087">
        <v>1086</v>
      </c>
      <c r="B1087" t="s">
        <v>1145</v>
      </c>
      <c r="C1087">
        <v>95</v>
      </c>
      <c r="D1087">
        <v>95</v>
      </c>
      <c r="E1087">
        <v>87.659607020968494</v>
      </c>
      <c r="F1087">
        <v>0.99296377981801398</v>
      </c>
      <c r="G1087">
        <v>6035.1618317580396</v>
      </c>
      <c r="H1087">
        <v>354.950955368851</v>
      </c>
      <c r="I1087">
        <v>0.62396980676277602</v>
      </c>
      <c r="J1087">
        <v>0.60195230980501901</v>
      </c>
      <c r="K1087">
        <v>0.88456343673753901</v>
      </c>
      <c r="L1087" t="s">
        <v>43</v>
      </c>
      <c r="M1087" t="s">
        <v>34</v>
      </c>
      <c r="N1087" t="s">
        <v>35</v>
      </c>
      <c r="O1087">
        <v>0.74209227038854897</v>
      </c>
      <c r="P1087" t="s">
        <v>36</v>
      </c>
    </row>
    <row r="1088" spans="1:16">
      <c r="A1088">
        <v>1087</v>
      </c>
      <c r="B1088" t="s">
        <v>1146</v>
      </c>
      <c r="C1088">
        <v>115</v>
      </c>
      <c r="D1088">
        <v>76</v>
      </c>
      <c r="E1088">
        <v>87.663924590149094</v>
      </c>
      <c r="F1088">
        <v>1.5179857252350299</v>
      </c>
      <c r="G1088">
        <v>6035.7563557656003</v>
      </c>
      <c r="H1088">
        <v>378.37925333510299</v>
      </c>
      <c r="I1088">
        <v>0.710578293917837</v>
      </c>
      <c r="J1088">
        <v>0.52976947715846501</v>
      </c>
      <c r="K1088">
        <v>0.83468305516731101</v>
      </c>
      <c r="L1088" t="s">
        <v>38</v>
      </c>
      <c r="M1088" t="s">
        <v>34</v>
      </c>
      <c r="N1088" t="s">
        <v>35</v>
      </c>
      <c r="O1088">
        <v>0.89649836883396805</v>
      </c>
      <c r="P1088" t="s">
        <v>36</v>
      </c>
    </row>
    <row r="1089" spans="1:16">
      <c r="A1089">
        <v>1088</v>
      </c>
      <c r="B1089" t="s">
        <v>1147</v>
      </c>
      <c r="C1089">
        <v>158</v>
      </c>
      <c r="D1089">
        <v>156</v>
      </c>
      <c r="E1089">
        <v>87.6984574913443</v>
      </c>
      <c r="F1089">
        <v>1.0069686425969799</v>
      </c>
      <c r="G1089">
        <v>6040.5125478260898</v>
      </c>
      <c r="H1089">
        <v>1368.2528102031999</v>
      </c>
      <c r="I1089">
        <v>0.64973806125640698</v>
      </c>
      <c r="J1089">
        <v>4.0546274593371297E-2</v>
      </c>
      <c r="K1089">
        <v>0.33471421512106703</v>
      </c>
      <c r="L1089" t="s">
        <v>43</v>
      </c>
      <c r="M1089" t="s">
        <v>34</v>
      </c>
      <c r="N1089" t="s">
        <v>35</v>
      </c>
      <c r="O1089">
        <v>0.79526114568198902</v>
      </c>
      <c r="P1089" t="s">
        <v>36</v>
      </c>
    </row>
    <row r="1090" spans="1:16">
      <c r="A1090">
        <v>1089</v>
      </c>
      <c r="B1090" t="s">
        <v>1148</v>
      </c>
      <c r="C1090">
        <v>146</v>
      </c>
      <c r="D1090">
        <v>62</v>
      </c>
      <c r="E1090">
        <v>87.763170057330697</v>
      </c>
      <c r="F1090">
        <v>2.3371446232592299</v>
      </c>
      <c r="G1090">
        <v>6049.4304079395097</v>
      </c>
      <c r="H1090">
        <v>398.116673823751</v>
      </c>
      <c r="I1090">
        <v>0.58494189714213796</v>
      </c>
      <c r="J1090">
        <v>0.47962699105154399</v>
      </c>
      <c r="K1090">
        <v>0.86311391975570495</v>
      </c>
      <c r="L1090" t="s">
        <v>33</v>
      </c>
      <c r="M1090" t="s">
        <v>34</v>
      </c>
      <c r="N1090" t="s">
        <v>35</v>
      </c>
      <c r="O1090">
        <v>0.66297967639298705</v>
      </c>
      <c r="P1090" t="s">
        <v>36</v>
      </c>
    </row>
    <row r="1091" spans="1:16">
      <c r="A1091">
        <v>1090</v>
      </c>
      <c r="B1091" t="s">
        <v>1149</v>
      </c>
      <c r="C1091">
        <v>118</v>
      </c>
      <c r="D1091">
        <v>107</v>
      </c>
      <c r="E1091">
        <v>87.772872827170104</v>
      </c>
      <c r="F1091">
        <v>1.09644670050761</v>
      </c>
      <c r="G1091">
        <v>6050.7680869565202</v>
      </c>
      <c r="H1091">
        <v>990.07717365472195</v>
      </c>
      <c r="I1091">
        <v>0.57031762408118103</v>
      </c>
      <c r="J1091">
        <v>7.7567943210851198E-2</v>
      </c>
      <c r="K1091">
        <v>0.59660589718037405</v>
      </c>
      <c r="L1091" t="s">
        <v>33</v>
      </c>
      <c r="M1091" t="s">
        <v>34</v>
      </c>
      <c r="N1091" t="s">
        <v>35</v>
      </c>
      <c r="O1091">
        <v>0.71774808333169005</v>
      </c>
      <c r="P1091" t="s">
        <v>36</v>
      </c>
    </row>
    <row r="1092" spans="1:16">
      <c r="A1092">
        <v>1091</v>
      </c>
      <c r="B1092" t="s">
        <v>1150</v>
      </c>
      <c r="C1092">
        <v>99</v>
      </c>
      <c r="D1092">
        <v>122</v>
      </c>
      <c r="E1092">
        <v>87.861226485904297</v>
      </c>
      <c r="F1092">
        <v>0.80880522848752001</v>
      </c>
      <c r="G1092">
        <v>6062.95582911153</v>
      </c>
      <c r="H1092">
        <v>522.91390461444905</v>
      </c>
      <c r="I1092">
        <v>0.691199990055828</v>
      </c>
      <c r="J1092">
        <v>0.278633857796733</v>
      </c>
      <c r="K1092">
        <v>0.70507302739607602</v>
      </c>
      <c r="L1092" t="s">
        <v>33</v>
      </c>
      <c r="M1092" t="s">
        <v>34</v>
      </c>
      <c r="N1092" t="s">
        <v>35</v>
      </c>
      <c r="O1092">
        <v>0.77971848843123004</v>
      </c>
      <c r="P1092" t="s">
        <v>36</v>
      </c>
    </row>
    <row r="1093" spans="1:16">
      <c r="A1093">
        <v>1092</v>
      </c>
      <c r="B1093" t="s">
        <v>1151</v>
      </c>
      <c r="C1093">
        <v>137</v>
      </c>
      <c r="D1093">
        <v>102</v>
      </c>
      <c r="E1093">
        <v>88.016169496117897</v>
      </c>
      <c r="F1093">
        <v>1.34224598930481</v>
      </c>
      <c r="G1093">
        <v>6084.3586933837396</v>
      </c>
      <c r="H1093">
        <v>1067.37192111534</v>
      </c>
      <c r="I1093">
        <v>0.64918613692812699</v>
      </c>
      <c r="J1093">
        <v>6.7110909674699501E-2</v>
      </c>
      <c r="K1093">
        <v>0.48662656617769401</v>
      </c>
      <c r="L1093" t="s">
        <v>74</v>
      </c>
      <c r="M1093" t="s">
        <v>34</v>
      </c>
      <c r="N1093" t="s">
        <v>35</v>
      </c>
      <c r="O1093">
        <v>0.71553014344203203</v>
      </c>
      <c r="P1093" t="s">
        <v>36</v>
      </c>
    </row>
    <row r="1094" spans="1:16">
      <c r="A1094">
        <v>1093</v>
      </c>
      <c r="B1094" t="s">
        <v>1152</v>
      </c>
      <c r="C1094">
        <v>97</v>
      </c>
      <c r="D1094">
        <v>109</v>
      </c>
      <c r="E1094">
        <v>88.191227910976295</v>
      </c>
      <c r="F1094">
        <v>0.89662929653170698</v>
      </c>
      <c r="G1094">
        <v>6108.5855466918701</v>
      </c>
      <c r="H1094">
        <v>510.06278749932397</v>
      </c>
      <c r="I1094">
        <v>0.72603897639541504</v>
      </c>
      <c r="J1094">
        <v>0.29505518052123902</v>
      </c>
      <c r="K1094">
        <v>0.77030775574464905</v>
      </c>
      <c r="L1094" t="s">
        <v>38</v>
      </c>
      <c r="M1094" t="s">
        <v>34</v>
      </c>
      <c r="N1094" t="s">
        <v>35</v>
      </c>
      <c r="O1094">
        <v>0.70832894519302203</v>
      </c>
      <c r="P1094" t="s">
        <v>36</v>
      </c>
    </row>
    <row r="1095" spans="1:16">
      <c r="A1095">
        <v>1094</v>
      </c>
      <c r="B1095" t="s">
        <v>1153</v>
      </c>
      <c r="C1095">
        <v>83</v>
      </c>
      <c r="D1095">
        <v>124</v>
      </c>
      <c r="E1095">
        <v>88.221264334528797</v>
      </c>
      <c r="F1095">
        <v>0.67342504491576205</v>
      </c>
      <c r="G1095">
        <v>6112.7472147447997</v>
      </c>
      <c r="H1095">
        <v>425.31334394962897</v>
      </c>
      <c r="I1095">
        <v>0.68568947656870904</v>
      </c>
      <c r="J1095">
        <v>0.42464721792462701</v>
      </c>
      <c r="K1095">
        <v>0.77808048129859797</v>
      </c>
      <c r="L1095" t="s">
        <v>298</v>
      </c>
      <c r="M1095" t="s">
        <v>34</v>
      </c>
      <c r="N1095" t="s">
        <v>35</v>
      </c>
      <c r="O1095">
        <v>0.64506888256183303</v>
      </c>
      <c r="P1095" t="s">
        <v>36</v>
      </c>
    </row>
    <row r="1096" spans="1:16">
      <c r="A1096">
        <v>1095</v>
      </c>
      <c r="B1096" t="s">
        <v>1154</v>
      </c>
      <c r="C1096">
        <v>112</v>
      </c>
      <c r="D1096">
        <v>132</v>
      </c>
      <c r="E1096">
        <v>88.237351069830495</v>
      </c>
      <c r="F1096">
        <v>0.84710741873590401</v>
      </c>
      <c r="G1096">
        <v>6114.97667977316</v>
      </c>
      <c r="H1096">
        <v>787.15449569619204</v>
      </c>
      <c r="I1096">
        <v>0.664429517224573</v>
      </c>
      <c r="J1096">
        <v>0.12401799584392501</v>
      </c>
      <c r="K1096">
        <v>0.54098619329388598</v>
      </c>
      <c r="L1096" t="s">
        <v>74</v>
      </c>
      <c r="M1096" t="s">
        <v>34</v>
      </c>
      <c r="N1096" t="s">
        <v>35</v>
      </c>
      <c r="O1096">
        <v>0.71244801013960501</v>
      </c>
      <c r="P1096" t="s">
        <v>36</v>
      </c>
    </row>
    <row r="1097" spans="1:16">
      <c r="A1097">
        <v>1096</v>
      </c>
      <c r="B1097" t="s">
        <v>1155</v>
      </c>
      <c r="C1097">
        <v>117</v>
      </c>
      <c r="D1097">
        <v>74</v>
      </c>
      <c r="E1097">
        <v>88.317740794299297</v>
      </c>
      <c r="F1097">
        <v>1.5938999320801901</v>
      </c>
      <c r="G1097">
        <v>6126.1240049149301</v>
      </c>
      <c r="H1097">
        <v>372.02373372316401</v>
      </c>
      <c r="I1097">
        <v>0.68293225433072702</v>
      </c>
      <c r="J1097">
        <v>0.55622992914673997</v>
      </c>
      <c r="K1097">
        <v>0.86224425756244505</v>
      </c>
      <c r="L1097" t="s">
        <v>38</v>
      </c>
      <c r="M1097" t="s">
        <v>34</v>
      </c>
      <c r="N1097" t="s">
        <v>35</v>
      </c>
      <c r="O1097">
        <v>0.72385381292850204</v>
      </c>
      <c r="P1097" t="s">
        <v>36</v>
      </c>
    </row>
    <row r="1098" spans="1:16">
      <c r="A1098">
        <v>1097</v>
      </c>
      <c r="B1098" t="s">
        <v>1156</v>
      </c>
      <c r="C1098">
        <v>103</v>
      </c>
      <c r="D1098">
        <v>137</v>
      </c>
      <c r="E1098">
        <v>88.352018147990293</v>
      </c>
      <c r="F1098">
        <v>0.74900398406374502</v>
      </c>
      <c r="G1098">
        <v>6130.8801969754304</v>
      </c>
      <c r="H1098">
        <v>1015.71131544144</v>
      </c>
      <c r="I1098">
        <v>0.59013536993666904</v>
      </c>
      <c r="J1098">
        <v>7.4677902677278002E-2</v>
      </c>
      <c r="K1098">
        <v>0.514403651419165</v>
      </c>
      <c r="L1098" t="s">
        <v>43</v>
      </c>
      <c r="M1098" t="s">
        <v>34</v>
      </c>
      <c r="N1098" t="s">
        <v>35</v>
      </c>
      <c r="O1098">
        <v>0.82171612191148802</v>
      </c>
      <c r="P1098" t="s">
        <v>36</v>
      </c>
    </row>
    <row r="1099" spans="1:16">
      <c r="A1099">
        <v>1098</v>
      </c>
      <c r="B1099" t="s">
        <v>1157</v>
      </c>
      <c r="C1099">
        <v>147</v>
      </c>
      <c r="D1099">
        <v>137</v>
      </c>
      <c r="E1099">
        <v>88.4280235815244</v>
      </c>
      <c r="F1099">
        <v>1.0795902123986501</v>
      </c>
      <c r="G1099">
        <v>6141.4329981096398</v>
      </c>
      <c r="H1099">
        <v>1071.12148879798</v>
      </c>
      <c r="I1099">
        <v>0.61138721469216195</v>
      </c>
      <c r="J1099">
        <v>6.7267009058801702E-2</v>
      </c>
      <c r="K1099">
        <v>0.36984327309506498</v>
      </c>
      <c r="L1099" t="s">
        <v>211</v>
      </c>
      <c r="M1099" t="s">
        <v>34</v>
      </c>
      <c r="N1099" t="s">
        <v>35</v>
      </c>
      <c r="O1099">
        <v>0.67174360162023405</v>
      </c>
      <c r="P1099" t="s">
        <v>36</v>
      </c>
    </row>
    <row r="1100" spans="1:16">
      <c r="A1100">
        <v>1099</v>
      </c>
      <c r="B1100" t="s">
        <v>1158</v>
      </c>
      <c r="C1100">
        <v>93</v>
      </c>
      <c r="D1100">
        <v>127</v>
      </c>
      <c r="E1100">
        <v>88.437653408247201</v>
      </c>
      <c r="F1100">
        <v>0.72961373390557904</v>
      </c>
      <c r="G1100">
        <v>6142.7706771266503</v>
      </c>
      <c r="H1100">
        <v>1093.16200795225</v>
      </c>
      <c r="I1100">
        <v>0.68700742363022305</v>
      </c>
      <c r="J1100">
        <v>6.4595922841027498E-2</v>
      </c>
      <c r="K1100">
        <v>0.63062087065321903</v>
      </c>
      <c r="L1100" t="s">
        <v>33</v>
      </c>
      <c r="M1100" t="s">
        <v>34</v>
      </c>
      <c r="N1100" t="s">
        <v>35</v>
      </c>
      <c r="O1100">
        <v>0.86355073476733901</v>
      </c>
      <c r="P1100" t="s">
        <v>36</v>
      </c>
    </row>
    <row r="1101" spans="1:16">
      <c r="A1101">
        <v>1100</v>
      </c>
      <c r="B1101" t="s">
        <v>1159</v>
      </c>
      <c r="C1101">
        <v>109</v>
      </c>
      <c r="D1101">
        <v>119</v>
      </c>
      <c r="E1101">
        <v>88.543512378977297</v>
      </c>
      <c r="F1101">
        <v>0.91860464626968696</v>
      </c>
      <c r="G1101">
        <v>6157.4851463138002</v>
      </c>
      <c r="H1101">
        <v>598.38638866051394</v>
      </c>
      <c r="I1101">
        <v>0.64725357537699701</v>
      </c>
      <c r="J1101">
        <v>0.216097540748523</v>
      </c>
      <c r="K1101">
        <v>0.60463826495614204</v>
      </c>
      <c r="L1101" t="s">
        <v>38</v>
      </c>
      <c r="M1101" t="s">
        <v>34</v>
      </c>
      <c r="N1101" t="s">
        <v>35</v>
      </c>
      <c r="O1101">
        <v>0.67968758141740704</v>
      </c>
      <c r="P1101" t="s">
        <v>36</v>
      </c>
    </row>
    <row r="1102" spans="1:16">
      <c r="A1102">
        <v>1101</v>
      </c>
      <c r="B1102" t="s">
        <v>1160</v>
      </c>
      <c r="C1102">
        <v>82</v>
      </c>
      <c r="D1102">
        <v>127</v>
      </c>
      <c r="E1102">
        <v>88.555266675489705</v>
      </c>
      <c r="F1102">
        <v>0.64234388095234796</v>
      </c>
      <c r="G1102">
        <v>6159.1200873345897</v>
      </c>
      <c r="H1102">
        <v>488.12018373416799</v>
      </c>
      <c r="I1102">
        <v>0.73959768370149603</v>
      </c>
      <c r="J1102">
        <v>0.32484411527644902</v>
      </c>
      <c r="K1102">
        <v>0.74553370634906402</v>
      </c>
      <c r="L1102" t="s">
        <v>33</v>
      </c>
      <c r="M1102" t="s">
        <v>34</v>
      </c>
      <c r="N1102" t="s">
        <v>35</v>
      </c>
      <c r="O1102">
        <v>0.72494430041101199</v>
      </c>
      <c r="P1102" t="s">
        <v>36</v>
      </c>
    </row>
    <row r="1103" spans="1:16">
      <c r="A1103">
        <v>1102</v>
      </c>
      <c r="B1103" t="s">
        <v>1161</v>
      </c>
      <c r="C1103">
        <v>104</v>
      </c>
      <c r="D1103">
        <v>132</v>
      </c>
      <c r="E1103">
        <v>88.610811333406005</v>
      </c>
      <c r="F1103">
        <v>0.78868792070277904</v>
      </c>
      <c r="G1103">
        <v>6166.84889943289</v>
      </c>
      <c r="H1103">
        <v>780.46079064068601</v>
      </c>
      <c r="I1103">
        <v>0.55700016000944996</v>
      </c>
      <c r="J1103">
        <v>0.12722457019952901</v>
      </c>
      <c r="K1103">
        <v>0.57618386335231198</v>
      </c>
      <c r="L1103" t="s">
        <v>38</v>
      </c>
      <c r="M1103" t="s">
        <v>34</v>
      </c>
      <c r="N1103" t="s">
        <v>35</v>
      </c>
      <c r="O1103">
        <v>0.80850268226622801</v>
      </c>
      <c r="P1103" t="s">
        <v>36</v>
      </c>
    </row>
    <row r="1104" spans="1:16">
      <c r="A1104">
        <v>1103</v>
      </c>
      <c r="B1104" t="s">
        <v>1162</v>
      </c>
      <c r="C1104">
        <v>147</v>
      </c>
      <c r="D1104">
        <v>71</v>
      </c>
      <c r="E1104">
        <v>88.894400770613601</v>
      </c>
      <c r="F1104">
        <v>2.07270540066368</v>
      </c>
      <c r="G1104">
        <v>6206.3847459357303</v>
      </c>
      <c r="H1104">
        <v>516.05191495221595</v>
      </c>
      <c r="I1104">
        <v>0.64775174627749799</v>
      </c>
      <c r="J1104">
        <v>0.29286115507865201</v>
      </c>
      <c r="K1104">
        <v>0.71937773489990697</v>
      </c>
      <c r="L1104" t="s">
        <v>33</v>
      </c>
      <c r="M1104" t="s">
        <v>34</v>
      </c>
      <c r="N1104" t="s">
        <v>35</v>
      </c>
      <c r="O1104">
        <v>0.82543155368463395</v>
      </c>
      <c r="P1104" t="s">
        <v>36</v>
      </c>
    </row>
    <row r="1105" spans="1:16">
      <c r="A1105">
        <v>1104</v>
      </c>
      <c r="B1105" t="s">
        <v>1163</v>
      </c>
      <c r="C1105">
        <v>126</v>
      </c>
      <c r="D1105">
        <v>150</v>
      </c>
      <c r="E1105">
        <v>88.9231356050513</v>
      </c>
      <c r="F1105">
        <v>0.83695659625434204</v>
      </c>
      <c r="G1105">
        <v>6210.3977829867699</v>
      </c>
      <c r="H1105">
        <v>1163.5438615539799</v>
      </c>
      <c r="I1105">
        <v>0.54536413845838705</v>
      </c>
      <c r="J1105">
        <v>5.7645281390661399E-2</v>
      </c>
      <c r="K1105">
        <v>0.44605760403100098</v>
      </c>
      <c r="L1105" t="s">
        <v>144</v>
      </c>
      <c r="M1105" t="s">
        <v>34</v>
      </c>
      <c r="N1105" t="s">
        <v>35</v>
      </c>
      <c r="O1105">
        <v>0.68348670835833603</v>
      </c>
      <c r="P1105" t="s">
        <v>36</v>
      </c>
    </row>
    <row r="1106" spans="1:16">
      <c r="A1106">
        <v>1105</v>
      </c>
      <c r="B1106" t="s">
        <v>1164</v>
      </c>
      <c r="C1106">
        <v>103</v>
      </c>
      <c r="D1106">
        <v>156</v>
      </c>
      <c r="E1106">
        <v>88.989084182968895</v>
      </c>
      <c r="F1106">
        <v>0.65853661908120997</v>
      </c>
      <c r="G1106">
        <v>6219.6129051039698</v>
      </c>
      <c r="H1106">
        <v>1070.19155261371</v>
      </c>
      <c r="I1106">
        <v>0.64313377509610203</v>
      </c>
      <c r="J1106">
        <v>6.8241754303899602E-2</v>
      </c>
      <c r="K1106">
        <v>0.48883229755618901</v>
      </c>
      <c r="L1106" t="s">
        <v>893</v>
      </c>
      <c r="M1106" t="s">
        <v>34</v>
      </c>
      <c r="N1106" t="s">
        <v>35</v>
      </c>
      <c r="O1106">
        <v>0.66160690105819298</v>
      </c>
      <c r="P1106" t="s">
        <v>36</v>
      </c>
    </row>
    <row r="1107" spans="1:16">
      <c r="A1107">
        <v>1106</v>
      </c>
      <c r="B1107" t="s">
        <v>1165</v>
      </c>
      <c r="C1107">
        <v>137</v>
      </c>
      <c r="D1107">
        <v>98</v>
      </c>
      <c r="E1107">
        <v>89.002905913362596</v>
      </c>
      <c r="F1107">
        <v>1.40223463687151</v>
      </c>
      <c r="G1107">
        <v>6221.5451081285501</v>
      </c>
      <c r="H1107">
        <v>851.97553666933698</v>
      </c>
      <c r="I1107">
        <v>0.76719835347435505</v>
      </c>
      <c r="J1107">
        <v>0.10770946500199</v>
      </c>
      <c r="K1107">
        <v>0.629146438609412</v>
      </c>
      <c r="L1107" t="s">
        <v>47</v>
      </c>
      <c r="M1107" t="s">
        <v>34</v>
      </c>
      <c r="N1107" t="s">
        <v>35</v>
      </c>
      <c r="O1107">
        <v>0.91204014242142895</v>
      </c>
      <c r="P1107" t="s">
        <v>36</v>
      </c>
    </row>
    <row r="1108" spans="1:16">
      <c r="A1108">
        <v>1107</v>
      </c>
      <c r="B1108" t="s">
        <v>1166</v>
      </c>
      <c r="C1108">
        <v>102</v>
      </c>
      <c r="D1108">
        <v>99</v>
      </c>
      <c r="E1108">
        <v>89.097474017953601</v>
      </c>
      <c r="F1108">
        <v>1.03318584014781</v>
      </c>
      <c r="G1108">
        <v>6234.7732672967904</v>
      </c>
      <c r="H1108">
        <v>651.20324478647001</v>
      </c>
      <c r="I1108">
        <v>0.58321410274240404</v>
      </c>
      <c r="J1108">
        <v>0.18475551748529501</v>
      </c>
      <c r="K1108">
        <v>0.759088688224969</v>
      </c>
      <c r="L1108" t="s">
        <v>38</v>
      </c>
      <c r="M1108" t="s">
        <v>34</v>
      </c>
      <c r="N1108" t="s">
        <v>35</v>
      </c>
      <c r="O1108">
        <v>0.66660484453183799</v>
      </c>
      <c r="P1108" t="s">
        <v>36</v>
      </c>
    </row>
    <row r="1109" spans="1:16">
      <c r="A1109">
        <v>1108</v>
      </c>
      <c r="B1109" t="s">
        <v>1167</v>
      </c>
      <c r="C1109">
        <v>141</v>
      </c>
      <c r="D1109">
        <v>90</v>
      </c>
      <c r="E1109">
        <v>89.184515425340095</v>
      </c>
      <c r="F1109">
        <v>1.5673009476683999</v>
      </c>
      <c r="G1109">
        <v>6246.9610094518002</v>
      </c>
      <c r="H1109">
        <v>635.00949841976205</v>
      </c>
      <c r="I1109">
        <v>0.51138309166255702</v>
      </c>
      <c r="J1109">
        <v>0.194678600865621</v>
      </c>
      <c r="K1109">
        <v>0.62192036223198799</v>
      </c>
      <c r="L1109" t="s">
        <v>33</v>
      </c>
      <c r="M1109" t="s">
        <v>34</v>
      </c>
      <c r="N1109" t="s">
        <v>35</v>
      </c>
      <c r="O1109">
        <v>0.75872529861938298</v>
      </c>
      <c r="P1109" t="s">
        <v>36</v>
      </c>
    </row>
    <row r="1110" spans="1:16">
      <c r="A1110">
        <v>1109</v>
      </c>
      <c r="B1110" t="s">
        <v>1168</v>
      </c>
      <c r="C1110">
        <v>153</v>
      </c>
      <c r="D1110">
        <v>85</v>
      </c>
      <c r="E1110">
        <v>89.282070627967201</v>
      </c>
      <c r="F1110">
        <v>1.7988510986256701</v>
      </c>
      <c r="G1110">
        <v>6260.6350616257096</v>
      </c>
      <c r="H1110">
        <v>476.59977145609702</v>
      </c>
      <c r="I1110">
        <v>0.74831221517888702</v>
      </c>
      <c r="J1110">
        <v>0.346354307826296</v>
      </c>
      <c r="K1110">
        <v>0.65463757304488401</v>
      </c>
      <c r="L1110" t="s">
        <v>38</v>
      </c>
      <c r="M1110" t="s">
        <v>34</v>
      </c>
      <c r="N1110" t="s">
        <v>35</v>
      </c>
      <c r="O1110">
        <v>0.89751109433218001</v>
      </c>
      <c r="P1110" t="s">
        <v>36</v>
      </c>
    </row>
    <row r="1111" spans="1:16">
      <c r="A1111">
        <v>1110</v>
      </c>
      <c r="B1111" t="s">
        <v>1169</v>
      </c>
      <c r="C1111">
        <v>78</v>
      </c>
      <c r="D1111">
        <v>142</v>
      </c>
      <c r="E1111">
        <v>89.289488942996996</v>
      </c>
      <c r="F1111">
        <v>0.54789272030651304</v>
      </c>
      <c r="G1111">
        <v>6261.6754786389401</v>
      </c>
      <c r="H1111">
        <v>959.74149106388495</v>
      </c>
      <c r="I1111">
        <v>0.68575175046689796</v>
      </c>
      <c r="J1111">
        <v>8.5426355574146601E-2</v>
      </c>
      <c r="K1111">
        <v>0.68158873968613498</v>
      </c>
      <c r="L1111" t="s">
        <v>33</v>
      </c>
      <c r="M1111" t="s">
        <v>34</v>
      </c>
      <c r="N1111" t="s">
        <v>35</v>
      </c>
      <c r="O1111">
        <v>0.75084516669936396</v>
      </c>
      <c r="P1111" t="s">
        <v>36</v>
      </c>
    </row>
    <row r="1112" spans="1:16">
      <c r="A1112">
        <v>1111</v>
      </c>
      <c r="B1112" t="s">
        <v>1170</v>
      </c>
      <c r="C1112">
        <v>85</v>
      </c>
      <c r="D1112">
        <v>145</v>
      </c>
      <c r="E1112">
        <v>89.426087725147895</v>
      </c>
      <c r="F1112">
        <v>0.58413867431238797</v>
      </c>
      <c r="G1112">
        <v>6280.8488778827996</v>
      </c>
      <c r="H1112">
        <v>481.33568875395702</v>
      </c>
      <c r="I1112">
        <v>0.79362880549859405</v>
      </c>
      <c r="J1112">
        <v>0.34066858026789898</v>
      </c>
      <c r="K1112">
        <v>0.71161780307495404</v>
      </c>
      <c r="L1112" t="s">
        <v>33</v>
      </c>
      <c r="M1112" t="s">
        <v>34</v>
      </c>
      <c r="N1112" t="s">
        <v>35</v>
      </c>
      <c r="O1112">
        <v>0.71757403643485296</v>
      </c>
      <c r="P1112" t="s">
        <v>36</v>
      </c>
    </row>
    <row r="1113" spans="1:16">
      <c r="A1113">
        <v>1112</v>
      </c>
      <c r="B1113" t="s">
        <v>1171</v>
      </c>
      <c r="C1113">
        <v>144</v>
      </c>
      <c r="D1113">
        <v>142</v>
      </c>
      <c r="E1113">
        <v>89.541345972497595</v>
      </c>
      <c r="F1113">
        <v>1.0192307737452</v>
      </c>
      <c r="G1113">
        <v>6297.0496570888499</v>
      </c>
      <c r="H1113">
        <v>746.12814484834701</v>
      </c>
      <c r="I1113">
        <v>0.56993608594616696</v>
      </c>
      <c r="J1113">
        <v>0.142141252268427</v>
      </c>
      <c r="K1113">
        <v>0.435184994966822</v>
      </c>
      <c r="L1113" t="s">
        <v>38</v>
      </c>
      <c r="M1113" t="s">
        <v>34</v>
      </c>
      <c r="N1113" t="s">
        <v>35</v>
      </c>
      <c r="O1113">
        <v>0.89738261737578195</v>
      </c>
      <c r="P1113" t="s">
        <v>36</v>
      </c>
    </row>
    <row r="1114" spans="1:16">
      <c r="A1114">
        <v>1113</v>
      </c>
      <c r="B1114" t="s">
        <v>1172</v>
      </c>
      <c r="C1114">
        <v>90</v>
      </c>
      <c r="D1114">
        <v>124</v>
      </c>
      <c r="E1114">
        <v>89.575155095485599</v>
      </c>
      <c r="F1114">
        <v>0.73170097639331599</v>
      </c>
      <c r="G1114">
        <v>6301.8058491493402</v>
      </c>
      <c r="H1114">
        <v>496.28239474389898</v>
      </c>
      <c r="I1114">
        <v>0.76841992824352001</v>
      </c>
      <c r="J1114">
        <v>0.32152677511979899</v>
      </c>
      <c r="K1114">
        <v>0.71692593845113295</v>
      </c>
      <c r="L1114" t="s">
        <v>298</v>
      </c>
      <c r="M1114" t="s">
        <v>34</v>
      </c>
      <c r="N1114" t="s">
        <v>35</v>
      </c>
      <c r="O1114">
        <v>0.68689397772321503</v>
      </c>
      <c r="P1114" t="s">
        <v>36</v>
      </c>
    </row>
    <row r="1115" spans="1:16">
      <c r="A1115">
        <v>1114</v>
      </c>
      <c r="B1115" t="s">
        <v>1173</v>
      </c>
      <c r="C1115">
        <v>102</v>
      </c>
      <c r="D1115">
        <v>139</v>
      </c>
      <c r="E1115">
        <v>89.636401627869702</v>
      </c>
      <c r="F1115">
        <v>0.73333333333333295</v>
      </c>
      <c r="G1115">
        <v>6310.4264472589803</v>
      </c>
      <c r="H1115">
        <v>641.54270487692099</v>
      </c>
      <c r="I1115">
        <v>0.64582416856529301</v>
      </c>
      <c r="J1115">
        <v>0.192671479076513</v>
      </c>
      <c r="K1115">
        <v>0.59912509701545202</v>
      </c>
      <c r="L1115" t="s">
        <v>298</v>
      </c>
      <c r="M1115" t="s">
        <v>34</v>
      </c>
      <c r="N1115" t="s">
        <v>35</v>
      </c>
      <c r="O1115">
        <v>0.77769294178910398</v>
      </c>
      <c r="P1115" t="s">
        <v>36</v>
      </c>
    </row>
    <row r="1116" spans="1:16">
      <c r="A1116">
        <v>1115</v>
      </c>
      <c r="B1116" t="s">
        <v>1174</v>
      </c>
      <c r="C1116">
        <v>84</v>
      </c>
      <c r="D1116">
        <v>139</v>
      </c>
      <c r="E1116">
        <v>89.657511420830602</v>
      </c>
      <c r="F1116">
        <v>0.60479404922535596</v>
      </c>
      <c r="G1116">
        <v>6313.3990672967902</v>
      </c>
      <c r="H1116">
        <v>467.995289835412</v>
      </c>
      <c r="I1116">
        <v>0.74678788618460501</v>
      </c>
      <c r="J1116">
        <v>0.362234775629661</v>
      </c>
      <c r="K1116">
        <v>0.71557082933239002</v>
      </c>
      <c r="L1116" t="s">
        <v>33</v>
      </c>
      <c r="M1116" t="s">
        <v>34</v>
      </c>
      <c r="N1116" t="s">
        <v>35</v>
      </c>
      <c r="O1116">
        <v>0.80448264954305004</v>
      </c>
      <c r="P1116" t="s">
        <v>36</v>
      </c>
    </row>
    <row r="1117" spans="1:16">
      <c r="A1117">
        <v>1116</v>
      </c>
      <c r="B1117" t="s">
        <v>1175</v>
      </c>
      <c r="C1117">
        <v>144</v>
      </c>
      <c r="D1117">
        <v>97</v>
      </c>
      <c r="E1117">
        <v>89.659622126767403</v>
      </c>
      <c r="F1117">
        <v>1.48314606741573</v>
      </c>
      <c r="G1117">
        <v>6313.6963293005701</v>
      </c>
      <c r="H1117">
        <v>681.59210834803798</v>
      </c>
      <c r="I1117">
        <v>0.625680483576321</v>
      </c>
      <c r="J1117">
        <v>0.17078292479853799</v>
      </c>
      <c r="K1117">
        <v>0.58255849035903295</v>
      </c>
      <c r="L1117" t="s">
        <v>47</v>
      </c>
      <c r="M1117" t="s">
        <v>34</v>
      </c>
      <c r="N1117" t="s">
        <v>35</v>
      </c>
      <c r="O1117">
        <v>0.92977733027815002</v>
      </c>
      <c r="P1117" t="s">
        <v>36</v>
      </c>
    </row>
    <row r="1118" spans="1:16">
      <c r="A1118">
        <v>1117</v>
      </c>
      <c r="B1118" t="s">
        <v>1176</v>
      </c>
      <c r="C1118">
        <v>173</v>
      </c>
      <c r="D1118">
        <v>84</v>
      </c>
      <c r="E1118">
        <v>89.693386666623795</v>
      </c>
      <c r="F1118">
        <v>2.0609394614274401</v>
      </c>
      <c r="G1118">
        <v>6318.4525213610596</v>
      </c>
      <c r="H1118">
        <v>774.13737074841595</v>
      </c>
      <c r="I1118">
        <v>0.69813804059274698</v>
      </c>
      <c r="J1118">
        <v>0.13249043445634501</v>
      </c>
      <c r="K1118">
        <v>0.50668653158522003</v>
      </c>
      <c r="L1118" t="s">
        <v>33</v>
      </c>
      <c r="M1118" t="s">
        <v>34</v>
      </c>
      <c r="N1118" t="s">
        <v>35</v>
      </c>
      <c r="O1118">
        <v>0.72034603248059204</v>
      </c>
      <c r="P1118" t="s">
        <v>36</v>
      </c>
    </row>
    <row r="1119" spans="1:16">
      <c r="A1119">
        <v>1118</v>
      </c>
      <c r="B1119" t="s">
        <v>1177</v>
      </c>
      <c r="C1119">
        <v>161</v>
      </c>
      <c r="D1119">
        <v>107</v>
      </c>
      <c r="E1119">
        <v>89.773526553133706</v>
      </c>
      <c r="F1119">
        <v>1.5102040816326501</v>
      </c>
      <c r="G1119">
        <v>6329.7484775047296</v>
      </c>
      <c r="H1119">
        <v>1107.0244489378499</v>
      </c>
      <c r="I1119">
        <v>0.65747254149176404</v>
      </c>
      <c r="J1119">
        <v>6.4905558608040204E-2</v>
      </c>
      <c r="K1119">
        <v>0.41813451153657299</v>
      </c>
      <c r="L1119" t="s">
        <v>33</v>
      </c>
      <c r="M1119" t="s">
        <v>34</v>
      </c>
      <c r="N1119" t="s">
        <v>35</v>
      </c>
      <c r="O1119">
        <v>0.70630489658754003</v>
      </c>
      <c r="P1119" t="s">
        <v>36</v>
      </c>
    </row>
    <row r="1120" spans="1:16">
      <c r="A1120">
        <v>1119</v>
      </c>
      <c r="B1120" t="s">
        <v>1178</v>
      </c>
      <c r="C1120">
        <v>95</v>
      </c>
      <c r="D1120">
        <v>128</v>
      </c>
      <c r="E1120">
        <v>89.8504357209044</v>
      </c>
      <c r="F1120">
        <v>0.74325872388637304</v>
      </c>
      <c r="G1120">
        <v>6340.5985406427199</v>
      </c>
      <c r="H1120">
        <v>641.487907676075</v>
      </c>
      <c r="I1120">
        <v>0.580765593457645</v>
      </c>
      <c r="J1120">
        <v>0.19362577636568501</v>
      </c>
      <c r="K1120">
        <v>0.65557143515743899</v>
      </c>
      <c r="L1120" t="s">
        <v>72</v>
      </c>
      <c r="M1120" t="s">
        <v>34</v>
      </c>
      <c r="N1120" t="s">
        <v>35</v>
      </c>
      <c r="O1120">
        <v>0.861810439818948</v>
      </c>
      <c r="P1120" t="s">
        <v>36</v>
      </c>
    </row>
    <row r="1121" spans="1:16">
      <c r="A1121">
        <v>1120</v>
      </c>
      <c r="B1121" t="s">
        <v>1179</v>
      </c>
      <c r="C1121">
        <v>92</v>
      </c>
      <c r="D1121">
        <v>131</v>
      </c>
      <c r="E1121">
        <v>89.878864905517403</v>
      </c>
      <c r="F1121">
        <v>0.70458921119226703</v>
      </c>
      <c r="G1121">
        <v>6344.6115776937604</v>
      </c>
      <c r="H1121">
        <v>482.88719862450699</v>
      </c>
      <c r="I1121">
        <v>0.67276855412232295</v>
      </c>
      <c r="J1121">
        <v>0.34191922359371502</v>
      </c>
      <c r="K1121">
        <v>0.72177133001927596</v>
      </c>
      <c r="L1121" t="s">
        <v>33</v>
      </c>
      <c r="M1121" t="s">
        <v>34</v>
      </c>
      <c r="N1121" t="s">
        <v>35</v>
      </c>
      <c r="O1121">
        <v>0.68959262423039303</v>
      </c>
      <c r="P1121" t="s">
        <v>36</v>
      </c>
    </row>
    <row r="1122" spans="1:16">
      <c r="A1122">
        <v>1121</v>
      </c>
      <c r="B1122" t="s">
        <v>1180</v>
      </c>
      <c r="C1122">
        <v>84</v>
      </c>
      <c r="D1122">
        <v>144</v>
      </c>
      <c r="E1122">
        <v>89.896760150076105</v>
      </c>
      <c r="F1122">
        <v>0.58613444746828902</v>
      </c>
      <c r="G1122">
        <v>6347.1383047258996</v>
      </c>
      <c r="H1122">
        <v>499.04722904143102</v>
      </c>
      <c r="I1122">
        <v>0.62144190565704804</v>
      </c>
      <c r="J1122">
        <v>0.32026134906350201</v>
      </c>
      <c r="K1122">
        <v>0.69904565470051905</v>
      </c>
      <c r="L1122" t="s">
        <v>72</v>
      </c>
      <c r="M1122" t="s">
        <v>34</v>
      </c>
      <c r="N1122" t="s">
        <v>35</v>
      </c>
      <c r="O1122">
        <v>0.68222980357832497</v>
      </c>
      <c r="P1122" t="s">
        <v>36</v>
      </c>
    </row>
    <row r="1123" spans="1:16">
      <c r="A1123">
        <v>1122</v>
      </c>
      <c r="B1123" t="s">
        <v>1181</v>
      </c>
      <c r="C1123">
        <v>121</v>
      </c>
      <c r="D1123">
        <v>95</v>
      </c>
      <c r="E1123">
        <v>90.079718831253601</v>
      </c>
      <c r="F1123">
        <v>1.2658887707195901</v>
      </c>
      <c r="G1123">
        <v>6373.0000990548197</v>
      </c>
      <c r="H1123">
        <v>548.53636738860098</v>
      </c>
      <c r="I1123">
        <v>0.62843155099836701</v>
      </c>
      <c r="J1123">
        <v>0.26616009138862101</v>
      </c>
      <c r="K1123">
        <v>0.70693947537632096</v>
      </c>
      <c r="L1123" t="s">
        <v>33</v>
      </c>
      <c r="M1123" t="s">
        <v>34</v>
      </c>
      <c r="N1123" t="s">
        <v>35</v>
      </c>
      <c r="O1123">
        <v>0.70036879228241899</v>
      </c>
      <c r="P1123" t="s">
        <v>36</v>
      </c>
    </row>
    <row r="1124" spans="1:16">
      <c r="A1124">
        <v>1123</v>
      </c>
      <c r="B1124" t="s">
        <v>1182</v>
      </c>
      <c r="C1124">
        <v>162</v>
      </c>
      <c r="D1124">
        <v>82</v>
      </c>
      <c r="E1124">
        <v>90.132224471477102</v>
      </c>
      <c r="F1124">
        <v>1.9784474270928301</v>
      </c>
      <c r="G1124">
        <v>6380.43164914934</v>
      </c>
      <c r="H1124">
        <v>555.517353691018</v>
      </c>
      <c r="I1124">
        <v>0.55098873597731302</v>
      </c>
      <c r="J1124">
        <v>0.259815265166986</v>
      </c>
      <c r="K1124">
        <v>0.63686670128328804</v>
      </c>
      <c r="L1124" t="s">
        <v>41</v>
      </c>
      <c r="M1124" t="s">
        <v>34</v>
      </c>
      <c r="N1124" t="s">
        <v>35</v>
      </c>
      <c r="O1124">
        <v>0.68017778454409294</v>
      </c>
      <c r="P1124" t="s">
        <v>36</v>
      </c>
    </row>
    <row r="1125" spans="1:16">
      <c r="A1125">
        <v>1124</v>
      </c>
      <c r="B1125" t="s">
        <v>1183</v>
      </c>
      <c r="C1125">
        <v>134</v>
      </c>
      <c r="D1125">
        <v>88</v>
      </c>
      <c r="E1125">
        <v>90.236095506319401</v>
      </c>
      <c r="F1125">
        <v>1.52751913569715</v>
      </c>
      <c r="G1125">
        <v>6395.14611833648</v>
      </c>
      <c r="H1125">
        <v>583.43968267057301</v>
      </c>
      <c r="I1125">
        <v>0.55614435179584698</v>
      </c>
      <c r="J1125">
        <v>0.236085006919283</v>
      </c>
      <c r="K1125">
        <v>0.659832231747151</v>
      </c>
      <c r="L1125" t="s">
        <v>38</v>
      </c>
      <c r="M1125" t="s">
        <v>34</v>
      </c>
      <c r="N1125" t="s">
        <v>35</v>
      </c>
      <c r="O1125">
        <v>0.81778047320292302</v>
      </c>
      <c r="P1125" t="s">
        <v>36</v>
      </c>
    </row>
    <row r="1126" spans="1:16">
      <c r="A1126">
        <v>1125</v>
      </c>
      <c r="B1126" t="s">
        <v>1184</v>
      </c>
      <c r="C1126">
        <v>101</v>
      </c>
      <c r="D1126">
        <v>118</v>
      </c>
      <c r="E1126">
        <v>90.300037360156097</v>
      </c>
      <c r="F1126">
        <v>0.84991888358391898</v>
      </c>
      <c r="G1126">
        <v>6404.2126094517998</v>
      </c>
      <c r="H1126">
        <v>782.36539742759999</v>
      </c>
      <c r="I1126">
        <v>0.67738562593893503</v>
      </c>
      <c r="J1126">
        <v>0.131478983281756</v>
      </c>
      <c r="K1126">
        <v>0.698222359060783</v>
      </c>
      <c r="L1126" t="s">
        <v>47</v>
      </c>
      <c r="M1126" t="s">
        <v>34</v>
      </c>
      <c r="N1126" t="s">
        <v>35</v>
      </c>
      <c r="O1126">
        <v>0.90764466546022105</v>
      </c>
      <c r="P1126" t="s">
        <v>36</v>
      </c>
    </row>
    <row r="1127" spans="1:16">
      <c r="A1127">
        <v>1126</v>
      </c>
      <c r="B1127" t="s">
        <v>1185</v>
      </c>
      <c r="C1127">
        <v>83</v>
      </c>
      <c r="D1127">
        <v>181</v>
      </c>
      <c r="E1127">
        <v>90.399528869445604</v>
      </c>
      <c r="F1127">
        <v>0.45783132530120502</v>
      </c>
      <c r="G1127">
        <v>6418.3325546313799</v>
      </c>
      <c r="H1127">
        <v>1081.2768197452499</v>
      </c>
      <c r="I1127">
        <v>0.72526186889834399</v>
      </c>
      <c r="J1127">
        <v>6.8985575881830893E-2</v>
      </c>
      <c r="K1127">
        <v>0.53946382170697604</v>
      </c>
      <c r="L1127" t="s">
        <v>38</v>
      </c>
      <c r="M1127" t="s">
        <v>34</v>
      </c>
      <c r="N1127" t="s">
        <v>35</v>
      </c>
      <c r="O1127">
        <v>0.67263119839159802</v>
      </c>
      <c r="P1127" t="s">
        <v>36</v>
      </c>
    </row>
    <row r="1128" spans="1:16">
      <c r="A1128">
        <v>1127</v>
      </c>
      <c r="B1128" t="s">
        <v>1186</v>
      </c>
      <c r="C1128">
        <v>161</v>
      </c>
      <c r="D1128">
        <v>99</v>
      </c>
      <c r="E1128">
        <v>90.421506955317497</v>
      </c>
      <c r="F1128">
        <v>1.6353591160220999</v>
      </c>
      <c r="G1128">
        <v>6421.4538056710799</v>
      </c>
      <c r="H1128">
        <v>908.45183109718801</v>
      </c>
      <c r="I1128">
        <v>0.67529996685070204</v>
      </c>
      <c r="J1128">
        <v>9.7777609990901002E-2</v>
      </c>
      <c r="K1128">
        <v>0.62575496429761202</v>
      </c>
      <c r="L1128" t="s">
        <v>38</v>
      </c>
      <c r="M1128" t="s">
        <v>34</v>
      </c>
      <c r="N1128" t="s">
        <v>35</v>
      </c>
      <c r="O1128">
        <v>0.87315479575455102</v>
      </c>
      <c r="P1128" t="s">
        <v>36</v>
      </c>
    </row>
    <row r="1129" spans="1:16">
      <c r="A1129">
        <v>1128</v>
      </c>
      <c r="B1129" t="s">
        <v>1187</v>
      </c>
      <c r="C1129">
        <v>128</v>
      </c>
      <c r="D1129">
        <v>122</v>
      </c>
      <c r="E1129">
        <v>90.481134849281204</v>
      </c>
      <c r="F1129">
        <v>1.0446428571428601</v>
      </c>
      <c r="G1129">
        <v>6429.9257727788299</v>
      </c>
      <c r="H1129">
        <v>1173.3571140535</v>
      </c>
      <c r="I1129">
        <v>0.65674637767600996</v>
      </c>
      <c r="J1129">
        <v>5.8688823271377602E-2</v>
      </c>
      <c r="K1129">
        <v>0.53767089236887899</v>
      </c>
      <c r="L1129" t="s">
        <v>38</v>
      </c>
      <c r="M1129" t="s">
        <v>34</v>
      </c>
      <c r="N1129" t="s">
        <v>35</v>
      </c>
      <c r="O1129">
        <v>0.71063541142383502</v>
      </c>
      <c r="P1129" t="s">
        <v>36</v>
      </c>
    </row>
    <row r="1130" spans="1:16">
      <c r="A1130">
        <v>1129</v>
      </c>
      <c r="B1130" t="s">
        <v>1188</v>
      </c>
      <c r="C1130">
        <v>122</v>
      </c>
      <c r="D1130">
        <v>101</v>
      </c>
      <c r="E1130">
        <v>90.554308370482502</v>
      </c>
      <c r="F1130">
        <v>1.20837023825212</v>
      </c>
      <c r="G1130">
        <v>6440.3299429111503</v>
      </c>
      <c r="H1130">
        <v>560.05677966667304</v>
      </c>
      <c r="I1130">
        <v>0.65012450874377903</v>
      </c>
      <c r="J1130">
        <v>0.258020292623028</v>
      </c>
      <c r="K1130">
        <v>0.71551709902739502</v>
      </c>
      <c r="L1130" t="s">
        <v>49</v>
      </c>
      <c r="M1130" t="s">
        <v>34</v>
      </c>
      <c r="N1130" t="s">
        <v>35</v>
      </c>
      <c r="O1130">
        <v>0.64216041891989895</v>
      </c>
      <c r="P1130" t="s">
        <v>36</v>
      </c>
    </row>
    <row r="1131" spans="1:16">
      <c r="A1131">
        <v>1130</v>
      </c>
      <c r="B1131" t="s">
        <v>1189</v>
      </c>
      <c r="C1131">
        <v>128</v>
      </c>
      <c r="D1131">
        <v>127</v>
      </c>
      <c r="E1131">
        <v>90.600272906323895</v>
      </c>
      <c r="F1131">
        <v>1.00858369098712</v>
      </c>
      <c r="G1131">
        <v>6446.86970699433</v>
      </c>
      <c r="H1131">
        <v>1056.2710819670399</v>
      </c>
      <c r="I1131">
        <v>0.60496061581285698</v>
      </c>
      <c r="J1131">
        <v>7.2611929443086795E-2</v>
      </c>
      <c r="K1131">
        <v>0.51046827741229395</v>
      </c>
      <c r="L1131" t="s">
        <v>49</v>
      </c>
      <c r="M1131" t="s">
        <v>34</v>
      </c>
      <c r="N1131" t="s">
        <v>35</v>
      </c>
      <c r="O1131">
        <v>0.71979193973391298</v>
      </c>
      <c r="P1131" t="s">
        <v>36</v>
      </c>
    </row>
    <row r="1132" spans="1:16">
      <c r="A1132">
        <v>1131</v>
      </c>
      <c r="B1132" t="s">
        <v>1190</v>
      </c>
      <c r="C1132">
        <v>130</v>
      </c>
      <c r="D1132">
        <v>101</v>
      </c>
      <c r="E1132">
        <v>90.760965467287505</v>
      </c>
      <c r="F1132">
        <v>1.28407050848931</v>
      </c>
      <c r="G1132">
        <v>6469.7588812854401</v>
      </c>
      <c r="H1132">
        <v>603.81586509238105</v>
      </c>
      <c r="I1132">
        <v>0.63982107123714704</v>
      </c>
      <c r="J1132">
        <v>0.22299181369271701</v>
      </c>
      <c r="K1132">
        <v>0.59207018498367803</v>
      </c>
      <c r="L1132" t="s">
        <v>38</v>
      </c>
      <c r="M1132" t="s">
        <v>34</v>
      </c>
      <c r="N1132" t="s">
        <v>35</v>
      </c>
      <c r="O1132">
        <v>0.83412424127005003</v>
      </c>
      <c r="P1132" t="s">
        <v>36</v>
      </c>
    </row>
    <row r="1133" spans="1:16">
      <c r="A1133">
        <v>1132</v>
      </c>
      <c r="B1133" t="s">
        <v>1191</v>
      </c>
      <c r="C1133">
        <v>84</v>
      </c>
      <c r="D1133">
        <v>170</v>
      </c>
      <c r="E1133">
        <v>90.799531048975297</v>
      </c>
      <c r="F1133">
        <v>0.49185517534309398</v>
      </c>
      <c r="G1133">
        <v>6475.2582283553902</v>
      </c>
      <c r="H1133">
        <v>693.687083119931</v>
      </c>
      <c r="I1133">
        <v>0.75800940786123205</v>
      </c>
      <c r="J1133">
        <v>0.16909849446664699</v>
      </c>
      <c r="K1133">
        <v>0.58728532528106503</v>
      </c>
      <c r="L1133" t="s">
        <v>33</v>
      </c>
      <c r="M1133" t="s">
        <v>34</v>
      </c>
      <c r="N1133" t="s">
        <v>35</v>
      </c>
      <c r="O1133">
        <v>0.78081888965992396</v>
      </c>
      <c r="P1133" t="s">
        <v>36</v>
      </c>
    </row>
    <row r="1134" spans="1:16">
      <c r="A1134">
        <v>1133</v>
      </c>
      <c r="B1134" t="s">
        <v>1192</v>
      </c>
      <c r="C1134">
        <v>145</v>
      </c>
      <c r="D1134">
        <v>122</v>
      </c>
      <c r="E1134">
        <v>90.879736683381296</v>
      </c>
      <c r="F1134">
        <v>1.19220988593903</v>
      </c>
      <c r="G1134">
        <v>6486.7028155009502</v>
      </c>
      <c r="H1134">
        <v>791.707216914529</v>
      </c>
      <c r="I1134">
        <v>0.620744550315104</v>
      </c>
      <c r="J1134">
        <v>0.130048293520383</v>
      </c>
      <c r="K1134">
        <v>0.54689790854751197</v>
      </c>
      <c r="L1134" t="s">
        <v>47</v>
      </c>
      <c r="M1134" t="s">
        <v>34</v>
      </c>
      <c r="N1134" t="s">
        <v>35</v>
      </c>
      <c r="O1134">
        <v>0.94267922182831898</v>
      </c>
      <c r="P1134" t="s">
        <v>36</v>
      </c>
    </row>
    <row r="1135" spans="1:16">
      <c r="A1135">
        <v>1134</v>
      </c>
      <c r="B1135" t="s">
        <v>1193</v>
      </c>
      <c r="C1135">
        <v>102</v>
      </c>
      <c r="D1135">
        <v>124</v>
      </c>
      <c r="E1135">
        <v>90.913048081419504</v>
      </c>
      <c r="F1135">
        <v>0.82545503417427601</v>
      </c>
      <c r="G1135">
        <v>6491.4590075614396</v>
      </c>
      <c r="H1135">
        <v>578.92295417609398</v>
      </c>
      <c r="I1135">
        <v>0.65282506404136897</v>
      </c>
      <c r="J1135">
        <v>0.24339443473740899</v>
      </c>
      <c r="K1135">
        <v>0.64364241924074495</v>
      </c>
      <c r="L1135" t="s">
        <v>38</v>
      </c>
      <c r="M1135" t="s">
        <v>34</v>
      </c>
      <c r="N1135" t="s">
        <v>35</v>
      </c>
      <c r="O1135">
        <v>0.72271900628543195</v>
      </c>
      <c r="P1135" t="s">
        <v>36</v>
      </c>
    </row>
    <row r="1136" spans="1:16">
      <c r="A1136">
        <v>1135</v>
      </c>
      <c r="B1136" t="s">
        <v>1194</v>
      </c>
      <c r="C1136">
        <v>100</v>
      </c>
      <c r="D1136">
        <v>95</v>
      </c>
      <c r="E1136">
        <v>90.972836829344601</v>
      </c>
      <c r="F1136">
        <v>1.0526315789473699</v>
      </c>
      <c r="G1136">
        <v>6500</v>
      </c>
      <c r="H1136">
        <v>389.70562458038302</v>
      </c>
      <c r="I1136">
        <v>0.72808303986580203</v>
      </c>
      <c r="J1136">
        <v>0.53783600546995802</v>
      </c>
      <c r="K1136">
        <v>0.84967320261437895</v>
      </c>
      <c r="L1136" t="s">
        <v>188</v>
      </c>
      <c r="M1136" t="s">
        <v>34</v>
      </c>
      <c r="N1136" t="s">
        <v>35</v>
      </c>
      <c r="O1136">
        <v>0.90024063001510102</v>
      </c>
      <c r="P1136" t="s">
        <v>36</v>
      </c>
    </row>
    <row r="1137" spans="1:16">
      <c r="A1137">
        <v>1136</v>
      </c>
      <c r="B1137" t="s">
        <v>1195</v>
      </c>
      <c r="C1137">
        <v>136</v>
      </c>
      <c r="D1137">
        <v>86</v>
      </c>
      <c r="E1137">
        <v>90.992113776481801</v>
      </c>
      <c r="F1137">
        <v>1.58227848101266</v>
      </c>
      <c r="G1137">
        <v>6502.7549637051097</v>
      </c>
      <c r="H1137">
        <v>512.73521564203804</v>
      </c>
      <c r="I1137">
        <v>0.62265129664158103</v>
      </c>
      <c r="J1137">
        <v>0.31082859117554901</v>
      </c>
      <c r="K1137">
        <v>0.67256460315752298</v>
      </c>
      <c r="L1137" t="s">
        <v>47</v>
      </c>
      <c r="M1137" t="s">
        <v>34</v>
      </c>
      <c r="N1137" t="s">
        <v>35</v>
      </c>
      <c r="O1137">
        <v>0.94830551012625497</v>
      </c>
      <c r="P1137" t="s">
        <v>36</v>
      </c>
    </row>
    <row r="1138" spans="1:16">
      <c r="A1138">
        <v>1137</v>
      </c>
      <c r="B1138" t="s">
        <v>1196</v>
      </c>
      <c r="C1138">
        <v>80</v>
      </c>
      <c r="D1138">
        <v>152</v>
      </c>
      <c r="E1138">
        <v>90.992113776481801</v>
      </c>
      <c r="F1138">
        <v>0.52585277248792595</v>
      </c>
      <c r="G1138">
        <v>6502.7549637051097</v>
      </c>
      <c r="H1138">
        <v>510.522246357151</v>
      </c>
      <c r="I1138">
        <v>0.68727784054559704</v>
      </c>
      <c r="J1138">
        <v>0.31352913931589599</v>
      </c>
      <c r="K1138">
        <v>0.71861962484806696</v>
      </c>
      <c r="L1138" t="s">
        <v>298</v>
      </c>
      <c r="M1138" t="s">
        <v>34</v>
      </c>
      <c r="N1138" t="s">
        <v>35</v>
      </c>
      <c r="O1138">
        <v>0.67474441512347705</v>
      </c>
      <c r="P1138" t="s">
        <v>36</v>
      </c>
    </row>
    <row r="1139" spans="1:16">
      <c r="A1139">
        <v>1138</v>
      </c>
      <c r="B1139" t="s">
        <v>1197</v>
      </c>
      <c r="C1139">
        <v>132</v>
      </c>
      <c r="D1139">
        <v>152</v>
      </c>
      <c r="E1139">
        <v>91.161457629793404</v>
      </c>
      <c r="F1139">
        <v>0.87050359712230196</v>
      </c>
      <c r="G1139">
        <v>6526.9818170132303</v>
      </c>
      <c r="H1139">
        <v>989.62777757934896</v>
      </c>
      <c r="I1139">
        <v>0.57091806807859902</v>
      </c>
      <c r="J1139">
        <v>8.3748784603176696E-2</v>
      </c>
      <c r="K1139">
        <v>0.43277816103281802</v>
      </c>
      <c r="L1139" t="s">
        <v>33</v>
      </c>
      <c r="M1139" t="s">
        <v>34</v>
      </c>
      <c r="N1139" t="s">
        <v>35</v>
      </c>
      <c r="O1139">
        <v>0.72748731874323003</v>
      </c>
      <c r="P1139" t="s">
        <v>36</v>
      </c>
    </row>
    <row r="1140" spans="1:16">
      <c r="A1140">
        <v>1139</v>
      </c>
      <c r="B1140" t="s">
        <v>1198</v>
      </c>
      <c r="C1140">
        <v>154</v>
      </c>
      <c r="D1140">
        <v>85</v>
      </c>
      <c r="E1140">
        <v>91.173912231618004</v>
      </c>
      <c r="F1140">
        <v>1.8085909869365999</v>
      </c>
      <c r="G1140">
        <v>6528.7653890359197</v>
      </c>
      <c r="H1140">
        <v>688.79617645802705</v>
      </c>
      <c r="I1140">
        <v>0.59928579729667197</v>
      </c>
      <c r="J1140">
        <v>0.17292567167188599</v>
      </c>
      <c r="K1140">
        <v>0.66015419528396901</v>
      </c>
      <c r="L1140" t="s">
        <v>33</v>
      </c>
      <c r="M1140" t="s">
        <v>34</v>
      </c>
      <c r="N1140" t="s">
        <v>35</v>
      </c>
      <c r="O1140">
        <v>0.75161108704131996</v>
      </c>
      <c r="P1140" t="s">
        <v>36</v>
      </c>
    </row>
    <row r="1141" spans="1:16">
      <c r="A1141">
        <v>1140</v>
      </c>
      <c r="B1141" t="s">
        <v>1199</v>
      </c>
      <c r="C1141">
        <v>186</v>
      </c>
      <c r="D1141">
        <v>76</v>
      </c>
      <c r="E1141">
        <v>91.222676382960103</v>
      </c>
      <c r="F1141">
        <v>2.44859670431988</v>
      </c>
      <c r="G1141">
        <v>6535.7510461247603</v>
      </c>
      <c r="H1141">
        <v>679.11455529741602</v>
      </c>
      <c r="I1141">
        <v>0.67258248962205802</v>
      </c>
      <c r="J1141">
        <v>0.178081697891736</v>
      </c>
      <c r="K1141">
        <v>0.57415749409168704</v>
      </c>
      <c r="L1141" t="s">
        <v>74</v>
      </c>
      <c r="M1141" t="s">
        <v>34</v>
      </c>
      <c r="N1141" t="s">
        <v>35</v>
      </c>
      <c r="O1141">
        <v>0.71172399500515604</v>
      </c>
      <c r="P1141" t="s">
        <v>36</v>
      </c>
    </row>
    <row r="1142" spans="1:16">
      <c r="A1142">
        <v>1141</v>
      </c>
      <c r="B1142" t="s">
        <v>1200</v>
      </c>
      <c r="C1142">
        <v>157</v>
      </c>
      <c r="D1142">
        <v>78</v>
      </c>
      <c r="E1142">
        <v>91.319090409968695</v>
      </c>
      <c r="F1142">
        <v>2.0032831448897599</v>
      </c>
      <c r="G1142">
        <v>6549.5737293005704</v>
      </c>
      <c r="H1142">
        <v>535.43785475461402</v>
      </c>
      <c r="I1142">
        <v>0.596591191118929</v>
      </c>
      <c r="J1142">
        <v>0.28708120167778201</v>
      </c>
      <c r="K1142">
        <v>0.67149213702304</v>
      </c>
      <c r="L1142" t="s">
        <v>188</v>
      </c>
      <c r="M1142" t="s">
        <v>34</v>
      </c>
      <c r="N1142" t="s">
        <v>35</v>
      </c>
      <c r="O1142">
        <v>0.70645109709020504</v>
      </c>
      <c r="P1142" t="s">
        <v>36</v>
      </c>
    </row>
    <row r="1143" spans="1:16">
      <c r="A1143">
        <v>1142</v>
      </c>
      <c r="B1143" t="s">
        <v>1201</v>
      </c>
      <c r="C1143">
        <v>125</v>
      </c>
      <c r="D1143">
        <v>95</v>
      </c>
      <c r="E1143">
        <v>91.409159892893101</v>
      </c>
      <c r="F1143">
        <v>1.31578947368421</v>
      </c>
      <c r="G1143">
        <v>6562.5</v>
      </c>
      <c r="H1143">
        <v>626.48231685161602</v>
      </c>
      <c r="I1143">
        <v>0.74758078657425298</v>
      </c>
      <c r="J1143">
        <v>0.21011717169528499</v>
      </c>
      <c r="K1143">
        <v>0.66624365482233505</v>
      </c>
      <c r="L1143" t="s">
        <v>298</v>
      </c>
      <c r="M1143" t="s">
        <v>34</v>
      </c>
      <c r="N1143" t="s">
        <v>35</v>
      </c>
      <c r="O1143">
        <v>0.64474823018730298</v>
      </c>
      <c r="P1143" t="s">
        <v>36</v>
      </c>
    </row>
    <row r="1144" spans="1:16">
      <c r="A1144">
        <v>1143</v>
      </c>
      <c r="B1144" t="s">
        <v>1202</v>
      </c>
      <c r="C1144">
        <v>182</v>
      </c>
      <c r="D1144">
        <v>101</v>
      </c>
      <c r="E1144">
        <v>91.442310637562699</v>
      </c>
      <c r="F1144">
        <v>1.79823549993236</v>
      </c>
      <c r="G1144">
        <v>6567.2608185255203</v>
      </c>
      <c r="H1144">
        <v>900.48611140966398</v>
      </c>
      <c r="I1144">
        <v>0.60169602980329195</v>
      </c>
      <c r="J1144">
        <v>0.101774760921528</v>
      </c>
      <c r="K1144">
        <v>0.44103848917990901</v>
      </c>
      <c r="L1144" t="s">
        <v>47</v>
      </c>
      <c r="M1144" t="s">
        <v>34</v>
      </c>
      <c r="N1144" t="s">
        <v>35</v>
      </c>
      <c r="O1144">
        <v>0.94085706424634097</v>
      </c>
      <c r="P1144" t="s">
        <v>36</v>
      </c>
    </row>
    <row r="1145" spans="1:16">
      <c r="A1145">
        <v>1144</v>
      </c>
      <c r="B1145" t="s">
        <v>1203</v>
      </c>
      <c r="C1145">
        <v>128</v>
      </c>
      <c r="D1145">
        <v>161</v>
      </c>
      <c r="E1145">
        <v>91.545728800717697</v>
      </c>
      <c r="F1145">
        <v>0.79391891891891897</v>
      </c>
      <c r="G1145">
        <v>6582.1239187145602</v>
      </c>
      <c r="H1145">
        <v>901.95072435969905</v>
      </c>
      <c r="I1145">
        <v>0.58072145368405204</v>
      </c>
      <c r="J1145">
        <v>0.101674090203796</v>
      </c>
      <c r="K1145">
        <v>0.480820385872339</v>
      </c>
      <c r="L1145" t="s">
        <v>33</v>
      </c>
      <c r="M1145" t="s">
        <v>34</v>
      </c>
      <c r="N1145" t="s">
        <v>35</v>
      </c>
      <c r="O1145">
        <v>0.69887784079297399</v>
      </c>
      <c r="P1145" t="s">
        <v>36</v>
      </c>
    </row>
    <row r="1146" spans="1:16">
      <c r="A1146">
        <v>1145</v>
      </c>
      <c r="B1146" t="s">
        <v>1204</v>
      </c>
      <c r="C1146">
        <v>112</v>
      </c>
      <c r="D1146">
        <v>132</v>
      </c>
      <c r="E1146">
        <v>91.639737902014801</v>
      </c>
      <c r="F1146">
        <v>0.85123965066195995</v>
      </c>
      <c r="G1146">
        <v>6595.6493398865796</v>
      </c>
      <c r="H1146">
        <v>705.73276992528304</v>
      </c>
      <c r="I1146">
        <v>0.56081556032966695</v>
      </c>
      <c r="J1146">
        <v>0.16641284845962601</v>
      </c>
      <c r="K1146">
        <v>0.59198783367351004</v>
      </c>
      <c r="L1146" t="s">
        <v>33</v>
      </c>
      <c r="M1146" t="s">
        <v>34</v>
      </c>
      <c r="N1146" t="s">
        <v>35</v>
      </c>
      <c r="O1146">
        <v>0.688958203113745</v>
      </c>
      <c r="P1146" t="s">
        <v>36</v>
      </c>
    </row>
    <row r="1147" spans="1:16">
      <c r="A1147">
        <v>1146</v>
      </c>
      <c r="B1147" t="s">
        <v>1205</v>
      </c>
      <c r="C1147">
        <v>83</v>
      </c>
      <c r="D1147">
        <v>177</v>
      </c>
      <c r="E1147">
        <v>91.820254110171902</v>
      </c>
      <c r="F1147">
        <v>0.46923035389400802</v>
      </c>
      <c r="G1147">
        <v>6621.6597652173896</v>
      </c>
      <c r="H1147">
        <v>630.52876264914198</v>
      </c>
      <c r="I1147">
        <v>0.75582485449522896</v>
      </c>
      <c r="J1147">
        <v>0.20929888809910899</v>
      </c>
      <c r="K1147">
        <v>0.62043561819346604</v>
      </c>
      <c r="L1147" t="s">
        <v>33</v>
      </c>
      <c r="M1147" t="s">
        <v>34</v>
      </c>
      <c r="N1147" t="s">
        <v>35</v>
      </c>
      <c r="O1147">
        <v>0.74690632424182501</v>
      </c>
      <c r="P1147" t="s">
        <v>36</v>
      </c>
    </row>
    <row r="1148" spans="1:16">
      <c r="A1148">
        <v>1147</v>
      </c>
      <c r="B1148" t="s">
        <v>1206</v>
      </c>
      <c r="C1148">
        <v>126</v>
      </c>
      <c r="D1148">
        <v>108</v>
      </c>
      <c r="E1148">
        <v>91.912952966830403</v>
      </c>
      <c r="F1148">
        <v>1.1692601313754001</v>
      </c>
      <c r="G1148">
        <v>6635.0365553875199</v>
      </c>
      <c r="H1148">
        <v>611.47322228193298</v>
      </c>
      <c r="I1148">
        <v>0.56497537366879702</v>
      </c>
      <c r="J1148">
        <v>0.22299662889411601</v>
      </c>
      <c r="K1148">
        <v>0.69615594541910297</v>
      </c>
      <c r="L1148" t="s">
        <v>33</v>
      </c>
      <c r="M1148" t="s">
        <v>34</v>
      </c>
      <c r="N1148" t="s">
        <v>35</v>
      </c>
      <c r="O1148">
        <v>0.69879686001209596</v>
      </c>
      <c r="P1148" t="s">
        <v>36</v>
      </c>
    </row>
    <row r="1149" spans="1:16">
      <c r="A1149">
        <v>1148</v>
      </c>
      <c r="B1149" t="s">
        <v>1207</v>
      </c>
      <c r="C1149">
        <v>82</v>
      </c>
      <c r="D1149">
        <v>157</v>
      </c>
      <c r="E1149">
        <v>92.043602534172294</v>
      </c>
      <c r="F1149">
        <v>0.52265517894181701</v>
      </c>
      <c r="G1149">
        <v>6653.9126926276003</v>
      </c>
      <c r="H1149">
        <v>482.86450114333098</v>
      </c>
      <c r="I1149">
        <v>0.68552345412051297</v>
      </c>
      <c r="J1149">
        <v>0.358621568113838</v>
      </c>
      <c r="K1149">
        <v>0.73226903951845101</v>
      </c>
      <c r="L1149" t="s">
        <v>38</v>
      </c>
      <c r="M1149" t="s">
        <v>34</v>
      </c>
      <c r="N1149" t="s">
        <v>35</v>
      </c>
      <c r="O1149">
        <v>0.86534576915350203</v>
      </c>
      <c r="P1149" t="s">
        <v>36</v>
      </c>
    </row>
    <row r="1150" spans="1:16">
      <c r="A1150">
        <v>1149</v>
      </c>
      <c r="B1150" t="s">
        <v>1208</v>
      </c>
      <c r="C1150">
        <v>87</v>
      </c>
      <c r="D1150">
        <v>125</v>
      </c>
      <c r="E1150">
        <v>92.078548126155994</v>
      </c>
      <c r="F1150">
        <v>0.69565217391304301</v>
      </c>
      <c r="G1150">
        <v>6658.9661466918697</v>
      </c>
      <c r="H1150">
        <v>482.78700646130898</v>
      </c>
      <c r="I1150">
        <v>0.62364761523889101</v>
      </c>
      <c r="J1150">
        <v>0.35900915596541499</v>
      </c>
      <c r="K1150">
        <v>0.81314772129154</v>
      </c>
      <c r="L1150" t="s">
        <v>38</v>
      </c>
      <c r="M1150" t="s">
        <v>34</v>
      </c>
      <c r="N1150" t="s">
        <v>35</v>
      </c>
      <c r="O1150">
        <v>0.87705094011922902</v>
      </c>
      <c r="P1150" t="s">
        <v>36</v>
      </c>
    </row>
    <row r="1151" spans="1:16">
      <c r="A1151">
        <v>1150</v>
      </c>
      <c r="B1151" t="s">
        <v>1209</v>
      </c>
      <c r="C1151">
        <v>160</v>
      </c>
      <c r="D1151">
        <v>87</v>
      </c>
      <c r="E1151">
        <v>92.299221242081003</v>
      </c>
      <c r="F1151">
        <v>1.8427672955974801</v>
      </c>
      <c r="G1151">
        <v>6690.9218120982996</v>
      </c>
      <c r="H1151">
        <v>794.10727528312896</v>
      </c>
      <c r="I1151">
        <v>0.71962304598162596</v>
      </c>
      <c r="J1151">
        <v>0.13333294421819</v>
      </c>
      <c r="K1151">
        <v>0.628895936072421</v>
      </c>
      <c r="L1151" t="s">
        <v>188</v>
      </c>
      <c r="M1151" t="s">
        <v>34</v>
      </c>
      <c r="N1151" t="s">
        <v>35</v>
      </c>
      <c r="O1151">
        <v>0.72794105836151601</v>
      </c>
      <c r="P1151" t="s">
        <v>36</v>
      </c>
    </row>
    <row r="1152" spans="1:16">
      <c r="A1152">
        <v>1151</v>
      </c>
      <c r="B1152" t="s">
        <v>1210</v>
      </c>
      <c r="C1152">
        <v>142</v>
      </c>
      <c r="D1152">
        <v>116</v>
      </c>
      <c r="E1152">
        <v>92.463101294318903</v>
      </c>
      <c r="F1152">
        <v>1.2206572769953099</v>
      </c>
      <c r="G1152">
        <v>6714.7027724007603</v>
      </c>
      <c r="H1152">
        <v>914.53336470489899</v>
      </c>
      <c r="I1152">
        <v>0.62954831910946896</v>
      </c>
      <c r="J1152">
        <v>0.100887543737398</v>
      </c>
      <c r="K1152">
        <v>0.52486842563870195</v>
      </c>
      <c r="L1152" t="s">
        <v>41</v>
      </c>
      <c r="M1152" t="s">
        <v>34</v>
      </c>
      <c r="N1152" t="s">
        <v>35</v>
      </c>
      <c r="O1152">
        <v>0.70252805870663504</v>
      </c>
      <c r="P1152" t="s">
        <v>36</v>
      </c>
    </row>
    <row r="1153" spans="1:16">
      <c r="A1153">
        <v>1152</v>
      </c>
      <c r="B1153" t="s">
        <v>1211</v>
      </c>
      <c r="C1153">
        <v>117</v>
      </c>
      <c r="D1153">
        <v>133</v>
      </c>
      <c r="E1153">
        <v>92.486635180195805</v>
      </c>
      <c r="F1153">
        <v>0.88114754098360704</v>
      </c>
      <c r="G1153">
        <v>6718.1212854442401</v>
      </c>
      <c r="H1153">
        <v>1616.2591086462301</v>
      </c>
      <c r="I1153">
        <v>0.58986700174732798</v>
      </c>
      <c r="J1153">
        <v>3.2317349372148703E-2</v>
      </c>
      <c r="K1153">
        <v>0.501169765714222</v>
      </c>
      <c r="L1153" t="s">
        <v>33</v>
      </c>
      <c r="M1153" t="s">
        <v>34</v>
      </c>
      <c r="N1153" t="s">
        <v>35</v>
      </c>
      <c r="O1153">
        <v>0.69980751997777402</v>
      </c>
      <c r="P1153" t="s">
        <v>36</v>
      </c>
    </row>
    <row r="1154" spans="1:16">
      <c r="A1154">
        <v>1153</v>
      </c>
      <c r="B1154" t="s">
        <v>1212</v>
      </c>
      <c r="C1154">
        <v>97</v>
      </c>
      <c r="D1154">
        <v>126</v>
      </c>
      <c r="E1154">
        <v>92.553111635705406</v>
      </c>
      <c r="F1154">
        <v>0.77224294994362797</v>
      </c>
      <c r="G1154">
        <v>6727.7823005671098</v>
      </c>
      <c r="H1154">
        <v>498.38576962709402</v>
      </c>
      <c r="I1154">
        <v>0.67162281208837005</v>
      </c>
      <c r="J1154">
        <v>0.34036941413545502</v>
      </c>
      <c r="K1154">
        <v>0.75614319362544502</v>
      </c>
      <c r="L1154" t="s">
        <v>49</v>
      </c>
      <c r="M1154" t="s">
        <v>34</v>
      </c>
      <c r="N1154" t="s">
        <v>35</v>
      </c>
      <c r="O1154">
        <v>0.68531351300139798</v>
      </c>
      <c r="P1154" t="s">
        <v>36</v>
      </c>
    </row>
    <row r="1155" spans="1:16">
      <c r="A1155">
        <v>1154</v>
      </c>
      <c r="B1155" t="s">
        <v>1213</v>
      </c>
      <c r="C1155">
        <v>147</v>
      </c>
      <c r="D1155">
        <v>102</v>
      </c>
      <c r="E1155">
        <v>92.645077212324594</v>
      </c>
      <c r="F1155">
        <v>1.4385026737967901</v>
      </c>
      <c r="G1155">
        <v>6741.1590907372401</v>
      </c>
      <c r="H1155">
        <v>957.57619351542496</v>
      </c>
      <c r="I1155">
        <v>0.660830258732933</v>
      </c>
      <c r="J1155">
        <v>9.2384212186661194E-2</v>
      </c>
      <c r="K1155">
        <v>0.49882867921208102</v>
      </c>
      <c r="L1155" t="s">
        <v>33</v>
      </c>
      <c r="M1155" t="s">
        <v>34</v>
      </c>
      <c r="N1155" t="s">
        <v>35</v>
      </c>
      <c r="O1155">
        <v>0.70926752035609097</v>
      </c>
      <c r="P1155" t="s">
        <v>36</v>
      </c>
    </row>
    <row r="1156" spans="1:16">
      <c r="A1156">
        <v>1155</v>
      </c>
      <c r="B1156" t="s">
        <v>1214</v>
      </c>
      <c r="C1156">
        <v>104</v>
      </c>
      <c r="D1156">
        <v>137</v>
      </c>
      <c r="E1156">
        <v>92.933664856475204</v>
      </c>
      <c r="F1156">
        <v>0.76095617529880499</v>
      </c>
      <c r="G1156">
        <v>6783.2216642722096</v>
      </c>
      <c r="H1156">
        <v>717.67664833732294</v>
      </c>
      <c r="I1156">
        <v>0.58052492269714895</v>
      </c>
      <c r="J1156">
        <v>0.16549628236929101</v>
      </c>
      <c r="K1156">
        <v>0.59654397155704297</v>
      </c>
      <c r="L1156" t="s">
        <v>38</v>
      </c>
      <c r="M1156" t="s">
        <v>34</v>
      </c>
      <c r="N1156" t="s">
        <v>35</v>
      </c>
      <c r="O1156">
        <v>0.86273807960326698</v>
      </c>
      <c r="P1156" t="s">
        <v>36</v>
      </c>
    </row>
    <row r="1157" spans="1:16">
      <c r="A1157">
        <v>1156</v>
      </c>
      <c r="B1157" t="s">
        <v>1215</v>
      </c>
      <c r="C1157">
        <v>150</v>
      </c>
      <c r="D1157">
        <v>95</v>
      </c>
      <c r="E1157">
        <v>92.987611732543201</v>
      </c>
      <c r="F1157">
        <v>1.58249247217001</v>
      </c>
      <c r="G1157">
        <v>6791.0991073723999</v>
      </c>
      <c r="H1157">
        <v>579.465416950247</v>
      </c>
      <c r="I1157">
        <v>0.63710348330438804</v>
      </c>
      <c r="J1157">
        <v>0.25415279408571001</v>
      </c>
      <c r="K1157">
        <v>0.63620540811495696</v>
      </c>
      <c r="L1157" t="s">
        <v>144</v>
      </c>
      <c r="M1157" t="s">
        <v>34</v>
      </c>
      <c r="N1157" t="s">
        <v>35</v>
      </c>
      <c r="O1157">
        <v>0.64774128104835205</v>
      </c>
      <c r="P1157" t="s">
        <v>36</v>
      </c>
    </row>
    <row r="1158" spans="1:16">
      <c r="A1158">
        <v>1157</v>
      </c>
      <c r="B1158" t="s">
        <v>1216</v>
      </c>
      <c r="C1158">
        <v>100</v>
      </c>
      <c r="D1158">
        <v>108</v>
      </c>
      <c r="E1158">
        <v>93.174656552366201</v>
      </c>
      <c r="F1158">
        <v>0.92913164389147496</v>
      </c>
      <c r="G1158">
        <v>6818.4472117202304</v>
      </c>
      <c r="H1158">
        <v>510.25766259141602</v>
      </c>
      <c r="I1158">
        <v>0.57163936203889198</v>
      </c>
      <c r="J1158">
        <v>0.32909120509796003</v>
      </c>
      <c r="K1158">
        <v>0.77355658977471997</v>
      </c>
      <c r="L1158" t="s">
        <v>33</v>
      </c>
      <c r="M1158" t="s">
        <v>34</v>
      </c>
      <c r="N1158" t="s">
        <v>35</v>
      </c>
      <c r="O1158">
        <v>0.74578728728295995</v>
      </c>
      <c r="P1158" t="s">
        <v>36</v>
      </c>
    </row>
    <row r="1159" spans="1:16">
      <c r="A1159">
        <v>1158</v>
      </c>
      <c r="B1159" t="s">
        <v>1217</v>
      </c>
      <c r="C1159">
        <v>106</v>
      </c>
      <c r="D1159">
        <v>152</v>
      </c>
      <c r="E1159">
        <v>93.271081778992695</v>
      </c>
      <c r="F1159">
        <v>0.69784177005504799</v>
      </c>
      <c r="G1159">
        <v>6832.5671568998096</v>
      </c>
      <c r="H1159">
        <v>746.73091405764899</v>
      </c>
      <c r="I1159">
        <v>0.61411003861378</v>
      </c>
      <c r="J1159">
        <v>0.15398042386267299</v>
      </c>
      <c r="K1159">
        <v>0.56375164023889202</v>
      </c>
      <c r="L1159" t="s">
        <v>211</v>
      </c>
      <c r="M1159" t="s">
        <v>34</v>
      </c>
      <c r="N1159" t="s">
        <v>35</v>
      </c>
      <c r="O1159">
        <v>0.65454826331649696</v>
      </c>
      <c r="P1159" t="s">
        <v>36</v>
      </c>
    </row>
    <row r="1160" spans="1:16">
      <c r="A1160">
        <v>1159</v>
      </c>
      <c r="B1160" t="s">
        <v>1218</v>
      </c>
      <c r="C1160">
        <v>119</v>
      </c>
      <c r="D1160">
        <v>98</v>
      </c>
      <c r="E1160">
        <v>93.303539418594994</v>
      </c>
      <c r="F1160">
        <v>1.20885042213641</v>
      </c>
      <c r="G1160">
        <v>6837.3233489602999</v>
      </c>
      <c r="H1160">
        <v>605.24999455286104</v>
      </c>
      <c r="I1160">
        <v>0.66820501795031395</v>
      </c>
      <c r="J1160">
        <v>0.23454511632545</v>
      </c>
      <c r="K1160">
        <v>0.72653473790609202</v>
      </c>
      <c r="L1160" t="s">
        <v>49</v>
      </c>
      <c r="M1160" t="s">
        <v>34</v>
      </c>
      <c r="N1160" t="s">
        <v>35</v>
      </c>
      <c r="O1160">
        <v>0.72727764162662201</v>
      </c>
      <c r="P1160" t="s">
        <v>36</v>
      </c>
    </row>
    <row r="1161" spans="1:16">
      <c r="A1161">
        <v>1160</v>
      </c>
      <c r="B1161" t="s">
        <v>1219</v>
      </c>
      <c r="C1161">
        <v>157</v>
      </c>
      <c r="D1161">
        <v>105</v>
      </c>
      <c r="E1161">
        <v>93.3623401294643</v>
      </c>
      <c r="F1161">
        <v>1.4887134683483401</v>
      </c>
      <c r="G1161">
        <v>6845.9439470699399</v>
      </c>
      <c r="H1161">
        <v>691.95788640416197</v>
      </c>
      <c r="I1161">
        <v>0.54801724729051804</v>
      </c>
      <c r="J1161">
        <v>0.17967343719837101</v>
      </c>
      <c r="K1161">
        <v>0.57716405192722198</v>
      </c>
      <c r="L1161" t="s">
        <v>38</v>
      </c>
      <c r="M1161" t="s">
        <v>34</v>
      </c>
      <c r="N1161" t="s">
        <v>35</v>
      </c>
      <c r="O1161">
        <v>0.73985527713847399</v>
      </c>
      <c r="P1161" t="s">
        <v>36</v>
      </c>
    </row>
    <row r="1162" spans="1:16">
      <c r="A1162">
        <v>1161</v>
      </c>
      <c r="B1162" t="s">
        <v>1220</v>
      </c>
      <c r="C1162">
        <v>122</v>
      </c>
      <c r="D1162">
        <v>357</v>
      </c>
      <c r="E1162">
        <v>93.373487811106003</v>
      </c>
      <c r="F1162">
        <v>0.34237177762536503</v>
      </c>
      <c r="G1162">
        <v>6847.5788880907403</v>
      </c>
      <c r="H1162">
        <v>1200.4762894973501</v>
      </c>
      <c r="I1162">
        <v>0.52665486212713897</v>
      </c>
      <c r="J1162">
        <v>5.9708991344849902E-2</v>
      </c>
      <c r="K1162">
        <v>0.22012049747012599</v>
      </c>
      <c r="L1162" t="s">
        <v>33</v>
      </c>
      <c r="M1162" t="s">
        <v>34</v>
      </c>
      <c r="N1162" t="s">
        <v>35</v>
      </c>
      <c r="O1162">
        <v>0.70214859869412105</v>
      </c>
      <c r="P1162" t="s">
        <v>36</v>
      </c>
    </row>
    <row r="1163" spans="1:16">
      <c r="A1163">
        <v>1162</v>
      </c>
      <c r="B1163" t="s">
        <v>1221</v>
      </c>
      <c r="C1163">
        <v>100</v>
      </c>
      <c r="D1163">
        <v>133</v>
      </c>
      <c r="E1163">
        <v>93.630528754154696</v>
      </c>
      <c r="F1163">
        <v>0.75409836065573799</v>
      </c>
      <c r="G1163">
        <v>6885.3311625708902</v>
      </c>
      <c r="H1163">
        <v>1012.71789010203</v>
      </c>
      <c r="I1163">
        <v>0.62560517381247205</v>
      </c>
      <c r="J1163">
        <v>8.4364110762785494E-2</v>
      </c>
      <c r="K1163">
        <v>0.61304025619987801</v>
      </c>
      <c r="L1163" t="s">
        <v>74</v>
      </c>
      <c r="M1163" t="s">
        <v>34</v>
      </c>
      <c r="N1163" t="s">
        <v>35</v>
      </c>
      <c r="O1163">
        <v>0.75438662719431604</v>
      </c>
      <c r="P1163" t="s">
        <v>36</v>
      </c>
    </row>
    <row r="1164" spans="1:16">
      <c r="A1164">
        <v>1163</v>
      </c>
      <c r="B1164" t="s">
        <v>1222</v>
      </c>
      <c r="C1164">
        <v>133</v>
      </c>
      <c r="D1164">
        <v>75</v>
      </c>
      <c r="E1164">
        <v>93.671953499534695</v>
      </c>
      <c r="F1164">
        <v>1.77469439122635</v>
      </c>
      <c r="G1164">
        <v>6891.4250336483901</v>
      </c>
      <c r="H1164">
        <v>402.54650539771399</v>
      </c>
      <c r="I1164">
        <v>0.57440031330738195</v>
      </c>
      <c r="J1164">
        <v>0.53442501564914502</v>
      </c>
      <c r="K1164">
        <v>0.88844178738407298</v>
      </c>
      <c r="L1164" t="s">
        <v>38</v>
      </c>
      <c r="M1164" t="s">
        <v>34</v>
      </c>
      <c r="N1164" t="s">
        <v>35</v>
      </c>
      <c r="O1164">
        <v>0.70870511359321597</v>
      </c>
      <c r="P1164" t="s">
        <v>36</v>
      </c>
    </row>
    <row r="1165" spans="1:16">
      <c r="A1165">
        <v>1164</v>
      </c>
      <c r="B1165" t="s">
        <v>1223</v>
      </c>
      <c r="C1165">
        <v>158</v>
      </c>
      <c r="D1165">
        <v>103</v>
      </c>
      <c r="E1165">
        <v>93.963429384054095</v>
      </c>
      <c r="F1165">
        <v>1.5326469828429099</v>
      </c>
      <c r="G1165">
        <v>6934.3793931947102</v>
      </c>
      <c r="H1165">
        <v>1119.7066209022901</v>
      </c>
      <c r="I1165">
        <v>0.72839002499719097</v>
      </c>
      <c r="J1165">
        <v>6.9503867388896898E-2</v>
      </c>
      <c r="K1165">
        <v>0.60661023780733603</v>
      </c>
      <c r="L1165" t="s">
        <v>144</v>
      </c>
      <c r="M1165" t="s">
        <v>34</v>
      </c>
      <c r="N1165" t="s">
        <v>35</v>
      </c>
      <c r="O1165">
        <v>0.98720041065152697</v>
      </c>
      <c r="P1165" t="s">
        <v>36</v>
      </c>
    </row>
    <row r="1166" spans="1:16">
      <c r="A1166">
        <v>1165</v>
      </c>
      <c r="B1166" t="s">
        <v>1224</v>
      </c>
      <c r="C1166">
        <v>132</v>
      </c>
      <c r="D1166">
        <v>76</v>
      </c>
      <c r="E1166">
        <v>93.985580834158199</v>
      </c>
      <c r="F1166">
        <v>1.7320144406947899</v>
      </c>
      <c r="G1166">
        <v>6937.6492752363001</v>
      </c>
      <c r="H1166">
        <v>431.48177447785503</v>
      </c>
      <c r="I1166">
        <v>0.72590209603191702</v>
      </c>
      <c r="J1166">
        <v>0.46827103216843702</v>
      </c>
      <c r="K1166">
        <v>0.83298236847740703</v>
      </c>
      <c r="L1166" t="s">
        <v>72</v>
      </c>
      <c r="M1166" t="s">
        <v>34</v>
      </c>
      <c r="N1166" t="s">
        <v>35</v>
      </c>
      <c r="O1166">
        <v>0.91347092633105298</v>
      </c>
      <c r="P1166" t="s">
        <v>36</v>
      </c>
    </row>
    <row r="1167" spans="1:16">
      <c r="A1167">
        <v>1166</v>
      </c>
      <c r="B1167" t="s">
        <v>1225</v>
      </c>
      <c r="C1167">
        <v>143</v>
      </c>
      <c r="D1167">
        <v>85</v>
      </c>
      <c r="E1167">
        <v>93.986587594205602</v>
      </c>
      <c r="F1167">
        <v>1.69059979420127</v>
      </c>
      <c r="G1167">
        <v>6937.7979062381901</v>
      </c>
      <c r="H1167">
        <v>621.82798186944899</v>
      </c>
      <c r="I1167">
        <v>0.62023981107228698</v>
      </c>
      <c r="J1167">
        <v>0.225471153531073</v>
      </c>
      <c r="K1167">
        <v>0.664890889408011</v>
      </c>
      <c r="L1167" t="s">
        <v>211</v>
      </c>
      <c r="M1167" t="s">
        <v>34</v>
      </c>
      <c r="N1167" t="s">
        <v>35</v>
      </c>
      <c r="O1167">
        <v>0.74901885277436098</v>
      </c>
      <c r="P1167" t="s">
        <v>36</v>
      </c>
    </row>
    <row r="1168" spans="1:16">
      <c r="A1168">
        <v>1167</v>
      </c>
      <c r="B1168" t="s">
        <v>1226</v>
      </c>
      <c r="C1168">
        <v>147</v>
      </c>
      <c r="D1168">
        <v>142</v>
      </c>
      <c r="E1168">
        <v>93.989607809644696</v>
      </c>
      <c r="F1168">
        <v>1.0346153846153801</v>
      </c>
      <c r="G1168">
        <v>6938.2437992438599</v>
      </c>
      <c r="H1168">
        <v>1087.05454440314</v>
      </c>
      <c r="I1168">
        <v>0.54033140430958604</v>
      </c>
      <c r="J1168">
        <v>7.37830745492523E-2</v>
      </c>
      <c r="K1168">
        <v>0.45321359223301</v>
      </c>
      <c r="L1168" t="s">
        <v>33</v>
      </c>
      <c r="M1168" t="s">
        <v>34</v>
      </c>
      <c r="N1168" t="s">
        <v>35</v>
      </c>
      <c r="O1168">
        <v>0.70198329174608698</v>
      </c>
      <c r="P1168" t="s">
        <v>36</v>
      </c>
    </row>
    <row r="1169" spans="1:16">
      <c r="A1169">
        <v>1168</v>
      </c>
      <c r="B1169" t="s">
        <v>1227</v>
      </c>
      <c r="C1169">
        <v>110</v>
      </c>
      <c r="D1169">
        <v>133</v>
      </c>
      <c r="E1169">
        <v>94.082180672938307</v>
      </c>
      <c r="F1169">
        <v>0.82786885245901598</v>
      </c>
      <c r="G1169">
        <v>6951.9178514177702</v>
      </c>
      <c r="H1169">
        <v>739.88221963809895</v>
      </c>
      <c r="I1169">
        <v>0.59696359548003797</v>
      </c>
      <c r="J1169">
        <v>0.159583988057552</v>
      </c>
      <c r="K1169">
        <v>0.638155919993451</v>
      </c>
      <c r="L1169" t="s">
        <v>74</v>
      </c>
      <c r="M1169" t="s">
        <v>34</v>
      </c>
      <c r="N1169" t="s">
        <v>35</v>
      </c>
      <c r="O1169">
        <v>0.66279101684511199</v>
      </c>
      <c r="P1169" t="s">
        <v>36</v>
      </c>
    </row>
    <row r="1170" spans="1:16">
      <c r="A1170">
        <v>1169</v>
      </c>
      <c r="B1170" t="s">
        <v>1228</v>
      </c>
      <c r="C1170">
        <v>147</v>
      </c>
      <c r="D1170">
        <v>152</v>
      </c>
      <c r="E1170">
        <v>94.088214869825705</v>
      </c>
      <c r="F1170">
        <v>0.96762589928057596</v>
      </c>
      <c r="G1170">
        <v>6952.8096374291099</v>
      </c>
      <c r="H1170">
        <v>1163.8366520351899</v>
      </c>
      <c r="I1170">
        <v>0.58593996628555001</v>
      </c>
      <c r="J1170">
        <v>6.4503925145197094E-2</v>
      </c>
      <c r="K1170">
        <v>0.39216491734012898</v>
      </c>
      <c r="L1170" t="s">
        <v>74</v>
      </c>
      <c r="M1170" t="s">
        <v>34</v>
      </c>
      <c r="N1170" t="s">
        <v>35</v>
      </c>
      <c r="O1170">
        <v>0.78073800321733</v>
      </c>
      <c r="P1170" t="s">
        <v>36</v>
      </c>
    </row>
    <row r="1171" spans="1:16">
      <c r="A1171">
        <v>1170</v>
      </c>
      <c r="B1171" t="s">
        <v>1229</v>
      </c>
      <c r="C1171">
        <v>70</v>
      </c>
      <c r="D1171">
        <v>206</v>
      </c>
      <c r="E1171">
        <v>94.162604837110607</v>
      </c>
      <c r="F1171">
        <v>0.34217959729831399</v>
      </c>
      <c r="G1171">
        <v>6963.8083315690001</v>
      </c>
      <c r="H1171">
        <v>819.31016492750302</v>
      </c>
      <c r="I1171">
        <v>0.70431971813514804</v>
      </c>
      <c r="J1171">
        <v>0.13036469329363501</v>
      </c>
      <c r="K1171">
        <v>0.60765978418759103</v>
      </c>
      <c r="L1171" t="s">
        <v>33</v>
      </c>
      <c r="M1171" t="s">
        <v>34</v>
      </c>
      <c r="N1171" t="s">
        <v>35</v>
      </c>
      <c r="O1171">
        <v>0.73293761313758798</v>
      </c>
      <c r="P1171" t="s">
        <v>36</v>
      </c>
    </row>
    <row r="1172" spans="1:16">
      <c r="A1172">
        <v>1171</v>
      </c>
      <c r="B1172" t="s">
        <v>1230</v>
      </c>
      <c r="C1172">
        <v>165</v>
      </c>
      <c r="D1172">
        <v>123</v>
      </c>
      <c r="E1172">
        <v>94.210826381210097</v>
      </c>
      <c r="F1172">
        <v>1.34025825635642</v>
      </c>
      <c r="G1172">
        <v>6970.9426196597396</v>
      </c>
      <c r="H1172">
        <v>866.65053342912495</v>
      </c>
      <c r="I1172">
        <v>0.67657735381342898</v>
      </c>
      <c r="J1172">
        <v>0.116630826865339</v>
      </c>
      <c r="K1172">
        <v>0.50010663027020097</v>
      </c>
      <c r="L1172" t="s">
        <v>38</v>
      </c>
      <c r="M1172" t="s">
        <v>34</v>
      </c>
      <c r="N1172" t="s">
        <v>35</v>
      </c>
      <c r="O1172">
        <v>0.82384618995457604</v>
      </c>
      <c r="P1172" t="s">
        <v>36</v>
      </c>
    </row>
    <row r="1173" spans="1:16">
      <c r="A1173">
        <v>1172</v>
      </c>
      <c r="B1173" t="s">
        <v>1231</v>
      </c>
      <c r="C1173">
        <v>166</v>
      </c>
      <c r="D1173">
        <v>124</v>
      </c>
      <c r="E1173">
        <v>94.259023255872805</v>
      </c>
      <c r="F1173">
        <v>1.3436123348017599</v>
      </c>
      <c r="G1173">
        <v>6978.0769077504701</v>
      </c>
      <c r="H1173">
        <v>1586.7084356580599</v>
      </c>
      <c r="I1173">
        <v>0.70983548505188199</v>
      </c>
      <c r="J1173">
        <v>3.4829829971117499E-2</v>
      </c>
      <c r="K1173">
        <v>0.39636802647575298</v>
      </c>
      <c r="L1173" t="s">
        <v>49</v>
      </c>
      <c r="M1173" t="s">
        <v>34</v>
      </c>
      <c r="N1173" t="s">
        <v>35</v>
      </c>
      <c r="O1173">
        <v>0.68652057810161804</v>
      </c>
      <c r="P1173" t="s">
        <v>36</v>
      </c>
    </row>
    <row r="1174" spans="1:16">
      <c r="A1174">
        <v>1173</v>
      </c>
      <c r="B1174" t="s">
        <v>1232</v>
      </c>
      <c r="C1174">
        <v>119</v>
      </c>
      <c r="D1174">
        <v>106</v>
      </c>
      <c r="E1174">
        <v>94.266049907882703</v>
      </c>
      <c r="F1174">
        <v>1.12307692307692</v>
      </c>
      <c r="G1174">
        <v>6979.1173247637098</v>
      </c>
      <c r="H1174">
        <v>590.26957261313601</v>
      </c>
      <c r="I1174">
        <v>0.54203118865796596</v>
      </c>
      <c r="J1174">
        <v>0.25171527443209202</v>
      </c>
      <c r="K1174">
        <v>0.67304026258833005</v>
      </c>
      <c r="L1174" t="s">
        <v>33</v>
      </c>
      <c r="M1174" t="s">
        <v>34</v>
      </c>
      <c r="N1174" t="s">
        <v>35</v>
      </c>
      <c r="O1174">
        <v>0.68724100116101094</v>
      </c>
      <c r="P1174" t="s">
        <v>36</v>
      </c>
    </row>
    <row r="1175" spans="1:16">
      <c r="A1175">
        <v>1174</v>
      </c>
      <c r="B1175" t="s">
        <v>1233</v>
      </c>
      <c r="C1175">
        <v>108</v>
      </c>
      <c r="D1175">
        <v>150</v>
      </c>
      <c r="E1175">
        <v>94.283112453988807</v>
      </c>
      <c r="F1175">
        <v>0.72516713000968702</v>
      </c>
      <c r="G1175">
        <v>6981.6440517958399</v>
      </c>
      <c r="H1175">
        <v>763.31051760435105</v>
      </c>
      <c r="I1175">
        <v>0.610841709732317</v>
      </c>
      <c r="J1175">
        <v>0.15057923074799201</v>
      </c>
      <c r="K1175">
        <v>0.57721988743886599</v>
      </c>
      <c r="L1175" t="s">
        <v>33</v>
      </c>
      <c r="M1175" t="s">
        <v>34</v>
      </c>
      <c r="N1175" t="s">
        <v>35</v>
      </c>
      <c r="O1175">
        <v>0.75723955063883597</v>
      </c>
      <c r="P1175" t="s">
        <v>36</v>
      </c>
    </row>
    <row r="1176" spans="1:16">
      <c r="A1176">
        <v>1175</v>
      </c>
      <c r="B1176" t="s">
        <v>1234</v>
      </c>
      <c r="C1176">
        <v>117</v>
      </c>
      <c r="D1176">
        <v>152</v>
      </c>
      <c r="E1176">
        <v>94.337290659352902</v>
      </c>
      <c r="F1176">
        <v>0.76702514802122401</v>
      </c>
      <c r="G1176">
        <v>6989.6701258979201</v>
      </c>
      <c r="H1176">
        <v>689.03806274258602</v>
      </c>
      <c r="I1176">
        <v>0.61410679443702698</v>
      </c>
      <c r="J1176">
        <v>0.18500357364370501</v>
      </c>
      <c r="K1176">
        <v>0.48111923883574598</v>
      </c>
      <c r="L1176" t="s">
        <v>43</v>
      </c>
      <c r="M1176" t="s">
        <v>34</v>
      </c>
      <c r="N1176" t="s">
        <v>35</v>
      </c>
      <c r="O1176">
        <v>0.68660126886742101</v>
      </c>
      <c r="P1176" t="s">
        <v>36</v>
      </c>
    </row>
    <row r="1177" spans="1:16">
      <c r="A1177">
        <v>1176</v>
      </c>
      <c r="B1177" t="s">
        <v>1235</v>
      </c>
      <c r="C1177">
        <v>107</v>
      </c>
      <c r="D1177">
        <v>132</v>
      </c>
      <c r="E1177">
        <v>94.396449817929494</v>
      </c>
      <c r="F1177">
        <v>0.81404958677685901</v>
      </c>
      <c r="G1177">
        <v>6998.4393550094501</v>
      </c>
      <c r="H1177">
        <v>1225.43729285717</v>
      </c>
      <c r="I1177">
        <v>0.58252075440888296</v>
      </c>
      <c r="J1177">
        <v>5.85637505434706E-2</v>
      </c>
      <c r="K1177">
        <v>0.57959846871576504</v>
      </c>
      <c r="L1177" t="s">
        <v>33</v>
      </c>
      <c r="M1177" t="s">
        <v>34</v>
      </c>
      <c r="N1177" t="s">
        <v>35</v>
      </c>
      <c r="O1177">
        <v>0.71101612929340496</v>
      </c>
      <c r="P1177" t="s">
        <v>36</v>
      </c>
    </row>
    <row r="1178" spans="1:16">
      <c r="A1178">
        <v>1177</v>
      </c>
      <c r="B1178" t="s">
        <v>1236</v>
      </c>
      <c r="C1178">
        <v>110</v>
      </c>
      <c r="D1178">
        <v>224</v>
      </c>
      <c r="E1178">
        <v>94.457575414833101</v>
      </c>
      <c r="F1178">
        <v>0.48927203050928603</v>
      </c>
      <c r="G1178">
        <v>7007.50584612476</v>
      </c>
      <c r="H1178">
        <v>965.022147909973</v>
      </c>
      <c r="I1178">
        <v>0.63794214408234795</v>
      </c>
      <c r="J1178">
        <v>9.4558107404676905E-2</v>
      </c>
      <c r="K1178">
        <v>0.40965331479711498</v>
      </c>
      <c r="L1178" t="s">
        <v>43</v>
      </c>
      <c r="M1178" t="s">
        <v>34</v>
      </c>
      <c r="N1178" t="s">
        <v>35</v>
      </c>
      <c r="O1178">
        <v>0.73316640189875504</v>
      </c>
      <c r="P1178" t="s">
        <v>36</v>
      </c>
    </row>
    <row r="1179" spans="1:16">
      <c r="A1179">
        <v>1178</v>
      </c>
      <c r="B1179" t="s">
        <v>1237</v>
      </c>
      <c r="C1179">
        <v>111</v>
      </c>
      <c r="D1179">
        <v>163</v>
      </c>
      <c r="E1179">
        <v>94.643714672007903</v>
      </c>
      <c r="F1179">
        <v>0.68031590383853102</v>
      </c>
      <c r="G1179">
        <v>7035.1512124763703</v>
      </c>
      <c r="H1179">
        <v>728.37120959852098</v>
      </c>
      <c r="I1179">
        <v>0.58954533602777304</v>
      </c>
      <c r="J1179">
        <v>0.166639425019219</v>
      </c>
      <c r="K1179">
        <v>0.57392812105926905</v>
      </c>
      <c r="L1179" t="s">
        <v>47</v>
      </c>
      <c r="M1179" t="s">
        <v>34</v>
      </c>
      <c r="N1179" t="s">
        <v>35</v>
      </c>
      <c r="O1179">
        <v>0.95458584675890701</v>
      </c>
      <c r="P1179" t="s">
        <v>36</v>
      </c>
    </row>
    <row r="1180" spans="1:16">
      <c r="A1180">
        <v>1179</v>
      </c>
      <c r="B1180" t="s">
        <v>1238</v>
      </c>
      <c r="C1180">
        <v>215</v>
      </c>
      <c r="D1180">
        <v>74</v>
      </c>
      <c r="E1180">
        <v>94.666706464879198</v>
      </c>
      <c r="F1180">
        <v>2.8850112877418099</v>
      </c>
      <c r="G1180">
        <v>7038.5697255198502</v>
      </c>
      <c r="H1180">
        <v>1007.83638567862</v>
      </c>
      <c r="I1180">
        <v>0.762749509621924</v>
      </c>
      <c r="J1180">
        <v>8.7079156615525996E-2</v>
      </c>
      <c r="K1180">
        <v>0.58736124031007797</v>
      </c>
      <c r="L1180" t="s">
        <v>47</v>
      </c>
      <c r="M1180" t="s">
        <v>34</v>
      </c>
      <c r="N1180" t="s">
        <v>35</v>
      </c>
      <c r="O1180">
        <v>0.95858931572433004</v>
      </c>
      <c r="P1180" t="s">
        <v>36</v>
      </c>
    </row>
    <row r="1181" spans="1:16">
      <c r="A1181">
        <v>1180</v>
      </c>
      <c r="B1181" t="s">
        <v>1239</v>
      </c>
      <c r="C1181">
        <v>155</v>
      </c>
      <c r="D1181">
        <v>70</v>
      </c>
      <c r="E1181">
        <v>95.006932017080302</v>
      </c>
      <c r="F1181">
        <v>2.2067273615759002</v>
      </c>
      <c r="G1181">
        <v>7089.2528971644597</v>
      </c>
      <c r="H1181">
        <v>418.50615148824198</v>
      </c>
      <c r="I1181">
        <v>0.58663650626992603</v>
      </c>
      <c r="J1181">
        <v>0.50863546862820497</v>
      </c>
      <c r="K1181">
        <v>0.87331551193789403</v>
      </c>
      <c r="L1181" t="s">
        <v>49</v>
      </c>
      <c r="M1181" t="s">
        <v>34</v>
      </c>
      <c r="N1181" t="s">
        <v>35</v>
      </c>
      <c r="O1181">
        <v>0.74851935122689595</v>
      </c>
      <c r="P1181" t="s">
        <v>36</v>
      </c>
    </row>
    <row r="1182" spans="1:16">
      <c r="A1182">
        <v>1181</v>
      </c>
      <c r="B1182" t="s">
        <v>1240</v>
      </c>
      <c r="C1182">
        <v>113</v>
      </c>
      <c r="D1182">
        <v>137</v>
      </c>
      <c r="E1182">
        <v>95.064679128005196</v>
      </c>
      <c r="F1182">
        <v>0.82500926885299297</v>
      </c>
      <c r="G1182">
        <v>7097.8734952740997</v>
      </c>
      <c r="H1182">
        <v>772.56316339669002</v>
      </c>
      <c r="I1182">
        <v>0.76649008953837705</v>
      </c>
      <c r="J1182">
        <v>0.14944112397874401</v>
      </c>
      <c r="K1182">
        <v>0.63941033125351499</v>
      </c>
      <c r="L1182" t="s">
        <v>43</v>
      </c>
      <c r="M1182" t="s">
        <v>34</v>
      </c>
      <c r="N1182" t="s">
        <v>35</v>
      </c>
      <c r="O1182">
        <v>0.79466051783936198</v>
      </c>
      <c r="P1182" t="s">
        <v>36</v>
      </c>
    </row>
    <row r="1183" spans="1:16">
      <c r="A1183">
        <v>1182</v>
      </c>
      <c r="B1183" t="s">
        <v>1241</v>
      </c>
      <c r="C1183">
        <v>156</v>
      </c>
      <c r="D1183">
        <v>137</v>
      </c>
      <c r="E1183">
        <v>95.089559308265194</v>
      </c>
      <c r="F1183">
        <v>1.1434262948207199</v>
      </c>
      <c r="G1183">
        <v>7101.5892703213603</v>
      </c>
      <c r="H1183">
        <v>1536.7449269802701</v>
      </c>
      <c r="I1183">
        <v>0.59824495700493296</v>
      </c>
      <c r="J1183">
        <v>3.7788690152087599E-2</v>
      </c>
      <c r="K1183">
        <v>0.40298230521397399</v>
      </c>
      <c r="L1183" t="s">
        <v>873</v>
      </c>
      <c r="M1183" t="s">
        <v>34</v>
      </c>
      <c r="N1183" t="s">
        <v>35</v>
      </c>
      <c r="O1183">
        <v>0.70492121113769501</v>
      </c>
      <c r="P1183" t="s">
        <v>36</v>
      </c>
    </row>
    <row r="1184" spans="1:16">
      <c r="A1184">
        <v>1183</v>
      </c>
      <c r="B1184" t="s">
        <v>1242</v>
      </c>
      <c r="C1184">
        <v>142</v>
      </c>
      <c r="D1184">
        <v>161</v>
      </c>
      <c r="E1184">
        <v>95.180068241914498</v>
      </c>
      <c r="F1184">
        <v>0.87837837837837796</v>
      </c>
      <c r="G1184">
        <v>7115.1146914933797</v>
      </c>
      <c r="H1184">
        <v>1346.99208655948</v>
      </c>
      <c r="I1184">
        <v>0.57299040146295899</v>
      </c>
      <c r="J1184">
        <v>4.9278976649129599E-2</v>
      </c>
      <c r="K1184">
        <v>0.390687994776789</v>
      </c>
      <c r="L1184" t="s">
        <v>38</v>
      </c>
      <c r="M1184" t="s">
        <v>34</v>
      </c>
      <c r="N1184" t="s">
        <v>35</v>
      </c>
      <c r="O1184">
        <v>0.87914078445793897</v>
      </c>
      <c r="P1184" t="s">
        <v>36</v>
      </c>
    </row>
    <row r="1185" spans="1:16">
      <c r="A1185">
        <v>1184</v>
      </c>
      <c r="B1185" t="s">
        <v>1243</v>
      </c>
      <c r="C1185">
        <v>147</v>
      </c>
      <c r="D1185">
        <v>142</v>
      </c>
      <c r="E1185">
        <v>95.249631975027299</v>
      </c>
      <c r="F1185">
        <v>1.03846154749041</v>
      </c>
      <c r="G1185">
        <v>7125.5188616257101</v>
      </c>
      <c r="H1185">
        <v>1221.88877004489</v>
      </c>
      <c r="I1185">
        <v>0.58652547656971699</v>
      </c>
      <c r="J1185">
        <v>5.9973999443683298E-2</v>
      </c>
      <c r="K1185">
        <v>0.44425602105399697</v>
      </c>
      <c r="L1185" t="s">
        <v>74</v>
      </c>
      <c r="M1185" t="s">
        <v>34</v>
      </c>
      <c r="N1185" t="s">
        <v>35</v>
      </c>
      <c r="O1185">
        <v>0.70771180612947304</v>
      </c>
      <c r="P1185" t="s">
        <v>36</v>
      </c>
    </row>
    <row r="1186" spans="1:16">
      <c r="A1186">
        <v>1185</v>
      </c>
      <c r="B1186" t="s">
        <v>1244</v>
      </c>
      <c r="C1186">
        <v>137</v>
      </c>
      <c r="D1186">
        <v>152</v>
      </c>
      <c r="E1186">
        <v>95.2943247024252</v>
      </c>
      <c r="F1186">
        <v>0.902877697841727</v>
      </c>
      <c r="G1186">
        <v>7132.2072567107798</v>
      </c>
      <c r="H1186">
        <v>1144.48281195247</v>
      </c>
      <c r="I1186">
        <v>0.56585277255956601</v>
      </c>
      <c r="J1186">
        <v>6.8425073012471499E-2</v>
      </c>
      <c r="K1186">
        <v>0.39888611803823798</v>
      </c>
      <c r="L1186" t="s">
        <v>41</v>
      </c>
      <c r="M1186" t="s">
        <v>34</v>
      </c>
      <c r="N1186" t="s">
        <v>35</v>
      </c>
      <c r="O1186">
        <v>0.69165286171708296</v>
      </c>
      <c r="P1186" t="s">
        <v>36</v>
      </c>
    </row>
    <row r="1187" spans="1:16">
      <c r="A1187">
        <v>1186</v>
      </c>
      <c r="B1187" t="s">
        <v>1245</v>
      </c>
      <c r="C1187">
        <v>166</v>
      </c>
      <c r="D1187">
        <v>89</v>
      </c>
      <c r="E1187">
        <v>95.623412159675397</v>
      </c>
      <c r="F1187">
        <v>1.8597560975609799</v>
      </c>
      <c r="G1187">
        <v>7181.5527493383797</v>
      </c>
      <c r="H1187">
        <v>808.66650786296202</v>
      </c>
      <c r="I1187">
        <v>0.89112914376865604</v>
      </c>
      <c r="J1187">
        <v>0.138003247301277</v>
      </c>
      <c r="K1187">
        <v>0.776854189108799</v>
      </c>
      <c r="L1187" t="s">
        <v>33</v>
      </c>
      <c r="M1187" t="s">
        <v>34</v>
      </c>
      <c r="N1187" t="s">
        <v>35</v>
      </c>
      <c r="O1187">
        <v>0.78271240250392204</v>
      </c>
      <c r="P1187" t="s">
        <v>36</v>
      </c>
    </row>
    <row r="1188" spans="1:16">
      <c r="A1188">
        <v>1187</v>
      </c>
      <c r="B1188" t="s">
        <v>1246</v>
      </c>
      <c r="C1188">
        <v>157</v>
      </c>
      <c r="D1188">
        <v>98</v>
      </c>
      <c r="E1188">
        <v>95.688698300400404</v>
      </c>
      <c r="F1188">
        <v>1.6088975550076801</v>
      </c>
      <c r="G1188">
        <v>7191.3623954631403</v>
      </c>
      <c r="H1188">
        <v>659.74741997200499</v>
      </c>
      <c r="I1188">
        <v>0.62487801681932398</v>
      </c>
      <c r="J1188">
        <v>0.207618303376675</v>
      </c>
      <c r="K1188">
        <v>0.61587026806853196</v>
      </c>
      <c r="L1188" t="s">
        <v>38</v>
      </c>
      <c r="M1188" t="s">
        <v>34</v>
      </c>
      <c r="N1188" t="s">
        <v>35</v>
      </c>
      <c r="O1188">
        <v>0.85855813335250897</v>
      </c>
      <c r="P1188" t="s">
        <v>36</v>
      </c>
    </row>
    <row r="1189" spans="1:16">
      <c r="A1189">
        <v>1188</v>
      </c>
      <c r="B1189" t="s">
        <v>1247</v>
      </c>
      <c r="C1189">
        <v>166</v>
      </c>
      <c r="D1189">
        <v>107</v>
      </c>
      <c r="E1189">
        <v>95.878368849848997</v>
      </c>
      <c r="F1189">
        <v>1.55612244897959</v>
      </c>
      <c r="G1189">
        <v>7219.8995478260904</v>
      </c>
      <c r="H1189">
        <v>877.45468909201395</v>
      </c>
      <c r="I1189">
        <v>0.65628731360178005</v>
      </c>
      <c r="J1189">
        <v>0.11783969800649</v>
      </c>
      <c r="K1189">
        <v>0.63455735392091595</v>
      </c>
      <c r="L1189" t="s">
        <v>38</v>
      </c>
      <c r="M1189" t="s">
        <v>34</v>
      </c>
      <c r="N1189" t="s">
        <v>35</v>
      </c>
      <c r="O1189">
        <v>0.74787993006901299</v>
      </c>
      <c r="P1189" t="s">
        <v>36</v>
      </c>
    </row>
    <row r="1190" spans="1:16">
      <c r="A1190">
        <v>1189</v>
      </c>
      <c r="B1190" t="s">
        <v>1248</v>
      </c>
      <c r="C1190">
        <v>101</v>
      </c>
      <c r="D1190">
        <v>153</v>
      </c>
      <c r="E1190">
        <v>95.912229203118599</v>
      </c>
      <c r="F1190">
        <v>0.66189106498588601</v>
      </c>
      <c r="G1190">
        <v>7225</v>
      </c>
      <c r="H1190">
        <v>797.69551992416405</v>
      </c>
      <c r="I1190">
        <v>0.69011406887044602</v>
      </c>
      <c r="J1190">
        <v>0.142683386852724</v>
      </c>
      <c r="K1190">
        <v>0.61228813559322004</v>
      </c>
      <c r="L1190" t="s">
        <v>33</v>
      </c>
      <c r="M1190" t="s">
        <v>34</v>
      </c>
      <c r="N1190" t="s">
        <v>35</v>
      </c>
      <c r="O1190">
        <v>0.70909437689122001</v>
      </c>
      <c r="P1190" t="s">
        <v>36</v>
      </c>
    </row>
    <row r="1191" spans="1:16">
      <c r="A1191">
        <v>1190</v>
      </c>
      <c r="B1191" t="s">
        <v>1249</v>
      </c>
      <c r="C1191">
        <v>191</v>
      </c>
      <c r="D1191">
        <v>90</v>
      </c>
      <c r="E1191">
        <v>96.135602157389002</v>
      </c>
      <c r="F1191">
        <v>2.1212121212121202</v>
      </c>
      <c r="G1191">
        <v>7258.69223931947</v>
      </c>
      <c r="H1191">
        <v>976.98483079899904</v>
      </c>
      <c r="I1191">
        <v>0.77369076029237105</v>
      </c>
      <c r="J1191">
        <v>9.5563622894416694E-2</v>
      </c>
      <c r="K1191">
        <v>0.49187708360611199</v>
      </c>
      <c r="L1191" t="s">
        <v>144</v>
      </c>
      <c r="M1191" t="s">
        <v>34</v>
      </c>
      <c r="N1191" t="s">
        <v>35</v>
      </c>
      <c r="O1191">
        <v>0.74897523193926097</v>
      </c>
      <c r="P1191" t="s">
        <v>36</v>
      </c>
    </row>
    <row r="1192" spans="1:16">
      <c r="A1192">
        <v>1191</v>
      </c>
      <c r="B1192" t="s">
        <v>1250</v>
      </c>
      <c r="C1192">
        <v>172</v>
      </c>
      <c r="D1192">
        <v>97</v>
      </c>
      <c r="E1192">
        <v>96.1641411617138</v>
      </c>
      <c r="F1192">
        <v>1.7752808988763999</v>
      </c>
      <c r="G1192">
        <v>7263.0025383742905</v>
      </c>
      <c r="H1192">
        <v>992.52262698567404</v>
      </c>
      <c r="I1192">
        <v>0.64410867670776994</v>
      </c>
      <c r="J1192">
        <v>9.2649958101476498E-2</v>
      </c>
      <c r="K1192">
        <v>0.589172896069448</v>
      </c>
      <c r="L1192" t="s">
        <v>33</v>
      </c>
      <c r="M1192" t="s">
        <v>34</v>
      </c>
      <c r="N1192" t="s">
        <v>35</v>
      </c>
      <c r="O1192">
        <v>0.66449276141909397</v>
      </c>
      <c r="P1192" t="s">
        <v>36</v>
      </c>
    </row>
    <row r="1193" spans="1:16">
      <c r="A1193">
        <v>1192</v>
      </c>
      <c r="B1193" t="s">
        <v>1251</v>
      </c>
      <c r="C1193">
        <v>146</v>
      </c>
      <c r="D1193">
        <v>90</v>
      </c>
      <c r="E1193">
        <v>96.194639010261994</v>
      </c>
      <c r="F1193">
        <v>1.6124624144823301</v>
      </c>
      <c r="G1193">
        <v>7267.6100994328899</v>
      </c>
      <c r="H1193">
        <v>550.05577753948103</v>
      </c>
      <c r="I1193">
        <v>0.61248344850871494</v>
      </c>
      <c r="J1193">
        <v>0.30184780525746102</v>
      </c>
      <c r="K1193">
        <v>0.74859916102758794</v>
      </c>
      <c r="L1193" t="s">
        <v>38</v>
      </c>
      <c r="M1193" t="s">
        <v>34</v>
      </c>
      <c r="N1193" t="s">
        <v>35</v>
      </c>
      <c r="O1193">
        <v>0.80422036029571997</v>
      </c>
      <c r="P1193" t="s">
        <v>36</v>
      </c>
    </row>
    <row r="1194" spans="1:16">
      <c r="A1194">
        <v>1193</v>
      </c>
      <c r="B1194" t="s">
        <v>1252</v>
      </c>
      <c r="C1194">
        <v>147</v>
      </c>
      <c r="D1194">
        <v>137</v>
      </c>
      <c r="E1194">
        <v>96.476532264428897</v>
      </c>
      <c r="F1194">
        <v>1.0717131474103601</v>
      </c>
      <c r="G1194">
        <v>7310.2671969754301</v>
      </c>
      <c r="H1194">
        <v>1231.8991744105699</v>
      </c>
      <c r="I1194">
        <v>0.70871156273077096</v>
      </c>
      <c r="J1194">
        <v>6.0533082071970001E-2</v>
      </c>
      <c r="K1194">
        <v>0.45641744230287401</v>
      </c>
      <c r="L1194" t="s">
        <v>58</v>
      </c>
      <c r="M1194" t="s">
        <v>34</v>
      </c>
      <c r="N1194" t="s">
        <v>35</v>
      </c>
      <c r="O1194">
        <v>0.66353510027238505</v>
      </c>
      <c r="P1194" t="s">
        <v>36</v>
      </c>
    </row>
    <row r="1195" spans="1:16">
      <c r="A1195">
        <v>1194</v>
      </c>
      <c r="B1195" t="s">
        <v>1253</v>
      </c>
      <c r="C1195">
        <v>125</v>
      </c>
      <c r="D1195">
        <v>125</v>
      </c>
      <c r="E1195">
        <v>96.528499158724898</v>
      </c>
      <c r="F1195">
        <v>0.99565217333615197</v>
      </c>
      <c r="G1195">
        <v>7318.1446400756104</v>
      </c>
      <c r="H1195">
        <v>722.57695723772099</v>
      </c>
      <c r="I1195">
        <v>0.52575693038419502</v>
      </c>
      <c r="J1195">
        <v>0.17613377248435699</v>
      </c>
      <c r="K1195">
        <v>0.63147027137946998</v>
      </c>
      <c r="L1195" t="s">
        <v>38</v>
      </c>
      <c r="M1195" t="s">
        <v>34</v>
      </c>
      <c r="N1195" t="s">
        <v>35</v>
      </c>
      <c r="O1195">
        <v>0.78205946872496201</v>
      </c>
      <c r="P1195" t="s">
        <v>36</v>
      </c>
    </row>
    <row r="1196" spans="1:16">
      <c r="A1196">
        <v>1195</v>
      </c>
      <c r="B1196" t="s">
        <v>1254</v>
      </c>
      <c r="C1196">
        <v>124</v>
      </c>
      <c r="D1196">
        <v>112</v>
      </c>
      <c r="E1196">
        <v>96.673466341466494</v>
      </c>
      <c r="F1196">
        <v>1.1067817897414001</v>
      </c>
      <c r="G1196">
        <v>7340.1420283553898</v>
      </c>
      <c r="H1196">
        <v>633.05171066211597</v>
      </c>
      <c r="I1196">
        <v>0.66123460154297597</v>
      </c>
      <c r="J1196">
        <v>0.23016323552174101</v>
      </c>
      <c r="K1196">
        <v>0.66479552001723097</v>
      </c>
      <c r="L1196" t="s">
        <v>49</v>
      </c>
      <c r="M1196" t="s">
        <v>34</v>
      </c>
      <c r="N1196" t="s">
        <v>35</v>
      </c>
      <c r="O1196">
        <v>0.78791157980438098</v>
      </c>
      <c r="P1196" t="s">
        <v>36</v>
      </c>
    </row>
    <row r="1197" spans="1:16">
      <c r="A1197">
        <v>1196</v>
      </c>
      <c r="B1197" t="s">
        <v>1255</v>
      </c>
      <c r="C1197">
        <v>110</v>
      </c>
      <c r="D1197">
        <v>118</v>
      </c>
      <c r="E1197">
        <v>96.772271980469</v>
      </c>
      <c r="F1197">
        <v>0.93087556631562096</v>
      </c>
      <c r="G1197">
        <v>7355.1537595463196</v>
      </c>
      <c r="H1197">
        <v>691.428718872692</v>
      </c>
      <c r="I1197">
        <v>0.51307926594444098</v>
      </c>
      <c r="J1197">
        <v>0.193333356830861</v>
      </c>
      <c r="K1197">
        <v>0.67914636656831096</v>
      </c>
      <c r="L1197" t="s">
        <v>38</v>
      </c>
      <c r="M1197" t="s">
        <v>34</v>
      </c>
      <c r="N1197" t="s">
        <v>35</v>
      </c>
      <c r="O1197">
        <v>0.84027415556847496</v>
      </c>
      <c r="P1197" t="s">
        <v>36</v>
      </c>
    </row>
    <row r="1198" spans="1:16">
      <c r="A1198">
        <v>1197</v>
      </c>
      <c r="B1198" t="s">
        <v>1256</v>
      </c>
      <c r="C1198">
        <v>117</v>
      </c>
      <c r="D1198">
        <v>147</v>
      </c>
      <c r="E1198">
        <v>96.812352424152294</v>
      </c>
      <c r="F1198">
        <v>0.79925657347647505</v>
      </c>
      <c r="G1198">
        <v>7361.2476306238204</v>
      </c>
      <c r="H1198">
        <v>843.51891894827702</v>
      </c>
      <c r="I1198">
        <v>0.43635265112160598</v>
      </c>
      <c r="J1198">
        <v>0.13000846668278801</v>
      </c>
      <c r="K1198">
        <v>0.58602125091700796</v>
      </c>
      <c r="L1198" t="s">
        <v>38</v>
      </c>
      <c r="M1198" t="s">
        <v>34</v>
      </c>
      <c r="N1198" t="s">
        <v>35</v>
      </c>
      <c r="O1198">
        <v>0.89614061751992502</v>
      </c>
      <c r="P1198" t="s">
        <v>36</v>
      </c>
    </row>
    <row r="1199" spans="1:16">
      <c r="A1199">
        <v>1198</v>
      </c>
      <c r="B1199" t="s">
        <v>1257</v>
      </c>
      <c r="C1199">
        <v>139</v>
      </c>
      <c r="D1199">
        <v>124</v>
      </c>
      <c r="E1199">
        <v>96.833852164520593</v>
      </c>
      <c r="F1199">
        <v>1.12285851651303</v>
      </c>
      <c r="G1199">
        <v>7364.5175126654103</v>
      </c>
      <c r="H1199">
        <v>631.35461366601601</v>
      </c>
      <c r="I1199">
        <v>0.60362460790929195</v>
      </c>
      <c r="J1199">
        <v>0.23217071902130401</v>
      </c>
      <c r="K1199">
        <v>0.61187468355993502</v>
      </c>
      <c r="L1199" t="s">
        <v>74</v>
      </c>
      <c r="M1199" t="s">
        <v>34</v>
      </c>
      <c r="N1199" t="s">
        <v>35</v>
      </c>
      <c r="O1199">
        <v>0.65474177827659497</v>
      </c>
      <c r="P1199" t="s">
        <v>36</v>
      </c>
    </row>
    <row r="1200" spans="1:16">
      <c r="A1200">
        <v>1199</v>
      </c>
      <c r="B1200" t="s">
        <v>1258</v>
      </c>
      <c r="C1200">
        <v>196</v>
      </c>
      <c r="D1200">
        <v>130</v>
      </c>
      <c r="E1200">
        <v>96.876837331036796</v>
      </c>
      <c r="F1200">
        <v>1.50534866250713</v>
      </c>
      <c r="G1200">
        <v>7371.0572767485801</v>
      </c>
      <c r="H1200">
        <v>1146.8413683629001</v>
      </c>
      <c r="I1200">
        <v>0.60538930887758002</v>
      </c>
      <c r="J1200">
        <v>7.0425988171933102E-2</v>
      </c>
      <c r="K1200">
        <v>0.37914847745812302</v>
      </c>
      <c r="L1200" t="s">
        <v>38</v>
      </c>
      <c r="M1200" t="s">
        <v>34</v>
      </c>
      <c r="N1200" t="s">
        <v>35</v>
      </c>
      <c r="O1200">
        <v>0.75960378572790199</v>
      </c>
      <c r="P1200" t="s">
        <v>36</v>
      </c>
    </row>
    <row r="1201" spans="1:16">
      <c r="A1201">
        <v>1200</v>
      </c>
      <c r="B1201" t="s">
        <v>1259</v>
      </c>
      <c r="C1201">
        <v>104</v>
      </c>
      <c r="D1201">
        <v>132</v>
      </c>
      <c r="E1201">
        <v>96.902743214120704</v>
      </c>
      <c r="F1201">
        <v>0.79145739776491197</v>
      </c>
      <c r="G1201">
        <v>7375</v>
      </c>
      <c r="H1201">
        <v>667.69551992416405</v>
      </c>
      <c r="I1201">
        <v>0.85076955116979303</v>
      </c>
      <c r="J1201">
        <v>0.20788107989034099</v>
      </c>
      <c r="K1201">
        <v>0.64060803474484296</v>
      </c>
      <c r="L1201" t="s">
        <v>298</v>
      </c>
      <c r="M1201" t="s">
        <v>34</v>
      </c>
      <c r="N1201" t="s">
        <v>35</v>
      </c>
      <c r="O1201">
        <v>0.86460101101588005</v>
      </c>
      <c r="P1201" t="s">
        <v>36</v>
      </c>
    </row>
    <row r="1202" spans="1:16">
      <c r="A1202">
        <v>1201</v>
      </c>
      <c r="B1202" t="s">
        <v>1260</v>
      </c>
      <c r="C1202">
        <v>136</v>
      </c>
      <c r="D1202">
        <v>196</v>
      </c>
      <c r="E1202">
        <v>96.9442075073989</v>
      </c>
      <c r="F1202">
        <v>0.69326770436239105</v>
      </c>
      <c r="G1202">
        <v>7381.3128158790196</v>
      </c>
      <c r="H1202">
        <v>1288.7246727505999</v>
      </c>
      <c r="I1202">
        <v>0.55471566829139796</v>
      </c>
      <c r="J1202">
        <v>5.58500014188456E-2</v>
      </c>
      <c r="K1202">
        <v>0.36791299645140502</v>
      </c>
      <c r="L1202" t="s">
        <v>33</v>
      </c>
      <c r="M1202" t="s">
        <v>34</v>
      </c>
      <c r="N1202" t="s">
        <v>35</v>
      </c>
      <c r="O1202">
        <v>0.69852431951780802</v>
      </c>
      <c r="P1202" t="s">
        <v>36</v>
      </c>
    </row>
    <row r="1203" spans="1:16">
      <c r="A1203">
        <v>1202</v>
      </c>
      <c r="B1203" t="s">
        <v>1261</v>
      </c>
      <c r="C1203">
        <v>177</v>
      </c>
      <c r="D1203">
        <v>103</v>
      </c>
      <c r="E1203">
        <v>97.057362121904802</v>
      </c>
      <c r="F1203">
        <v>1.7248605354253901</v>
      </c>
      <c r="G1203">
        <v>7398.5540120982996</v>
      </c>
      <c r="H1203">
        <v>568.02800858850105</v>
      </c>
      <c r="I1203">
        <v>0.60182122245632996</v>
      </c>
      <c r="J1203">
        <v>0.288149062821137</v>
      </c>
      <c r="K1203">
        <v>0.58819080929704903</v>
      </c>
      <c r="L1203" t="s">
        <v>288</v>
      </c>
      <c r="M1203" t="s">
        <v>34</v>
      </c>
      <c r="N1203" t="s">
        <v>35</v>
      </c>
      <c r="O1203">
        <v>0.73288186073561401</v>
      </c>
      <c r="P1203" t="s">
        <v>36</v>
      </c>
    </row>
    <row r="1204" spans="1:16">
      <c r="A1204">
        <v>1203</v>
      </c>
      <c r="B1204" t="s">
        <v>1262</v>
      </c>
      <c r="C1204">
        <v>156</v>
      </c>
      <c r="D1204">
        <v>107</v>
      </c>
      <c r="E1204">
        <v>97.201540557242495</v>
      </c>
      <c r="F1204">
        <v>1.46428563087395</v>
      </c>
      <c r="G1204">
        <v>7420.55140037807</v>
      </c>
      <c r="H1204">
        <v>920.21412965981904</v>
      </c>
      <c r="I1204">
        <v>0.55936388499482403</v>
      </c>
      <c r="J1204">
        <v>0.11012051829357</v>
      </c>
      <c r="K1204">
        <v>0.51953755059991502</v>
      </c>
      <c r="L1204" t="s">
        <v>41</v>
      </c>
      <c r="M1204" t="s">
        <v>34</v>
      </c>
      <c r="N1204" t="s">
        <v>35</v>
      </c>
      <c r="O1204">
        <v>0.70807476257802304</v>
      </c>
      <c r="P1204" t="s">
        <v>36</v>
      </c>
    </row>
    <row r="1205" spans="1:16">
      <c r="A1205">
        <v>1204</v>
      </c>
      <c r="B1205" t="s">
        <v>1263</v>
      </c>
      <c r="C1205">
        <v>86</v>
      </c>
      <c r="D1205">
        <v>159</v>
      </c>
      <c r="E1205">
        <v>97.394222663754306</v>
      </c>
      <c r="F1205">
        <v>0.53789733191311595</v>
      </c>
      <c r="G1205">
        <v>7450</v>
      </c>
      <c r="H1205">
        <v>552.84270763397205</v>
      </c>
      <c r="I1205">
        <v>0.80175579231038696</v>
      </c>
      <c r="J1205">
        <v>0.30631126306531897</v>
      </c>
      <c r="K1205">
        <v>0.70035252643948298</v>
      </c>
      <c r="L1205" t="s">
        <v>38</v>
      </c>
      <c r="M1205" t="s">
        <v>34</v>
      </c>
      <c r="N1205" t="s">
        <v>35</v>
      </c>
      <c r="O1205">
        <v>0.70145602989047295</v>
      </c>
      <c r="P1205" t="s">
        <v>36</v>
      </c>
    </row>
    <row r="1206" spans="1:16">
      <c r="A1206">
        <v>1205</v>
      </c>
      <c r="B1206" t="s">
        <v>1264</v>
      </c>
      <c r="C1206">
        <v>102</v>
      </c>
      <c r="D1206">
        <v>168</v>
      </c>
      <c r="E1206">
        <v>97.410608783515201</v>
      </c>
      <c r="F1206">
        <v>0.61008389040760302</v>
      </c>
      <c r="G1206">
        <v>7452.5070657844999</v>
      </c>
      <c r="H1206">
        <v>886.32375447843401</v>
      </c>
      <c r="I1206">
        <v>0.67186531621883305</v>
      </c>
      <c r="J1206">
        <v>0.119214061007287</v>
      </c>
      <c r="K1206">
        <v>0.48940489785560198</v>
      </c>
      <c r="L1206" t="s">
        <v>38</v>
      </c>
      <c r="M1206" t="s">
        <v>34</v>
      </c>
      <c r="N1206" t="s">
        <v>35</v>
      </c>
      <c r="O1206">
        <v>0.76592794320024704</v>
      </c>
      <c r="P1206" t="s">
        <v>36</v>
      </c>
    </row>
    <row r="1207" spans="1:16">
      <c r="A1207">
        <v>1206</v>
      </c>
      <c r="B1207" t="s">
        <v>1265</v>
      </c>
      <c r="C1207">
        <v>134</v>
      </c>
      <c r="D1207">
        <v>113</v>
      </c>
      <c r="E1207">
        <v>97.444600691861595</v>
      </c>
      <c r="F1207">
        <v>1.1835749062911201</v>
      </c>
      <c r="G1207">
        <v>7457.7091508506601</v>
      </c>
      <c r="H1207">
        <v>728.64519560274903</v>
      </c>
      <c r="I1207">
        <v>0.64334249709660196</v>
      </c>
      <c r="J1207">
        <v>0.176515600550638</v>
      </c>
      <c r="K1207">
        <v>0.71183747588241997</v>
      </c>
      <c r="L1207" t="s">
        <v>38</v>
      </c>
      <c r="M1207" t="s">
        <v>34</v>
      </c>
      <c r="N1207" t="s">
        <v>35</v>
      </c>
      <c r="O1207">
        <v>0.84879606092944804</v>
      </c>
      <c r="P1207" t="s">
        <v>36</v>
      </c>
    </row>
    <row r="1208" spans="1:16">
      <c r="A1208">
        <v>1207</v>
      </c>
      <c r="B1208" t="s">
        <v>1266</v>
      </c>
      <c r="C1208">
        <v>119</v>
      </c>
      <c r="D1208">
        <v>108</v>
      </c>
      <c r="E1208">
        <v>97.447513732285103</v>
      </c>
      <c r="F1208">
        <v>1.0982320458397199</v>
      </c>
      <c r="G1208">
        <v>7458.1550438563299</v>
      </c>
      <c r="H1208">
        <v>535.41515727343801</v>
      </c>
      <c r="I1208">
        <v>0.61421131035099596</v>
      </c>
      <c r="J1208">
        <v>0.32693389472737699</v>
      </c>
      <c r="K1208">
        <v>0.71293191634462405</v>
      </c>
      <c r="L1208" t="s">
        <v>47</v>
      </c>
      <c r="M1208" t="s">
        <v>34</v>
      </c>
      <c r="N1208" t="s">
        <v>35</v>
      </c>
      <c r="O1208">
        <v>0.92419425463103999</v>
      </c>
      <c r="P1208" t="s">
        <v>36</v>
      </c>
    </row>
    <row r="1209" spans="1:16">
      <c r="A1209">
        <v>1208</v>
      </c>
      <c r="B1209" t="s">
        <v>1267</v>
      </c>
      <c r="C1209">
        <v>142</v>
      </c>
      <c r="D1209">
        <v>152</v>
      </c>
      <c r="E1209">
        <v>97.461106769687504</v>
      </c>
      <c r="F1209">
        <v>0.93525178434562095</v>
      </c>
      <c r="G1209">
        <v>7460.2358778828002</v>
      </c>
      <c r="H1209">
        <v>1411.97979590924</v>
      </c>
      <c r="I1209">
        <v>0.54273917912043401</v>
      </c>
      <c r="J1209">
        <v>4.7022472204836803E-2</v>
      </c>
      <c r="K1209">
        <v>0.41062707080623401</v>
      </c>
      <c r="L1209" t="s">
        <v>49</v>
      </c>
      <c r="M1209" t="s">
        <v>34</v>
      </c>
      <c r="N1209" t="s">
        <v>35</v>
      </c>
      <c r="O1209">
        <v>0.85101126330756105</v>
      </c>
      <c r="P1209" t="s">
        <v>36</v>
      </c>
    </row>
    <row r="1210" spans="1:16">
      <c r="A1210">
        <v>1209</v>
      </c>
      <c r="B1210" t="s">
        <v>1268</v>
      </c>
      <c r="C1210">
        <v>136</v>
      </c>
      <c r="D1210">
        <v>134</v>
      </c>
      <c r="E1210">
        <v>97.626014056362493</v>
      </c>
      <c r="F1210">
        <v>1.0200729625921801</v>
      </c>
      <c r="G1210">
        <v>7485.5031482041604</v>
      </c>
      <c r="H1210">
        <v>724.10026039279001</v>
      </c>
      <c r="I1210">
        <v>0.60962503163717996</v>
      </c>
      <c r="J1210">
        <v>0.17940455032038</v>
      </c>
      <c r="K1210">
        <v>0.59962376921336802</v>
      </c>
      <c r="L1210" t="s">
        <v>211</v>
      </c>
      <c r="M1210" t="s">
        <v>34</v>
      </c>
      <c r="N1210" t="s">
        <v>35</v>
      </c>
      <c r="O1210">
        <v>0.70395018501563</v>
      </c>
      <c r="P1210" t="s">
        <v>36</v>
      </c>
    </row>
    <row r="1211" spans="1:16">
      <c r="A1211">
        <v>1210</v>
      </c>
      <c r="B1211" t="s">
        <v>1269</v>
      </c>
      <c r="C1211">
        <v>124</v>
      </c>
      <c r="D1211">
        <v>95</v>
      </c>
      <c r="E1211">
        <v>97.645396603816906</v>
      </c>
      <c r="F1211">
        <v>1.30259919529335</v>
      </c>
      <c r="G1211">
        <v>7488.4757682419704</v>
      </c>
      <c r="H1211">
        <v>579.47643541885498</v>
      </c>
      <c r="I1211">
        <v>0.67569994882405104</v>
      </c>
      <c r="J1211">
        <v>0.280241038012771</v>
      </c>
      <c r="K1211">
        <v>0.79253444912854698</v>
      </c>
      <c r="L1211" t="s">
        <v>33</v>
      </c>
      <c r="M1211" t="s">
        <v>34</v>
      </c>
      <c r="N1211" t="s">
        <v>35</v>
      </c>
      <c r="O1211">
        <v>0.67726647034081</v>
      </c>
      <c r="P1211" t="s">
        <v>36</v>
      </c>
    </row>
    <row r="1212" spans="1:16">
      <c r="A1212">
        <v>1211</v>
      </c>
      <c r="B1212" t="s">
        <v>1270</v>
      </c>
      <c r="C1212">
        <v>149</v>
      </c>
      <c r="D1212">
        <v>81</v>
      </c>
      <c r="E1212">
        <v>97.665744138717798</v>
      </c>
      <c r="F1212">
        <v>1.84564835515975</v>
      </c>
      <c r="G1212">
        <v>7491.5970192816603</v>
      </c>
      <c r="H1212">
        <v>557.775717938257</v>
      </c>
      <c r="I1212">
        <v>0.61419978857635105</v>
      </c>
      <c r="J1212">
        <v>0.30259731103915699</v>
      </c>
      <c r="K1212">
        <v>0.74861131739194997</v>
      </c>
      <c r="L1212" t="s">
        <v>38</v>
      </c>
      <c r="M1212" t="s">
        <v>34</v>
      </c>
      <c r="N1212" t="s">
        <v>35</v>
      </c>
      <c r="O1212">
        <v>0.69301041105410599</v>
      </c>
      <c r="P1212" t="s">
        <v>36</v>
      </c>
    </row>
    <row r="1213" spans="1:16">
      <c r="A1213">
        <v>1212</v>
      </c>
      <c r="B1213" t="s">
        <v>1271</v>
      </c>
      <c r="C1213">
        <v>166</v>
      </c>
      <c r="D1213">
        <v>147</v>
      </c>
      <c r="E1213">
        <v>97.756771672720703</v>
      </c>
      <c r="F1213">
        <v>1.1338289962825301</v>
      </c>
      <c r="G1213">
        <v>7505.5683334593596</v>
      </c>
      <c r="H1213">
        <v>1477.35108566492</v>
      </c>
      <c r="I1213">
        <v>0.61461940976774798</v>
      </c>
      <c r="J1213">
        <v>4.3214154072210201E-2</v>
      </c>
      <c r="K1213">
        <v>0.41957890888545502</v>
      </c>
      <c r="L1213" t="s">
        <v>38</v>
      </c>
      <c r="M1213" t="s">
        <v>34</v>
      </c>
      <c r="N1213" t="s">
        <v>35</v>
      </c>
      <c r="O1213">
        <v>0.73604027666427096</v>
      </c>
      <c r="P1213" t="s">
        <v>36</v>
      </c>
    </row>
    <row r="1214" spans="1:16">
      <c r="A1214">
        <v>1213</v>
      </c>
      <c r="B1214" t="s">
        <v>1272</v>
      </c>
      <c r="C1214">
        <v>97</v>
      </c>
      <c r="D1214">
        <v>146</v>
      </c>
      <c r="E1214">
        <v>97.820634005501901</v>
      </c>
      <c r="F1214">
        <v>0.665079532260474</v>
      </c>
      <c r="G1214">
        <v>7515.3779795841201</v>
      </c>
      <c r="H1214">
        <v>607.826123536566</v>
      </c>
      <c r="I1214">
        <v>0.62022439110815397</v>
      </c>
      <c r="J1214">
        <v>0.25562420160264698</v>
      </c>
      <c r="K1214">
        <v>0.69196556867789705</v>
      </c>
      <c r="L1214" t="s">
        <v>43</v>
      </c>
      <c r="M1214" t="s">
        <v>34</v>
      </c>
      <c r="N1214" t="s">
        <v>35</v>
      </c>
      <c r="O1214">
        <v>0.689139557995881</v>
      </c>
      <c r="P1214" t="s">
        <v>36</v>
      </c>
    </row>
    <row r="1215" spans="1:16">
      <c r="A1215">
        <v>1214</v>
      </c>
      <c r="B1215" t="s">
        <v>1273</v>
      </c>
      <c r="C1215">
        <v>124</v>
      </c>
      <c r="D1215">
        <v>153</v>
      </c>
      <c r="E1215">
        <v>97.854483482667604</v>
      </c>
      <c r="F1215">
        <v>0.80950512776198902</v>
      </c>
      <c r="G1215">
        <v>7520.5800646502803</v>
      </c>
      <c r="H1215">
        <v>725.92575626756798</v>
      </c>
      <c r="I1215">
        <v>0.55283425113769802</v>
      </c>
      <c r="J1215">
        <v>0.17933984570504699</v>
      </c>
      <c r="K1215">
        <v>0.577739464039004</v>
      </c>
      <c r="L1215" t="s">
        <v>38</v>
      </c>
      <c r="M1215" t="s">
        <v>34</v>
      </c>
      <c r="N1215" t="s">
        <v>35</v>
      </c>
      <c r="O1215">
        <v>0.69245761366070402</v>
      </c>
      <c r="P1215" t="s">
        <v>36</v>
      </c>
    </row>
    <row r="1216" spans="1:16">
      <c r="A1216">
        <v>1215</v>
      </c>
      <c r="B1216" t="s">
        <v>1274</v>
      </c>
      <c r="C1216">
        <v>162</v>
      </c>
      <c r="D1216">
        <v>147</v>
      </c>
      <c r="E1216">
        <v>97.912483932389804</v>
      </c>
      <c r="F1216">
        <v>1.10408921933085</v>
      </c>
      <c r="G1216">
        <v>7529.4979247637102</v>
      </c>
      <c r="H1216">
        <v>1125.4522458405099</v>
      </c>
      <c r="I1216">
        <v>0.65389766912988601</v>
      </c>
      <c r="J1216">
        <v>7.47001953706911E-2</v>
      </c>
      <c r="K1216">
        <v>0.39972698723310202</v>
      </c>
      <c r="L1216" t="s">
        <v>38</v>
      </c>
      <c r="M1216" t="s">
        <v>34</v>
      </c>
      <c r="N1216" t="s">
        <v>35</v>
      </c>
      <c r="O1216">
        <v>0.84574241895634805</v>
      </c>
      <c r="P1216" t="s">
        <v>36</v>
      </c>
    </row>
    <row r="1217" spans="1:16">
      <c r="A1217">
        <v>1216</v>
      </c>
      <c r="B1217" t="s">
        <v>1275</v>
      </c>
      <c r="C1217">
        <v>121</v>
      </c>
      <c r="D1217">
        <v>166</v>
      </c>
      <c r="E1217">
        <v>98.104606623631099</v>
      </c>
      <c r="F1217">
        <v>0.72966276111056905</v>
      </c>
      <c r="G1217">
        <v>7559.07549413989</v>
      </c>
      <c r="H1217">
        <v>699.60422512510604</v>
      </c>
      <c r="I1217">
        <v>0.69704116738882305</v>
      </c>
      <c r="J1217">
        <v>0.19407683426580599</v>
      </c>
      <c r="K1217">
        <v>0.50323563752943701</v>
      </c>
      <c r="L1217" t="s">
        <v>298</v>
      </c>
      <c r="M1217" t="s">
        <v>34</v>
      </c>
      <c r="N1217" t="s">
        <v>35</v>
      </c>
      <c r="O1217">
        <v>0.66528219848515802</v>
      </c>
      <c r="P1217" t="s">
        <v>36</v>
      </c>
    </row>
    <row r="1218" spans="1:16">
      <c r="A1218">
        <v>1217</v>
      </c>
      <c r="B1218" t="s">
        <v>1276</v>
      </c>
      <c r="C1218">
        <v>147</v>
      </c>
      <c r="D1218">
        <v>147</v>
      </c>
      <c r="E1218">
        <v>98.2250945503487</v>
      </c>
      <c r="F1218">
        <v>1</v>
      </c>
      <c r="G1218">
        <v>7577.6543693761796</v>
      </c>
      <c r="H1218">
        <v>1274.82300658091</v>
      </c>
      <c r="I1218">
        <v>0.65941831437246001</v>
      </c>
      <c r="J1218">
        <v>5.8592883520055199E-2</v>
      </c>
      <c r="K1218">
        <v>0.38202676577697198</v>
      </c>
      <c r="L1218" t="s">
        <v>49</v>
      </c>
      <c r="M1218" t="s">
        <v>34</v>
      </c>
      <c r="N1218" t="s">
        <v>35</v>
      </c>
      <c r="O1218">
        <v>0.75026471069108003</v>
      </c>
      <c r="P1218" t="s">
        <v>36</v>
      </c>
    </row>
    <row r="1219" spans="1:16">
      <c r="A1219">
        <v>1218</v>
      </c>
      <c r="B1219" t="s">
        <v>1277</v>
      </c>
      <c r="C1219">
        <v>121</v>
      </c>
      <c r="D1219">
        <v>132</v>
      </c>
      <c r="E1219">
        <v>98.242432640230305</v>
      </c>
      <c r="F1219">
        <v>0.91735536147886698</v>
      </c>
      <c r="G1219">
        <v>7580.3297274102097</v>
      </c>
      <c r="H1219">
        <v>577.74172946878105</v>
      </c>
      <c r="I1219">
        <v>0.50999812602578098</v>
      </c>
      <c r="J1219">
        <v>0.28538456892242298</v>
      </c>
      <c r="K1219">
        <v>0.66970874806313496</v>
      </c>
      <c r="L1219" t="s">
        <v>33</v>
      </c>
      <c r="M1219" t="s">
        <v>34</v>
      </c>
      <c r="N1219" t="s">
        <v>35</v>
      </c>
      <c r="O1219">
        <v>0.75604831523059801</v>
      </c>
      <c r="P1219" t="s">
        <v>36</v>
      </c>
    </row>
    <row r="1220" spans="1:16">
      <c r="A1220">
        <v>1219</v>
      </c>
      <c r="B1220" t="s">
        <v>1278</v>
      </c>
      <c r="C1220">
        <v>147</v>
      </c>
      <c r="D1220">
        <v>182</v>
      </c>
      <c r="E1220">
        <v>98.336775278884701</v>
      </c>
      <c r="F1220">
        <v>0.81081081081081097</v>
      </c>
      <c r="G1220">
        <v>7594.8955655954596</v>
      </c>
      <c r="H1220">
        <v>1254.07264599168</v>
      </c>
      <c r="I1220">
        <v>0.58836066113552499</v>
      </c>
      <c r="J1220">
        <v>6.0685688053928398E-2</v>
      </c>
      <c r="K1220">
        <v>0.42829483354008102</v>
      </c>
      <c r="L1220" t="s">
        <v>38</v>
      </c>
      <c r="M1220" t="s">
        <v>34</v>
      </c>
      <c r="N1220" t="s">
        <v>35</v>
      </c>
      <c r="O1220">
        <v>0.68975106540466802</v>
      </c>
      <c r="P1220" t="s">
        <v>36</v>
      </c>
    </row>
    <row r="1221" spans="1:16">
      <c r="A1221">
        <v>1220</v>
      </c>
      <c r="B1221" t="s">
        <v>1279</v>
      </c>
      <c r="C1221">
        <v>103</v>
      </c>
      <c r="D1221">
        <v>166</v>
      </c>
      <c r="E1221">
        <v>98.388721341348997</v>
      </c>
      <c r="F1221">
        <v>0.61639344262295104</v>
      </c>
      <c r="G1221">
        <v>7602.9216396975398</v>
      </c>
      <c r="H1221">
        <v>1244.83880467633</v>
      </c>
      <c r="I1221">
        <v>0.701099053579607</v>
      </c>
      <c r="J1221">
        <v>6.16544095073066E-2</v>
      </c>
      <c r="K1221">
        <v>0.51127947305820098</v>
      </c>
      <c r="L1221" t="s">
        <v>49</v>
      </c>
      <c r="M1221" t="s">
        <v>34</v>
      </c>
      <c r="N1221" t="s">
        <v>35</v>
      </c>
      <c r="O1221">
        <v>0.804212346101704</v>
      </c>
      <c r="P1221" t="s">
        <v>36</v>
      </c>
    </row>
    <row r="1222" spans="1:16">
      <c r="A1222">
        <v>1221</v>
      </c>
      <c r="B1222" t="s">
        <v>1280</v>
      </c>
      <c r="C1222">
        <v>92</v>
      </c>
      <c r="D1222">
        <v>171</v>
      </c>
      <c r="E1222">
        <v>98.404107501122695</v>
      </c>
      <c r="F1222">
        <v>0.53935921534840403</v>
      </c>
      <c r="G1222">
        <v>7605.29973572779</v>
      </c>
      <c r="H1222">
        <v>626.91537985356001</v>
      </c>
      <c r="I1222">
        <v>0.67116395141095397</v>
      </c>
      <c r="J1222">
        <v>0.243169079190521</v>
      </c>
      <c r="K1222">
        <v>0.637159436170743</v>
      </c>
      <c r="L1222" t="s">
        <v>211</v>
      </c>
      <c r="M1222" t="s">
        <v>34</v>
      </c>
      <c r="N1222" t="s">
        <v>35</v>
      </c>
      <c r="O1222">
        <v>0.66288980803400499</v>
      </c>
      <c r="P1222" t="s">
        <v>36</v>
      </c>
    </row>
    <row r="1223" spans="1:16">
      <c r="A1223">
        <v>1222</v>
      </c>
      <c r="B1223" t="s">
        <v>1281</v>
      </c>
      <c r="C1223">
        <v>169</v>
      </c>
      <c r="D1223">
        <v>82</v>
      </c>
      <c r="E1223">
        <v>98.413722629439803</v>
      </c>
      <c r="F1223">
        <v>2.0599557164301099</v>
      </c>
      <c r="G1223">
        <v>7606.7860457466904</v>
      </c>
      <c r="H1223">
        <v>478.89963766149901</v>
      </c>
      <c r="I1223">
        <v>0.595312726342064</v>
      </c>
      <c r="J1223">
        <v>0.41679456607172299</v>
      </c>
      <c r="K1223">
        <v>0.80370294759653904</v>
      </c>
      <c r="L1223" t="s">
        <v>38</v>
      </c>
      <c r="M1223" t="s">
        <v>34</v>
      </c>
      <c r="N1223" t="s">
        <v>35</v>
      </c>
      <c r="O1223">
        <v>0.87596569174688399</v>
      </c>
      <c r="P1223" t="s">
        <v>36</v>
      </c>
    </row>
    <row r="1224" spans="1:16">
      <c r="A1224">
        <v>1223</v>
      </c>
      <c r="B1224" t="s">
        <v>1282</v>
      </c>
      <c r="C1224">
        <v>113</v>
      </c>
      <c r="D1224">
        <v>119</v>
      </c>
      <c r="E1224">
        <v>98.517506219228807</v>
      </c>
      <c r="F1224">
        <v>0.95412844036697297</v>
      </c>
      <c r="G1224">
        <v>7622.8381939508499</v>
      </c>
      <c r="H1224">
        <v>540.30606393534197</v>
      </c>
      <c r="I1224">
        <v>0.58587165475778002</v>
      </c>
      <c r="J1224">
        <v>0.328130712775553</v>
      </c>
      <c r="K1224">
        <v>0.75808907217713895</v>
      </c>
      <c r="L1224" t="s">
        <v>33</v>
      </c>
      <c r="M1224" t="s">
        <v>34</v>
      </c>
      <c r="N1224" t="s">
        <v>35</v>
      </c>
      <c r="O1224">
        <v>0.67516614121893703</v>
      </c>
      <c r="P1224" t="s">
        <v>36</v>
      </c>
    </row>
    <row r="1225" spans="1:16">
      <c r="A1225">
        <v>1224</v>
      </c>
      <c r="B1225" t="s">
        <v>1283</v>
      </c>
      <c r="C1225">
        <v>108</v>
      </c>
      <c r="D1225">
        <v>201</v>
      </c>
      <c r="E1225">
        <v>98.530951643756694</v>
      </c>
      <c r="F1225">
        <v>0.537246071161529</v>
      </c>
      <c r="G1225">
        <v>7624.9190279773202</v>
      </c>
      <c r="H1225">
        <v>1014.26323019432</v>
      </c>
      <c r="I1225">
        <v>0.73903330869231498</v>
      </c>
      <c r="J1225">
        <v>9.3141609278074397E-2</v>
      </c>
      <c r="K1225">
        <v>0.51148067278836296</v>
      </c>
      <c r="L1225" t="s">
        <v>873</v>
      </c>
      <c r="M1225" t="s">
        <v>34</v>
      </c>
      <c r="N1225" t="s">
        <v>35</v>
      </c>
      <c r="O1225">
        <v>0.68317174524398605</v>
      </c>
      <c r="P1225" t="s">
        <v>36</v>
      </c>
    </row>
    <row r="1226" spans="1:16">
      <c r="A1226">
        <v>1225</v>
      </c>
      <c r="B1226" t="s">
        <v>1284</v>
      </c>
      <c r="C1226">
        <v>166</v>
      </c>
      <c r="D1226">
        <v>147</v>
      </c>
      <c r="E1226">
        <v>98.643245321301293</v>
      </c>
      <c r="F1226">
        <v>1.1338289962825301</v>
      </c>
      <c r="G1226">
        <v>7642.3088551984902</v>
      </c>
      <c r="H1226">
        <v>1189.3722178888299</v>
      </c>
      <c r="I1226">
        <v>0.59907516198661703</v>
      </c>
      <c r="J1226">
        <v>6.7888915296188498E-2</v>
      </c>
      <c r="K1226">
        <v>0.41957094713135201</v>
      </c>
      <c r="L1226" t="s">
        <v>72</v>
      </c>
      <c r="M1226" t="s">
        <v>34</v>
      </c>
      <c r="N1226" t="s">
        <v>35</v>
      </c>
      <c r="O1226">
        <v>0.70640647440141802</v>
      </c>
      <c r="P1226" t="s">
        <v>36</v>
      </c>
    </row>
    <row r="1227" spans="1:16">
      <c r="A1227">
        <v>1226</v>
      </c>
      <c r="B1227" t="s">
        <v>1285</v>
      </c>
      <c r="C1227">
        <v>105</v>
      </c>
      <c r="D1227">
        <v>148</v>
      </c>
      <c r="E1227">
        <v>98.900941245915106</v>
      </c>
      <c r="F1227">
        <v>0.70874485367778395</v>
      </c>
      <c r="G1227">
        <v>7682.2905947070003</v>
      </c>
      <c r="H1227">
        <v>780.099907715943</v>
      </c>
      <c r="I1227">
        <v>0.71090972347075299</v>
      </c>
      <c r="J1227">
        <v>0.15863541240989601</v>
      </c>
      <c r="K1227">
        <v>0.63227234917062203</v>
      </c>
      <c r="L1227" t="s">
        <v>47</v>
      </c>
      <c r="M1227" t="s">
        <v>34</v>
      </c>
      <c r="N1227" t="s">
        <v>35</v>
      </c>
      <c r="O1227">
        <v>0.86060522487951696</v>
      </c>
      <c r="P1227" t="s">
        <v>36</v>
      </c>
    </row>
    <row r="1228" spans="1:16">
      <c r="A1228">
        <v>1227</v>
      </c>
      <c r="B1228" t="s">
        <v>1286</v>
      </c>
      <c r="C1228">
        <v>131</v>
      </c>
      <c r="D1228">
        <v>118</v>
      </c>
      <c r="E1228">
        <v>98.936333899572205</v>
      </c>
      <c r="F1228">
        <v>1.11574074074074</v>
      </c>
      <c r="G1228">
        <v>7687.7899417769404</v>
      </c>
      <c r="H1228">
        <v>1055.0969827241499</v>
      </c>
      <c r="I1228">
        <v>0.57427722568083595</v>
      </c>
      <c r="J1228">
        <v>8.6781391624996707E-2</v>
      </c>
      <c r="K1228">
        <v>0.62959807191372297</v>
      </c>
      <c r="L1228" t="s">
        <v>38</v>
      </c>
      <c r="M1228" t="s">
        <v>34</v>
      </c>
      <c r="N1228" t="s">
        <v>35</v>
      </c>
      <c r="O1228">
        <v>0.78403905367485205</v>
      </c>
      <c r="P1228" t="s">
        <v>36</v>
      </c>
    </row>
    <row r="1229" spans="1:16">
      <c r="A1229">
        <v>1228</v>
      </c>
      <c r="B1229" t="s">
        <v>1287</v>
      </c>
      <c r="C1229">
        <v>147</v>
      </c>
      <c r="D1229">
        <v>137</v>
      </c>
      <c r="E1229">
        <v>98.985097624924506</v>
      </c>
      <c r="F1229">
        <v>1.0674603174603201</v>
      </c>
      <c r="G1229">
        <v>7695.3701228733498</v>
      </c>
      <c r="H1229">
        <v>929.39868300862895</v>
      </c>
      <c r="I1229">
        <v>0.58471429351600401</v>
      </c>
      <c r="J1229">
        <v>0.11195288027880899</v>
      </c>
      <c r="K1229">
        <v>0.51829939736120301</v>
      </c>
      <c r="L1229" t="s">
        <v>38</v>
      </c>
      <c r="M1229" t="s">
        <v>34</v>
      </c>
      <c r="N1229" t="s">
        <v>35</v>
      </c>
      <c r="O1229">
        <v>0.71884472579199499</v>
      </c>
      <c r="P1229" t="s">
        <v>36</v>
      </c>
    </row>
    <row r="1230" spans="1:16">
      <c r="A1230">
        <v>1229</v>
      </c>
      <c r="B1230" t="s">
        <v>1288</v>
      </c>
      <c r="C1230">
        <v>132</v>
      </c>
      <c r="D1230">
        <v>160</v>
      </c>
      <c r="E1230">
        <v>99.019504619576495</v>
      </c>
      <c r="F1230">
        <v>0.82312925170067996</v>
      </c>
      <c r="G1230">
        <v>7700.7208389414</v>
      </c>
      <c r="H1230">
        <v>1527.5337831460899</v>
      </c>
      <c r="I1230">
        <v>0.52865286603541795</v>
      </c>
      <c r="J1230">
        <v>4.14724408196138E-2</v>
      </c>
      <c r="K1230">
        <v>0.40413566091012598</v>
      </c>
      <c r="L1230" t="s">
        <v>38</v>
      </c>
      <c r="M1230" t="s">
        <v>34</v>
      </c>
      <c r="N1230" t="s">
        <v>35</v>
      </c>
      <c r="O1230">
        <v>0.76397547046722603</v>
      </c>
      <c r="P1230" t="s">
        <v>36</v>
      </c>
    </row>
    <row r="1231" spans="1:16">
      <c r="A1231">
        <v>1230</v>
      </c>
      <c r="B1231" t="s">
        <v>1289</v>
      </c>
      <c r="C1231">
        <v>148</v>
      </c>
      <c r="D1231">
        <v>141</v>
      </c>
      <c r="E1231">
        <v>99.030970961293207</v>
      </c>
      <c r="F1231">
        <v>1.0542635787286301</v>
      </c>
      <c r="G1231">
        <v>7702.5044109640803</v>
      </c>
      <c r="H1231">
        <v>966.08048297291202</v>
      </c>
      <c r="I1231">
        <v>0.56808192723563899</v>
      </c>
      <c r="J1231">
        <v>0.103708702968244</v>
      </c>
      <c r="K1231">
        <v>0.54804936600429399</v>
      </c>
      <c r="L1231" t="s">
        <v>38</v>
      </c>
      <c r="M1231" t="s">
        <v>34</v>
      </c>
      <c r="N1231" t="s">
        <v>35</v>
      </c>
      <c r="O1231">
        <v>0.76981752821328098</v>
      </c>
      <c r="P1231" t="s">
        <v>36</v>
      </c>
    </row>
    <row r="1232" spans="1:16">
      <c r="A1232">
        <v>1231</v>
      </c>
      <c r="B1232" t="s">
        <v>1290</v>
      </c>
      <c r="C1232">
        <v>142</v>
      </c>
      <c r="D1232">
        <v>142</v>
      </c>
      <c r="E1232">
        <v>99.056765377254095</v>
      </c>
      <c r="F1232">
        <v>1</v>
      </c>
      <c r="G1232">
        <v>7706.51744801512</v>
      </c>
      <c r="H1232">
        <v>677.97483254826602</v>
      </c>
      <c r="I1232">
        <v>0.62346522400692395</v>
      </c>
      <c r="J1232">
        <v>0.21068852612939501</v>
      </c>
      <c r="K1232">
        <v>0.56860551826994798</v>
      </c>
      <c r="L1232" t="s">
        <v>33</v>
      </c>
      <c r="M1232" t="s">
        <v>34</v>
      </c>
      <c r="N1232" t="s">
        <v>35</v>
      </c>
      <c r="O1232">
        <v>0.73598274631476901</v>
      </c>
      <c r="P1232" t="s">
        <v>36</v>
      </c>
    </row>
    <row r="1233" spans="1:16">
      <c r="A1233">
        <v>1232</v>
      </c>
      <c r="B1233" t="s">
        <v>1291</v>
      </c>
      <c r="C1233">
        <v>171</v>
      </c>
      <c r="D1233">
        <v>134</v>
      </c>
      <c r="E1233">
        <v>99.080643108196895</v>
      </c>
      <c r="F1233">
        <v>1.27642276422764</v>
      </c>
      <c r="G1233">
        <v>7710.2332230623797</v>
      </c>
      <c r="H1233">
        <v>1186.9682665160401</v>
      </c>
      <c r="I1233">
        <v>0.63773188609259301</v>
      </c>
      <c r="J1233">
        <v>6.8770021870245807E-2</v>
      </c>
      <c r="K1233">
        <v>0.48365141669075201</v>
      </c>
      <c r="L1233" t="s">
        <v>41</v>
      </c>
      <c r="M1233" t="s">
        <v>34</v>
      </c>
      <c r="N1233" t="s">
        <v>35</v>
      </c>
      <c r="O1233">
        <v>0.71245749560733596</v>
      </c>
      <c r="P1233" t="s">
        <v>36</v>
      </c>
    </row>
    <row r="1234" spans="1:16">
      <c r="A1234">
        <v>1233</v>
      </c>
      <c r="B1234" t="s">
        <v>1292</v>
      </c>
      <c r="C1234">
        <v>98</v>
      </c>
      <c r="D1234">
        <v>142</v>
      </c>
      <c r="E1234">
        <v>99.082553078088594</v>
      </c>
      <c r="F1234">
        <v>0.68848687589823598</v>
      </c>
      <c r="G1234">
        <v>7710.5304850661596</v>
      </c>
      <c r="H1234">
        <v>688.754674499864</v>
      </c>
      <c r="I1234">
        <v>0.64459482144451896</v>
      </c>
      <c r="J1234">
        <v>0.20425138205327301</v>
      </c>
      <c r="K1234">
        <v>0.68791439028271395</v>
      </c>
      <c r="L1234" t="s">
        <v>288</v>
      </c>
      <c r="M1234" t="s">
        <v>34</v>
      </c>
      <c r="N1234" t="s">
        <v>35</v>
      </c>
      <c r="O1234">
        <v>0.73017536750371304</v>
      </c>
      <c r="P1234" t="s">
        <v>36</v>
      </c>
    </row>
    <row r="1235" spans="1:16">
      <c r="A1235">
        <v>1234</v>
      </c>
      <c r="B1235" t="s">
        <v>1293</v>
      </c>
      <c r="C1235">
        <v>181</v>
      </c>
      <c r="D1235">
        <v>83</v>
      </c>
      <c r="E1235">
        <v>99.130290365413799</v>
      </c>
      <c r="F1235">
        <v>2.1842105263157898</v>
      </c>
      <c r="G1235">
        <v>7717.96203516068</v>
      </c>
      <c r="H1235">
        <v>829.70414969910803</v>
      </c>
      <c r="I1235">
        <v>0.77736389524559102</v>
      </c>
      <c r="J1235">
        <v>0.140885396179741</v>
      </c>
      <c r="K1235">
        <v>0.58052723370002701</v>
      </c>
      <c r="L1235" t="s">
        <v>38</v>
      </c>
      <c r="M1235" t="s">
        <v>34</v>
      </c>
      <c r="N1235" t="s">
        <v>35</v>
      </c>
      <c r="O1235">
        <v>0.88301294304107503</v>
      </c>
      <c r="P1235" t="s">
        <v>36</v>
      </c>
    </row>
    <row r="1236" spans="1:16">
      <c r="A1236">
        <v>1235</v>
      </c>
      <c r="B1236" t="s">
        <v>1294</v>
      </c>
      <c r="C1236">
        <v>82</v>
      </c>
      <c r="D1236">
        <v>169</v>
      </c>
      <c r="E1236">
        <v>99.158921706554807</v>
      </c>
      <c r="F1236">
        <v>0.48754943601214401</v>
      </c>
      <c r="G1236">
        <v>7722.4209652173904</v>
      </c>
      <c r="H1236">
        <v>601.21542239738596</v>
      </c>
      <c r="I1236">
        <v>0.63471850379560102</v>
      </c>
      <c r="J1236">
        <v>0.26847454254999598</v>
      </c>
      <c r="K1236">
        <v>0.70010645035236396</v>
      </c>
      <c r="L1236" t="s">
        <v>33</v>
      </c>
      <c r="M1236" t="s">
        <v>34</v>
      </c>
      <c r="N1236" t="s">
        <v>35</v>
      </c>
      <c r="O1236">
        <v>0.74364820899842499</v>
      </c>
      <c r="P1236" t="s">
        <v>36</v>
      </c>
    </row>
    <row r="1237" spans="1:16">
      <c r="A1237">
        <v>1236</v>
      </c>
      <c r="B1237" t="s">
        <v>1295</v>
      </c>
      <c r="C1237">
        <v>130</v>
      </c>
      <c r="D1237">
        <v>135</v>
      </c>
      <c r="E1237">
        <v>99.2018532242205</v>
      </c>
      <c r="F1237">
        <v>0.96761133203067295</v>
      </c>
      <c r="G1237">
        <v>7729.1093603024601</v>
      </c>
      <c r="H1237">
        <v>684.04696391748303</v>
      </c>
      <c r="I1237">
        <v>0.63944253145373797</v>
      </c>
      <c r="J1237">
        <v>0.20757138204699399</v>
      </c>
      <c r="K1237">
        <v>0.60763487222631196</v>
      </c>
      <c r="L1237" t="s">
        <v>33</v>
      </c>
      <c r="M1237" t="s">
        <v>34</v>
      </c>
      <c r="N1237" t="s">
        <v>35</v>
      </c>
      <c r="O1237">
        <v>0.68519117538899099</v>
      </c>
      <c r="P1237" t="s">
        <v>36</v>
      </c>
    </row>
    <row r="1238" spans="1:16">
      <c r="A1238">
        <v>1237</v>
      </c>
      <c r="B1238" t="s">
        <v>1296</v>
      </c>
      <c r="C1238">
        <v>139</v>
      </c>
      <c r="D1238">
        <v>131</v>
      </c>
      <c r="E1238">
        <v>99.341014399995601</v>
      </c>
      <c r="F1238">
        <v>1.06168777677214</v>
      </c>
      <c r="G1238">
        <v>7750.8094865784497</v>
      </c>
      <c r="H1238">
        <v>869.61575205305405</v>
      </c>
      <c r="I1238">
        <v>0.63196382881243296</v>
      </c>
      <c r="J1238">
        <v>0.12879592734352299</v>
      </c>
      <c r="K1238">
        <v>0.55240940244277104</v>
      </c>
      <c r="L1238" t="s">
        <v>41</v>
      </c>
      <c r="M1238" t="s">
        <v>34</v>
      </c>
      <c r="N1238" t="s">
        <v>35</v>
      </c>
      <c r="O1238">
        <v>0.69985446030210097</v>
      </c>
      <c r="P1238" t="s">
        <v>36</v>
      </c>
    </row>
    <row r="1239" spans="1:16">
      <c r="A1239">
        <v>1238</v>
      </c>
      <c r="B1239" t="s">
        <v>1297</v>
      </c>
      <c r="C1239">
        <v>152</v>
      </c>
      <c r="D1239">
        <v>156</v>
      </c>
      <c r="E1239">
        <v>99.369585025275896</v>
      </c>
      <c r="F1239">
        <v>0.96864110831360695</v>
      </c>
      <c r="G1239">
        <v>7755.2684166351601</v>
      </c>
      <c r="H1239">
        <v>1044.4915951575399</v>
      </c>
      <c r="I1239">
        <v>0.563726713634501</v>
      </c>
      <c r="J1239">
        <v>8.9329889848866306E-2</v>
      </c>
      <c r="K1239">
        <v>0.40248690594651299</v>
      </c>
      <c r="L1239" t="s">
        <v>873</v>
      </c>
      <c r="M1239" t="s">
        <v>34</v>
      </c>
      <c r="N1239" t="s">
        <v>35</v>
      </c>
      <c r="O1239">
        <v>0.71292873153563696</v>
      </c>
      <c r="P1239" t="s">
        <v>36</v>
      </c>
    </row>
    <row r="1240" spans="1:16">
      <c r="A1240">
        <v>1239</v>
      </c>
      <c r="B1240" t="s">
        <v>1298</v>
      </c>
      <c r="C1240">
        <v>111</v>
      </c>
      <c r="D1240">
        <v>111</v>
      </c>
      <c r="E1240">
        <v>99.396243532804505</v>
      </c>
      <c r="F1240">
        <v>0.99509803848237299</v>
      </c>
      <c r="G1240">
        <v>7759.4300846880897</v>
      </c>
      <c r="H1240">
        <v>449.90567837632199</v>
      </c>
      <c r="I1240">
        <v>0.58251348961002802</v>
      </c>
      <c r="J1240">
        <v>0.48172228671675998</v>
      </c>
      <c r="K1240">
        <v>0.82172763331864296</v>
      </c>
      <c r="L1240" t="s">
        <v>49</v>
      </c>
      <c r="M1240" t="s">
        <v>34</v>
      </c>
      <c r="N1240" t="s">
        <v>35</v>
      </c>
      <c r="O1240">
        <v>0.72674738222744195</v>
      </c>
      <c r="P1240" t="s">
        <v>36</v>
      </c>
    </row>
    <row r="1241" spans="1:16">
      <c r="A1241">
        <v>1240</v>
      </c>
      <c r="B1241" t="s">
        <v>1299</v>
      </c>
      <c r="C1241">
        <v>117</v>
      </c>
      <c r="D1241">
        <v>138</v>
      </c>
      <c r="E1241">
        <v>99.424798287489693</v>
      </c>
      <c r="F1241">
        <v>0.84980235342423505</v>
      </c>
      <c r="G1241">
        <v>7763.8890147448001</v>
      </c>
      <c r="H1241">
        <v>971.48336891941403</v>
      </c>
      <c r="I1241">
        <v>0.58814101659234197</v>
      </c>
      <c r="J1241">
        <v>0.10337569494488601</v>
      </c>
      <c r="K1241">
        <v>0.55602154429140105</v>
      </c>
      <c r="L1241" t="s">
        <v>49</v>
      </c>
      <c r="M1241" t="s">
        <v>34</v>
      </c>
      <c r="N1241" t="s">
        <v>35</v>
      </c>
      <c r="O1241">
        <v>0.76817359076801195</v>
      </c>
      <c r="P1241" t="s">
        <v>36</v>
      </c>
    </row>
    <row r="1242" spans="1:16">
      <c r="A1242">
        <v>1241</v>
      </c>
      <c r="B1242" t="s">
        <v>1300</v>
      </c>
      <c r="C1242">
        <v>101</v>
      </c>
      <c r="D1242">
        <v>156</v>
      </c>
      <c r="E1242">
        <v>99.495916802228095</v>
      </c>
      <c r="F1242">
        <v>0.64705880918755299</v>
      </c>
      <c r="G1242">
        <v>7775</v>
      </c>
      <c r="H1242">
        <v>556.984843015671</v>
      </c>
      <c r="I1242">
        <v>0.71660009234490696</v>
      </c>
      <c r="J1242">
        <v>0.31493687046767999</v>
      </c>
      <c r="K1242">
        <v>0.65199161425576502</v>
      </c>
      <c r="L1242" t="s">
        <v>41</v>
      </c>
      <c r="M1242" t="s">
        <v>34</v>
      </c>
      <c r="N1242" t="s">
        <v>35</v>
      </c>
      <c r="O1242">
        <v>0.76753435492099797</v>
      </c>
      <c r="P1242" t="s">
        <v>36</v>
      </c>
    </row>
    <row r="1243" spans="1:16">
      <c r="A1243">
        <v>1242</v>
      </c>
      <c r="B1243" t="s">
        <v>1301</v>
      </c>
      <c r="C1243">
        <v>169</v>
      </c>
      <c r="D1243">
        <v>85</v>
      </c>
      <c r="E1243">
        <v>99.6064049272006</v>
      </c>
      <c r="F1243">
        <v>1.9915876762747799</v>
      </c>
      <c r="G1243">
        <v>7792.2775361058602</v>
      </c>
      <c r="H1243">
        <v>874.048816087246</v>
      </c>
      <c r="I1243">
        <v>0.61621508833223704</v>
      </c>
      <c r="J1243">
        <v>0.12817487382050299</v>
      </c>
      <c r="K1243">
        <v>0.680657976734524</v>
      </c>
      <c r="L1243" t="s">
        <v>33</v>
      </c>
      <c r="M1243" t="s">
        <v>34</v>
      </c>
      <c r="N1243" t="s">
        <v>35</v>
      </c>
      <c r="O1243">
        <v>0.69794484513687505</v>
      </c>
      <c r="P1243" t="s">
        <v>36</v>
      </c>
    </row>
    <row r="1244" spans="1:16">
      <c r="A1244">
        <v>1243</v>
      </c>
      <c r="B1244" t="s">
        <v>1302</v>
      </c>
      <c r="C1244">
        <v>149</v>
      </c>
      <c r="D1244">
        <v>99</v>
      </c>
      <c r="E1244">
        <v>99.668132765785202</v>
      </c>
      <c r="F1244">
        <v>1.50656795483881</v>
      </c>
      <c r="G1244">
        <v>7801.9385512287299</v>
      </c>
      <c r="H1244">
        <v>532.07025124777897</v>
      </c>
      <c r="I1244">
        <v>0.70650256390694099</v>
      </c>
      <c r="J1244">
        <v>0.34631749720379701</v>
      </c>
      <c r="K1244">
        <v>0.75063635063635104</v>
      </c>
      <c r="L1244" t="s">
        <v>38</v>
      </c>
      <c r="M1244" t="s">
        <v>34</v>
      </c>
      <c r="N1244" t="s">
        <v>35</v>
      </c>
      <c r="O1244">
        <v>0.83249540736778505</v>
      </c>
      <c r="P1244" t="s">
        <v>36</v>
      </c>
    </row>
    <row r="1245" spans="1:16">
      <c r="A1245">
        <v>1244</v>
      </c>
      <c r="B1245" t="s">
        <v>1303</v>
      </c>
      <c r="C1245">
        <v>156</v>
      </c>
      <c r="D1245">
        <v>147</v>
      </c>
      <c r="E1245">
        <v>99.675727396250494</v>
      </c>
      <c r="F1245">
        <v>1.0669145133239299</v>
      </c>
      <c r="G1245">
        <v>7803.1275992438595</v>
      </c>
      <c r="H1245">
        <v>1088.8706380394201</v>
      </c>
      <c r="I1245">
        <v>0.53498589015902698</v>
      </c>
      <c r="J1245">
        <v>8.2703901720680095E-2</v>
      </c>
      <c r="K1245">
        <v>0.41249587504125002</v>
      </c>
      <c r="L1245" t="s">
        <v>144</v>
      </c>
      <c r="M1245" t="s">
        <v>34</v>
      </c>
      <c r="N1245" t="s">
        <v>35</v>
      </c>
      <c r="O1245">
        <v>0.70375349086139405</v>
      </c>
      <c r="P1245" t="s">
        <v>36</v>
      </c>
    </row>
    <row r="1246" spans="1:16">
      <c r="A1246">
        <v>1245</v>
      </c>
      <c r="B1246" t="s">
        <v>1304</v>
      </c>
      <c r="C1246">
        <v>201</v>
      </c>
      <c r="D1246">
        <v>73</v>
      </c>
      <c r="E1246">
        <v>99.8474015249936</v>
      </c>
      <c r="F1246">
        <v>2.7591437803758199</v>
      </c>
      <c r="G1246">
        <v>7830.0298105860102</v>
      </c>
      <c r="H1246">
        <v>557.08215880425098</v>
      </c>
      <c r="I1246">
        <v>0.56538978853017297</v>
      </c>
      <c r="J1246">
        <v>0.31705512649484002</v>
      </c>
      <c r="K1246">
        <v>0.74573560013023199</v>
      </c>
      <c r="L1246" t="s">
        <v>33</v>
      </c>
      <c r="M1246" t="s">
        <v>34</v>
      </c>
      <c r="N1246" t="s">
        <v>35</v>
      </c>
      <c r="O1246">
        <v>0.73869563013249895</v>
      </c>
      <c r="P1246" t="s">
        <v>36</v>
      </c>
    </row>
    <row r="1247" spans="1:16">
      <c r="A1247">
        <v>1246</v>
      </c>
      <c r="B1247" t="s">
        <v>1305</v>
      </c>
      <c r="C1247">
        <v>108</v>
      </c>
      <c r="D1247">
        <v>152</v>
      </c>
      <c r="E1247">
        <v>100.01215851350599</v>
      </c>
      <c r="F1247">
        <v>0.71223021582733803</v>
      </c>
      <c r="G1247">
        <v>7855.8916049149302</v>
      </c>
      <c r="H1247">
        <v>1066.0263048054901</v>
      </c>
      <c r="I1247">
        <v>0.60564693127219404</v>
      </c>
      <c r="J1247">
        <v>8.6869936469862394E-2</v>
      </c>
      <c r="K1247">
        <v>0.51662121611979395</v>
      </c>
      <c r="L1247" t="s">
        <v>41</v>
      </c>
      <c r="M1247" t="s">
        <v>34</v>
      </c>
      <c r="N1247" t="s">
        <v>35</v>
      </c>
      <c r="O1247">
        <v>0.771192108499684</v>
      </c>
      <c r="P1247" t="s">
        <v>36</v>
      </c>
    </row>
    <row r="1248" spans="1:16">
      <c r="A1248">
        <v>1247</v>
      </c>
      <c r="B1248" t="s">
        <v>1306</v>
      </c>
      <c r="C1248">
        <v>154</v>
      </c>
      <c r="D1248">
        <v>92</v>
      </c>
      <c r="E1248">
        <v>100.04715806403701</v>
      </c>
      <c r="F1248">
        <v>1.6708949885042099</v>
      </c>
      <c r="G1248">
        <v>7861.3909519848803</v>
      </c>
      <c r="H1248">
        <v>552.46523814657496</v>
      </c>
      <c r="I1248">
        <v>0.59834106433447098</v>
      </c>
      <c r="J1248">
        <v>0.32366768749181102</v>
      </c>
      <c r="K1248">
        <v>0.70599855842387704</v>
      </c>
      <c r="L1248" t="s">
        <v>33</v>
      </c>
      <c r="M1248" t="s">
        <v>34</v>
      </c>
      <c r="N1248" t="s">
        <v>35</v>
      </c>
      <c r="O1248">
        <v>0.69344537249378202</v>
      </c>
      <c r="P1248" t="s">
        <v>36</v>
      </c>
    </row>
    <row r="1249" spans="1:16">
      <c r="A1249">
        <v>1248</v>
      </c>
      <c r="B1249" t="s">
        <v>1307</v>
      </c>
      <c r="C1249">
        <v>138</v>
      </c>
      <c r="D1249">
        <v>147</v>
      </c>
      <c r="E1249">
        <v>100.19458929644099</v>
      </c>
      <c r="F1249">
        <v>0.94423791821561298</v>
      </c>
      <c r="G1249">
        <v>7884.5773882797703</v>
      </c>
      <c r="H1249">
        <v>1261.9796754741701</v>
      </c>
      <c r="I1249">
        <v>0.63618124685978905</v>
      </c>
      <c r="J1249">
        <v>6.22133465243358E-2</v>
      </c>
      <c r="K1249">
        <v>0.43666655691284501</v>
      </c>
      <c r="L1249" t="s">
        <v>33</v>
      </c>
      <c r="M1249" t="s">
        <v>34</v>
      </c>
      <c r="N1249" t="s">
        <v>35</v>
      </c>
      <c r="O1249">
        <v>0.65613370030705698</v>
      </c>
      <c r="P1249" t="s">
        <v>36</v>
      </c>
    </row>
    <row r="1250" spans="1:16">
      <c r="A1250">
        <v>1249</v>
      </c>
      <c r="B1250" t="s">
        <v>1308</v>
      </c>
      <c r="C1250">
        <v>91</v>
      </c>
      <c r="D1250">
        <v>146</v>
      </c>
      <c r="E1250">
        <v>100.21253084718001</v>
      </c>
      <c r="F1250">
        <v>0.62507708243648896</v>
      </c>
      <c r="G1250">
        <v>7887.4013773156903</v>
      </c>
      <c r="H1250">
        <v>471.873256396729</v>
      </c>
      <c r="I1250">
        <v>0.62803855143580101</v>
      </c>
      <c r="J1250">
        <v>0.44513636755602298</v>
      </c>
      <c r="K1250">
        <v>0.82009952401557795</v>
      </c>
      <c r="L1250" t="s">
        <v>38</v>
      </c>
      <c r="M1250" t="s">
        <v>34</v>
      </c>
      <c r="N1250" t="s">
        <v>35</v>
      </c>
      <c r="O1250">
        <v>0.68811606171936501</v>
      </c>
      <c r="P1250" t="s">
        <v>36</v>
      </c>
    </row>
    <row r="1251" spans="1:16">
      <c r="A1251">
        <v>1250</v>
      </c>
      <c r="B1251" t="s">
        <v>1309</v>
      </c>
      <c r="C1251">
        <v>120</v>
      </c>
      <c r="D1251">
        <v>125</v>
      </c>
      <c r="E1251">
        <v>100.23141322051001</v>
      </c>
      <c r="F1251">
        <v>0.95652173913043503</v>
      </c>
      <c r="G1251">
        <v>7890.3739973535003</v>
      </c>
      <c r="H1251">
        <v>645.29778179386403</v>
      </c>
      <c r="I1251">
        <v>0.59966893769811103</v>
      </c>
      <c r="J1251">
        <v>0.23811519405131201</v>
      </c>
      <c r="K1251">
        <v>0.68883323817927</v>
      </c>
      <c r="L1251" t="s">
        <v>38</v>
      </c>
      <c r="M1251" t="s">
        <v>34</v>
      </c>
      <c r="N1251" t="s">
        <v>35</v>
      </c>
      <c r="O1251">
        <v>0.82724292486156903</v>
      </c>
      <c r="P1251" t="s">
        <v>36</v>
      </c>
    </row>
    <row r="1252" spans="1:16">
      <c r="A1252">
        <v>1251</v>
      </c>
      <c r="B1252" t="s">
        <v>1310</v>
      </c>
      <c r="C1252">
        <v>102</v>
      </c>
      <c r="D1252">
        <v>137</v>
      </c>
      <c r="E1252">
        <v>100.399309892522</v>
      </c>
      <c r="F1252">
        <v>0.74501992031872499</v>
      </c>
      <c r="G1252">
        <v>7916.8303156899801</v>
      </c>
      <c r="H1252">
        <v>892.25970096059496</v>
      </c>
      <c r="I1252">
        <v>0.61968975615261002</v>
      </c>
      <c r="J1252">
        <v>0.124962194608782</v>
      </c>
      <c r="K1252">
        <v>0.60136836281936901</v>
      </c>
      <c r="L1252" t="s">
        <v>43</v>
      </c>
      <c r="M1252" t="s">
        <v>34</v>
      </c>
      <c r="N1252" t="s">
        <v>35</v>
      </c>
      <c r="O1252">
        <v>0.762984267439065</v>
      </c>
      <c r="P1252" t="s">
        <v>36</v>
      </c>
    </row>
    <row r="1253" spans="1:16">
      <c r="A1253">
        <v>1252</v>
      </c>
      <c r="B1253" t="s">
        <v>1311</v>
      </c>
      <c r="C1253">
        <v>152</v>
      </c>
      <c r="D1253">
        <v>133</v>
      </c>
      <c r="E1253">
        <v>100.464317968461</v>
      </c>
      <c r="F1253">
        <v>1.13934426229508</v>
      </c>
      <c r="G1253">
        <v>7927.0858548204196</v>
      </c>
      <c r="H1253">
        <v>814.58364986813604</v>
      </c>
      <c r="I1253">
        <v>0.55072049948683399</v>
      </c>
      <c r="J1253">
        <v>0.150124663977313</v>
      </c>
      <c r="K1253">
        <v>0.53454807865776699</v>
      </c>
      <c r="L1253" t="s">
        <v>38</v>
      </c>
      <c r="M1253" t="s">
        <v>34</v>
      </c>
      <c r="N1253" t="s">
        <v>35</v>
      </c>
      <c r="O1253">
        <v>0.82320016513049799</v>
      </c>
      <c r="P1253" t="s">
        <v>36</v>
      </c>
    </row>
    <row r="1254" spans="1:16">
      <c r="A1254">
        <v>1253</v>
      </c>
      <c r="B1254" t="s">
        <v>1312</v>
      </c>
      <c r="C1254">
        <v>123</v>
      </c>
      <c r="D1254">
        <v>112</v>
      </c>
      <c r="E1254">
        <v>100.734263725521</v>
      </c>
      <c r="F1254">
        <v>1.09223302337247</v>
      </c>
      <c r="G1254">
        <v>7969.7429523629498</v>
      </c>
      <c r="H1254">
        <v>674.05536402878602</v>
      </c>
      <c r="I1254">
        <v>0.66135362453431501</v>
      </c>
      <c r="J1254">
        <v>0.220426111895664</v>
      </c>
      <c r="K1254">
        <v>0.71584385763490199</v>
      </c>
      <c r="L1254" t="s">
        <v>74</v>
      </c>
      <c r="M1254" t="s">
        <v>34</v>
      </c>
      <c r="N1254" t="s">
        <v>35</v>
      </c>
      <c r="O1254">
        <v>0.65314222577790304</v>
      </c>
      <c r="P1254" t="s">
        <v>36</v>
      </c>
    </row>
    <row r="1255" spans="1:16">
      <c r="A1255">
        <v>1254</v>
      </c>
      <c r="B1255" t="s">
        <v>1313</v>
      </c>
      <c r="C1255">
        <v>120</v>
      </c>
      <c r="D1255">
        <v>166</v>
      </c>
      <c r="E1255">
        <v>100.741777983498</v>
      </c>
      <c r="F1255">
        <v>0.72270935256771696</v>
      </c>
      <c r="G1255">
        <v>7970.9320003780704</v>
      </c>
      <c r="H1255">
        <v>790.07431935776799</v>
      </c>
      <c r="I1255">
        <v>0.61375320236113795</v>
      </c>
      <c r="J1255">
        <v>0.16046601845317399</v>
      </c>
      <c r="K1255">
        <v>0.54543697812312497</v>
      </c>
      <c r="L1255" t="s">
        <v>33</v>
      </c>
      <c r="M1255" t="s">
        <v>34</v>
      </c>
      <c r="N1255" t="s">
        <v>35</v>
      </c>
      <c r="O1255">
        <v>0.69889785761052103</v>
      </c>
      <c r="P1255" t="s">
        <v>36</v>
      </c>
    </row>
    <row r="1256" spans="1:16">
      <c r="A1256">
        <v>1255</v>
      </c>
      <c r="B1256" t="s">
        <v>1314</v>
      </c>
      <c r="C1256">
        <v>122</v>
      </c>
      <c r="D1256">
        <v>132</v>
      </c>
      <c r="E1256">
        <v>100.97912792839401</v>
      </c>
      <c r="F1256">
        <v>0.92148760330578505</v>
      </c>
      <c r="G1256">
        <v>8008.5356438563304</v>
      </c>
      <c r="H1256">
        <v>1047.01454317051</v>
      </c>
      <c r="I1256">
        <v>0.57464496799438403</v>
      </c>
      <c r="J1256">
        <v>9.1803142687068406E-2</v>
      </c>
      <c r="K1256">
        <v>0.53949436795994998</v>
      </c>
      <c r="L1256" t="s">
        <v>47</v>
      </c>
      <c r="M1256" t="s">
        <v>34</v>
      </c>
      <c r="N1256" t="s">
        <v>35</v>
      </c>
      <c r="O1256">
        <v>0.93838401839969399</v>
      </c>
      <c r="P1256" t="s">
        <v>36</v>
      </c>
    </row>
    <row r="1257" spans="1:16">
      <c r="A1257">
        <v>1256</v>
      </c>
      <c r="B1257" t="s">
        <v>1315</v>
      </c>
      <c r="C1257">
        <v>149</v>
      </c>
      <c r="D1257">
        <v>161</v>
      </c>
      <c r="E1257">
        <v>101.027842233596</v>
      </c>
      <c r="F1257">
        <v>0.92229728127500799</v>
      </c>
      <c r="G1257">
        <v>8016.2644559546297</v>
      </c>
      <c r="H1257">
        <v>1383.3545055571799</v>
      </c>
      <c r="I1257">
        <v>0.56739736887848102</v>
      </c>
      <c r="J1257">
        <v>5.26398838449137E-2</v>
      </c>
      <c r="K1257">
        <v>0.435418634503136</v>
      </c>
      <c r="L1257" t="s">
        <v>41</v>
      </c>
      <c r="M1257" t="s">
        <v>34</v>
      </c>
      <c r="N1257" t="s">
        <v>35</v>
      </c>
      <c r="O1257">
        <v>0.75200656919224196</v>
      </c>
      <c r="P1257" t="s">
        <v>36</v>
      </c>
    </row>
    <row r="1258" spans="1:16">
      <c r="A1258">
        <v>1257</v>
      </c>
      <c r="B1258" t="s">
        <v>1316</v>
      </c>
      <c r="C1258">
        <v>142</v>
      </c>
      <c r="D1258">
        <v>164</v>
      </c>
      <c r="E1258">
        <v>101.250504735736</v>
      </c>
      <c r="F1258">
        <v>0.86378734779481603</v>
      </c>
      <c r="G1258">
        <v>8051.6386344045404</v>
      </c>
      <c r="H1258">
        <v>1464.95002516912</v>
      </c>
      <c r="I1258">
        <v>0.59919676695967306</v>
      </c>
      <c r="J1258">
        <v>4.7146398204090202E-2</v>
      </c>
      <c r="K1258">
        <v>0.45003073753468398</v>
      </c>
      <c r="L1258" t="s">
        <v>74</v>
      </c>
      <c r="M1258" t="s">
        <v>34</v>
      </c>
      <c r="N1258" t="s">
        <v>35</v>
      </c>
      <c r="O1258">
        <v>0.73245822038543995</v>
      </c>
      <c r="P1258" t="s">
        <v>36</v>
      </c>
    </row>
    <row r="1259" spans="1:16">
      <c r="A1259">
        <v>1258</v>
      </c>
      <c r="B1259" t="s">
        <v>1317</v>
      </c>
      <c r="C1259">
        <v>122</v>
      </c>
      <c r="D1259">
        <v>119</v>
      </c>
      <c r="E1259">
        <v>101.31963620918</v>
      </c>
      <c r="F1259">
        <v>1.0246729455707799</v>
      </c>
      <c r="G1259">
        <v>8062.6373285444197</v>
      </c>
      <c r="H1259">
        <v>623.51178362286601</v>
      </c>
      <c r="I1259">
        <v>0.54341055341574795</v>
      </c>
      <c r="J1259">
        <v>0.26061394951612399</v>
      </c>
      <c r="K1259">
        <v>0.71124572237737504</v>
      </c>
      <c r="L1259" t="s">
        <v>43</v>
      </c>
      <c r="M1259" t="s">
        <v>34</v>
      </c>
      <c r="N1259" t="s">
        <v>35</v>
      </c>
      <c r="O1259">
        <v>0.77474658803748597</v>
      </c>
      <c r="P1259" t="s">
        <v>36</v>
      </c>
    </row>
    <row r="1260" spans="1:16">
      <c r="A1260">
        <v>1259</v>
      </c>
      <c r="B1260" t="s">
        <v>1318</v>
      </c>
      <c r="C1260">
        <v>147</v>
      </c>
      <c r="D1260">
        <v>142</v>
      </c>
      <c r="E1260">
        <v>101.330842274161</v>
      </c>
      <c r="F1260">
        <v>1.0346153927413699</v>
      </c>
      <c r="G1260">
        <v>8064.42090056711</v>
      </c>
      <c r="H1260">
        <v>1032.0717301847601</v>
      </c>
      <c r="I1260">
        <v>0.57495394020502899</v>
      </c>
      <c r="J1260">
        <v>9.5140030413313703E-2</v>
      </c>
      <c r="K1260">
        <v>0.56086996971231895</v>
      </c>
      <c r="L1260" t="s">
        <v>47</v>
      </c>
      <c r="M1260" t="s">
        <v>34</v>
      </c>
      <c r="N1260" t="s">
        <v>35</v>
      </c>
      <c r="O1260">
        <v>0.92211046747634096</v>
      </c>
      <c r="P1260" t="s">
        <v>36</v>
      </c>
    </row>
    <row r="1261" spans="1:16">
      <c r="A1261">
        <v>1260</v>
      </c>
      <c r="B1261" t="s">
        <v>1319</v>
      </c>
      <c r="C1261">
        <v>145</v>
      </c>
      <c r="D1261">
        <v>122</v>
      </c>
      <c r="E1261">
        <v>101.42884253137601</v>
      </c>
      <c r="F1261">
        <v>1.1883097119573101</v>
      </c>
      <c r="G1261">
        <v>8080.0271557655997</v>
      </c>
      <c r="H1261">
        <v>984.85035832332505</v>
      </c>
      <c r="I1261">
        <v>0.60865791934901703</v>
      </c>
      <c r="J1261">
        <v>0.104684453429698</v>
      </c>
      <c r="K1261">
        <v>0.59195740232588501</v>
      </c>
      <c r="L1261" t="s">
        <v>144</v>
      </c>
      <c r="M1261" t="s">
        <v>34</v>
      </c>
      <c r="N1261" t="s">
        <v>35</v>
      </c>
      <c r="O1261">
        <v>0.69549068626531396</v>
      </c>
      <c r="P1261" t="s">
        <v>36</v>
      </c>
    </row>
    <row r="1262" spans="1:16">
      <c r="A1262">
        <v>1261</v>
      </c>
      <c r="B1262" t="s">
        <v>1320</v>
      </c>
      <c r="C1262">
        <v>142</v>
      </c>
      <c r="D1262">
        <v>171</v>
      </c>
      <c r="E1262">
        <v>101.495055746408</v>
      </c>
      <c r="F1262">
        <v>0.82802547770700596</v>
      </c>
      <c r="G1262">
        <v>8090.57995689981</v>
      </c>
      <c r="H1262">
        <v>1061.87435223994</v>
      </c>
      <c r="I1262">
        <v>0.56951654062220802</v>
      </c>
      <c r="J1262">
        <v>9.0166093850101298E-2</v>
      </c>
      <c r="K1262">
        <v>0.47403988504746097</v>
      </c>
      <c r="L1262" t="s">
        <v>38</v>
      </c>
      <c r="M1262" t="s">
        <v>34</v>
      </c>
      <c r="N1262" t="s">
        <v>35</v>
      </c>
      <c r="O1262">
        <v>0.709839640544488</v>
      </c>
      <c r="P1262" t="s">
        <v>36</v>
      </c>
    </row>
    <row r="1263" spans="1:16">
      <c r="A1263">
        <v>1262</v>
      </c>
      <c r="B1263" t="s">
        <v>1321</v>
      </c>
      <c r="C1263">
        <v>186</v>
      </c>
      <c r="D1263">
        <v>78</v>
      </c>
      <c r="E1263">
        <v>101.496920281873</v>
      </c>
      <c r="F1263">
        <v>2.3648658490239001</v>
      </c>
      <c r="G1263">
        <v>8090.8772189035899</v>
      </c>
      <c r="H1263">
        <v>619.33713357614397</v>
      </c>
      <c r="I1263">
        <v>0.462724156855572</v>
      </c>
      <c r="J1263">
        <v>0.26506429765225997</v>
      </c>
      <c r="K1263">
        <v>0.71654600500197496</v>
      </c>
      <c r="L1263" t="s">
        <v>38</v>
      </c>
      <c r="M1263" t="s">
        <v>34</v>
      </c>
      <c r="N1263" t="s">
        <v>35</v>
      </c>
      <c r="O1263">
        <v>0.70940523840871805</v>
      </c>
      <c r="P1263" t="s">
        <v>36</v>
      </c>
    </row>
    <row r="1264" spans="1:16">
      <c r="A1264">
        <v>1263</v>
      </c>
      <c r="B1264" t="s">
        <v>1322</v>
      </c>
      <c r="C1264">
        <v>152</v>
      </c>
      <c r="D1264">
        <v>121</v>
      </c>
      <c r="E1264">
        <v>101.502513682765</v>
      </c>
      <c r="F1264">
        <v>1.26201217295472</v>
      </c>
      <c r="G1264">
        <v>8091.7690049149396</v>
      </c>
      <c r="H1264">
        <v>618.44708311993099</v>
      </c>
      <c r="I1264">
        <v>0.67607923857598096</v>
      </c>
      <c r="J1264">
        <v>0.26585709165098598</v>
      </c>
      <c r="K1264">
        <v>0.62742160399211699</v>
      </c>
      <c r="L1264" t="s">
        <v>33</v>
      </c>
      <c r="M1264" t="s">
        <v>34</v>
      </c>
      <c r="N1264" t="s">
        <v>35</v>
      </c>
      <c r="O1264">
        <v>0.64983917573676897</v>
      </c>
      <c r="P1264" t="s">
        <v>36</v>
      </c>
    </row>
    <row r="1265" spans="1:16">
      <c r="A1265">
        <v>1264</v>
      </c>
      <c r="B1265" t="s">
        <v>1323</v>
      </c>
      <c r="C1265">
        <v>162</v>
      </c>
      <c r="D1265">
        <v>121</v>
      </c>
      <c r="E1265">
        <v>101.61338585714201</v>
      </c>
      <c r="F1265">
        <v>1.3321652969881199</v>
      </c>
      <c r="G1265">
        <v>8109.4560941398904</v>
      </c>
      <c r="H1265">
        <v>897.570180752277</v>
      </c>
      <c r="I1265">
        <v>0.60338362918629496</v>
      </c>
      <c r="J1265">
        <v>0.126492495016998</v>
      </c>
      <c r="K1265">
        <v>0.55648936712733998</v>
      </c>
      <c r="L1265" t="s">
        <v>74</v>
      </c>
      <c r="M1265" t="s">
        <v>34</v>
      </c>
      <c r="N1265" t="s">
        <v>35</v>
      </c>
      <c r="O1265">
        <v>0.71430158112793196</v>
      </c>
      <c r="P1265" t="s">
        <v>36</v>
      </c>
    </row>
    <row r="1266" spans="1:16">
      <c r="A1266">
        <v>1265</v>
      </c>
      <c r="B1266" t="s">
        <v>1324</v>
      </c>
      <c r="C1266">
        <v>94</v>
      </c>
      <c r="D1266">
        <v>174</v>
      </c>
      <c r="E1266">
        <v>101.71390472901901</v>
      </c>
      <c r="F1266">
        <v>0.54070897992415401</v>
      </c>
      <c r="G1266">
        <v>8125.5082423440499</v>
      </c>
      <c r="H1266">
        <v>810.68298582564205</v>
      </c>
      <c r="I1266">
        <v>0.70265332903225397</v>
      </c>
      <c r="J1266">
        <v>0.15536682201362501</v>
      </c>
      <c r="K1266">
        <v>0.62853825105199002</v>
      </c>
      <c r="L1266" t="s">
        <v>33</v>
      </c>
      <c r="M1266" t="s">
        <v>34</v>
      </c>
      <c r="N1266" t="s">
        <v>35</v>
      </c>
      <c r="O1266">
        <v>0.77198948643128396</v>
      </c>
      <c r="P1266" t="s">
        <v>36</v>
      </c>
    </row>
    <row r="1267" spans="1:16">
      <c r="A1267">
        <v>1266</v>
      </c>
      <c r="B1267" t="s">
        <v>1325</v>
      </c>
      <c r="C1267">
        <v>134</v>
      </c>
      <c r="D1267">
        <v>126</v>
      </c>
      <c r="E1267">
        <v>101.749248863335</v>
      </c>
      <c r="F1267">
        <v>1.0697730617721699</v>
      </c>
      <c r="G1267">
        <v>8131.1562204158799</v>
      </c>
      <c r="H1267">
        <v>679.921601837303</v>
      </c>
      <c r="I1267">
        <v>0.65146914251947197</v>
      </c>
      <c r="J1267">
        <v>0.22102657313052701</v>
      </c>
      <c r="K1267">
        <v>0.634012075979</v>
      </c>
      <c r="L1267" t="s">
        <v>830</v>
      </c>
      <c r="M1267" t="s">
        <v>34</v>
      </c>
      <c r="N1267" t="s">
        <v>35</v>
      </c>
      <c r="O1267">
        <v>0.64474036093319498</v>
      </c>
      <c r="P1267" t="s">
        <v>36</v>
      </c>
    </row>
    <row r="1268" spans="1:16">
      <c r="A1268">
        <v>1267</v>
      </c>
      <c r="B1268" t="s">
        <v>1326</v>
      </c>
      <c r="C1268">
        <v>166</v>
      </c>
      <c r="D1268">
        <v>117</v>
      </c>
      <c r="E1268">
        <v>101.753898493368</v>
      </c>
      <c r="F1268">
        <v>1.42523364485981</v>
      </c>
      <c r="G1268">
        <v>8131.8993754253297</v>
      </c>
      <c r="H1268">
        <v>1464.0466794702299</v>
      </c>
      <c r="I1268">
        <v>0.65436922549837995</v>
      </c>
      <c r="J1268">
        <v>4.7675143856679598E-2</v>
      </c>
      <c r="K1268">
        <v>0.47466273370060302</v>
      </c>
      <c r="L1268" t="s">
        <v>41</v>
      </c>
      <c r="M1268" t="s">
        <v>34</v>
      </c>
      <c r="N1268" t="s">
        <v>35</v>
      </c>
      <c r="O1268">
        <v>0.72368934943988705</v>
      </c>
      <c r="P1268" t="s">
        <v>36</v>
      </c>
    </row>
    <row r="1269" spans="1:16">
      <c r="A1269">
        <v>1268</v>
      </c>
      <c r="B1269" t="s">
        <v>1327</v>
      </c>
      <c r="C1269">
        <v>129</v>
      </c>
      <c r="D1269">
        <v>152</v>
      </c>
      <c r="E1269">
        <v>101.79201744849701</v>
      </c>
      <c r="F1269">
        <v>0.85131261119750001</v>
      </c>
      <c r="G1269">
        <v>8137.9932465028396</v>
      </c>
      <c r="H1269">
        <v>766.09804938306002</v>
      </c>
      <c r="I1269">
        <v>0.56558814826961501</v>
      </c>
      <c r="J1269">
        <v>0.17424425825930501</v>
      </c>
      <c r="K1269">
        <v>0.53451457021525794</v>
      </c>
      <c r="L1269" t="s">
        <v>49</v>
      </c>
      <c r="M1269" t="s">
        <v>34</v>
      </c>
      <c r="N1269" t="s">
        <v>35</v>
      </c>
      <c r="O1269">
        <v>0.81968298606716605</v>
      </c>
      <c r="P1269" t="s">
        <v>36</v>
      </c>
    </row>
    <row r="1270" spans="1:16">
      <c r="A1270">
        <v>1269</v>
      </c>
      <c r="B1270" t="s">
        <v>1328</v>
      </c>
      <c r="C1270">
        <v>124</v>
      </c>
      <c r="D1270">
        <v>137</v>
      </c>
      <c r="E1270">
        <v>101.94806333745299</v>
      </c>
      <c r="F1270">
        <v>0.904382470119522</v>
      </c>
      <c r="G1270">
        <v>8162.9632548204199</v>
      </c>
      <c r="H1270">
        <v>756.61291954465503</v>
      </c>
      <c r="I1270">
        <v>0.57295736367405903</v>
      </c>
      <c r="J1270">
        <v>0.17918852721801901</v>
      </c>
      <c r="K1270">
        <v>0.63671354208933795</v>
      </c>
      <c r="L1270" t="s">
        <v>49</v>
      </c>
      <c r="M1270" t="s">
        <v>34</v>
      </c>
      <c r="N1270" t="s">
        <v>35</v>
      </c>
      <c r="O1270">
        <v>0.69905406751721599</v>
      </c>
      <c r="P1270" t="s">
        <v>36</v>
      </c>
    </row>
    <row r="1271" spans="1:16">
      <c r="A1271">
        <v>1270</v>
      </c>
      <c r="B1271" t="s">
        <v>1329</v>
      </c>
      <c r="C1271">
        <v>86</v>
      </c>
      <c r="D1271">
        <v>180</v>
      </c>
      <c r="E1271">
        <v>101.949919587981</v>
      </c>
      <c r="F1271">
        <v>0.47691408862075602</v>
      </c>
      <c r="G1271">
        <v>8163.2605168241998</v>
      </c>
      <c r="H1271">
        <v>510.11596847005501</v>
      </c>
      <c r="I1271">
        <v>0.69822788447400497</v>
      </c>
      <c r="J1271">
        <v>0.39421730357999502</v>
      </c>
      <c r="K1271">
        <v>0.73315712893623297</v>
      </c>
      <c r="L1271" t="s">
        <v>33</v>
      </c>
      <c r="M1271" t="s">
        <v>34</v>
      </c>
      <c r="N1271" t="s">
        <v>35</v>
      </c>
      <c r="O1271">
        <v>0.76150413984433896</v>
      </c>
      <c r="P1271" t="s">
        <v>36</v>
      </c>
    </row>
    <row r="1272" spans="1:16">
      <c r="A1272">
        <v>1271</v>
      </c>
      <c r="B1272" t="s">
        <v>1330</v>
      </c>
      <c r="C1272">
        <v>110</v>
      </c>
      <c r="D1272">
        <v>225</v>
      </c>
      <c r="E1272">
        <v>101.95270390040299</v>
      </c>
      <c r="F1272">
        <v>0.48910411461251302</v>
      </c>
      <c r="G1272">
        <v>8163.7064098298697</v>
      </c>
      <c r="H1272">
        <v>1760.42024230211</v>
      </c>
      <c r="I1272">
        <v>0.771024457749792</v>
      </c>
      <c r="J1272">
        <v>3.3102785090300499E-2</v>
      </c>
      <c r="K1272">
        <v>0.42110831697742901</v>
      </c>
      <c r="L1272" t="s">
        <v>188</v>
      </c>
      <c r="M1272" t="s">
        <v>34</v>
      </c>
      <c r="N1272" t="s">
        <v>35</v>
      </c>
      <c r="O1272">
        <v>0.64929154537723299</v>
      </c>
      <c r="P1272" t="s">
        <v>36</v>
      </c>
    </row>
    <row r="1273" spans="1:16">
      <c r="A1273">
        <v>1272</v>
      </c>
      <c r="B1273" t="s">
        <v>1331</v>
      </c>
      <c r="C1273">
        <v>99</v>
      </c>
      <c r="D1273">
        <v>115</v>
      </c>
      <c r="E1273">
        <v>102.06679531322899</v>
      </c>
      <c r="F1273">
        <v>0.863915567531368</v>
      </c>
      <c r="G1273">
        <v>8181.9880230623803</v>
      </c>
      <c r="H1273">
        <v>487.13934335325098</v>
      </c>
      <c r="I1273">
        <v>0.679370245408488</v>
      </c>
      <c r="J1273">
        <v>0.43327366292064501</v>
      </c>
      <c r="K1273">
        <v>0.80203097454725603</v>
      </c>
      <c r="L1273" t="s">
        <v>38</v>
      </c>
      <c r="M1273" t="s">
        <v>34</v>
      </c>
      <c r="N1273" t="s">
        <v>35</v>
      </c>
      <c r="O1273">
        <v>0.78588181156940595</v>
      </c>
      <c r="P1273" t="s">
        <v>36</v>
      </c>
    </row>
    <row r="1274" spans="1:16">
      <c r="A1274">
        <v>1273</v>
      </c>
      <c r="B1274" t="s">
        <v>1332</v>
      </c>
      <c r="C1274">
        <v>180</v>
      </c>
      <c r="D1274">
        <v>95</v>
      </c>
      <c r="E1274">
        <v>102.208536162578</v>
      </c>
      <c r="F1274">
        <v>1.8886664096822201</v>
      </c>
      <c r="G1274">
        <v>8204.7285663516104</v>
      </c>
      <c r="H1274">
        <v>658.46989610568301</v>
      </c>
      <c r="I1274">
        <v>0.57018640490851202</v>
      </c>
      <c r="J1274">
        <v>0.23779473388785199</v>
      </c>
      <c r="K1274">
        <v>0.67616364527192596</v>
      </c>
      <c r="L1274" t="s">
        <v>33</v>
      </c>
      <c r="M1274" t="s">
        <v>34</v>
      </c>
      <c r="N1274" t="s">
        <v>35</v>
      </c>
      <c r="O1274">
        <v>0.72060706430401</v>
      </c>
      <c r="P1274" t="s">
        <v>36</v>
      </c>
    </row>
    <row r="1275" spans="1:16">
      <c r="A1275">
        <v>1274</v>
      </c>
      <c r="B1275" t="s">
        <v>1333</v>
      </c>
      <c r="C1275">
        <v>117</v>
      </c>
      <c r="D1275">
        <v>140</v>
      </c>
      <c r="E1275">
        <v>102.28627114871399</v>
      </c>
      <c r="F1275">
        <v>0.84112216647262406</v>
      </c>
      <c r="G1275">
        <v>8217.2135705103992</v>
      </c>
      <c r="H1275">
        <v>749.23278081956096</v>
      </c>
      <c r="I1275">
        <v>0.77652763127747304</v>
      </c>
      <c r="J1275">
        <v>0.183950468191381</v>
      </c>
      <c r="K1275">
        <v>0.71388358039357502</v>
      </c>
      <c r="L1275" t="s">
        <v>33</v>
      </c>
      <c r="M1275" t="s">
        <v>34</v>
      </c>
      <c r="N1275" t="s">
        <v>35</v>
      </c>
      <c r="O1275">
        <v>0.73315066657266703</v>
      </c>
      <c r="P1275" t="s">
        <v>36</v>
      </c>
    </row>
    <row r="1276" spans="1:16">
      <c r="A1276">
        <v>1275</v>
      </c>
      <c r="B1276" t="s">
        <v>1334</v>
      </c>
      <c r="C1276">
        <v>183</v>
      </c>
      <c r="D1276">
        <v>95</v>
      </c>
      <c r="E1276">
        <v>102.314944140398</v>
      </c>
      <c r="F1276">
        <v>1.9327037756918</v>
      </c>
      <c r="G1276">
        <v>8221.8211315690005</v>
      </c>
      <c r="H1276">
        <v>681.90208707612499</v>
      </c>
      <c r="I1276">
        <v>0.68544818343743996</v>
      </c>
      <c r="J1276">
        <v>0.22219477851938499</v>
      </c>
      <c r="K1276">
        <v>0.67204052871999198</v>
      </c>
      <c r="L1276" t="s">
        <v>38</v>
      </c>
      <c r="M1276" t="s">
        <v>34</v>
      </c>
      <c r="N1276" t="s">
        <v>35</v>
      </c>
      <c r="O1276">
        <v>0.65430056163478401</v>
      </c>
      <c r="P1276" t="s">
        <v>36</v>
      </c>
    </row>
    <row r="1277" spans="1:16">
      <c r="A1277">
        <v>1276</v>
      </c>
      <c r="B1277" t="s">
        <v>1335</v>
      </c>
      <c r="C1277">
        <v>137</v>
      </c>
      <c r="D1277">
        <v>101</v>
      </c>
      <c r="E1277">
        <v>102.327890599882</v>
      </c>
      <c r="F1277">
        <v>1.357640696989</v>
      </c>
      <c r="G1277">
        <v>8223.9019655954598</v>
      </c>
      <c r="H1277">
        <v>561.67638198075099</v>
      </c>
      <c r="I1277">
        <v>0.58326044746056704</v>
      </c>
      <c r="J1277">
        <v>0.32757855552853599</v>
      </c>
      <c r="K1277">
        <v>0.75424964898649105</v>
      </c>
      <c r="L1277" t="s">
        <v>47</v>
      </c>
      <c r="M1277" t="s">
        <v>34</v>
      </c>
      <c r="N1277" t="s">
        <v>35</v>
      </c>
      <c r="O1277">
        <v>0.94716967278596798</v>
      </c>
      <c r="P1277" t="s">
        <v>36</v>
      </c>
    </row>
    <row r="1278" spans="1:16">
      <c r="A1278">
        <v>1277</v>
      </c>
      <c r="B1278" t="s">
        <v>1336</v>
      </c>
      <c r="C1278">
        <v>195</v>
      </c>
      <c r="D1278">
        <v>145</v>
      </c>
      <c r="E1278">
        <v>102.387053567572</v>
      </c>
      <c r="F1278">
        <v>1.3392759806111401</v>
      </c>
      <c r="G1278">
        <v>8233.4143497164496</v>
      </c>
      <c r="H1278">
        <v>1462.0755964698999</v>
      </c>
      <c r="I1278">
        <v>0.59681479008596705</v>
      </c>
      <c r="J1278">
        <v>4.8400536908318602E-2</v>
      </c>
      <c r="K1278">
        <v>0.38827635996607501</v>
      </c>
      <c r="L1278" t="s">
        <v>33</v>
      </c>
      <c r="M1278" t="s">
        <v>34</v>
      </c>
      <c r="N1278" t="s">
        <v>35</v>
      </c>
      <c r="O1278">
        <v>0.73985744815500998</v>
      </c>
      <c r="P1278" t="s">
        <v>36</v>
      </c>
    </row>
    <row r="1279" spans="1:16">
      <c r="A1279">
        <v>1278</v>
      </c>
      <c r="B1279" t="s">
        <v>1337</v>
      </c>
      <c r="C1279">
        <v>84</v>
      </c>
      <c r="D1279">
        <v>187</v>
      </c>
      <c r="E1279">
        <v>102.399990910241</v>
      </c>
      <c r="F1279">
        <v>0.44887029426153202</v>
      </c>
      <c r="G1279">
        <v>8235.4951837429107</v>
      </c>
      <c r="H1279">
        <v>586.865976382442</v>
      </c>
      <c r="I1279">
        <v>0.76021915267142204</v>
      </c>
      <c r="J1279">
        <v>0.300484253042405</v>
      </c>
      <c r="K1279">
        <v>0.75194061448268401</v>
      </c>
      <c r="L1279" t="s">
        <v>47</v>
      </c>
      <c r="M1279" t="s">
        <v>34</v>
      </c>
      <c r="N1279" t="s">
        <v>35</v>
      </c>
      <c r="O1279">
        <v>0.88908775395893702</v>
      </c>
      <c r="P1279" t="s">
        <v>36</v>
      </c>
    </row>
    <row r="1280" spans="1:16">
      <c r="A1280">
        <v>1279</v>
      </c>
      <c r="B1280" t="s">
        <v>1338</v>
      </c>
      <c r="C1280">
        <v>162</v>
      </c>
      <c r="D1280">
        <v>119</v>
      </c>
      <c r="E1280">
        <v>102.493276209733</v>
      </c>
      <c r="F1280">
        <v>1.36009080405107</v>
      </c>
      <c r="G1280">
        <v>8250.5069149338397</v>
      </c>
      <c r="H1280">
        <v>766.97642082670495</v>
      </c>
      <c r="I1280">
        <v>0.63384740908677395</v>
      </c>
      <c r="J1280">
        <v>0.176248922816124</v>
      </c>
      <c r="K1280">
        <v>0.63800197687515803</v>
      </c>
      <c r="L1280" t="s">
        <v>38</v>
      </c>
      <c r="M1280" t="s">
        <v>34</v>
      </c>
      <c r="N1280" t="s">
        <v>35</v>
      </c>
      <c r="O1280">
        <v>0.70665828610300196</v>
      </c>
      <c r="P1280" t="s">
        <v>36</v>
      </c>
    </row>
    <row r="1281" spans="1:16">
      <c r="A1281">
        <v>1280</v>
      </c>
      <c r="B1281" t="s">
        <v>1339</v>
      </c>
      <c r="C1281">
        <v>135</v>
      </c>
      <c r="D1281">
        <v>129</v>
      </c>
      <c r="E1281">
        <v>102.533888809742</v>
      </c>
      <c r="F1281">
        <v>1.0477086185622699</v>
      </c>
      <c r="G1281">
        <v>8257.0466790170103</v>
      </c>
      <c r="H1281">
        <v>739.93701683894506</v>
      </c>
      <c r="I1281">
        <v>0.51308071015106205</v>
      </c>
      <c r="J1281">
        <v>0.18951565689118699</v>
      </c>
      <c r="K1281">
        <v>0.588389802683839</v>
      </c>
      <c r="L1281" t="s">
        <v>38</v>
      </c>
      <c r="M1281" t="s">
        <v>34</v>
      </c>
      <c r="N1281" t="s">
        <v>35</v>
      </c>
      <c r="O1281">
        <v>0.74178413944504795</v>
      </c>
      <c r="P1281" t="s">
        <v>36</v>
      </c>
    </row>
    <row r="1282" spans="1:16">
      <c r="A1282">
        <v>1281</v>
      </c>
      <c r="B1282" t="s">
        <v>1340</v>
      </c>
      <c r="C1282">
        <v>111</v>
      </c>
      <c r="D1282">
        <v>110</v>
      </c>
      <c r="E1282">
        <v>102.669455322497</v>
      </c>
      <c r="F1282">
        <v>1.00936311067375</v>
      </c>
      <c r="G1282">
        <v>8278.8954362949007</v>
      </c>
      <c r="H1282">
        <v>550.11997697881998</v>
      </c>
      <c r="I1282">
        <v>0.61134843386319204</v>
      </c>
      <c r="J1282">
        <v>0.34376956860809499</v>
      </c>
      <c r="K1282">
        <v>0.79021961184882505</v>
      </c>
      <c r="L1282" t="s">
        <v>49</v>
      </c>
      <c r="M1282" t="s">
        <v>34</v>
      </c>
      <c r="N1282" t="s">
        <v>35</v>
      </c>
      <c r="O1282">
        <v>0.79242347393193002</v>
      </c>
      <c r="P1282" t="s">
        <v>36</v>
      </c>
    </row>
    <row r="1283" spans="1:16">
      <c r="A1283">
        <v>1282</v>
      </c>
      <c r="B1283" t="s">
        <v>1341</v>
      </c>
      <c r="C1283">
        <v>189</v>
      </c>
      <c r="D1283">
        <v>108</v>
      </c>
      <c r="E1283">
        <v>102.907876080191</v>
      </c>
      <c r="F1283">
        <v>1.75617645575348</v>
      </c>
      <c r="G1283">
        <v>8317.3908657845004</v>
      </c>
      <c r="H1283">
        <v>739.62703811085703</v>
      </c>
      <c r="I1283">
        <v>0.63398476838404105</v>
      </c>
      <c r="J1283">
        <v>0.191060723104928</v>
      </c>
      <c r="K1283">
        <v>0.62227559825638301</v>
      </c>
      <c r="L1283" t="s">
        <v>38</v>
      </c>
      <c r="M1283" t="s">
        <v>34</v>
      </c>
      <c r="N1283" t="s">
        <v>35</v>
      </c>
      <c r="O1283">
        <v>0.809086664435965</v>
      </c>
      <c r="P1283" t="s">
        <v>36</v>
      </c>
    </row>
    <row r="1284" spans="1:16">
      <c r="A1284">
        <v>1283</v>
      </c>
      <c r="B1284" t="s">
        <v>1342</v>
      </c>
      <c r="C1284">
        <v>112</v>
      </c>
      <c r="D1284">
        <v>119</v>
      </c>
      <c r="E1284">
        <v>103.025501923509</v>
      </c>
      <c r="F1284">
        <v>0.94036697247706402</v>
      </c>
      <c r="G1284">
        <v>8336.4156340264708</v>
      </c>
      <c r="H1284">
        <v>550.768141150475</v>
      </c>
      <c r="I1284">
        <v>0.57537094387944898</v>
      </c>
      <c r="J1284">
        <v>0.34534375095806602</v>
      </c>
      <c r="K1284">
        <v>0.774182862190813</v>
      </c>
      <c r="L1284" t="s">
        <v>74</v>
      </c>
      <c r="M1284" t="s">
        <v>34</v>
      </c>
      <c r="N1284" t="s">
        <v>35</v>
      </c>
      <c r="O1284">
        <v>0.71857460743156498</v>
      </c>
      <c r="P1284" t="s">
        <v>36</v>
      </c>
    </row>
    <row r="1285" spans="1:16">
      <c r="A1285">
        <v>1284</v>
      </c>
      <c r="B1285" t="s">
        <v>1343</v>
      </c>
      <c r="C1285">
        <v>129</v>
      </c>
      <c r="D1285">
        <v>114</v>
      </c>
      <c r="E1285">
        <v>103.105374138353</v>
      </c>
      <c r="F1285">
        <v>1.13221877159399</v>
      </c>
      <c r="G1285">
        <v>8349.3465311909295</v>
      </c>
      <c r="H1285">
        <v>541.06771551287704</v>
      </c>
      <c r="I1285">
        <v>0.58153675359766499</v>
      </c>
      <c r="J1285">
        <v>0.358392661209675</v>
      </c>
      <c r="K1285">
        <v>0.76131296840906904</v>
      </c>
      <c r="L1285" t="s">
        <v>33</v>
      </c>
      <c r="M1285" t="s">
        <v>34</v>
      </c>
      <c r="N1285" t="s">
        <v>35</v>
      </c>
      <c r="O1285">
        <v>0.70796746474094496</v>
      </c>
      <c r="P1285" t="s">
        <v>36</v>
      </c>
    </row>
    <row r="1286" spans="1:16">
      <c r="A1286">
        <v>1285</v>
      </c>
      <c r="B1286" t="s">
        <v>1344</v>
      </c>
      <c r="C1286">
        <v>123</v>
      </c>
      <c r="D1286">
        <v>156</v>
      </c>
      <c r="E1286">
        <v>103.12280926509</v>
      </c>
      <c r="F1286">
        <v>0.78392390690309699</v>
      </c>
      <c r="G1286">
        <v>8352.1705202268404</v>
      </c>
      <c r="H1286">
        <v>655.33477664491397</v>
      </c>
      <c r="I1286">
        <v>0.59684693572719205</v>
      </c>
      <c r="J1286">
        <v>0.24438963677304701</v>
      </c>
      <c r="K1286">
        <v>0.61723838710031698</v>
      </c>
      <c r="L1286" t="s">
        <v>211</v>
      </c>
      <c r="M1286" t="s">
        <v>34</v>
      </c>
      <c r="N1286" t="s">
        <v>35</v>
      </c>
      <c r="O1286">
        <v>0.70218221201500997</v>
      </c>
      <c r="P1286" t="s">
        <v>36</v>
      </c>
    </row>
    <row r="1287" spans="1:16">
      <c r="A1287">
        <v>1286</v>
      </c>
      <c r="B1287" t="s">
        <v>1345</v>
      </c>
      <c r="C1287">
        <v>147</v>
      </c>
      <c r="D1287">
        <v>147</v>
      </c>
      <c r="E1287">
        <v>103.377576429109</v>
      </c>
      <c r="F1287">
        <v>1</v>
      </c>
      <c r="G1287">
        <v>8393.4899387523601</v>
      </c>
      <c r="H1287">
        <v>1153.3612795773799</v>
      </c>
      <c r="I1287">
        <v>0.52294269481579203</v>
      </c>
      <c r="J1287">
        <v>7.9290599899202494E-2</v>
      </c>
      <c r="K1287">
        <v>0.486563331983492</v>
      </c>
      <c r="L1287" t="s">
        <v>33</v>
      </c>
      <c r="M1287" t="s">
        <v>34</v>
      </c>
      <c r="N1287" t="s">
        <v>35</v>
      </c>
      <c r="O1287">
        <v>0.81966999985226996</v>
      </c>
      <c r="P1287" t="s">
        <v>36</v>
      </c>
    </row>
    <row r="1288" spans="1:16">
      <c r="A1288">
        <v>1287</v>
      </c>
      <c r="B1288" t="s">
        <v>1346</v>
      </c>
      <c r="C1288">
        <v>101</v>
      </c>
      <c r="D1288">
        <v>158</v>
      </c>
      <c r="E1288">
        <v>103.525748744761</v>
      </c>
      <c r="F1288">
        <v>0.63889766527190495</v>
      </c>
      <c r="G1288">
        <v>8417.5681610585998</v>
      </c>
      <c r="H1288">
        <v>527.39853338925695</v>
      </c>
      <c r="I1288">
        <v>0.67482200307503204</v>
      </c>
      <c r="J1288">
        <v>0.38029329666107298</v>
      </c>
      <c r="K1288">
        <v>0.74280917592434703</v>
      </c>
      <c r="L1288" t="s">
        <v>74</v>
      </c>
      <c r="M1288" t="s">
        <v>34</v>
      </c>
      <c r="N1288" t="s">
        <v>35</v>
      </c>
      <c r="O1288">
        <v>0.70920934152100101</v>
      </c>
      <c r="P1288" t="s">
        <v>36</v>
      </c>
    </row>
    <row r="1289" spans="1:16">
      <c r="A1289">
        <v>1288</v>
      </c>
      <c r="B1289" t="s">
        <v>1347</v>
      </c>
      <c r="C1289">
        <v>154</v>
      </c>
      <c r="D1289">
        <v>114</v>
      </c>
      <c r="E1289">
        <v>103.83148373368699</v>
      </c>
      <c r="F1289">
        <v>1.3513625757430301</v>
      </c>
      <c r="G1289">
        <v>8467.3595466918705</v>
      </c>
      <c r="H1289">
        <v>743.38600803198995</v>
      </c>
      <c r="I1289">
        <v>0.58942106522431803</v>
      </c>
      <c r="J1289">
        <v>0.192543605656744</v>
      </c>
      <c r="K1289">
        <v>0.61883812379152303</v>
      </c>
      <c r="L1289" t="s">
        <v>74</v>
      </c>
      <c r="M1289" t="s">
        <v>34</v>
      </c>
      <c r="N1289" t="s">
        <v>35</v>
      </c>
      <c r="O1289">
        <v>0.72878072847489805</v>
      </c>
      <c r="P1289" t="s">
        <v>36</v>
      </c>
    </row>
    <row r="1290" spans="1:16">
      <c r="A1290">
        <v>1289</v>
      </c>
      <c r="B1290" t="s">
        <v>1348</v>
      </c>
      <c r="C1290">
        <v>169</v>
      </c>
      <c r="D1290">
        <v>129</v>
      </c>
      <c r="E1290">
        <v>103.955346397131</v>
      </c>
      <c r="F1290">
        <v>1.30701709375682</v>
      </c>
      <c r="G1290">
        <v>8487.5733629489605</v>
      </c>
      <c r="H1290">
        <v>1107.1152388625601</v>
      </c>
      <c r="I1290">
        <v>0.70129565142630701</v>
      </c>
      <c r="J1290">
        <v>8.7017729613426201E-2</v>
      </c>
      <c r="K1290">
        <v>0.57085590899094296</v>
      </c>
      <c r="L1290" t="s">
        <v>288</v>
      </c>
      <c r="M1290" t="s">
        <v>34</v>
      </c>
      <c r="N1290" t="s">
        <v>35</v>
      </c>
      <c r="O1290">
        <v>0.68699985601360603</v>
      </c>
      <c r="P1290" t="s">
        <v>36</v>
      </c>
    </row>
    <row r="1291" spans="1:16">
      <c r="A1291">
        <v>1290</v>
      </c>
      <c r="B1291" t="s">
        <v>1349</v>
      </c>
      <c r="C1291">
        <v>105</v>
      </c>
      <c r="D1291">
        <v>164</v>
      </c>
      <c r="E1291">
        <v>104.17356830382001</v>
      </c>
      <c r="F1291">
        <v>0.641660157543397</v>
      </c>
      <c r="G1291">
        <v>8523.2448034026493</v>
      </c>
      <c r="H1291">
        <v>600.97742911701596</v>
      </c>
      <c r="I1291">
        <v>0.69899498066363697</v>
      </c>
      <c r="J1291">
        <v>0.29655039259928201</v>
      </c>
      <c r="K1291">
        <v>0.64479676167987898</v>
      </c>
      <c r="L1291" t="s">
        <v>74</v>
      </c>
      <c r="M1291" t="s">
        <v>34</v>
      </c>
      <c r="N1291" t="s">
        <v>35</v>
      </c>
      <c r="O1291">
        <v>0.74029257412461402</v>
      </c>
      <c r="P1291" t="s">
        <v>36</v>
      </c>
    </row>
    <row r="1292" spans="1:16">
      <c r="A1292">
        <v>1291</v>
      </c>
      <c r="B1292" t="s">
        <v>1350</v>
      </c>
      <c r="C1292">
        <v>99</v>
      </c>
      <c r="D1292">
        <v>173</v>
      </c>
      <c r="E1292">
        <v>104.227144556648</v>
      </c>
      <c r="F1292">
        <v>0.57033862537242197</v>
      </c>
      <c r="G1292">
        <v>8532.0140325141801</v>
      </c>
      <c r="H1292">
        <v>654.19894689995294</v>
      </c>
      <c r="I1292">
        <v>0.66301887625905198</v>
      </c>
      <c r="J1292">
        <v>0.25051961967967601</v>
      </c>
      <c r="K1292">
        <v>0.72744322789943205</v>
      </c>
      <c r="L1292" t="s">
        <v>188</v>
      </c>
      <c r="M1292" t="s">
        <v>34</v>
      </c>
      <c r="N1292" t="s">
        <v>35</v>
      </c>
      <c r="O1292">
        <v>0.86919882647050595</v>
      </c>
      <c r="P1292" t="s">
        <v>36</v>
      </c>
    </row>
    <row r="1293" spans="1:16">
      <c r="A1293">
        <v>1292</v>
      </c>
      <c r="B1293" t="s">
        <v>1351</v>
      </c>
      <c r="C1293">
        <v>152</v>
      </c>
      <c r="D1293">
        <v>132</v>
      </c>
      <c r="E1293">
        <v>104.58241184420601</v>
      </c>
      <c r="F1293">
        <v>1.14403281431257</v>
      </c>
      <c r="G1293">
        <v>8590.2773852552</v>
      </c>
      <c r="H1293">
        <v>1114.3702111692</v>
      </c>
      <c r="I1293">
        <v>0.60363777644410099</v>
      </c>
      <c r="J1293">
        <v>8.6927674862017301E-2</v>
      </c>
      <c r="K1293">
        <v>0.51222149352145596</v>
      </c>
      <c r="L1293" t="s">
        <v>43</v>
      </c>
      <c r="M1293" t="s">
        <v>34</v>
      </c>
      <c r="N1293" t="s">
        <v>35</v>
      </c>
      <c r="O1293">
        <v>0.76594766886392496</v>
      </c>
      <c r="P1293" t="s">
        <v>36</v>
      </c>
    </row>
    <row r="1294" spans="1:16">
      <c r="A1294">
        <v>1293</v>
      </c>
      <c r="B1294" t="s">
        <v>1352</v>
      </c>
      <c r="C1294">
        <v>171</v>
      </c>
      <c r="D1294">
        <v>132</v>
      </c>
      <c r="E1294">
        <v>104.59145900045</v>
      </c>
      <c r="F1294">
        <v>1.29752057257037</v>
      </c>
      <c r="G1294">
        <v>8591.7636952740995</v>
      </c>
      <c r="H1294">
        <v>1288.7567724702701</v>
      </c>
      <c r="I1294">
        <v>0.485521248510209</v>
      </c>
      <c r="J1294">
        <v>6.5005524505169596E-2</v>
      </c>
      <c r="K1294">
        <v>0.48312982139424498</v>
      </c>
      <c r="L1294" t="s">
        <v>38</v>
      </c>
      <c r="M1294" t="s">
        <v>34</v>
      </c>
      <c r="N1294" t="s">
        <v>35</v>
      </c>
      <c r="O1294">
        <v>0.81855364830396504</v>
      </c>
      <c r="P1294" t="s">
        <v>36</v>
      </c>
    </row>
    <row r="1295" spans="1:16">
      <c r="A1295">
        <v>1294</v>
      </c>
      <c r="B1295" t="s">
        <v>1353</v>
      </c>
      <c r="C1295">
        <v>152</v>
      </c>
      <c r="D1295">
        <v>137</v>
      </c>
      <c r="E1295">
        <v>104.60502826767301</v>
      </c>
      <c r="F1295">
        <v>1.1075696126103001</v>
      </c>
      <c r="G1295">
        <v>8593.9931603024597</v>
      </c>
      <c r="H1295">
        <v>1033.46825069127</v>
      </c>
      <c r="I1295">
        <v>0.62596215633482599</v>
      </c>
      <c r="J1295">
        <v>0.101113836628965</v>
      </c>
      <c r="K1295">
        <v>0.504339407049465</v>
      </c>
      <c r="L1295" t="s">
        <v>38</v>
      </c>
      <c r="M1295" t="s">
        <v>34</v>
      </c>
      <c r="N1295" t="s">
        <v>35</v>
      </c>
      <c r="O1295">
        <v>0.68575465359839105</v>
      </c>
      <c r="P1295" t="s">
        <v>36</v>
      </c>
    </row>
    <row r="1296" spans="1:16">
      <c r="A1296">
        <v>1295</v>
      </c>
      <c r="B1296" t="s">
        <v>1354</v>
      </c>
      <c r="C1296">
        <v>134</v>
      </c>
      <c r="D1296">
        <v>138</v>
      </c>
      <c r="E1296">
        <v>104.69906015469</v>
      </c>
      <c r="F1296">
        <v>0.97233201581027695</v>
      </c>
      <c r="G1296">
        <v>8609.4507844990603</v>
      </c>
      <c r="H1296">
        <v>1073.4080597607001</v>
      </c>
      <c r="I1296">
        <v>0.55190941534276305</v>
      </c>
      <c r="J1296">
        <v>9.3897841296222001E-2</v>
      </c>
      <c r="K1296">
        <v>0.62244119448533797</v>
      </c>
      <c r="L1296" t="s">
        <v>144</v>
      </c>
      <c r="M1296" t="s">
        <v>34</v>
      </c>
      <c r="N1296" t="s">
        <v>35</v>
      </c>
      <c r="O1296">
        <v>0.73373467142587601</v>
      </c>
      <c r="P1296" t="s">
        <v>36</v>
      </c>
    </row>
    <row r="1297" spans="1:16">
      <c r="A1297">
        <v>1296</v>
      </c>
      <c r="B1297" t="s">
        <v>1355</v>
      </c>
      <c r="C1297">
        <v>139</v>
      </c>
      <c r="D1297">
        <v>138</v>
      </c>
      <c r="E1297">
        <v>104.73972086266301</v>
      </c>
      <c r="F1297">
        <v>1.0062171655754999</v>
      </c>
      <c r="G1297">
        <v>8616.1391795841191</v>
      </c>
      <c r="H1297">
        <v>718.36080523283601</v>
      </c>
      <c r="I1297">
        <v>0.61639681752021003</v>
      </c>
      <c r="J1297">
        <v>0.20981537641735001</v>
      </c>
      <c r="K1297">
        <v>0.66571733713065195</v>
      </c>
      <c r="L1297" t="s">
        <v>331</v>
      </c>
      <c r="M1297" t="s">
        <v>34</v>
      </c>
      <c r="N1297" t="s">
        <v>35</v>
      </c>
      <c r="O1297">
        <v>0.677106004758534</v>
      </c>
      <c r="P1297" t="s">
        <v>36</v>
      </c>
    </row>
    <row r="1298" spans="1:16">
      <c r="A1298">
        <v>1297</v>
      </c>
      <c r="B1298" t="s">
        <v>1356</v>
      </c>
      <c r="C1298">
        <v>93</v>
      </c>
      <c r="D1298">
        <v>155</v>
      </c>
      <c r="E1298">
        <v>104.86947395524599</v>
      </c>
      <c r="F1298">
        <v>0.60204081130231901</v>
      </c>
      <c r="G1298">
        <v>8637.5</v>
      </c>
      <c r="H1298">
        <v>616.48231685161602</v>
      </c>
      <c r="I1298">
        <v>0.80519302075209198</v>
      </c>
      <c r="J1298">
        <v>0.28559899624107798</v>
      </c>
      <c r="K1298">
        <v>0.73824786324786296</v>
      </c>
      <c r="L1298" t="s">
        <v>144</v>
      </c>
      <c r="M1298" t="s">
        <v>34</v>
      </c>
      <c r="N1298" t="s">
        <v>35</v>
      </c>
      <c r="O1298">
        <v>0.79019769366912596</v>
      </c>
      <c r="P1298" t="s">
        <v>36</v>
      </c>
    </row>
    <row r="1299" spans="1:16">
      <c r="A1299">
        <v>1298</v>
      </c>
      <c r="B1299" t="s">
        <v>1357</v>
      </c>
      <c r="C1299">
        <v>166</v>
      </c>
      <c r="D1299">
        <v>99</v>
      </c>
      <c r="E1299">
        <v>104.981551785677</v>
      </c>
      <c r="F1299">
        <v>1.6814217045748701</v>
      </c>
      <c r="G1299">
        <v>8655.9722880907393</v>
      </c>
      <c r="H1299">
        <v>692.11287576820496</v>
      </c>
      <c r="I1299">
        <v>0.56859131847119004</v>
      </c>
      <c r="J1299">
        <v>0.227076328619812</v>
      </c>
      <c r="K1299">
        <v>0.68513682031011003</v>
      </c>
      <c r="L1299" t="s">
        <v>38</v>
      </c>
      <c r="M1299" t="s">
        <v>34</v>
      </c>
      <c r="N1299" t="s">
        <v>35</v>
      </c>
      <c r="O1299">
        <v>0.70761036162859603</v>
      </c>
      <c r="P1299" t="s">
        <v>36</v>
      </c>
    </row>
    <row r="1300" spans="1:16">
      <c r="A1300">
        <v>1299</v>
      </c>
      <c r="B1300" t="s">
        <v>1358</v>
      </c>
      <c r="C1300">
        <v>143</v>
      </c>
      <c r="D1300">
        <v>99</v>
      </c>
      <c r="E1300">
        <v>104.996873020604</v>
      </c>
      <c r="F1300">
        <v>1.4461537350206799</v>
      </c>
      <c r="G1300">
        <v>8658.4990151228703</v>
      </c>
      <c r="H1300">
        <v>552.85432778679797</v>
      </c>
      <c r="I1300">
        <v>0.57273718186530598</v>
      </c>
      <c r="J1300">
        <v>0.35598446718690202</v>
      </c>
      <c r="K1300">
        <v>0.84389622053859903</v>
      </c>
      <c r="L1300" t="s">
        <v>74</v>
      </c>
      <c r="M1300" t="s">
        <v>34</v>
      </c>
      <c r="N1300" t="s">
        <v>35</v>
      </c>
      <c r="O1300">
        <v>0.71613843522644305</v>
      </c>
      <c r="P1300" t="s">
        <v>36</v>
      </c>
    </row>
    <row r="1301" spans="1:16">
      <c r="A1301">
        <v>1300</v>
      </c>
      <c r="B1301" t="s">
        <v>1359</v>
      </c>
      <c r="C1301">
        <v>124</v>
      </c>
      <c r="D1301">
        <v>132</v>
      </c>
      <c r="E1301">
        <v>104.996873020604</v>
      </c>
      <c r="F1301">
        <v>0.94214876033057804</v>
      </c>
      <c r="G1301">
        <v>8658.4990151228703</v>
      </c>
      <c r="H1301">
        <v>615.87484714041602</v>
      </c>
      <c r="I1301">
        <v>0.56002992953577302</v>
      </c>
      <c r="J1301">
        <v>0.286858379647351</v>
      </c>
      <c r="K1301">
        <v>0.69365228677232305</v>
      </c>
      <c r="L1301" t="s">
        <v>38</v>
      </c>
      <c r="M1301" t="s">
        <v>34</v>
      </c>
      <c r="N1301" t="s">
        <v>35</v>
      </c>
      <c r="O1301">
        <v>0.81580548706189104</v>
      </c>
      <c r="P1301" t="s">
        <v>36</v>
      </c>
    </row>
    <row r="1302" spans="1:16">
      <c r="A1302">
        <v>1301</v>
      </c>
      <c r="B1302" t="s">
        <v>1360</v>
      </c>
      <c r="C1302">
        <v>170</v>
      </c>
      <c r="D1302">
        <v>92</v>
      </c>
      <c r="E1302">
        <v>105.05543360817499</v>
      </c>
      <c r="F1302">
        <v>1.85727034979315</v>
      </c>
      <c r="G1302">
        <v>8668.16003024575</v>
      </c>
      <c r="H1302">
        <v>598.72846710827002</v>
      </c>
      <c r="I1302">
        <v>0.51898282480327795</v>
      </c>
      <c r="J1302">
        <v>0.30386240402971099</v>
      </c>
      <c r="K1302">
        <v>0.71220095985931797</v>
      </c>
      <c r="L1302" t="s">
        <v>33</v>
      </c>
      <c r="M1302" t="s">
        <v>34</v>
      </c>
      <c r="N1302" t="s">
        <v>35</v>
      </c>
      <c r="O1302">
        <v>0.68577531855551499</v>
      </c>
      <c r="P1302" t="s">
        <v>36</v>
      </c>
    </row>
    <row r="1303" spans="1:16">
      <c r="A1303">
        <v>1302</v>
      </c>
      <c r="B1303" t="s">
        <v>1361</v>
      </c>
      <c r="C1303">
        <v>110</v>
      </c>
      <c r="D1303">
        <v>133</v>
      </c>
      <c r="E1303">
        <v>105.29743806195501</v>
      </c>
      <c r="F1303">
        <v>0.82556949563426396</v>
      </c>
      <c r="G1303">
        <v>8708.1417697542493</v>
      </c>
      <c r="H1303">
        <v>490.17816365501199</v>
      </c>
      <c r="I1303">
        <v>0.64969504799227795</v>
      </c>
      <c r="J1303">
        <v>0.45543608109469003</v>
      </c>
      <c r="K1303">
        <v>0.81032598923972698</v>
      </c>
      <c r="L1303" t="s">
        <v>33</v>
      </c>
      <c r="M1303" t="s">
        <v>34</v>
      </c>
      <c r="N1303" t="s">
        <v>35</v>
      </c>
      <c r="O1303">
        <v>0.72676876448204297</v>
      </c>
      <c r="P1303" t="s">
        <v>36</v>
      </c>
    </row>
    <row r="1304" spans="1:16">
      <c r="A1304">
        <v>1303</v>
      </c>
      <c r="B1304" t="s">
        <v>1362</v>
      </c>
      <c r="C1304">
        <v>123</v>
      </c>
      <c r="D1304">
        <v>144</v>
      </c>
      <c r="E1304">
        <v>105.345951879258</v>
      </c>
      <c r="F1304">
        <v>0.85750226536669405</v>
      </c>
      <c r="G1304">
        <v>8716.1678438563304</v>
      </c>
      <c r="H1304">
        <v>755.94205789182502</v>
      </c>
      <c r="I1304">
        <v>0.65324915648942505</v>
      </c>
      <c r="J1304">
        <v>0.19167189275944099</v>
      </c>
      <c r="K1304">
        <v>0.65103912251876195</v>
      </c>
      <c r="L1304" t="s">
        <v>38</v>
      </c>
      <c r="M1304" t="s">
        <v>34</v>
      </c>
      <c r="N1304" t="s">
        <v>35</v>
      </c>
      <c r="O1304">
        <v>0.865265652658877</v>
      </c>
      <c r="P1304" t="s">
        <v>36</v>
      </c>
    </row>
    <row r="1305" spans="1:16">
      <c r="A1305">
        <v>1304</v>
      </c>
      <c r="B1305" t="s">
        <v>1363</v>
      </c>
      <c r="C1305">
        <v>112</v>
      </c>
      <c r="D1305">
        <v>138</v>
      </c>
      <c r="E1305">
        <v>105.363914291044</v>
      </c>
      <c r="F1305">
        <v>0.814229249011858</v>
      </c>
      <c r="G1305">
        <v>8719.1404638941403</v>
      </c>
      <c r="H1305">
        <v>618.346890956734</v>
      </c>
      <c r="I1305">
        <v>0.67021189163602002</v>
      </c>
      <c r="J1305">
        <v>0.28656237977950699</v>
      </c>
      <c r="K1305">
        <v>0.71664345574042898</v>
      </c>
      <c r="L1305" t="s">
        <v>47</v>
      </c>
      <c r="M1305" t="s">
        <v>34</v>
      </c>
      <c r="N1305" t="s">
        <v>35</v>
      </c>
      <c r="O1305">
        <v>0.91124848313872697</v>
      </c>
      <c r="P1305" t="s">
        <v>36</v>
      </c>
    </row>
    <row r="1306" spans="1:16">
      <c r="A1306">
        <v>1305</v>
      </c>
      <c r="B1306" t="s">
        <v>1364</v>
      </c>
      <c r="C1306">
        <v>77</v>
      </c>
      <c r="D1306">
        <v>177</v>
      </c>
      <c r="E1306">
        <v>105.48418354995501</v>
      </c>
      <c r="F1306">
        <v>0.43374353699085799</v>
      </c>
      <c r="G1306">
        <v>8739.0570181474504</v>
      </c>
      <c r="H1306">
        <v>644.084457366881</v>
      </c>
      <c r="I1306">
        <v>0.84036527849833398</v>
      </c>
      <c r="J1306">
        <v>0.26472124618183202</v>
      </c>
      <c r="K1306">
        <v>0.71161270801815402</v>
      </c>
      <c r="L1306" t="s">
        <v>41</v>
      </c>
      <c r="M1306" t="s">
        <v>34</v>
      </c>
      <c r="N1306" t="s">
        <v>35</v>
      </c>
      <c r="O1306">
        <v>0.70290591089358301</v>
      </c>
      <c r="P1306" t="s">
        <v>36</v>
      </c>
    </row>
    <row r="1307" spans="1:16">
      <c r="A1307">
        <v>1306</v>
      </c>
      <c r="B1307" t="s">
        <v>1365</v>
      </c>
      <c r="C1307">
        <v>91</v>
      </c>
      <c r="D1307">
        <v>170</v>
      </c>
      <c r="E1307">
        <v>105.49494724218199</v>
      </c>
      <c r="F1307">
        <v>0.53407872157872205</v>
      </c>
      <c r="G1307">
        <v>8740.8405901701299</v>
      </c>
      <c r="H1307">
        <v>518.91694141294602</v>
      </c>
      <c r="I1307">
        <v>0.67109185958391204</v>
      </c>
      <c r="J1307">
        <v>0.40791282944260698</v>
      </c>
      <c r="K1307">
        <v>0.78461168999239495</v>
      </c>
      <c r="L1307" t="s">
        <v>38</v>
      </c>
      <c r="M1307" t="s">
        <v>34</v>
      </c>
      <c r="N1307" t="s">
        <v>35</v>
      </c>
      <c r="O1307">
        <v>0.721682426467259</v>
      </c>
      <c r="P1307" t="s">
        <v>36</v>
      </c>
    </row>
    <row r="1308" spans="1:16">
      <c r="A1308">
        <v>1307</v>
      </c>
      <c r="B1308" t="s">
        <v>1366</v>
      </c>
      <c r="C1308">
        <v>145</v>
      </c>
      <c r="D1308">
        <v>109</v>
      </c>
      <c r="E1308">
        <v>105.514677826134</v>
      </c>
      <c r="F1308">
        <v>1.33</v>
      </c>
      <c r="G1308">
        <v>8744.1104722117198</v>
      </c>
      <c r="H1308">
        <v>691.59311047522897</v>
      </c>
      <c r="I1308">
        <v>0.667092972087584</v>
      </c>
      <c r="J1308">
        <v>0.22973342286502901</v>
      </c>
      <c r="K1308">
        <v>0.66769946657587098</v>
      </c>
      <c r="L1308" t="s">
        <v>1038</v>
      </c>
      <c r="M1308" t="s">
        <v>34</v>
      </c>
      <c r="N1308" t="s">
        <v>35</v>
      </c>
      <c r="O1308">
        <v>0.71376968953593201</v>
      </c>
      <c r="P1308" t="s">
        <v>36</v>
      </c>
    </row>
    <row r="1309" spans="1:16">
      <c r="A1309">
        <v>1308</v>
      </c>
      <c r="B1309" t="s">
        <v>1367</v>
      </c>
      <c r="C1309">
        <v>144</v>
      </c>
      <c r="D1309">
        <v>100</v>
      </c>
      <c r="E1309">
        <v>105.64283679949899</v>
      </c>
      <c r="F1309">
        <v>1.4321638133521799</v>
      </c>
      <c r="G1309">
        <v>8765.3647054820394</v>
      </c>
      <c r="H1309">
        <v>506.55738287531801</v>
      </c>
      <c r="I1309">
        <v>0.55078374043464495</v>
      </c>
      <c r="J1309">
        <v>0.42926210997089098</v>
      </c>
      <c r="K1309">
        <v>0.79169295619605096</v>
      </c>
      <c r="L1309" t="s">
        <v>49</v>
      </c>
      <c r="M1309" t="s">
        <v>34</v>
      </c>
      <c r="N1309" t="s">
        <v>35</v>
      </c>
      <c r="O1309">
        <v>0.63985597976641795</v>
      </c>
      <c r="P1309" t="s">
        <v>36</v>
      </c>
    </row>
    <row r="1310" spans="1:16">
      <c r="A1310">
        <v>1309</v>
      </c>
      <c r="B1310" t="s">
        <v>1368</v>
      </c>
      <c r="C1310">
        <v>118</v>
      </c>
      <c r="D1310">
        <v>139</v>
      </c>
      <c r="E1310">
        <v>105.81198358088101</v>
      </c>
      <c r="F1310">
        <v>0.852703052352075</v>
      </c>
      <c r="G1310">
        <v>8793.4559648393206</v>
      </c>
      <c r="H1310">
        <v>574.48372036363799</v>
      </c>
      <c r="I1310">
        <v>0.63186496399188996</v>
      </c>
      <c r="J1310">
        <v>0.334822014203697</v>
      </c>
      <c r="K1310">
        <v>0.75229836094757296</v>
      </c>
      <c r="L1310" t="s">
        <v>33</v>
      </c>
      <c r="M1310" t="s">
        <v>34</v>
      </c>
      <c r="N1310" t="s">
        <v>35</v>
      </c>
      <c r="O1310">
        <v>0.70222598798076197</v>
      </c>
      <c r="P1310" t="s">
        <v>36</v>
      </c>
    </row>
    <row r="1311" spans="1:16">
      <c r="A1311">
        <v>1310</v>
      </c>
      <c r="B1311" t="s">
        <v>1369</v>
      </c>
      <c r="C1311">
        <v>95</v>
      </c>
      <c r="D1311">
        <v>142</v>
      </c>
      <c r="E1311">
        <v>106.076644350191</v>
      </c>
      <c r="F1311">
        <v>0.67080746427613902</v>
      </c>
      <c r="G1311">
        <v>8837.5</v>
      </c>
      <c r="H1311">
        <v>553.34523379802704</v>
      </c>
      <c r="I1311">
        <v>0.82558772571123196</v>
      </c>
      <c r="J1311">
        <v>0.36269948904208199</v>
      </c>
      <c r="K1311">
        <v>0.74421052631578899</v>
      </c>
      <c r="L1311" t="s">
        <v>38</v>
      </c>
      <c r="M1311" t="s">
        <v>34</v>
      </c>
      <c r="N1311" t="s">
        <v>35</v>
      </c>
      <c r="O1311">
        <v>0.74249134718365695</v>
      </c>
      <c r="P1311" t="s">
        <v>36</v>
      </c>
    </row>
    <row r="1312" spans="1:16">
      <c r="A1312">
        <v>1311</v>
      </c>
      <c r="B1312" t="s">
        <v>1370</v>
      </c>
      <c r="C1312">
        <v>98</v>
      </c>
      <c r="D1312">
        <v>164</v>
      </c>
      <c r="E1312">
        <v>106.199375113722</v>
      </c>
      <c r="F1312">
        <v>0.59648907662030703</v>
      </c>
      <c r="G1312">
        <v>8857.9618196597403</v>
      </c>
      <c r="H1312">
        <v>590.73064770107703</v>
      </c>
      <c r="I1312">
        <v>0.59951072871975197</v>
      </c>
      <c r="J1312">
        <v>0.31898088738171299</v>
      </c>
      <c r="K1312">
        <v>0.69766924598761504</v>
      </c>
      <c r="L1312" t="s">
        <v>47</v>
      </c>
      <c r="M1312" t="s">
        <v>34</v>
      </c>
      <c r="N1312" t="s">
        <v>35</v>
      </c>
      <c r="O1312">
        <v>0.91620255837007503</v>
      </c>
      <c r="P1312" t="s">
        <v>36</v>
      </c>
    </row>
    <row r="1313" spans="1:16">
      <c r="A1313">
        <v>1312</v>
      </c>
      <c r="B1313" t="s">
        <v>1371</v>
      </c>
      <c r="C1313">
        <v>156</v>
      </c>
      <c r="D1313">
        <v>455</v>
      </c>
      <c r="E1313">
        <v>106.30146264056999</v>
      </c>
      <c r="F1313">
        <v>0.34181376652606099</v>
      </c>
      <c r="G1313">
        <v>8875</v>
      </c>
      <c r="H1313">
        <v>1245.68541526794</v>
      </c>
      <c r="I1313">
        <v>0.720120207419501</v>
      </c>
      <c r="J1313">
        <v>7.1872287320020295E-2</v>
      </c>
      <c r="K1313">
        <v>0.21826006762988001</v>
      </c>
      <c r="L1313" t="s">
        <v>33</v>
      </c>
      <c r="M1313" t="s">
        <v>34</v>
      </c>
      <c r="N1313" t="s">
        <v>35</v>
      </c>
      <c r="O1313">
        <v>0.86160422824167604</v>
      </c>
      <c r="P1313" t="s">
        <v>36</v>
      </c>
    </row>
    <row r="1314" spans="1:16">
      <c r="A1314">
        <v>1313</v>
      </c>
      <c r="B1314" t="s">
        <v>1372</v>
      </c>
      <c r="C1314">
        <v>152</v>
      </c>
      <c r="D1314">
        <v>161</v>
      </c>
      <c r="E1314">
        <v>106.44055661303599</v>
      </c>
      <c r="F1314">
        <v>0.93918918918918903</v>
      </c>
      <c r="G1314">
        <v>8898.2408211720194</v>
      </c>
      <c r="H1314">
        <v>1270.1927906805499</v>
      </c>
      <c r="I1314">
        <v>0.54843174969430497</v>
      </c>
      <c r="J1314">
        <v>6.9306622081178895E-2</v>
      </c>
      <c r="K1314">
        <v>0.50833382863644505</v>
      </c>
      <c r="L1314" t="s">
        <v>47</v>
      </c>
      <c r="M1314" t="s">
        <v>34</v>
      </c>
      <c r="N1314" t="s">
        <v>35</v>
      </c>
      <c r="O1314">
        <v>0.94163830951206995</v>
      </c>
      <c r="P1314" t="s">
        <v>36</v>
      </c>
    </row>
    <row r="1315" spans="1:16">
      <c r="A1315">
        <v>1314</v>
      </c>
      <c r="B1315" t="s">
        <v>1373</v>
      </c>
      <c r="C1315">
        <v>84</v>
      </c>
      <c r="D1315">
        <v>220</v>
      </c>
      <c r="E1315">
        <v>106.488549652198</v>
      </c>
      <c r="F1315">
        <v>0.38257010043790102</v>
      </c>
      <c r="G1315">
        <v>8906.2668952741005</v>
      </c>
      <c r="H1315">
        <v>761.64941333211004</v>
      </c>
      <c r="I1315">
        <v>0.79539736801287797</v>
      </c>
      <c r="J1315">
        <v>0.19292803713100801</v>
      </c>
      <c r="K1315">
        <v>0.66500937773979796</v>
      </c>
      <c r="L1315" t="s">
        <v>38</v>
      </c>
      <c r="M1315" t="s">
        <v>34</v>
      </c>
      <c r="N1315" t="s">
        <v>35</v>
      </c>
      <c r="O1315">
        <v>0.89229756347345601</v>
      </c>
      <c r="P1315" t="s">
        <v>36</v>
      </c>
    </row>
    <row r="1316" spans="1:16">
      <c r="A1316">
        <v>1315</v>
      </c>
      <c r="B1316" t="s">
        <v>1374</v>
      </c>
      <c r="C1316">
        <v>131</v>
      </c>
      <c r="D1316">
        <v>133</v>
      </c>
      <c r="E1316">
        <v>106.68828826349301</v>
      </c>
      <c r="F1316">
        <v>0.98360655737704905</v>
      </c>
      <c r="G1316">
        <v>8939.7088706994291</v>
      </c>
      <c r="H1316">
        <v>794.668542534268</v>
      </c>
      <c r="I1316">
        <v>0.602356075502677</v>
      </c>
      <c r="J1316">
        <v>0.17789395754165799</v>
      </c>
      <c r="K1316">
        <v>0.62956101237203999</v>
      </c>
      <c r="L1316" t="s">
        <v>38</v>
      </c>
      <c r="M1316" t="s">
        <v>34</v>
      </c>
      <c r="N1316" t="s">
        <v>35</v>
      </c>
      <c r="O1316">
        <v>0.74991492719035702</v>
      </c>
      <c r="P1316" t="s">
        <v>36</v>
      </c>
    </row>
    <row r="1317" spans="1:16">
      <c r="A1317">
        <v>1316</v>
      </c>
      <c r="B1317" t="s">
        <v>1375</v>
      </c>
      <c r="C1317">
        <v>205</v>
      </c>
      <c r="D1317">
        <v>137</v>
      </c>
      <c r="E1317">
        <v>106.745920948254</v>
      </c>
      <c r="F1317">
        <v>1.49787617800587</v>
      </c>
      <c r="G1317">
        <v>8949.3698858223106</v>
      </c>
      <c r="H1317">
        <v>1266.9613720607799</v>
      </c>
      <c r="I1317">
        <v>0.67790042548423202</v>
      </c>
      <c r="J1317">
        <v>7.0060877778680697E-2</v>
      </c>
      <c r="K1317">
        <v>0.42251663064529699</v>
      </c>
      <c r="L1317" t="s">
        <v>43</v>
      </c>
      <c r="M1317" t="s">
        <v>34</v>
      </c>
      <c r="N1317" t="s">
        <v>35</v>
      </c>
      <c r="O1317">
        <v>0.76963755615527996</v>
      </c>
      <c r="P1317" t="s">
        <v>36</v>
      </c>
    </row>
    <row r="1318" spans="1:16">
      <c r="A1318">
        <v>1317</v>
      </c>
      <c r="B1318" t="s">
        <v>1376</v>
      </c>
      <c r="C1318">
        <v>122</v>
      </c>
      <c r="D1318">
        <v>108</v>
      </c>
      <c r="E1318">
        <v>106.75921638026701</v>
      </c>
      <c r="F1318">
        <v>1.13131315155232</v>
      </c>
      <c r="G1318">
        <v>8951.5993508506599</v>
      </c>
      <c r="H1318">
        <v>906.05889819300705</v>
      </c>
      <c r="I1318">
        <v>0.60306989759644303</v>
      </c>
      <c r="J1318">
        <v>0.137024315259899</v>
      </c>
      <c r="K1318">
        <v>0.77282467824100798</v>
      </c>
      <c r="L1318" t="s">
        <v>72</v>
      </c>
      <c r="M1318" t="s">
        <v>34</v>
      </c>
      <c r="N1318" t="s">
        <v>35</v>
      </c>
      <c r="O1318">
        <v>0.81605430949987401</v>
      </c>
      <c r="P1318" t="s">
        <v>36</v>
      </c>
    </row>
    <row r="1319" spans="1:16">
      <c r="A1319">
        <v>1318</v>
      </c>
      <c r="B1319" t="s">
        <v>1377</v>
      </c>
      <c r="C1319">
        <v>126</v>
      </c>
      <c r="D1319">
        <v>118</v>
      </c>
      <c r="E1319">
        <v>106.78580227822501</v>
      </c>
      <c r="F1319">
        <v>1.0685180553475599</v>
      </c>
      <c r="G1319">
        <v>8956.0582809073694</v>
      </c>
      <c r="H1319">
        <v>576.58709524683297</v>
      </c>
      <c r="I1319">
        <v>0.52159296158254398</v>
      </c>
      <c r="J1319">
        <v>0.33852982668564002</v>
      </c>
      <c r="K1319">
        <v>0.77677800265556296</v>
      </c>
      <c r="L1319" t="s">
        <v>47</v>
      </c>
      <c r="M1319" t="s">
        <v>34</v>
      </c>
      <c r="N1319" t="s">
        <v>35</v>
      </c>
      <c r="O1319">
        <v>0.80089849184682005</v>
      </c>
      <c r="P1319" t="s">
        <v>36</v>
      </c>
    </row>
    <row r="1320" spans="1:16">
      <c r="A1320">
        <v>1319</v>
      </c>
      <c r="B1320" t="s">
        <v>1378</v>
      </c>
      <c r="C1320">
        <v>150</v>
      </c>
      <c r="D1320">
        <v>167</v>
      </c>
      <c r="E1320">
        <v>106.798206765716</v>
      </c>
      <c r="F1320">
        <v>0.89576547231270398</v>
      </c>
      <c r="G1320">
        <v>8958.1391149338397</v>
      </c>
      <c r="H1320">
        <v>1272.12626472691</v>
      </c>
      <c r="I1320">
        <v>0.614424660157741</v>
      </c>
      <c r="J1320">
        <v>6.9561226034089305E-2</v>
      </c>
      <c r="K1320">
        <v>0.42952537058152801</v>
      </c>
      <c r="L1320" t="s">
        <v>893</v>
      </c>
      <c r="M1320" t="s">
        <v>34</v>
      </c>
      <c r="N1320" t="s">
        <v>35</v>
      </c>
      <c r="O1320">
        <v>0.67480694977055</v>
      </c>
      <c r="P1320" t="s">
        <v>36</v>
      </c>
    </row>
    <row r="1321" spans="1:16">
      <c r="A1321">
        <v>1320</v>
      </c>
      <c r="B1321" t="s">
        <v>1379</v>
      </c>
      <c r="C1321">
        <v>192</v>
      </c>
      <c r="D1321">
        <v>102</v>
      </c>
      <c r="E1321">
        <v>107.447431226718</v>
      </c>
      <c r="F1321">
        <v>1.8748675667218999</v>
      </c>
      <c r="G1321">
        <v>9067.3829013232498</v>
      </c>
      <c r="H1321">
        <v>882.57807979998404</v>
      </c>
      <c r="I1321">
        <v>0.69519714359451801</v>
      </c>
      <c r="J1321">
        <v>0.14628020017849</v>
      </c>
      <c r="K1321">
        <v>0.60525428100878997</v>
      </c>
      <c r="L1321" t="s">
        <v>43</v>
      </c>
      <c r="M1321" t="s">
        <v>34</v>
      </c>
      <c r="N1321" t="s">
        <v>35</v>
      </c>
      <c r="O1321">
        <v>0.81922879416163696</v>
      </c>
      <c r="P1321" t="s">
        <v>36</v>
      </c>
    </row>
    <row r="1322" spans="1:16">
      <c r="A1322">
        <v>1321</v>
      </c>
      <c r="B1322" t="s">
        <v>1380</v>
      </c>
      <c r="C1322">
        <v>86</v>
      </c>
      <c r="D1322">
        <v>198</v>
      </c>
      <c r="E1322">
        <v>107.664727120389</v>
      </c>
      <c r="F1322">
        <v>0.43274365357294298</v>
      </c>
      <c r="G1322">
        <v>9104.0947587901701</v>
      </c>
      <c r="H1322">
        <v>579.23293290418098</v>
      </c>
      <c r="I1322">
        <v>0.78502011630093504</v>
      </c>
      <c r="J1322">
        <v>0.34098882082445903</v>
      </c>
      <c r="K1322">
        <v>0.73251614446304703</v>
      </c>
      <c r="L1322" t="s">
        <v>74</v>
      </c>
      <c r="M1322" t="s">
        <v>34</v>
      </c>
      <c r="N1322" t="s">
        <v>35</v>
      </c>
      <c r="O1322">
        <v>0.66471286527791096</v>
      </c>
      <c r="P1322" t="s">
        <v>36</v>
      </c>
    </row>
    <row r="1323" spans="1:16">
      <c r="A1323">
        <v>1322</v>
      </c>
      <c r="B1323" t="s">
        <v>1381</v>
      </c>
      <c r="C1323">
        <v>186</v>
      </c>
      <c r="D1323">
        <v>147</v>
      </c>
      <c r="E1323">
        <v>107.720959007685</v>
      </c>
      <c r="F1323">
        <v>1.26765799256506</v>
      </c>
      <c r="G1323">
        <v>9113.6071429111507</v>
      </c>
      <c r="H1323">
        <v>1095.6363285426501</v>
      </c>
      <c r="I1323">
        <v>0.55453956502856105</v>
      </c>
      <c r="J1323">
        <v>9.5404161701657997E-2</v>
      </c>
      <c r="K1323">
        <v>0.40215780153472802</v>
      </c>
      <c r="L1323" t="s">
        <v>49</v>
      </c>
      <c r="M1323" t="s">
        <v>34</v>
      </c>
      <c r="N1323" t="s">
        <v>35</v>
      </c>
      <c r="O1323">
        <v>0.82903902992665701</v>
      </c>
      <c r="P1323" t="s">
        <v>36</v>
      </c>
    </row>
    <row r="1324" spans="1:16">
      <c r="A1324">
        <v>1323</v>
      </c>
      <c r="B1324" t="s">
        <v>1382</v>
      </c>
      <c r="C1324">
        <v>156</v>
      </c>
      <c r="D1324">
        <v>131</v>
      </c>
      <c r="E1324">
        <v>107.74028194068001</v>
      </c>
      <c r="F1324">
        <v>1.19087136929461</v>
      </c>
      <c r="G1324">
        <v>9116.8770249527406</v>
      </c>
      <c r="H1324">
        <v>811.99260941163402</v>
      </c>
      <c r="I1324">
        <v>0.55698778515982095</v>
      </c>
      <c r="J1324">
        <v>0.17376080022499399</v>
      </c>
      <c r="K1324">
        <v>0.61273437421958499</v>
      </c>
      <c r="L1324" t="s">
        <v>33</v>
      </c>
      <c r="M1324" t="s">
        <v>34</v>
      </c>
      <c r="N1324" t="s">
        <v>35</v>
      </c>
      <c r="O1324">
        <v>0.76494388709562</v>
      </c>
      <c r="P1324" t="s">
        <v>36</v>
      </c>
    </row>
    <row r="1325" spans="1:16">
      <c r="A1325">
        <v>1324</v>
      </c>
      <c r="B1325" t="s">
        <v>1383</v>
      </c>
      <c r="C1325">
        <v>196</v>
      </c>
      <c r="D1325">
        <v>166</v>
      </c>
      <c r="E1325">
        <v>107.82719228796699</v>
      </c>
      <c r="F1325">
        <v>1.17704921575812</v>
      </c>
      <c r="G1325">
        <v>9131.5914941398896</v>
      </c>
      <c r="H1325">
        <v>1502.1344021795101</v>
      </c>
      <c r="I1325">
        <v>0.61906783260707099</v>
      </c>
      <c r="J1325">
        <v>5.0855596641734599E-2</v>
      </c>
      <c r="K1325">
        <v>0.35636890951276101</v>
      </c>
      <c r="L1325" t="s">
        <v>144</v>
      </c>
      <c r="M1325" t="s">
        <v>34</v>
      </c>
      <c r="N1325" t="s">
        <v>35</v>
      </c>
      <c r="O1325">
        <v>0.78664669271007603</v>
      </c>
      <c r="P1325" t="s">
        <v>36</v>
      </c>
    </row>
    <row r="1326" spans="1:16">
      <c r="A1326">
        <v>1325</v>
      </c>
      <c r="B1326" t="s">
        <v>1384</v>
      </c>
      <c r="C1326">
        <v>152</v>
      </c>
      <c r="D1326">
        <v>165</v>
      </c>
      <c r="E1326">
        <v>107.850882955004</v>
      </c>
      <c r="F1326">
        <v>0.91749173255476901</v>
      </c>
      <c r="G1326">
        <v>9135.6045311909293</v>
      </c>
      <c r="H1326">
        <v>1166.93416254199</v>
      </c>
      <c r="I1326">
        <v>0.53807487175443003</v>
      </c>
      <c r="J1326">
        <v>8.4305216276326506E-2</v>
      </c>
      <c r="K1326">
        <v>0.50168138559232101</v>
      </c>
      <c r="L1326" t="s">
        <v>43</v>
      </c>
      <c r="M1326" t="s">
        <v>34</v>
      </c>
      <c r="N1326" t="s">
        <v>35</v>
      </c>
      <c r="O1326">
        <v>0.68199339232641898</v>
      </c>
      <c r="P1326" t="s">
        <v>36</v>
      </c>
    </row>
    <row r="1327" spans="1:16">
      <c r="A1327">
        <v>1326</v>
      </c>
      <c r="B1327" t="s">
        <v>1385</v>
      </c>
      <c r="C1327">
        <v>210</v>
      </c>
      <c r="D1327">
        <v>98</v>
      </c>
      <c r="E1327">
        <v>108.10676145355001</v>
      </c>
      <c r="F1327">
        <v>2.1425627265400999</v>
      </c>
      <c r="G1327">
        <v>9179.0047837429101</v>
      </c>
      <c r="H1327">
        <v>1214.7294363532901</v>
      </c>
      <c r="I1327">
        <v>0.42469741753763501</v>
      </c>
      <c r="J1327">
        <v>7.8171122560914699E-2</v>
      </c>
      <c r="K1327">
        <v>0.59612730098361899</v>
      </c>
      <c r="L1327" t="s">
        <v>33</v>
      </c>
      <c r="M1327" t="s">
        <v>34</v>
      </c>
      <c r="N1327" t="s">
        <v>35</v>
      </c>
      <c r="O1327">
        <v>0.66087988117829799</v>
      </c>
      <c r="P1327" t="s">
        <v>36</v>
      </c>
    </row>
    <row r="1328" spans="1:16">
      <c r="A1328">
        <v>1327</v>
      </c>
      <c r="B1328" t="s">
        <v>1386</v>
      </c>
      <c r="C1328">
        <v>107</v>
      </c>
      <c r="D1328">
        <v>167</v>
      </c>
      <c r="E1328">
        <v>108.111137660838</v>
      </c>
      <c r="F1328">
        <v>0.64169381107491896</v>
      </c>
      <c r="G1328">
        <v>9179.7479387523599</v>
      </c>
      <c r="H1328">
        <v>637.23576294733095</v>
      </c>
      <c r="I1328">
        <v>0.63530117435566402</v>
      </c>
      <c r="J1328">
        <v>0.28407978968842301</v>
      </c>
      <c r="K1328">
        <v>0.69187166733880001</v>
      </c>
      <c r="L1328" t="s">
        <v>38</v>
      </c>
      <c r="M1328" t="s">
        <v>34</v>
      </c>
      <c r="N1328" t="s">
        <v>35</v>
      </c>
      <c r="O1328">
        <v>0.79200691582892202</v>
      </c>
      <c r="P1328" t="s">
        <v>36</v>
      </c>
    </row>
    <row r="1329" spans="1:16">
      <c r="A1329">
        <v>1328</v>
      </c>
      <c r="B1329" t="s">
        <v>1387</v>
      </c>
      <c r="C1329">
        <v>184</v>
      </c>
      <c r="D1329">
        <v>208</v>
      </c>
      <c r="E1329">
        <v>108.228354098133</v>
      </c>
      <c r="F1329">
        <v>0.884816753926702</v>
      </c>
      <c r="G1329">
        <v>9199.66449300567</v>
      </c>
      <c r="H1329">
        <v>1594.58336542088</v>
      </c>
      <c r="I1329">
        <v>0.27635463526536203</v>
      </c>
      <c r="J1329">
        <v>4.54660677400976E-2</v>
      </c>
      <c r="K1329">
        <v>0.33687831321366801</v>
      </c>
      <c r="L1329" t="s">
        <v>288</v>
      </c>
      <c r="M1329" t="s">
        <v>34</v>
      </c>
      <c r="N1329" t="s">
        <v>35</v>
      </c>
      <c r="O1329">
        <v>0.68067341635487399</v>
      </c>
      <c r="P1329" t="s">
        <v>36</v>
      </c>
    </row>
    <row r="1330" spans="1:16">
      <c r="A1330">
        <v>1329</v>
      </c>
      <c r="B1330" t="s">
        <v>1388</v>
      </c>
      <c r="C1330">
        <v>122</v>
      </c>
      <c r="D1330">
        <v>225</v>
      </c>
      <c r="E1330">
        <v>108.240593267772</v>
      </c>
      <c r="F1330">
        <v>0.54248764748447298</v>
      </c>
      <c r="G1330">
        <v>9201.7453270321403</v>
      </c>
      <c r="H1330">
        <v>963.27025371302705</v>
      </c>
      <c r="I1330">
        <v>0.57894071215990695</v>
      </c>
      <c r="J1330">
        <v>0.12461886021829401</v>
      </c>
      <c r="K1330">
        <v>0.490710503788719</v>
      </c>
      <c r="L1330" t="s">
        <v>43</v>
      </c>
      <c r="M1330" t="s">
        <v>34</v>
      </c>
      <c r="N1330" t="s">
        <v>35</v>
      </c>
      <c r="O1330">
        <v>0.70064870672925195</v>
      </c>
      <c r="P1330" t="s">
        <v>36</v>
      </c>
    </row>
    <row r="1331" spans="1:16">
      <c r="A1331">
        <v>1330</v>
      </c>
      <c r="B1331" t="s">
        <v>1389</v>
      </c>
      <c r="C1331">
        <v>161</v>
      </c>
      <c r="D1331">
        <v>147</v>
      </c>
      <c r="E1331">
        <v>108.449320314576</v>
      </c>
      <c r="F1331">
        <v>1.0962962962963001</v>
      </c>
      <c r="G1331">
        <v>9237.26813648393</v>
      </c>
      <c r="H1331">
        <v>1472.64660754276</v>
      </c>
      <c r="I1331">
        <v>0.67264651919709895</v>
      </c>
      <c r="J1331">
        <v>5.3524957588950497E-2</v>
      </c>
      <c r="K1331">
        <v>0.52001874273091597</v>
      </c>
      <c r="L1331" t="s">
        <v>33</v>
      </c>
      <c r="M1331" t="s">
        <v>34</v>
      </c>
      <c r="N1331" t="s">
        <v>35</v>
      </c>
      <c r="O1331">
        <v>0.75581914218617796</v>
      </c>
      <c r="P1331" t="s">
        <v>36</v>
      </c>
    </row>
    <row r="1332" spans="1:16">
      <c r="A1332">
        <v>1331</v>
      </c>
      <c r="B1332" t="s">
        <v>1390</v>
      </c>
      <c r="C1332">
        <v>218</v>
      </c>
      <c r="D1332">
        <v>106</v>
      </c>
      <c r="E1332">
        <v>108.478108811762</v>
      </c>
      <c r="F1332">
        <v>2.0572791486846902</v>
      </c>
      <c r="G1332">
        <v>9242.1729595463094</v>
      </c>
      <c r="H1332">
        <v>891.63034126592697</v>
      </c>
      <c r="I1332">
        <v>0.68954911422034804</v>
      </c>
      <c r="J1332">
        <v>0.146087910847154</v>
      </c>
      <c r="K1332">
        <v>0.617755170974985</v>
      </c>
      <c r="L1332" t="s">
        <v>47</v>
      </c>
      <c r="M1332" t="s">
        <v>34</v>
      </c>
      <c r="N1332" t="s">
        <v>35</v>
      </c>
      <c r="O1332">
        <v>0.93820777495469199</v>
      </c>
      <c r="P1332" t="s">
        <v>36</v>
      </c>
    </row>
    <row r="1333" spans="1:16">
      <c r="A1333">
        <v>1332</v>
      </c>
      <c r="B1333" t="s">
        <v>1391</v>
      </c>
      <c r="C1333">
        <v>122</v>
      </c>
      <c r="D1333">
        <v>158</v>
      </c>
      <c r="E1333">
        <v>108.583601333476</v>
      </c>
      <c r="F1333">
        <v>0.77032872172931099</v>
      </c>
      <c r="G1333">
        <v>9260.1573107750501</v>
      </c>
      <c r="H1333">
        <v>886.80752704755105</v>
      </c>
      <c r="I1333">
        <v>0.57715820433225096</v>
      </c>
      <c r="J1333">
        <v>0.14796857357241899</v>
      </c>
      <c r="K1333">
        <v>0.61074187350507803</v>
      </c>
      <c r="L1333" t="s">
        <v>74</v>
      </c>
      <c r="M1333" t="s">
        <v>34</v>
      </c>
      <c r="N1333" t="s">
        <v>35</v>
      </c>
      <c r="O1333">
        <v>0.61936701538121997</v>
      </c>
      <c r="P1333" t="s">
        <v>36</v>
      </c>
    </row>
    <row r="1334" spans="1:16">
      <c r="A1334">
        <v>1333</v>
      </c>
      <c r="B1334" t="s">
        <v>1392</v>
      </c>
      <c r="C1334">
        <v>147</v>
      </c>
      <c r="D1334">
        <v>152</v>
      </c>
      <c r="E1334">
        <v>108.58795832362399</v>
      </c>
      <c r="F1334">
        <v>0.96762589928057596</v>
      </c>
      <c r="G1334">
        <v>9260.9004657844998</v>
      </c>
      <c r="H1334">
        <v>1094.16782258842</v>
      </c>
      <c r="I1334">
        <v>0.55812972874293698</v>
      </c>
      <c r="J1334">
        <v>9.7206476848676296E-2</v>
      </c>
      <c r="K1334">
        <v>0.51716038213494198</v>
      </c>
      <c r="L1334" t="s">
        <v>41</v>
      </c>
      <c r="M1334" t="s">
        <v>34</v>
      </c>
      <c r="N1334" t="s">
        <v>35</v>
      </c>
      <c r="O1334">
        <v>0.77030328316986196</v>
      </c>
      <c r="P1334" t="s">
        <v>36</v>
      </c>
    </row>
    <row r="1335" spans="1:16">
      <c r="A1335">
        <v>1334</v>
      </c>
      <c r="B1335" t="s">
        <v>1393</v>
      </c>
      <c r="C1335">
        <v>213</v>
      </c>
      <c r="D1335">
        <v>111</v>
      </c>
      <c r="E1335">
        <v>108.66025883935301</v>
      </c>
      <c r="F1335">
        <v>1.92024249100307</v>
      </c>
      <c r="G1335">
        <v>9273.2368389414005</v>
      </c>
      <c r="H1335">
        <v>790.91346561732496</v>
      </c>
      <c r="I1335">
        <v>0.59337135479998904</v>
      </c>
      <c r="J1335">
        <v>0.18628731216924799</v>
      </c>
      <c r="K1335">
        <v>0.56393546346093004</v>
      </c>
      <c r="L1335" t="s">
        <v>43</v>
      </c>
      <c r="M1335" t="s">
        <v>34</v>
      </c>
      <c r="N1335" t="s">
        <v>35</v>
      </c>
      <c r="O1335">
        <v>0.70185118607322705</v>
      </c>
      <c r="P1335" t="s">
        <v>36</v>
      </c>
    </row>
    <row r="1336" spans="1:16">
      <c r="A1336">
        <v>1335</v>
      </c>
      <c r="B1336" t="s">
        <v>1394</v>
      </c>
      <c r="C1336">
        <v>122</v>
      </c>
      <c r="D1336">
        <v>181</v>
      </c>
      <c r="E1336">
        <v>108.911629499463</v>
      </c>
      <c r="F1336">
        <v>0.67469879518072295</v>
      </c>
      <c r="G1336">
        <v>9316.1911984877097</v>
      </c>
      <c r="H1336">
        <v>1262.20209673778</v>
      </c>
      <c r="I1336">
        <v>0.63892528488198896</v>
      </c>
      <c r="J1336">
        <v>7.3483606443839403E-2</v>
      </c>
      <c r="K1336">
        <v>0.59164448471805298</v>
      </c>
      <c r="L1336" t="s">
        <v>33</v>
      </c>
      <c r="M1336" t="s">
        <v>34</v>
      </c>
      <c r="N1336" t="s">
        <v>35</v>
      </c>
      <c r="O1336">
        <v>0.67880898394205902</v>
      </c>
      <c r="P1336" t="s">
        <v>36</v>
      </c>
    </row>
    <row r="1337" spans="1:16">
      <c r="A1337">
        <v>1336</v>
      </c>
      <c r="B1337" t="s">
        <v>1395</v>
      </c>
      <c r="C1337">
        <v>134</v>
      </c>
      <c r="D1337">
        <v>194</v>
      </c>
      <c r="E1337">
        <v>109.17282236825901</v>
      </c>
      <c r="F1337">
        <v>0.69014084507042295</v>
      </c>
      <c r="G1337">
        <v>9360.9291300567093</v>
      </c>
      <c r="H1337">
        <v>814.59305210662899</v>
      </c>
      <c r="I1337">
        <v>0.63004814347301197</v>
      </c>
      <c r="J1337">
        <v>0.177274969047716</v>
      </c>
      <c r="K1337">
        <v>0.58581527299786096</v>
      </c>
      <c r="L1337" t="s">
        <v>38</v>
      </c>
      <c r="M1337" t="s">
        <v>34</v>
      </c>
      <c r="N1337" t="s">
        <v>35</v>
      </c>
      <c r="O1337">
        <v>0.89701211453639196</v>
      </c>
      <c r="P1337" t="s">
        <v>36</v>
      </c>
    </row>
    <row r="1338" spans="1:16">
      <c r="A1338">
        <v>1337</v>
      </c>
      <c r="B1338" t="s">
        <v>1396</v>
      </c>
      <c r="C1338">
        <v>141</v>
      </c>
      <c r="D1338">
        <v>215</v>
      </c>
      <c r="E1338">
        <v>109.671775217549</v>
      </c>
      <c r="F1338">
        <v>0.65569620253164596</v>
      </c>
      <c r="G1338">
        <v>9446.6892181474504</v>
      </c>
      <c r="H1338">
        <v>1073.75954044695</v>
      </c>
      <c r="I1338">
        <v>0.65740430701135799</v>
      </c>
      <c r="J1338">
        <v>0.10296163271448</v>
      </c>
      <c r="K1338">
        <v>0.46342975055961799</v>
      </c>
      <c r="L1338" t="s">
        <v>38</v>
      </c>
      <c r="M1338" t="s">
        <v>34</v>
      </c>
      <c r="N1338" t="s">
        <v>35</v>
      </c>
      <c r="O1338">
        <v>0.89876573139669702</v>
      </c>
      <c r="P1338" t="s">
        <v>36</v>
      </c>
    </row>
    <row r="1339" spans="1:16">
      <c r="A1339">
        <v>1338</v>
      </c>
      <c r="B1339" t="s">
        <v>1397</v>
      </c>
      <c r="C1339">
        <v>129</v>
      </c>
      <c r="D1339">
        <v>135</v>
      </c>
      <c r="E1339">
        <v>109.70628055920901</v>
      </c>
      <c r="F1339">
        <v>0.95546558704453399</v>
      </c>
      <c r="G1339">
        <v>9452.6344582230595</v>
      </c>
      <c r="H1339">
        <v>706.61731114719203</v>
      </c>
      <c r="I1339">
        <v>0.60602836382294001</v>
      </c>
      <c r="J1339">
        <v>0.237899857555398</v>
      </c>
      <c r="K1339">
        <v>0.75347724095443402</v>
      </c>
      <c r="L1339" t="s">
        <v>38</v>
      </c>
      <c r="M1339" t="s">
        <v>34</v>
      </c>
      <c r="N1339" t="s">
        <v>35</v>
      </c>
      <c r="O1339">
        <v>0.80060413978533196</v>
      </c>
      <c r="P1339" t="s">
        <v>36</v>
      </c>
    </row>
    <row r="1340" spans="1:16">
      <c r="A1340">
        <v>1339</v>
      </c>
      <c r="B1340" t="s">
        <v>1398</v>
      </c>
      <c r="C1340">
        <v>161</v>
      </c>
      <c r="D1340">
        <v>148</v>
      </c>
      <c r="E1340">
        <v>109.744223904403</v>
      </c>
      <c r="F1340">
        <v>1.0922509225092301</v>
      </c>
      <c r="G1340">
        <v>9459.1742223062392</v>
      </c>
      <c r="H1340">
        <v>1200.4503595559499</v>
      </c>
      <c r="I1340">
        <v>0.58423647522181799</v>
      </c>
      <c r="J1340">
        <v>8.2484942594654498E-2</v>
      </c>
      <c r="K1340">
        <v>0.46191699690806898</v>
      </c>
      <c r="L1340" t="s">
        <v>33</v>
      </c>
      <c r="M1340" t="s">
        <v>34</v>
      </c>
      <c r="N1340" t="s">
        <v>35</v>
      </c>
      <c r="O1340">
        <v>0.77222040465434505</v>
      </c>
      <c r="P1340" t="s">
        <v>36</v>
      </c>
    </row>
    <row r="1341" spans="1:16">
      <c r="A1341">
        <v>1340</v>
      </c>
      <c r="B1341" t="s">
        <v>1399</v>
      </c>
      <c r="C1341">
        <v>125</v>
      </c>
      <c r="D1341">
        <v>182</v>
      </c>
      <c r="E1341">
        <v>109.86055919992</v>
      </c>
      <c r="F1341">
        <v>0.68562874251496997</v>
      </c>
      <c r="G1341">
        <v>9479.2394075614393</v>
      </c>
      <c r="H1341">
        <v>1441.3894353200001</v>
      </c>
      <c r="I1341">
        <v>0.73739775626852699</v>
      </c>
      <c r="J1341">
        <v>5.7335114854138301E-2</v>
      </c>
      <c r="K1341">
        <v>0.51991978282667695</v>
      </c>
      <c r="L1341" t="s">
        <v>38</v>
      </c>
      <c r="M1341" t="s">
        <v>34</v>
      </c>
      <c r="N1341" t="s">
        <v>35</v>
      </c>
      <c r="O1341">
        <v>0.73934871597182905</v>
      </c>
      <c r="P1341" t="s">
        <v>36</v>
      </c>
    </row>
    <row r="1342" spans="1:16">
      <c r="A1342">
        <v>1341</v>
      </c>
      <c r="B1342" t="s">
        <v>1400</v>
      </c>
      <c r="C1342">
        <v>147</v>
      </c>
      <c r="D1342">
        <v>171</v>
      </c>
      <c r="E1342">
        <v>109.96042306459201</v>
      </c>
      <c r="F1342">
        <v>0.85668787023223503</v>
      </c>
      <c r="G1342">
        <v>9496.4806037807193</v>
      </c>
      <c r="H1342">
        <v>1381.7310102389199</v>
      </c>
      <c r="I1342">
        <v>0.55398363007242202</v>
      </c>
      <c r="J1342">
        <v>6.2506551637017099E-2</v>
      </c>
      <c r="K1342">
        <v>0.44352890542566797</v>
      </c>
      <c r="L1342" t="s">
        <v>38</v>
      </c>
      <c r="M1342" t="s">
        <v>34</v>
      </c>
      <c r="N1342" t="s">
        <v>35</v>
      </c>
      <c r="O1342">
        <v>0.87843336108277803</v>
      </c>
      <c r="P1342" t="s">
        <v>36</v>
      </c>
    </row>
    <row r="1343" spans="1:16">
      <c r="A1343">
        <v>1342</v>
      </c>
      <c r="B1343" t="s">
        <v>1401</v>
      </c>
      <c r="C1343">
        <v>105</v>
      </c>
      <c r="D1343">
        <v>171</v>
      </c>
      <c r="E1343">
        <v>110.043860341477</v>
      </c>
      <c r="F1343">
        <v>0.611464968152866</v>
      </c>
      <c r="G1343">
        <v>9510.8978109640793</v>
      </c>
      <c r="H1343">
        <v>957.22471282917502</v>
      </c>
      <c r="I1343">
        <v>0.71552913063015799</v>
      </c>
      <c r="J1343">
        <v>0.13043783289937699</v>
      </c>
      <c r="K1343">
        <v>0.57863944224908903</v>
      </c>
      <c r="L1343" t="s">
        <v>144</v>
      </c>
      <c r="M1343" t="s">
        <v>34</v>
      </c>
      <c r="N1343" t="s">
        <v>35</v>
      </c>
      <c r="O1343">
        <v>0.796789662240033</v>
      </c>
      <c r="P1343" t="s">
        <v>36</v>
      </c>
    </row>
    <row r="1344" spans="1:16">
      <c r="A1344">
        <v>1343</v>
      </c>
      <c r="B1344" t="s">
        <v>1402</v>
      </c>
      <c r="C1344">
        <v>191</v>
      </c>
      <c r="D1344">
        <v>107</v>
      </c>
      <c r="E1344">
        <v>110.09715825916599</v>
      </c>
      <c r="F1344">
        <v>1.78571428571429</v>
      </c>
      <c r="G1344">
        <v>9520.1129330812892</v>
      </c>
      <c r="H1344">
        <v>1278.30409749363</v>
      </c>
      <c r="I1344">
        <v>0.74915512353369396</v>
      </c>
      <c r="J1344">
        <v>7.3212224412805005E-2</v>
      </c>
      <c r="K1344">
        <v>0.50257359864415296</v>
      </c>
      <c r="L1344" t="s">
        <v>49</v>
      </c>
      <c r="M1344" t="s">
        <v>34</v>
      </c>
      <c r="N1344" t="s">
        <v>35</v>
      </c>
      <c r="O1344">
        <v>0.731025956906457</v>
      </c>
      <c r="P1344" t="s">
        <v>36</v>
      </c>
    </row>
    <row r="1345" spans="1:16">
      <c r="A1345">
        <v>1344</v>
      </c>
      <c r="B1345" t="s">
        <v>1403</v>
      </c>
      <c r="C1345">
        <v>174</v>
      </c>
      <c r="D1345">
        <v>92</v>
      </c>
      <c r="E1345">
        <v>110.312665713906</v>
      </c>
      <c r="F1345">
        <v>1.8827301957354501</v>
      </c>
      <c r="G1345">
        <v>9557.4193145557692</v>
      </c>
      <c r="H1345">
        <v>658.80257231494704</v>
      </c>
      <c r="I1345">
        <v>0.62435164913444996</v>
      </c>
      <c r="J1345">
        <v>0.276719606799397</v>
      </c>
      <c r="K1345">
        <v>0.713383922430052</v>
      </c>
      <c r="L1345" t="s">
        <v>830</v>
      </c>
      <c r="M1345" t="s">
        <v>34</v>
      </c>
      <c r="N1345" t="s">
        <v>35</v>
      </c>
      <c r="O1345">
        <v>0.74195651463599199</v>
      </c>
      <c r="P1345" t="s">
        <v>36</v>
      </c>
    </row>
    <row r="1346" spans="1:16">
      <c r="A1346">
        <v>1345</v>
      </c>
      <c r="B1346" t="s">
        <v>1404</v>
      </c>
      <c r="C1346">
        <v>132</v>
      </c>
      <c r="D1346">
        <v>260</v>
      </c>
      <c r="E1346">
        <v>110.418976325115</v>
      </c>
      <c r="F1346">
        <v>0.50553395813687996</v>
      </c>
      <c r="G1346">
        <v>9575.8495587901707</v>
      </c>
      <c r="H1346">
        <v>1439.67904308122</v>
      </c>
      <c r="I1346">
        <v>0.59928817897928899</v>
      </c>
      <c r="J1346">
        <v>5.8057163389985303E-2</v>
      </c>
      <c r="K1346">
        <v>0.39376233811476702</v>
      </c>
      <c r="L1346" t="s">
        <v>33</v>
      </c>
      <c r="M1346" t="s">
        <v>34</v>
      </c>
      <c r="N1346" t="s">
        <v>35</v>
      </c>
      <c r="O1346">
        <v>0.70958906133025501</v>
      </c>
      <c r="P1346" t="s">
        <v>36</v>
      </c>
    </row>
    <row r="1347" spans="1:16">
      <c r="A1347">
        <v>1346</v>
      </c>
      <c r="B1347" t="s">
        <v>1405</v>
      </c>
      <c r="C1347">
        <v>161</v>
      </c>
      <c r="D1347">
        <v>166</v>
      </c>
      <c r="E1347">
        <v>110.554288501247</v>
      </c>
      <c r="F1347">
        <v>0.970491803278689</v>
      </c>
      <c r="G1347">
        <v>9599.3332570888506</v>
      </c>
      <c r="H1347">
        <v>1306.0714371091401</v>
      </c>
      <c r="I1347">
        <v>0.56703813948111903</v>
      </c>
      <c r="J1347">
        <v>7.0715899438719407E-2</v>
      </c>
      <c r="K1347">
        <v>0.50630281745347405</v>
      </c>
      <c r="L1347" t="s">
        <v>33</v>
      </c>
      <c r="M1347" t="s">
        <v>34</v>
      </c>
      <c r="N1347" t="s">
        <v>35</v>
      </c>
      <c r="O1347">
        <v>0.73911991659293197</v>
      </c>
      <c r="P1347" t="s">
        <v>36</v>
      </c>
    </row>
    <row r="1348" spans="1:16">
      <c r="A1348">
        <v>1347</v>
      </c>
      <c r="B1348" t="s">
        <v>1406</v>
      </c>
      <c r="C1348">
        <v>96</v>
      </c>
      <c r="D1348">
        <v>184</v>
      </c>
      <c r="E1348">
        <v>110.58509596373</v>
      </c>
      <c r="F1348">
        <v>0.522416265095757</v>
      </c>
      <c r="G1348">
        <v>9604.6839731568998</v>
      </c>
      <c r="H1348">
        <v>633.28191793410701</v>
      </c>
      <c r="I1348">
        <v>0.90789186266216904</v>
      </c>
      <c r="J1348">
        <v>0.30095306318384901</v>
      </c>
      <c r="K1348">
        <v>0.77227639944547999</v>
      </c>
      <c r="L1348" t="s">
        <v>33</v>
      </c>
      <c r="M1348" t="s">
        <v>34</v>
      </c>
      <c r="N1348" t="s">
        <v>35</v>
      </c>
      <c r="O1348">
        <v>0.72560256608738505</v>
      </c>
      <c r="P1348" t="s">
        <v>36</v>
      </c>
    </row>
    <row r="1349" spans="1:16">
      <c r="A1349">
        <v>1348</v>
      </c>
      <c r="B1349" t="s">
        <v>1407</v>
      </c>
      <c r="C1349">
        <v>167</v>
      </c>
      <c r="D1349">
        <v>122</v>
      </c>
      <c r="E1349">
        <v>110.78940605961201</v>
      </c>
      <c r="F1349">
        <v>1.3660714285714299</v>
      </c>
      <c r="G1349">
        <v>9640.2067826087005</v>
      </c>
      <c r="H1349">
        <v>1178.3482128786</v>
      </c>
      <c r="I1349">
        <v>0.65382118545874202</v>
      </c>
      <c r="J1349">
        <v>8.7246681798699599E-2</v>
      </c>
      <c r="K1349">
        <v>0.58868376626912799</v>
      </c>
      <c r="L1349" t="s">
        <v>38</v>
      </c>
      <c r="M1349" t="s">
        <v>34</v>
      </c>
      <c r="N1349" t="s">
        <v>35</v>
      </c>
      <c r="O1349">
        <v>0.75331162497503201</v>
      </c>
      <c r="P1349" t="s">
        <v>36</v>
      </c>
    </row>
    <row r="1350" spans="1:16">
      <c r="A1350">
        <v>1349</v>
      </c>
      <c r="B1350" t="s">
        <v>1408</v>
      </c>
      <c r="C1350">
        <v>164</v>
      </c>
      <c r="D1350">
        <v>125</v>
      </c>
      <c r="E1350">
        <v>110.827832353406</v>
      </c>
      <c r="F1350">
        <v>1.3144104803493499</v>
      </c>
      <c r="G1350">
        <v>9646.8951776937593</v>
      </c>
      <c r="H1350">
        <v>932.54158847777796</v>
      </c>
      <c r="I1350">
        <v>0.64410805833404094</v>
      </c>
      <c r="J1350">
        <v>0.13939943237674801</v>
      </c>
      <c r="K1350">
        <v>0.63732325216025099</v>
      </c>
      <c r="L1350" t="s">
        <v>74</v>
      </c>
      <c r="M1350" t="s">
        <v>34</v>
      </c>
      <c r="N1350" t="s">
        <v>35</v>
      </c>
      <c r="O1350">
        <v>0.72741299402527504</v>
      </c>
      <c r="P1350" t="s">
        <v>36</v>
      </c>
    </row>
    <row r="1351" spans="1:16">
      <c r="A1351">
        <v>1350</v>
      </c>
      <c r="B1351" t="s">
        <v>1409</v>
      </c>
      <c r="C1351">
        <v>143</v>
      </c>
      <c r="D1351">
        <v>106</v>
      </c>
      <c r="E1351">
        <v>110.870512615455</v>
      </c>
      <c r="F1351">
        <v>1.3519089505537401</v>
      </c>
      <c r="G1351">
        <v>9654.3267277882806</v>
      </c>
      <c r="H1351">
        <v>537.002659867847</v>
      </c>
      <c r="I1351">
        <v>0.58615186654896101</v>
      </c>
      <c r="J1351">
        <v>0.42070626821794799</v>
      </c>
      <c r="K1351">
        <v>0.82037712972201504</v>
      </c>
      <c r="L1351" t="s">
        <v>49</v>
      </c>
      <c r="M1351" t="s">
        <v>34</v>
      </c>
      <c r="N1351" t="s">
        <v>35</v>
      </c>
      <c r="O1351">
        <v>0.68950911014788596</v>
      </c>
      <c r="P1351" t="s">
        <v>36</v>
      </c>
    </row>
    <row r="1352" spans="1:16">
      <c r="A1352">
        <v>1351</v>
      </c>
      <c r="B1352" t="s">
        <v>1410</v>
      </c>
      <c r="C1352">
        <v>146</v>
      </c>
      <c r="D1352">
        <v>156</v>
      </c>
      <c r="E1352">
        <v>111.04788644725799</v>
      </c>
      <c r="F1352">
        <v>0.93379790940766505</v>
      </c>
      <c r="G1352">
        <v>9685.2419761814799</v>
      </c>
      <c r="H1352">
        <v>999.63267271073005</v>
      </c>
      <c r="I1352">
        <v>0.53726440672175202</v>
      </c>
      <c r="J1352">
        <v>0.121797803042009</v>
      </c>
      <c r="K1352">
        <v>0.523502711387829</v>
      </c>
      <c r="L1352" t="s">
        <v>67</v>
      </c>
      <c r="M1352" t="s">
        <v>34</v>
      </c>
      <c r="N1352" t="s">
        <v>35</v>
      </c>
      <c r="O1352">
        <v>0.65928570740098102</v>
      </c>
      <c r="P1352" t="s">
        <v>36</v>
      </c>
    </row>
    <row r="1353" spans="1:16">
      <c r="A1353">
        <v>1352</v>
      </c>
      <c r="B1353" t="s">
        <v>1411</v>
      </c>
      <c r="C1353">
        <v>149</v>
      </c>
      <c r="D1353">
        <v>119</v>
      </c>
      <c r="E1353">
        <v>111.161155022805</v>
      </c>
      <c r="F1353">
        <v>1.25229357798165</v>
      </c>
      <c r="G1353">
        <v>9705.0098994328891</v>
      </c>
      <c r="H1353">
        <v>843.99328927890099</v>
      </c>
      <c r="I1353">
        <v>0.66441794206206595</v>
      </c>
      <c r="J1353">
        <v>0.17120950031160601</v>
      </c>
      <c r="K1353">
        <v>0.64661669026846602</v>
      </c>
      <c r="L1353" t="s">
        <v>74</v>
      </c>
      <c r="M1353" t="s">
        <v>34</v>
      </c>
      <c r="N1353" t="s">
        <v>35</v>
      </c>
      <c r="O1353">
        <v>0.68947165726733395</v>
      </c>
      <c r="P1353" t="s">
        <v>36</v>
      </c>
    </row>
    <row r="1354" spans="1:16">
      <c r="A1354">
        <v>1353</v>
      </c>
      <c r="B1354" t="s">
        <v>1412</v>
      </c>
      <c r="C1354">
        <v>122</v>
      </c>
      <c r="D1354">
        <v>181</v>
      </c>
      <c r="E1354">
        <v>111.509604798726</v>
      </c>
      <c r="F1354">
        <v>0.67168674698795205</v>
      </c>
      <c r="G1354">
        <v>9765.9486102079409</v>
      </c>
      <c r="H1354">
        <v>957.85017951965301</v>
      </c>
      <c r="I1354">
        <v>0.6288407599636</v>
      </c>
      <c r="J1354">
        <v>0.133760883521052</v>
      </c>
      <c r="K1354">
        <v>0.57387658849731404</v>
      </c>
      <c r="L1354" t="s">
        <v>74</v>
      </c>
      <c r="M1354" t="s">
        <v>34</v>
      </c>
      <c r="N1354" t="s">
        <v>35</v>
      </c>
      <c r="O1354">
        <v>0.698300941398452</v>
      </c>
      <c r="P1354" t="s">
        <v>36</v>
      </c>
    </row>
    <row r="1355" spans="1:16">
      <c r="A1355">
        <v>1354</v>
      </c>
      <c r="B1355" t="s">
        <v>1413</v>
      </c>
      <c r="C1355">
        <v>165</v>
      </c>
      <c r="D1355">
        <v>129</v>
      </c>
      <c r="E1355">
        <v>111.635967097867</v>
      </c>
      <c r="F1355">
        <v>1.2807528599465099</v>
      </c>
      <c r="G1355">
        <v>9788.0946294896003</v>
      </c>
      <c r="H1355">
        <v>733.02963221436005</v>
      </c>
      <c r="I1355">
        <v>0.54872274689927403</v>
      </c>
      <c r="J1355">
        <v>0.22891010327321601</v>
      </c>
      <c r="K1355">
        <v>0.65306426021420105</v>
      </c>
      <c r="L1355" t="s">
        <v>33</v>
      </c>
      <c r="M1355" t="s">
        <v>34</v>
      </c>
      <c r="N1355" t="s">
        <v>35</v>
      </c>
      <c r="O1355">
        <v>0.75602949958285204</v>
      </c>
      <c r="P1355" t="s">
        <v>36</v>
      </c>
    </row>
    <row r="1356" spans="1:16">
      <c r="A1356">
        <v>1355</v>
      </c>
      <c r="B1356" t="s">
        <v>1414</v>
      </c>
      <c r="C1356">
        <v>91</v>
      </c>
      <c r="D1356">
        <v>195</v>
      </c>
      <c r="E1356">
        <v>111.883189388204</v>
      </c>
      <c r="F1356">
        <v>0.46790385258677097</v>
      </c>
      <c r="G1356">
        <v>9831.4948820415902</v>
      </c>
      <c r="H1356">
        <v>609.95219590093802</v>
      </c>
      <c r="I1356">
        <v>0.64508060720458305</v>
      </c>
      <c r="J1356">
        <v>0.33207625541955199</v>
      </c>
      <c r="K1356">
        <v>0.76436057731196305</v>
      </c>
      <c r="L1356" t="s">
        <v>38</v>
      </c>
      <c r="M1356" t="s">
        <v>34</v>
      </c>
      <c r="N1356" t="s">
        <v>35</v>
      </c>
      <c r="O1356">
        <v>0.70241885139381999</v>
      </c>
      <c r="P1356" t="s">
        <v>36</v>
      </c>
    </row>
    <row r="1357" spans="1:16">
      <c r="A1357">
        <v>1356</v>
      </c>
      <c r="B1357" t="s">
        <v>1415</v>
      </c>
      <c r="C1357">
        <v>235</v>
      </c>
      <c r="D1357">
        <v>106</v>
      </c>
      <c r="E1357">
        <v>111.919549280059</v>
      </c>
      <c r="F1357">
        <v>2.2216494845360799</v>
      </c>
      <c r="G1357">
        <v>9837.8860151228691</v>
      </c>
      <c r="H1357">
        <v>1595.6472097181199</v>
      </c>
      <c r="I1357">
        <v>0.77576454787017701</v>
      </c>
      <c r="J1357">
        <v>4.8555440247447602E-2</v>
      </c>
      <c r="K1357">
        <v>0.53920410573907396</v>
      </c>
      <c r="L1357" t="s">
        <v>33</v>
      </c>
      <c r="M1357" t="s">
        <v>34</v>
      </c>
      <c r="N1357" t="s">
        <v>35</v>
      </c>
      <c r="O1357">
        <v>0.71419642676664696</v>
      </c>
      <c r="P1357" t="s">
        <v>36</v>
      </c>
    </row>
    <row r="1358" spans="1:16">
      <c r="A1358">
        <v>1357</v>
      </c>
      <c r="B1358" t="s">
        <v>1416</v>
      </c>
      <c r="C1358">
        <v>127</v>
      </c>
      <c r="D1358">
        <v>116</v>
      </c>
      <c r="E1358">
        <v>112.283343322455</v>
      </c>
      <c r="F1358">
        <v>1.0895946884337999</v>
      </c>
      <c r="G1358">
        <v>9901.9459769376208</v>
      </c>
      <c r="H1358">
        <v>554.75959511767303</v>
      </c>
      <c r="I1358">
        <v>0.53534999701625896</v>
      </c>
      <c r="J1358">
        <v>0.40431585434073097</v>
      </c>
      <c r="K1358">
        <v>0.77565490743974896</v>
      </c>
      <c r="L1358" t="s">
        <v>38</v>
      </c>
      <c r="M1358" t="s">
        <v>34</v>
      </c>
      <c r="N1358" t="s">
        <v>35</v>
      </c>
      <c r="O1358">
        <v>0.67687026502793501</v>
      </c>
      <c r="P1358" t="s">
        <v>36</v>
      </c>
    </row>
    <row r="1359" spans="1:16">
      <c r="A1359">
        <v>1358</v>
      </c>
      <c r="B1359" t="s">
        <v>1417</v>
      </c>
      <c r="C1359">
        <v>138</v>
      </c>
      <c r="D1359">
        <v>131</v>
      </c>
      <c r="E1359">
        <v>112.306093980407</v>
      </c>
      <c r="F1359">
        <v>1.0542570937764599</v>
      </c>
      <c r="G1359">
        <v>9905.9590139886604</v>
      </c>
      <c r="H1359">
        <v>659.88360485906196</v>
      </c>
      <c r="I1359">
        <v>0.66213450634559601</v>
      </c>
      <c r="J1359">
        <v>0.28587206203972299</v>
      </c>
      <c r="K1359">
        <v>0.72436392092077995</v>
      </c>
      <c r="L1359" t="s">
        <v>49</v>
      </c>
      <c r="M1359" t="s">
        <v>34</v>
      </c>
      <c r="N1359" t="s">
        <v>35</v>
      </c>
      <c r="O1359">
        <v>0.78045493321395398</v>
      </c>
      <c r="P1359" t="s">
        <v>36</v>
      </c>
    </row>
    <row r="1360" spans="1:16">
      <c r="A1360">
        <v>1359</v>
      </c>
      <c r="B1360" t="s">
        <v>1418</v>
      </c>
      <c r="C1360">
        <v>93</v>
      </c>
      <c r="D1360">
        <v>169</v>
      </c>
      <c r="E1360">
        <v>112.614878582385</v>
      </c>
      <c r="F1360">
        <v>0.54988560895771399</v>
      </c>
      <c r="G1360">
        <v>9960.5065916824205</v>
      </c>
      <c r="H1360">
        <v>607.11148315149796</v>
      </c>
      <c r="I1360">
        <v>0.82147150627259602</v>
      </c>
      <c r="J1360">
        <v>0.33958961178837199</v>
      </c>
      <c r="K1360">
        <v>0.82993795435124496</v>
      </c>
      <c r="L1360" t="s">
        <v>33</v>
      </c>
      <c r="M1360" t="s">
        <v>34</v>
      </c>
      <c r="N1360" t="s">
        <v>35</v>
      </c>
      <c r="O1360">
        <v>0.68840074708635901</v>
      </c>
      <c r="P1360" t="s">
        <v>36</v>
      </c>
    </row>
    <row r="1361" spans="1:16">
      <c r="A1361">
        <v>1360</v>
      </c>
      <c r="B1361" t="s">
        <v>1419</v>
      </c>
      <c r="C1361">
        <v>116</v>
      </c>
      <c r="D1361">
        <v>207</v>
      </c>
      <c r="E1361">
        <v>112.765177921682</v>
      </c>
      <c r="F1361">
        <v>0.56200528703034902</v>
      </c>
      <c r="G1361">
        <v>9987.1115410207894</v>
      </c>
      <c r="H1361">
        <v>833.50851458259297</v>
      </c>
      <c r="I1361">
        <v>0.73826792164118404</v>
      </c>
      <c r="J1361">
        <v>0.180646554670717</v>
      </c>
      <c r="K1361">
        <v>0.57056730663088995</v>
      </c>
      <c r="L1361" t="s">
        <v>33</v>
      </c>
      <c r="M1361" t="s">
        <v>34</v>
      </c>
      <c r="N1361" t="s">
        <v>35</v>
      </c>
      <c r="O1361">
        <v>0.794928736523421</v>
      </c>
      <c r="P1361" t="s">
        <v>36</v>
      </c>
    </row>
    <row r="1362" spans="1:16">
      <c r="A1362">
        <v>1361</v>
      </c>
      <c r="B1362" t="s">
        <v>1420</v>
      </c>
      <c r="C1362">
        <v>141</v>
      </c>
      <c r="D1362">
        <v>159</v>
      </c>
      <c r="E1362">
        <v>112.77692473142299</v>
      </c>
      <c r="F1362">
        <v>0.890606383139396</v>
      </c>
      <c r="G1362">
        <v>9989.1923750472597</v>
      </c>
      <c r="H1362">
        <v>1035.87220206406</v>
      </c>
      <c r="I1362">
        <v>0.64731978599014295</v>
      </c>
      <c r="J1362">
        <v>0.116984381534492</v>
      </c>
      <c r="K1362">
        <v>0.56296594126417698</v>
      </c>
      <c r="L1362" t="s">
        <v>38</v>
      </c>
      <c r="M1362" t="s">
        <v>34</v>
      </c>
      <c r="N1362" t="s">
        <v>35</v>
      </c>
      <c r="O1362">
        <v>0.78246904899226699</v>
      </c>
      <c r="P1362" t="s">
        <v>36</v>
      </c>
    </row>
    <row r="1363" spans="1:16">
      <c r="A1363">
        <v>1362</v>
      </c>
      <c r="B1363" t="s">
        <v>1421</v>
      </c>
      <c r="C1363">
        <v>171</v>
      </c>
      <c r="D1363">
        <v>186</v>
      </c>
      <c r="E1363">
        <v>112.79538153222001</v>
      </c>
      <c r="F1363">
        <v>0.92082111436950098</v>
      </c>
      <c r="G1363">
        <v>9992.4622570888496</v>
      </c>
      <c r="H1363">
        <v>1607.3265043644301</v>
      </c>
      <c r="I1363">
        <v>0.59009791123807198</v>
      </c>
      <c r="J1363">
        <v>4.86042412950023E-2</v>
      </c>
      <c r="K1363">
        <v>0.439385918475384</v>
      </c>
      <c r="L1363" t="s">
        <v>33</v>
      </c>
      <c r="M1363" t="s">
        <v>34</v>
      </c>
      <c r="N1363" t="s">
        <v>35</v>
      </c>
      <c r="O1363">
        <v>0.68768233332123596</v>
      </c>
      <c r="P1363" t="s">
        <v>36</v>
      </c>
    </row>
    <row r="1364" spans="1:16">
      <c r="A1364">
        <v>1363</v>
      </c>
      <c r="B1364" t="s">
        <v>1422</v>
      </c>
      <c r="C1364">
        <v>167</v>
      </c>
      <c r="D1364">
        <v>156</v>
      </c>
      <c r="E1364">
        <v>112.807125196805</v>
      </c>
      <c r="F1364">
        <v>1.06620210467127</v>
      </c>
      <c r="G1364">
        <v>9994.5430911153107</v>
      </c>
      <c r="H1364">
        <v>1396.98769495695</v>
      </c>
      <c r="I1364">
        <v>0.59866047883788298</v>
      </c>
      <c r="J1364">
        <v>6.4355793176422704E-2</v>
      </c>
      <c r="K1364">
        <v>0.462596827231326</v>
      </c>
      <c r="L1364" t="s">
        <v>49</v>
      </c>
      <c r="M1364" t="s">
        <v>34</v>
      </c>
      <c r="N1364" t="s">
        <v>35</v>
      </c>
      <c r="O1364">
        <v>0.71380957482450003</v>
      </c>
      <c r="P1364" t="s">
        <v>36</v>
      </c>
    </row>
    <row r="1365" spans="1:16">
      <c r="A1365">
        <v>1364</v>
      </c>
      <c r="B1365" t="s">
        <v>1423</v>
      </c>
      <c r="C1365">
        <v>176</v>
      </c>
      <c r="D1365">
        <v>161</v>
      </c>
      <c r="E1365">
        <v>112.845702918409</v>
      </c>
      <c r="F1365">
        <v>1.09121621621622</v>
      </c>
      <c r="G1365">
        <v>10001.3801172023</v>
      </c>
      <c r="H1365">
        <v>1750.3096457732199</v>
      </c>
      <c r="I1365">
        <v>0.530573828946033</v>
      </c>
      <c r="J1365">
        <v>4.1024190984079299E-2</v>
      </c>
      <c r="K1365">
        <v>0.41421975992613103</v>
      </c>
      <c r="L1365" t="s">
        <v>38</v>
      </c>
      <c r="M1365" t="s">
        <v>34</v>
      </c>
      <c r="N1365" t="s">
        <v>35</v>
      </c>
      <c r="O1365">
        <v>0.78412992268220605</v>
      </c>
      <c r="P1365" t="s">
        <v>36</v>
      </c>
    </row>
    <row r="1366" spans="1:16">
      <c r="A1366">
        <v>1365</v>
      </c>
      <c r="B1366" t="s">
        <v>1424</v>
      </c>
      <c r="C1366">
        <v>195</v>
      </c>
      <c r="D1366">
        <v>105</v>
      </c>
      <c r="E1366">
        <v>113.12457974546</v>
      </c>
      <c r="F1366">
        <v>1.86198293943391</v>
      </c>
      <c r="G1366">
        <v>10050.874240831799</v>
      </c>
      <c r="H1366">
        <v>858.875795829504</v>
      </c>
      <c r="I1366">
        <v>0.72926243329091001</v>
      </c>
      <c r="J1366">
        <v>0.17121940168753499</v>
      </c>
      <c r="K1366">
        <v>0.64315265875997496</v>
      </c>
      <c r="L1366" t="s">
        <v>49</v>
      </c>
      <c r="M1366" t="s">
        <v>34</v>
      </c>
      <c r="N1366" t="s">
        <v>35</v>
      </c>
      <c r="O1366">
        <v>0.78724628846224698</v>
      </c>
      <c r="P1366" t="s">
        <v>36</v>
      </c>
    </row>
    <row r="1367" spans="1:16">
      <c r="A1367">
        <v>1366</v>
      </c>
      <c r="B1367" t="s">
        <v>1425</v>
      </c>
      <c r="C1367">
        <v>139</v>
      </c>
      <c r="D1367">
        <v>145</v>
      </c>
      <c r="E1367">
        <v>113.18311509863</v>
      </c>
      <c r="F1367">
        <v>0.95950079141673805</v>
      </c>
      <c r="G1367">
        <v>10061.2784109641</v>
      </c>
      <c r="H1367">
        <v>938.21295119420301</v>
      </c>
      <c r="I1367">
        <v>0.62002115723197704</v>
      </c>
      <c r="J1367">
        <v>0.143634968465124</v>
      </c>
      <c r="K1367">
        <v>0.62302007307667495</v>
      </c>
      <c r="L1367" t="s">
        <v>33</v>
      </c>
      <c r="M1367" t="s">
        <v>34</v>
      </c>
      <c r="N1367" t="s">
        <v>35</v>
      </c>
      <c r="O1367">
        <v>0.74983337646931403</v>
      </c>
      <c r="P1367" t="s">
        <v>36</v>
      </c>
    </row>
    <row r="1368" spans="1:16">
      <c r="A1368">
        <v>1367</v>
      </c>
      <c r="B1368" t="s">
        <v>1426</v>
      </c>
      <c r="C1368">
        <v>114</v>
      </c>
      <c r="D1368">
        <v>149</v>
      </c>
      <c r="E1368">
        <v>113.234935427715</v>
      </c>
      <c r="F1368">
        <v>0.76556782494129605</v>
      </c>
      <c r="G1368">
        <v>10070.4935330813</v>
      </c>
      <c r="H1368">
        <v>712.09218254141194</v>
      </c>
      <c r="I1368">
        <v>0.63114764267410395</v>
      </c>
      <c r="J1368">
        <v>0.24956758865373599</v>
      </c>
      <c r="K1368">
        <v>0.75250724685969395</v>
      </c>
      <c r="L1368" t="s">
        <v>38</v>
      </c>
      <c r="M1368" t="s">
        <v>34</v>
      </c>
      <c r="N1368" t="s">
        <v>35</v>
      </c>
      <c r="O1368">
        <v>0.82585269841370301</v>
      </c>
      <c r="P1368" t="s">
        <v>36</v>
      </c>
    </row>
    <row r="1369" spans="1:16">
      <c r="A1369">
        <v>1368</v>
      </c>
      <c r="B1369" t="s">
        <v>1427</v>
      </c>
      <c r="C1369">
        <v>106</v>
      </c>
      <c r="D1369">
        <v>228</v>
      </c>
      <c r="E1369">
        <v>113.884854301525</v>
      </c>
      <c r="F1369">
        <v>0.46368641507026098</v>
      </c>
      <c r="G1369">
        <v>10186.4257145558</v>
      </c>
      <c r="H1369">
        <v>1153.93973507539</v>
      </c>
      <c r="I1369">
        <v>0.71790781526960801</v>
      </c>
      <c r="J1369">
        <v>9.6131436038956297E-2</v>
      </c>
      <c r="K1369">
        <v>0.58774848635576205</v>
      </c>
      <c r="L1369" t="s">
        <v>43</v>
      </c>
      <c r="M1369" t="s">
        <v>34</v>
      </c>
      <c r="N1369" t="s">
        <v>35</v>
      </c>
      <c r="O1369">
        <v>0.67710918569645395</v>
      </c>
      <c r="P1369" t="s">
        <v>36</v>
      </c>
    </row>
    <row r="1370" spans="1:16">
      <c r="A1370">
        <v>1369</v>
      </c>
      <c r="B1370" t="s">
        <v>1428</v>
      </c>
      <c r="C1370">
        <v>201</v>
      </c>
      <c r="D1370">
        <v>103</v>
      </c>
      <c r="E1370">
        <v>114.12471786809699</v>
      </c>
      <c r="F1370">
        <v>1.94708993854663</v>
      </c>
      <c r="G1370">
        <v>10229.3800741021</v>
      </c>
      <c r="H1370">
        <v>1321.65690503224</v>
      </c>
      <c r="I1370">
        <v>0.75756897154050495</v>
      </c>
      <c r="J1370">
        <v>7.3590494398585699E-2</v>
      </c>
      <c r="K1370">
        <v>0.60393650347932104</v>
      </c>
      <c r="L1370" t="s">
        <v>49</v>
      </c>
      <c r="M1370" t="s">
        <v>34</v>
      </c>
      <c r="N1370" t="s">
        <v>35</v>
      </c>
      <c r="O1370">
        <v>0.72560322956818302</v>
      </c>
      <c r="P1370" t="s">
        <v>36</v>
      </c>
    </row>
    <row r="1371" spans="1:16">
      <c r="A1371">
        <v>1370</v>
      </c>
      <c r="B1371" t="s">
        <v>1429</v>
      </c>
      <c r="C1371">
        <v>137</v>
      </c>
      <c r="D1371">
        <v>168</v>
      </c>
      <c r="E1371">
        <v>114.19019841973299</v>
      </c>
      <c r="F1371">
        <v>0.81818181818181801</v>
      </c>
      <c r="G1371">
        <v>10241.121923251399</v>
      </c>
      <c r="H1371">
        <v>1020.71181650504</v>
      </c>
      <c r="I1371">
        <v>0.67832257611219704</v>
      </c>
      <c r="J1371">
        <v>0.123523934257613</v>
      </c>
      <c r="K1371">
        <v>0.56368827513989295</v>
      </c>
      <c r="L1371" t="s">
        <v>33</v>
      </c>
      <c r="M1371" t="s">
        <v>34</v>
      </c>
      <c r="N1371" t="s">
        <v>35</v>
      </c>
      <c r="O1371">
        <v>0.74554744084392399</v>
      </c>
      <c r="P1371" t="s">
        <v>36</v>
      </c>
    </row>
    <row r="1372" spans="1:16">
      <c r="A1372">
        <v>1371</v>
      </c>
      <c r="B1372" t="s">
        <v>1430</v>
      </c>
      <c r="C1372">
        <v>176</v>
      </c>
      <c r="D1372">
        <v>108</v>
      </c>
      <c r="E1372">
        <v>114.60541582083501</v>
      </c>
      <c r="F1372">
        <v>1.64027788896895</v>
      </c>
      <c r="G1372">
        <v>10315.7346862004</v>
      </c>
      <c r="H1372">
        <v>822.34670845518997</v>
      </c>
      <c r="I1372">
        <v>0.69193901135005698</v>
      </c>
      <c r="J1372">
        <v>0.19169028848592901</v>
      </c>
      <c r="K1372">
        <v>0.729918179332394</v>
      </c>
      <c r="L1372" t="s">
        <v>38</v>
      </c>
      <c r="M1372" t="s">
        <v>34</v>
      </c>
      <c r="N1372" t="s">
        <v>35</v>
      </c>
      <c r="O1372">
        <v>0.75575013666779101</v>
      </c>
      <c r="P1372" t="s">
        <v>36</v>
      </c>
    </row>
    <row r="1373" spans="1:16">
      <c r="A1373">
        <v>1372</v>
      </c>
      <c r="B1373" t="s">
        <v>1431</v>
      </c>
      <c r="C1373">
        <v>176</v>
      </c>
      <c r="D1373">
        <v>162</v>
      </c>
      <c r="E1373">
        <v>114.65989431720401</v>
      </c>
      <c r="F1373">
        <v>1.0838926174496599</v>
      </c>
      <c r="G1373">
        <v>10325.5443323251</v>
      </c>
      <c r="H1373">
        <v>1021.81554653033</v>
      </c>
      <c r="I1373">
        <v>0.60626416793203597</v>
      </c>
      <c r="J1373">
        <v>0.124273293342251</v>
      </c>
      <c r="K1373">
        <v>0.52271957743617503</v>
      </c>
      <c r="L1373" t="s">
        <v>33</v>
      </c>
      <c r="M1373" t="s">
        <v>34</v>
      </c>
      <c r="N1373" t="s">
        <v>35</v>
      </c>
      <c r="O1373">
        <v>0.76368933324155897</v>
      </c>
      <c r="P1373" t="s">
        <v>36</v>
      </c>
    </row>
    <row r="1374" spans="1:16">
      <c r="A1374">
        <v>1373</v>
      </c>
      <c r="B1374" t="s">
        <v>1432</v>
      </c>
      <c r="C1374">
        <v>196</v>
      </c>
      <c r="D1374">
        <v>171</v>
      </c>
      <c r="E1374">
        <v>114.697023910586</v>
      </c>
      <c r="F1374">
        <v>1.1433121019108301</v>
      </c>
      <c r="G1374">
        <v>10332.232727410201</v>
      </c>
      <c r="H1374">
        <v>1430.74577825546</v>
      </c>
      <c r="I1374">
        <v>0.60855875005529603</v>
      </c>
      <c r="J1374">
        <v>6.3427719609088606E-2</v>
      </c>
      <c r="K1374">
        <v>0.42353457257224297</v>
      </c>
      <c r="L1374" t="s">
        <v>74</v>
      </c>
      <c r="M1374" t="s">
        <v>34</v>
      </c>
      <c r="N1374" t="s">
        <v>35</v>
      </c>
      <c r="O1374">
        <v>0.69371789350913704</v>
      </c>
      <c r="P1374" t="s">
        <v>36</v>
      </c>
    </row>
    <row r="1375" spans="1:16">
      <c r="A1375">
        <v>1374</v>
      </c>
      <c r="B1375" t="s">
        <v>1433</v>
      </c>
      <c r="C1375">
        <v>142</v>
      </c>
      <c r="D1375">
        <v>184</v>
      </c>
      <c r="E1375">
        <v>114.7481605597</v>
      </c>
      <c r="F1375">
        <v>0.77264013659822395</v>
      </c>
      <c r="G1375">
        <v>10341.4478495274</v>
      </c>
      <c r="H1375">
        <v>898.41872925032703</v>
      </c>
      <c r="I1375">
        <v>0.63470858956371601</v>
      </c>
      <c r="J1375">
        <v>0.16100286941025799</v>
      </c>
      <c r="K1375">
        <v>0.55997038300886104</v>
      </c>
      <c r="L1375" t="s">
        <v>43</v>
      </c>
      <c r="M1375" t="s">
        <v>34</v>
      </c>
      <c r="N1375" t="s">
        <v>35</v>
      </c>
      <c r="O1375">
        <v>0.76719937898125601</v>
      </c>
      <c r="P1375" t="s">
        <v>36</v>
      </c>
    </row>
    <row r="1376" spans="1:16">
      <c r="A1376">
        <v>1375</v>
      </c>
      <c r="B1376" t="s">
        <v>1434</v>
      </c>
      <c r="C1376">
        <v>134</v>
      </c>
      <c r="D1376">
        <v>140</v>
      </c>
      <c r="E1376">
        <v>114.795153187659</v>
      </c>
      <c r="F1376">
        <v>0.95719855216025296</v>
      </c>
      <c r="G1376">
        <v>10349.9198166352</v>
      </c>
      <c r="H1376">
        <v>785.242102900899</v>
      </c>
      <c r="I1376">
        <v>0.58967677360253701</v>
      </c>
      <c r="J1376">
        <v>0.21093065164951499</v>
      </c>
      <c r="K1376">
        <v>0.68854874274470301</v>
      </c>
      <c r="L1376" t="s">
        <v>144</v>
      </c>
      <c r="M1376" t="s">
        <v>34</v>
      </c>
      <c r="N1376" t="s">
        <v>35</v>
      </c>
      <c r="O1376">
        <v>0.73540430987757399</v>
      </c>
      <c r="P1376" t="s">
        <v>36</v>
      </c>
    </row>
    <row r="1377" spans="1:16">
      <c r="A1377">
        <v>1376</v>
      </c>
      <c r="B1377" t="s">
        <v>1435</v>
      </c>
      <c r="C1377">
        <v>180</v>
      </c>
      <c r="D1377">
        <v>106</v>
      </c>
      <c r="E1377">
        <v>114.95330280709901</v>
      </c>
      <c r="F1377">
        <v>1.69439090474653</v>
      </c>
      <c r="G1377">
        <v>10378.4569689981</v>
      </c>
      <c r="H1377">
        <v>909.57825860365597</v>
      </c>
      <c r="I1377">
        <v>0.64524079809828605</v>
      </c>
      <c r="J1377">
        <v>0.15763857889055199</v>
      </c>
      <c r="K1377">
        <v>0.68096663773514998</v>
      </c>
      <c r="L1377" t="s">
        <v>33</v>
      </c>
      <c r="M1377" t="s">
        <v>34</v>
      </c>
      <c r="N1377" t="s">
        <v>35</v>
      </c>
      <c r="O1377">
        <v>0.68508048144476597</v>
      </c>
      <c r="P1377" t="s">
        <v>36</v>
      </c>
    </row>
    <row r="1378" spans="1:16">
      <c r="A1378">
        <v>1377</v>
      </c>
      <c r="B1378" t="s">
        <v>1436</v>
      </c>
      <c r="C1378">
        <v>127</v>
      </c>
      <c r="D1378">
        <v>181</v>
      </c>
      <c r="E1378">
        <v>115.00432550191201</v>
      </c>
      <c r="F1378">
        <v>0.69772810891204495</v>
      </c>
      <c r="G1378">
        <v>10387.672091115301</v>
      </c>
      <c r="H1378">
        <v>783.28042213906394</v>
      </c>
      <c r="I1378">
        <v>0.60687892711053404</v>
      </c>
      <c r="J1378">
        <v>0.21276174937783299</v>
      </c>
      <c r="K1378">
        <v>0.62141231283565102</v>
      </c>
      <c r="L1378" t="s">
        <v>144</v>
      </c>
      <c r="M1378" t="s">
        <v>34</v>
      </c>
      <c r="N1378" t="s">
        <v>35</v>
      </c>
      <c r="O1378">
        <v>0.72615830739987697</v>
      </c>
      <c r="P1378" t="s">
        <v>36</v>
      </c>
    </row>
    <row r="1379" spans="1:16">
      <c r="A1379">
        <v>1378</v>
      </c>
      <c r="B1379" t="s">
        <v>1437</v>
      </c>
      <c r="C1379">
        <v>143</v>
      </c>
      <c r="D1379">
        <v>138</v>
      </c>
      <c r="E1379">
        <v>115.11616704163799</v>
      </c>
      <c r="F1379">
        <v>1.0355731225296401</v>
      </c>
      <c r="G1379">
        <v>10407.8859073724</v>
      </c>
      <c r="H1379">
        <v>769.63944673092499</v>
      </c>
      <c r="I1379">
        <v>0.63640729602952195</v>
      </c>
      <c r="J1379">
        <v>0.220799329055553</v>
      </c>
      <c r="K1379">
        <v>0.68154831425679396</v>
      </c>
      <c r="L1379" t="s">
        <v>38</v>
      </c>
      <c r="M1379" t="s">
        <v>34</v>
      </c>
      <c r="N1379" t="s">
        <v>35</v>
      </c>
      <c r="O1379">
        <v>0.70684396243034497</v>
      </c>
      <c r="P1379" t="s">
        <v>36</v>
      </c>
    </row>
    <row r="1380" spans="1:16">
      <c r="A1380">
        <v>1379</v>
      </c>
      <c r="B1380" t="s">
        <v>1438</v>
      </c>
      <c r="C1380">
        <v>176</v>
      </c>
      <c r="D1380">
        <v>191</v>
      </c>
      <c r="E1380">
        <v>115.152327812347</v>
      </c>
      <c r="F1380">
        <v>0.92285712940449405</v>
      </c>
      <c r="G1380">
        <v>10414.4256714556</v>
      </c>
      <c r="H1380">
        <v>1739.9117679974299</v>
      </c>
      <c r="I1380">
        <v>0.65911884041177404</v>
      </c>
      <c r="J1380">
        <v>4.3230547698702299E-2</v>
      </c>
      <c r="K1380">
        <v>0.40484059210298201</v>
      </c>
      <c r="L1380" t="s">
        <v>41</v>
      </c>
      <c r="M1380" t="s">
        <v>34</v>
      </c>
      <c r="N1380" t="s">
        <v>35</v>
      </c>
      <c r="O1380">
        <v>0.73997969206189995</v>
      </c>
      <c r="P1380" t="s">
        <v>36</v>
      </c>
    </row>
    <row r="1381" spans="1:16">
      <c r="A1381">
        <v>1380</v>
      </c>
      <c r="B1381" t="s">
        <v>1439</v>
      </c>
      <c r="C1381">
        <v>160</v>
      </c>
      <c r="D1381">
        <v>144</v>
      </c>
      <c r="E1381">
        <v>115.28372590991</v>
      </c>
      <c r="F1381">
        <v>1.11363636363636</v>
      </c>
      <c r="G1381">
        <v>10438.206631757999</v>
      </c>
      <c r="H1381">
        <v>814.980525516738</v>
      </c>
      <c r="I1381">
        <v>0.65210547372387895</v>
      </c>
      <c r="J1381">
        <v>0.19748826370508299</v>
      </c>
      <c r="K1381">
        <v>0.587705130672737</v>
      </c>
      <c r="L1381" t="s">
        <v>41</v>
      </c>
      <c r="M1381" t="s">
        <v>34</v>
      </c>
      <c r="N1381" t="s">
        <v>35</v>
      </c>
      <c r="O1381">
        <v>0.66699340600199197</v>
      </c>
      <c r="P1381" t="s">
        <v>36</v>
      </c>
    </row>
    <row r="1382" spans="1:16">
      <c r="A1382">
        <v>1381</v>
      </c>
      <c r="B1382" t="s">
        <v>1440</v>
      </c>
      <c r="C1382">
        <v>201</v>
      </c>
      <c r="D1382">
        <v>128</v>
      </c>
      <c r="E1382">
        <v>115.44858282532699</v>
      </c>
      <c r="F1382">
        <v>1.5726495726495699</v>
      </c>
      <c r="G1382">
        <v>10468.081463138</v>
      </c>
      <c r="H1382">
        <v>1270.20931838347</v>
      </c>
      <c r="I1382">
        <v>0.62690271284458399</v>
      </c>
      <c r="J1382">
        <v>8.1531675786016694E-2</v>
      </c>
      <c r="K1382">
        <v>0.59475755375027495</v>
      </c>
      <c r="L1382" t="s">
        <v>43</v>
      </c>
      <c r="M1382" t="s">
        <v>34</v>
      </c>
      <c r="N1382" t="s">
        <v>35</v>
      </c>
      <c r="O1382">
        <v>0.83132013990118303</v>
      </c>
      <c r="P1382" t="s">
        <v>36</v>
      </c>
    </row>
    <row r="1383" spans="1:16">
      <c r="A1383">
        <v>1382</v>
      </c>
      <c r="B1383" t="s">
        <v>1441</v>
      </c>
      <c r="C1383">
        <v>157</v>
      </c>
      <c r="D1383">
        <v>186</v>
      </c>
      <c r="E1383">
        <v>115.622207056615</v>
      </c>
      <c r="F1383">
        <v>0.84457478005865105</v>
      </c>
      <c r="G1383">
        <v>10499.591235538801</v>
      </c>
      <c r="H1383">
        <v>1949.325489911</v>
      </c>
      <c r="I1383">
        <v>0.666587562376597</v>
      </c>
      <c r="J1383">
        <v>3.4722703521753898E-2</v>
      </c>
      <c r="K1383">
        <v>0.50004247126111301</v>
      </c>
      <c r="L1383" t="s">
        <v>1038</v>
      </c>
      <c r="M1383" t="s">
        <v>34</v>
      </c>
      <c r="N1383" t="s">
        <v>35</v>
      </c>
      <c r="O1383">
        <v>0.63554589564889097</v>
      </c>
      <c r="P1383" t="s">
        <v>36</v>
      </c>
    </row>
    <row r="1384" spans="1:16">
      <c r="A1384">
        <v>1383</v>
      </c>
      <c r="B1384" t="s">
        <v>1442</v>
      </c>
      <c r="C1384">
        <v>104</v>
      </c>
      <c r="D1384">
        <v>277</v>
      </c>
      <c r="E1384">
        <v>115.933585719585</v>
      </c>
      <c r="F1384">
        <v>0.37711053416074702</v>
      </c>
      <c r="G1384">
        <v>10556.219647259</v>
      </c>
      <c r="H1384">
        <v>903.02235466532102</v>
      </c>
      <c r="I1384">
        <v>0.68675333147173601</v>
      </c>
      <c r="J1384">
        <v>0.162675173667612</v>
      </c>
      <c r="K1384">
        <v>0.51772072544903203</v>
      </c>
      <c r="L1384" t="s">
        <v>1072</v>
      </c>
      <c r="M1384" t="s">
        <v>34</v>
      </c>
      <c r="N1384" t="s">
        <v>35</v>
      </c>
      <c r="O1384">
        <v>0.70653290220877596</v>
      </c>
      <c r="P1384" t="s">
        <v>36</v>
      </c>
    </row>
    <row r="1385" spans="1:16">
      <c r="A1385">
        <v>1384</v>
      </c>
      <c r="B1385" t="s">
        <v>1443</v>
      </c>
      <c r="C1385">
        <v>161</v>
      </c>
      <c r="D1385">
        <v>152</v>
      </c>
      <c r="E1385">
        <v>116.66095929164899</v>
      </c>
      <c r="F1385">
        <v>1.0647482156543799</v>
      </c>
      <c r="G1385">
        <v>10689.095762949</v>
      </c>
      <c r="H1385">
        <v>1120.8259229443399</v>
      </c>
      <c r="I1385">
        <v>0.60999630613879197</v>
      </c>
      <c r="J1385">
        <v>0.106923827857096</v>
      </c>
      <c r="K1385">
        <v>0.52840516671320004</v>
      </c>
      <c r="L1385" t="s">
        <v>38</v>
      </c>
      <c r="M1385" t="s">
        <v>34</v>
      </c>
      <c r="N1385" t="s">
        <v>35</v>
      </c>
      <c r="O1385">
        <v>0.88459351546015796</v>
      </c>
      <c r="P1385" t="s">
        <v>36</v>
      </c>
    </row>
    <row r="1386" spans="1:16">
      <c r="A1386">
        <v>1385</v>
      </c>
      <c r="B1386" t="s">
        <v>1444</v>
      </c>
      <c r="C1386">
        <v>176</v>
      </c>
      <c r="D1386">
        <v>88</v>
      </c>
      <c r="E1386">
        <v>116.774455359607</v>
      </c>
      <c r="F1386">
        <v>2</v>
      </c>
      <c r="G1386">
        <v>10709.904103213599</v>
      </c>
      <c r="H1386">
        <v>627.82974402106299</v>
      </c>
      <c r="I1386">
        <v>0.46663354704087301</v>
      </c>
      <c r="J1386">
        <v>0.34143785725269299</v>
      </c>
      <c r="K1386">
        <v>0.84867793416171</v>
      </c>
      <c r="L1386" t="s">
        <v>38</v>
      </c>
      <c r="M1386" t="s">
        <v>34</v>
      </c>
      <c r="N1386" t="s">
        <v>35</v>
      </c>
      <c r="O1386">
        <v>0.73488503664349303</v>
      </c>
      <c r="P1386" t="s">
        <v>36</v>
      </c>
    </row>
    <row r="1387" spans="1:16">
      <c r="A1387">
        <v>1386</v>
      </c>
      <c r="B1387" t="s">
        <v>1445</v>
      </c>
      <c r="C1387">
        <v>152</v>
      </c>
      <c r="D1387">
        <v>181</v>
      </c>
      <c r="E1387">
        <v>116.782558000862</v>
      </c>
      <c r="F1387">
        <v>0.83734939759036098</v>
      </c>
      <c r="G1387">
        <v>10711.390413232501</v>
      </c>
      <c r="H1387">
        <v>1116.52838325324</v>
      </c>
      <c r="I1387">
        <v>0.61170165197304505</v>
      </c>
      <c r="J1387">
        <v>0.10797325090243</v>
      </c>
      <c r="K1387">
        <v>0.58486447005356301</v>
      </c>
      <c r="L1387" t="s">
        <v>41</v>
      </c>
      <c r="M1387" t="s">
        <v>34</v>
      </c>
      <c r="N1387" t="s">
        <v>35</v>
      </c>
      <c r="O1387">
        <v>0.66116879182155797</v>
      </c>
      <c r="P1387" t="s">
        <v>36</v>
      </c>
    </row>
    <row r="1388" spans="1:16">
      <c r="A1388">
        <v>1387</v>
      </c>
      <c r="B1388" t="s">
        <v>1446</v>
      </c>
      <c r="C1388">
        <v>154</v>
      </c>
      <c r="D1388">
        <v>169</v>
      </c>
      <c r="E1388">
        <v>116.796331200945</v>
      </c>
      <c r="F1388">
        <v>0.91048770004416102</v>
      </c>
      <c r="G1388">
        <v>10713.917140264701</v>
      </c>
      <c r="H1388">
        <v>861.98270857479304</v>
      </c>
      <c r="I1388">
        <v>0.59997283301348303</v>
      </c>
      <c r="J1388">
        <v>0.18120118747327599</v>
      </c>
      <c r="K1388">
        <v>0.53068887072906801</v>
      </c>
      <c r="L1388" t="s">
        <v>61</v>
      </c>
      <c r="M1388" t="s">
        <v>34</v>
      </c>
      <c r="N1388" t="s">
        <v>35</v>
      </c>
      <c r="O1388">
        <v>0.69763462544941701</v>
      </c>
      <c r="P1388" t="s">
        <v>36</v>
      </c>
    </row>
    <row r="1389" spans="1:16">
      <c r="A1389">
        <v>1388</v>
      </c>
      <c r="B1389" t="s">
        <v>1447</v>
      </c>
      <c r="C1389">
        <v>110</v>
      </c>
      <c r="D1389">
        <v>182</v>
      </c>
      <c r="E1389">
        <v>116.85672474138801</v>
      </c>
      <c r="F1389">
        <v>0.60367451146290196</v>
      </c>
      <c r="G1389">
        <v>10725</v>
      </c>
      <c r="H1389">
        <v>735.97979068756104</v>
      </c>
      <c r="I1389">
        <v>0.86192394225035796</v>
      </c>
      <c r="J1389">
        <v>0.248814328503213</v>
      </c>
      <c r="K1389">
        <v>0.72222222222222199</v>
      </c>
      <c r="L1389" t="s">
        <v>298</v>
      </c>
      <c r="M1389" t="s">
        <v>34</v>
      </c>
      <c r="N1389" t="s">
        <v>35</v>
      </c>
      <c r="O1389">
        <v>0.74667737083017804</v>
      </c>
      <c r="P1389" t="s">
        <v>36</v>
      </c>
    </row>
    <row r="1390" spans="1:16">
      <c r="A1390">
        <v>1389</v>
      </c>
      <c r="B1390" t="s">
        <v>1448</v>
      </c>
      <c r="C1390">
        <v>161</v>
      </c>
      <c r="D1390">
        <v>206</v>
      </c>
      <c r="E1390">
        <v>117.079537008881</v>
      </c>
      <c r="F1390">
        <v>0.78514588859416401</v>
      </c>
      <c r="G1390">
        <v>10765.937990926301</v>
      </c>
      <c r="H1390">
        <v>1970.1069945337499</v>
      </c>
      <c r="I1390">
        <v>0.60732144758981499</v>
      </c>
      <c r="J1390">
        <v>3.48563664124069E-2</v>
      </c>
      <c r="K1390">
        <v>0.40061502043615599</v>
      </c>
      <c r="L1390" t="s">
        <v>72</v>
      </c>
      <c r="M1390" t="s">
        <v>34</v>
      </c>
      <c r="N1390" t="s">
        <v>35</v>
      </c>
      <c r="O1390">
        <v>0.69405610444820498</v>
      </c>
      <c r="P1390" t="s">
        <v>36</v>
      </c>
    </row>
    <row r="1391" spans="1:16">
      <c r="A1391">
        <v>1390</v>
      </c>
      <c r="B1391" t="s">
        <v>1449</v>
      </c>
      <c r="C1391">
        <v>119</v>
      </c>
      <c r="D1391">
        <v>176</v>
      </c>
      <c r="E1391">
        <v>117.087618538024</v>
      </c>
      <c r="F1391">
        <v>0.67801857585139302</v>
      </c>
      <c r="G1391">
        <v>10767.4243009452</v>
      </c>
      <c r="H1391">
        <v>1353.62159217565</v>
      </c>
      <c r="I1391">
        <v>0.64543143049301499</v>
      </c>
      <c r="J1391">
        <v>7.3846028658164004E-2</v>
      </c>
      <c r="K1391">
        <v>0.57064087214065196</v>
      </c>
      <c r="L1391" t="s">
        <v>47</v>
      </c>
      <c r="M1391" t="s">
        <v>34</v>
      </c>
      <c r="N1391" t="s">
        <v>35</v>
      </c>
      <c r="O1391">
        <v>0.94641845564096905</v>
      </c>
      <c r="P1391" t="s">
        <v>36</v>
      </c>
    </row>
    <row r="1392" spans="1:16">
      <c r="A1392">
        <v>1391</v>
      </c>
      <c r="B1392" t="s">
        <v>1450</v>
      </c>
      <c r="C1392">
        <v>161</v>
      </c>
      <c r="D1392">
        <v>192</v>
      </c>
      <c r="E1392">
        <v>117.145789089863</v>
      </c>
      <c r="F1392">
        <v>0.83697582380995095</v>
      </c>
      <c r="G1392">
        <v>10778.1257330813</v>
      </c>
      <c r="H1392">
        <v>1305.5228045567201</v>
      </c>
      <c r="I1392">
        <v>0.49368273470985102</v>
      </c>
      <c r="J1392">
        <v>7.9466518180894299E-2</v>
      </c>
      <c r="K1392">
        <v>0.51037055283808996</v>
      </c>
      <c r="L1392" t="s">
        <v>33</v>
      </c>
      <c r="M1392" t="s">
        <v>34</v>
      </c>
      <c r="N1392" t="s">
        <v>35</v>
      </c>
      <c r="O1392">
        <v>0.72742706971197602</v>
      </c>
      <c r="P1392" t="s">
        <v>36</v>
      </c>
    </row>
    <row r="1393" spans="1:16">
      <c r="A1393">
        <v>1392</v>
      </c>
      <c r="B1393" t="s">
        <v>1451</v>
      </c>
      <c r="C1393">
        <v>120</v>
      </c>
      <c r="D1393">
        <v>243</v>
      </c>
      <c r="E1393">
        <v>117.232990797634</v>
      </c>
      <c r="F1393">
        <v>0.49268314017236498</v>
      </c>
      <c r="G1393">
        <v>10794.177881285401</v>
      </c>
      <c r="H1393">
        <v>1091.42017653776</v>
      </c>
      <c r="I1393">
        <v>0.701789306173764</v>
      </c>
      <c r="J1393">
        <v>0.11387161457108901</v>
      </c>
      <c r="K1393">
        <v>0.514534698359843</v>
      </c>
      <c r="L1393" t="s">
        <v>188</v>
      </c>
      <c r="M1393" t="s">
        <v>34</v>
      </c>
      <c r="N1393" t="s">
        <v>35</v>
      </c>
      <c r="O1393">
        <v>0.72376164520640796</v>
      </c>
      <c r="P1393" t="s">
        <v>36</v>
      </c>
    </row>
    <row r="1394" spans="1:16">
      <c r="A1394">
        <v>1393</v>
      </c>
      <c r="B1394" t="s">
        <v>1452</v>
      </c>
      <c r="C1394">
        <v>149</v>
      </c>
      <c r="D1394">
        <v>273</v>
      </c>
      <c r="E1394">
        <v>117.63022938796</v>
      </c>
      <c r="F1394">
        <v>0.54447544217619204</v>
      </c>
      <c r="G1394">
        <v>10867.452965217401</v>
      </c>
      <c r="H1394">
        <v>1635.7912961181401</v>
      </c>
      <c r="I1394">
        <v>0.66318538381827496</v>
      </c>
      <c r="J1394">
        <v>5.1036613246803399E-2</v>
      </c>
      <c r="K1394">
        <v>0.38152910113649402</v>
      </c>
      <c r="L1394" t="s">
        <v>49</v>
      </c>
      <c r="M1394" t="s">
        <v>34</v>
      </c>
      <c r="N1394" t="s">
        <v>35</v>
      </c>
      <c r="O1394">
        <v>0.79889818282680003</v>
      </c>
      <c r="P1394" t="s">
        <v>36</v>
      </c>
    </row>
    <row r="1395" spans="1:16">
      <c r="A1395">
        <v>1394</v>
      </c>
      <c r="B1395" t="s">
        <v>1453</v>
      </c>
      <c r="C1395">
        <v>176</v>
      </c>
      <c r="D1395">
        <v>182</v>
      </c>
      <c r="E1395">
        <v>117.78055562103999</v>
      </c>
      <c r="F1395">
        <v>0.96407185628742498</v>
      </c>
      <c r="G1395">
        <v>10895.2469625709</v>
      </c>
      <c r="H1395">
        <v>1264.6764173281699</v>
      </c>
      <c r="I1395">
        <v>0.65141647140564896</v>
      </c>
      <c r="J1395">
        <v>8.5602826020818104E-2</v>
      </c>
      <c r="K1395">
        <v>0.46499118277660101</v>
      </c>
      <c r="L1395" t="s">
        <v>38</v>
      </c>
      <c r="M1395" t="s">
        <v>34</v>
      </c>
      <c r="N1395" t="s">
        <v>35</v>
      </c>
      <c r="O1395">
        <v>0.873250098835058</v>
      </c>
      <c r="P1395" t="s">
        <v>36</v>
      </c>
    </row>
    <row r="1396" spans="1:16">
      <c r="A1396">
        <v>1395</v>
      </c>
      <c r="B1396" t="s">
        <v>1454</v>
      </c>
      <c r="C1396">
        <v>126</v>
      </c>
      <c r="D1396">
        <v>142</v>
      </c>
      <c r="E1396">
        <v>117.85524540399</v>
      </c>
      <c r="F1396">
        <v>0.88470924293997</v>
      </c>
      <c r="G1396">
        <v>10909.0696457467</v>
      </c>
      <c r="H1396">
        <v>748.65109286132099</v>
      </c>
      <c r="I1396">
        <v>0.56435448765485896</v>
      </c>
      <c r="J1396">
        <v>0.24458997498214999</v>
      </c>
      <c r="K1396">
        <v>0.751102651480265</v>
      </c>
      <c r="L1396" t="s">
        <v>33</v>
      </c>
      <c r="M1396" t="s">
        <v>34</v>
      </c>
      <c r="N1396" t="s">
        <v>35</v>
      </c>
      <c r="O1396">
        <v>0.74726077138508396</v>
      </c>
      <c r="P1396" t="s">
        <v>36</v>
      </c>
    </row>
    <row r="1397" spans="1:16">
      <c r="A1397">
        <v>1396</v>
      </c>
      <c r="B1397" t="s">
        <v>1455</v>
      </c>
      <c r="C1397">
        <v>94</v>
      </c>
      <c r="D1397">
        <v>199</v>
      </c>
      <c r="E1397">
        <v>118.180757630513</v>
      </c>
      <c r="F1397">
        <v>0.47122933860973398</v>
      </c>
      <c r="G1397">
        <v>10969.413832514199</v>
      </c>
      <c r="H1397">
        <v>597.73822448886006</v>
      </c>
      <c r="I1397">
        <v>0.70777200216472003</v>
      </c>
      <c r="J1397">
        <v>0.38580799802667198</v>
      </c>
      <c r="K1397">
        <v>0.80455021148563199</v>
      </c>
      <c r="L1397" t="s">
        <v>49</v>
      </c>
      <c r="M1397" t="s">
        <v>34</v>
      </c>
      <c r="N1397" t="s">
        <v>35</v>
      </c>
      <c r="O1397">
        <v>0.66302784873562803</v>
      </c>
      <c r="P1397" t="s">
        <v>36</v>
      </c>
    </row>
    <row r="1398" spans="1:16">
      <c r="A1398">
        <v>1397</v>
      </c>
      <c r="B1398" t="s">
        <v>1456</v>
      </c>
      <c r="C1398">
        <v>171</v>
      </c>
      <c r="D1398">
        <v>144</v>
      </c>
      <c r="E1398">
        <v>118.589184077947</v>
      </c>
      <c r="F1398">
        <v>1.1907404595278801</v>
      </c>
      <c r="G1398">
        <v>11045.3642744802</v>
      </c>
      <c r="H1398">
        <v>1050.79621057282</v>
      </c>
      <c r="I1398">
        <v>0.62682339991298996</v>
      </c>
      <c r="J1398">
        <v>0.12570510395815601</v>
      </c>
      <c r="K1398">
        <v>0.53894465073102804</v>
      </c>
      <c r="L1398" t="s">
        <v>33</v>
      </c>
      <c r="M1398" t="s">
        <v>34</v>
      </c>
      <c r="N1398" t="s">
        <v>35</v>
      </c>
      <c r="O1398">
        <v>0.75268309310827097</v>
      </c>
      <c r="P1398" t="s">
        <v>36</v>
      </c>
    </row>
    <row r="1399" spans="1:16">
      <c r="A1399">
        <v>1398</v>
      </c>
      <c r="B1399" t="s">
        <v>1457</v>
      </c>
      <c r="C1399">
        <v>168</v>
      </c>
      <c r="D1399">
        <v>117</v>
      </c>
      <c r="E1399">
        <v>118.943716341211</v>
      </c>
      <c r="F1399">
        <v>1.43759103173703</v>
      </c>
      <c r="G1399">
        <v>11111.5050703214</v>
      </c>
      <c r="H1399">
        <v>605.74544613454702</v>
      </c>
      <c r="I1399">
        <v>0.61146611448453803</v>
      </c>
      <c r="J1399">
        <v>0.38054186038791399</v>
      </c>
      <c r="K1399">
        <v>0.79575718224105096</v>
      </c>
      <c r="L1399" t="s">
        <v>47</v>
      </c>
      <c r="M1399" t="s">
        <v>34</v>
      </c>
      <c r="N1399" t="s">
        <v>35</v>
      </c>
      <c r="O1399">
        <v>0.92406371938363097</v>
      </c>
      <c r="P1399" t="s">
        <v>36</v>
      </c>
    </row>
    <row r="1400" spans="1:16">
      <c r="A1400">
        <v>1399</v>
      </c>
      <c r="B1400" t="s">
        <v>1458</v>
      </c>
      <c r="C1400">
        <v>187</v>
      </c>
      <c r="D1400">
        <v>133</v>
      </c>
      <c r="E1400">
        <v>119.221821246245</v>
      </c>
      <c r="F1400">
        <v>1.4002934040920301</v>
      </c>
      <c r="G1400">
        <v>11163.525920983</v>
      </c>
      <c r="H1400">
        <v>872.64517011632097</v>
      </c>
      <c r="I1400">
        <v>0.59330300391059199</v>
      </c>
      <c r="J1400">
        <v>0.18421961507642201</v>
      </c>
      <c r="K1400">
        <v>0.67223664190459098</v>
      </c>
      <c r="L1400" t="s">
        <v>33</v>
      </c>
      <c r="M1400" t="s">
        <v>34</v>
      </c>
      <c r="N1400" t="s">
        <v>35</v>
      </c>
      <c r="O1400">
        <v>0.69831771530197995</v>
      </c>
      <c r="P1400" t="s">
        <v>36</v>
      </c>
    </row>
    <row r="1401" spans="1:16">
      <c r="A1401">
        <v>1400</v>
      </c>
      <c r="B1401" t="s">
        <v>1459</v>
      </c>
      <c r="C1401">
        <v>153</v>
      </c>
      <c r="D1401">
        <v>206</v>
      </c>
      <c r="E1401">
        <v>119.54440392184</v>
      </c>
      <c r="F1401">
        <v>0.74270557029177697</v>
      </c>
      <c r="G1401">
        <v>11224.0187387524</v>
      </c>
      <c r="H1401">
        <v>1377.2956694306499</v>
      </c>
      <c r="I1401">
        <v>0.69056857315363496</v>
      </c>
      <c r="J1401">
        <v>7.4353922289440294E-2</v>
      </c>
      <c r="K1401">
        <v>0.45075298597888203</v>
      </c>
      <c r="L1401" t="s">
        <v>33</v>
      </c>
      <c r="M1401" t="s">
        <v>34</v>
      </c>
      <c r="N1401" t="s">
        <v>35</v>
      </c>
      <c r="O1401">
        <v>0.70345854466525504</v>
      </c>
      <c r="P1401" t="s">
        <v>36</v>
      </c>
    </row>
    <row r="1402" spans="1:16">
      <c r="A1402">
        <v>1401</v>
      </c>
      <c r="B1402" t="s">
        <v>1460</v>
      </c>
      <c r="C1402">
        <v>260</v>
      </c>
      <c r="D1402">
        <v>129</v>
      </c>
      <c r="E1402">
        <v>119.699440731306</v>
      </c>
      <c r="F1402">
        <v>2.0170572123208999</v>
      </c>
      <c r="G1402">
        <v>11253.1504151229</v>
      </c>
      <c r="H1402">
        <v>1576.2518676772299</v>
      </c>
      <c r="I1402">
        <v>0.52793520870378097</v>
      </c>
      <c r="J1402">
        <v>5.69157888572644E-2</v>
      </c>
      <c r="K1402">
        <v>0.50223882082136495</v>
      </c>
      <c r="L1402" t="s">
        <v>74</v>
      </c>
      <c r="M1402" t="s">
        <v>34</v>
      </c>
      <c r="N1402" t="s">
        <v>35</v>
      </c>
      <c r="O1402">
        <v>0.785169413782007</v>
      </c>
      <c r="P1402" t="s">
        <v>36</v>
      </c>
    </row>
    <row r="1403" spans="1:16">
      <c r="A1403">
        <v>1402</v>
      </c>
      <c r="B1403" t="s">
        <v>1461</v>
      </c>
      <c r="C1403">
        <v>153</v>
      </c>
      <c r="D1403">
        <v>223</v>
      </c>
      <c r="E1403">
        <v>119.757132734704</v>
      </c>
      <c r="F1403">
        <v>0.68566479778475198</v>
      </c>
      <c r="G1403">
        <v>11264.000478260899</v>
      </c>
      <c r="H1403">
        <v>1345.2174948813599</v>
      </c>
      <c r="I1403">
        <v>0.58548517394594002</v>
      </c>
      <c r="J1403">
        <v>7.8219945800781607E-2</v>
      </c>
      <c r="K1403">
        <v>0.44961318493557001</v>
      </c>
      <c r="L1403" t="s">
        <v>41</v>
      </c>
      <c r="M1403" t="s">
        <v>34</v>
      </c>
      <c r="N1403" t="s">
        <v>35</v>
      </c>
      <c r="O1403">
        <v>0.71246087880883302</v>
      </c>
      <c r="P1403" t="s">
        <v>36</v>
      </c>
    </row>
    <row r="1404" spans="1:16">
      <c r="A1404">
        <v>1403</v>
      </c>
      <c r="B1404" t="s">
        <v>1462</v>
      </c>
      <c r="C1404">
        <v>120</v>
      </c>
      <c r="D1404">
        <v>172</v>
      </c>
      <c r="E1404">
        <v>119.76661369207901</v>
      </c>
      <c r="F1404">
        <v>0.69618905507621798</v>
      </c>
      <c r="G1404">
        <v>11265.784050283601</v>
      </c>
      <c r="H1404">
        <v>862.021933758881</v>
      </c>
      <c r="I1404">
        <v>0.67122132207363105</v>
      </c>
      <c r="J1404">
        <v>0.190517403220405</v>
      </c>
      <c r="K1404">
        <v>0.73784167899696296</v>
      </c>
      <c r="L1404" t="s">
        <v>33</v>
      </c>
      <c r="M1404" t="s">
        <v>34</v>
      </c>
      <c r="N1404" t="s">
        <v>35</v>
      </c>
      <c r="O1404">
        <v>0.65012149535038599</v>
      </c>
      <c r="P1404" t="s">
        <v>36</v>
      </c>
    </row>
    <row r="1405" spans="1:16">
      <c r="A1405">
        <v>1404</v>
      </c>
      <c r="B1405" t="s">
        <v>1463</v>
      </c>
      <c r="C1405">
        <v>126</v>
      </c>
      <c r="D1405">
        <v>153</v>
      </c>
      <c r="E1405">
        <v>119.981314443895</v>
      </c>
      <c r="F1405">
        <v>0.82206405693950202</v>
      </c>
      <c r="G1405">
        <v>11306.211682797701</v>
      </c>
      <c r="H1405">
        <v>715.84725945835498</v>
      </c>
      <c r="I1405">
        <v>0.55370921128031403</v>
      </c>
      <c r="J1405">
        <v>0.27725937702547698</v>
      </c>
      <c r="K1405">
        <v>0.69142322165463799</v>
      </c>
      <c r="L1405" t="s">
        <v>873</v>
      </c>
      <c r="M1405" t="s">
        <v>34</v>
      </c>
      <c r="N1405" t="s">
        <v>35</v>
      </c>
      <c r="O1405">
        <v>0.68430861069739202</v>
      </c>
      <c r="P1405" t="s">
        <v>36</v>
      </c>
    </row>
    <row r="1406" spans="1:16">
      <c r="A1406">
        <v>1405</v>
      </c>
      <c r="B1406" t="s">
        <v>1464</v>
      </c>
      <c r="C1406">
        <v>174</v>
      </c>
      <c r="D1406">
        <v>129</v>
      </c>
      <c r="E1406">
        <v>120.014675560185</v>
      </c>
      <c r="F1406">
        <v>1.35489827941862</v>
      </c>
      <c r="G1406">
        <v>11312.5</v>
      </c>
      <c r="H1406">
        <v>869.619399905205</v>
      </c>
      <c r="I1406">
        <v>0.763805328112514</v>
      </c>
      <c r="J1406">
        <v>0.187979295199239</v>
      </c>
      <c r="K1406">
        <v>0.62156593406593397</v>
      </c>
      <c r="L1406" t="s">
        <v>61</v>
      </c>
      <c r="M1406" t="s">
        <v>34</v>
      </c>
      <c r="N1406" t="s">
        <v>35</v>
      </c>
      <c r="O1406">
        <v>0.73841732308465702</v>
      </c>
      <c r="P1406" t="s">
        <v>36</v>
      </c>
    </row>
    <row r="1407" spans="1:16">
      <c r="A1407">
        <v>1406</v>
      </c>
      <c r="B1407" t="s">
        <v>1465</v>
      </c>
      <c r="C1407">
        <v>187</v>
      </c>
      <c r="D1407">
        <v>138</v>
      </c>
      <c r="E1407">
        <v>120.182248054052</v>
      </c>
      <c r="F1407">
        <v>1.35573122529644</v>
      </c>
      <c r="G1407">
        <v>11344.112588279801</v>
      </c>
      <c r="H1407">
        <v>1267.30345050853</v>
      </c>
      <c r="I1407">
        <v>0.67285793069837396</v>
      </c>
      <c r="J1407">
        <v>8.8760380950864998E-2</v>
      </c>
      <c r="K1407">
        <v>0.58932445892626895</v>
      </c>
      <c r="L1407" t="s">
        <v>41</v>
      </c>
      <c r="M1407" t="s">
        <v>34</v>
      </c>
      <c r="N1407" t="s">
        <v>35</v>
      </c>
      <c r="O1407">
        <v>0.73738067945653096</v>
      </c>
      <c r="P1407" t="s">
        <v>36</v>
      </c>
    </row>
    <row r="1408" spans="1:16">
      <c r="A1408">
        <v>1407</v>
      </c>
      <c r="B1408" t="s">
        <v>1466</v>
      </c>
      <c r="C1408">
        <v>142</v>
      </c>
      <c r="D1408">
        <v>151</v>
      </c>
      <c r="E1408">
        <v>120.32781340207301</v>
      </c>
      <c r="F1408">
        <v>0.93862815884476503</v>
      </c>
      <c r="G1408">
        <v>11371.6093236295</v>
      </c>
      <c r="H1408">
        <v>1694.11446281402</v>
      </c>
      <c r="I1408">
        <v>0.60334733827069398</v>
      </c>
      <c r="J1408">
        <v>4.9790477901053197E-2</v>
      </c>
      <c r="K1408">
        <v>0.57939855659641504</v>
      </c>
      <c r="L1408" t="s">
        <v>33</v>
      </c>
      <c r="M1408" t="s">
        <v>34</v>
      </c>
      <c r="N1408" t="s">
        <v>35</v>
      </c>
      <c r="O1408">
        <v>0.70546596163207898</v>
      </c>
      <c r="P1408" t="s">
        <v>36</v>
      </c>
    </row>
    <row r="1409" spans="1:16">
      <c r="A1409">
        <v>1408</v>
      </c>
      <c r="B1409" t="s">
        <v>1467</v>
      </c>
      <c r="C1409">
        <v>101</v>
      </c>
      <c r="D1409">
        <v>325</v>
      </c>
      <c r="E1409">
        <v>120.330172470298</v>
      </c>
      <c r="F1409">
        <v>0.31063967477724103</v>
      </c>
      <c r="G1409">
        <v>11372.055216635201</v>
      </c>
      <c r="H1409">
        <v>1125.55243800371</v>
      </c>
      <c r="I1409">
        <v>0.84910273182201101</v>
      </c>
      <c r="J1409">
        <v>0.112802144902272</v>
      </c>
      <c r="K1409">
        <v>0.53899150429012199</v>
      </c>
      <c r="L1409" t="s">
        <v>33</v>
      </c>
      <c r="M1409" t="s">
        <v>34</v>
      </c>
      <c r="N1409" t="s">
        <v>35</v>
      </c>
      <c r="O1409">
        <v>0.74040942589535097</v>
      </c>
      <c r="P1409" t="s">
        <v>36</v>
      </c>
    </row>
    <row r="1410" spans="1:16">
      <c r="A1410">
        <v>1409</v>
      </c>
      <c r="B1410" t="s">
        <v>1468</v>
      </c>
      <c r="C1410">
        <v>135</v>
      </c>
      <c r="D1410">
        <v>120</v>
      </c>
      <c r="E1410">
        <v>120.393849839331</v>
      </c>
      <c r="F1410">
        <v>1.1270410767143499</v>
      </c>
      <c r="G1410">
        <v>11384.0943277883</v>
      </c>
      <c r="H1410">
        <v>654.07767348569405</v>
      </c>
      <c r="I1410">
        <v>0.67104139226771797</v>
      </c>
      <c r="J1410">
        <v>0.33438724223722299</v>
      </c>
      <c r="K1410">
        <v>0.836624795193883</v>
      </c>
      <c r="L1410" t="s">
        <v>38</v>
      </c>
      <c r="M1410" t="s">
        <v>34</v>
      </c>
      <c r="N1410" t="s">
        <v>35</v>
      </c>
      <c r="O1410">
        <v>0.83929838437825799</v>
      </c>
      <c r="P1410" t="s">
        <v>36</v>
      </c>
    </row>
    <row r="1411" spans="1:16">
      <c r="A1411">
        <v>1410</v>
      </c>
      <c r="B1411" t="s">
        <v>1469</v>
      </c>
      <c r="C1411">
        <v>237</v>
      </c>
      <c r="D1411">
        <v>151</v>
      </c>
      <c r="E1411">
        <v>120.62233936575301</v>
      </c>
      <c r="F1411">
        <v>1.5645385097365101</v>
      </c>
      <c r="G1411">
        <v>11427.3459493384</v>
      </c>
      <c r="H1411">
        <v>1214.56181229052</v>
      </c>
      <c r="I1411">
        <v>0.58507858179580896</v>
      </c>
      <c r="J1411">
        <v>9.7345525774340802E-2</v>
      </c>
      <c r="K1411">
        <v>0.479994006630165</v>
      </c>
      <c r="L1411" t="s">
        <v>33</v>
      </c>
      <c r="M1411" t="s">
        <v>34</v>
      </c>
      <c r="N1411" t="s">
        <v>35</v>
      </c>
      <c r="O1411">
        <v>0.71179649105628295</v>
      </c>
      <c r="P1411" t="s">
        <v>36</v>
      </c>
    </row>
    <row r="1412" spans="1:16">
      <c r="A1412">
        <v>1411</v>
      </c>
      <c r="B1412" t="s">
        <v>1470</v>
      </c>
      <c r="C1412">
        <v>181</v>
      </c>
      <c r="D1412">
        <v>167</v>
      </c>
      <c r="E1412">
        <v>120.66626021693401</v>
      </c>
      <c r="F1412">
        <v>1.08143324094557</v>
      </c>
      <c r="G1412">
        <v>11435.669285444201</v>
      </c>
      <c r="H1412">
        <v>1721.60296773496</v>
      </c>
      <c r="I1412">
        <v>0.59542650108907802</v>
      </c>
      <c r="J1412">
        <v>4.8484781862260497E-2</v>
      </c>
      <c r="K1412">
        <v>0.39302425369322203</v>
      </c>
      <c r="L1412" t="s">
        <v>38</v>
      </c>
      <c r="M1412" t="s">
        <v>34</v>
      </c>
      <c r="N1412" t="s">
        <v>35</v>
      </c>
      <c r="O1412">
        <v>0.89330200525020498</v>
      </c>
      <c r="P1412" t="s">
        <v>36</v>
      </c>
    </row>
    <row r="1413" spans="1:16">
      <c r="A1413">
        <v>1412</v>
      </c>
      <c r="B1413" t="s">
        <v>1471</v>
      </c>
      <c r="C1413">
        <v>166</v>
      </c>
      <c r="D1413">
        <v>166</v>
      </c>
      <c r="E1413">
        <v>120.81672477609899</v>
      </c>
      <c r="F1413">
        <v>0.99672131081929405</v>
      </c>
      <c r="G1413">
        <v>11464.206437807199</v>
      </c>
      <c r="H1413">
        <v>961.57315671692697</v>
      </c>
      <c r="I1413">
        <v>0.60774607895281096</v>
      </c>
      <c r="J1413">
        <v>0.155807801571622</v>
      </c>
      <c r="K1413">
        <v>0.576468038355468</v>
      </c>
      <c r="L1413" t="s">
        <v>144</v>
      </c>
      <c r="M1413" t="s">
        <v>34</v>
      </c>
      <c r="N1413" t="s">
        <v>35</v>
      </c>
      <c r="O1413">
        <v>0.79722443638532903</v>
      </c>
      <c r="P1413" t="s">
        <v>36</v>
      </c>
    </row>
    <row r="1414" spans="1:16">
      <c r="A1414">
        <v>1413</v>
      </c>
      <c r="B1414" t="s">
        <v>1472</v>
      </c>
      <c r="C1414">
        <v>107</v>
      </c>
      <c r="D1414">
        <v>298</v>
      </c>
      <c r="E1414">
        <v>120.938839390891</v>
      </c>
      <c r="F1414">
        <v>0.358453266217448</v>
      </c>
      <c r="G1414">
        <v>11487.392874102101</v>
      </c>
      <c r="H1414">
        <v>815.70618437041401</v>
      </c>
      <c r="I1414">
        <v>0.57655692146044502</v>
      </c>
      <c r="J1414">
        <v>0.21695208511533101</v>
      </c>
      <c r="K1414">
        <v>0.54814184397163102</v>
      </c>
      <c r="L1414" t="s">
        <v>47</v>
      </c>
      <c r="M1414" t="s">
        <v>34</v>
      </c>
      <c r="N1414" t="s">
        <v>35</v>
      </c>
      <c r="O1414">
        <v>0.91122601063556397</v>
      </c>
      <c r="P1414" t="s">
        <v>36</v>
      </c>
    </row>
    <row r="1415" spans="1:16">
      <c r="A1415">
        <v>1414</v>
      </c>
      <c r="B1415" t="s">
        <v>1473</v>
      </c>
      <c r="C1415">
        <v>146</v>
      </c>
      <c r="D1415">
        <v>168</v>
      </c>
      <c r="E1415">
        <v>120.987337895769</v>
      </c>
      <c r="F1415">
        <v>0.87027280898239701</v>
      </c>
      <c r="G1415">
        <v>11496.6079962193</v>
      </c>
      <c r="H1415">
        <v>954.03090316337102</v>
      </c>
      <c r="I1415">
        <v>0.62903564871374595</v>
      </c>
      <c r="J1415">
        <v>0.15872842318504399</v>
      </c>
      <c r="K1415">
        <v>0.62206459499453104</v>
      </c>
      <c r="L1415" t="s">
        <v>38</v>
      </c>
      <c r="M1415" t="s">
        <v>34</v>
      </c>
      <c r="N1415" t="s">
        <v>35</v>
      </c>
      <c r="O1415">
        <v>0.70097316900622297</v>
      </c>
      <c r="P1415" t="s">
        <v>36</v>
      </c>
    </row>
    <row r="1416" spans="1:16">
      <c r="A1416">
        <v>1415</v>
      </c>
      <c r="B1416" t="s">
        <v>1474</v>
      </c>
      <c r="C1416">
        <v>165</v>
      </c>
      <c r="D1416">
        <v>196</v>
      </c>
      <c r="E1416">
        <v>121.14677658286099</v>
      </c>
      <c r="F1416">
        <v>0.84122559974701905</v>
      </c>
      <c r="G1416">
        <v>11526.928720604899</v>
      </c>
      <c r="H1416">
        <v>1790.0623657589399</v>
      </c>
      <c r="I1416">
        <v>0.63451731571002201</v>
      </c>
      <c r="J1416">
        <v>4.5205070148541103E-2</v>
      </c>
      <c r="K1416">
        <v>0.39813545661291699</v>
      </c>
      <c r="L1416" t="s">
        <v>33</v>
      </c>
      <c r="M1416" t="s">
        <v>34</v>
      </c>
      <c r="N1416" t="s">
        <v>35</v>
      </c>
      <c r="O1416">
        <v>0.75811319989077797</v>
      </c>
      <c r="P1416" t="s">
        <v>36</v>
      </c>
    </row>
    <row r="1417" spans="1:16">
      <c r="A1417">
        <v>1416</v>
      </c>
      <c r="B1417" t="s">
        <v>1475</v>
      </c>
      <c r="C1417">
        <v>96</v>
      </c>
      <c r="D1417">
        <v>200</v>
      </c>
      <c r="E1417">
        <v>121.983513479431</v>
      </c>
      <c r="F1417">
        <v>0.47822613720584001</v>
      </c>
      <c r="G1417">
        <v>11686.707047637099</v>
      </c>
      <c r="H1417">
        <v>658.39629442785099</v>
      </c>
      <c r="I1417">
        <v>0.80672387311621796</v>
      </c>
      <c r="J1417">
        <v>0.33878741241723598</v>
      </c>
      <c r="K1417">
        <v>0.80472627905310701</v>
      </c>
      <c r="L1417" t="s">
        <v>33</v>
      </c>
      <c r="M1417" t="s">
        <v>34</v>
      </c>
      <c r="N1417" t="s">
        <v>35</v>
      </c>
      <c r="O1417">
        <v>0.70565992645485898</v>
      </c>
      <c r="P1417" t="s">
        <v>36</v>
      </c>
    </row>
    <row r="1418" spans="1:16">
      <c r="A1418">
        <v>1417</v>
      </c>
      <c r="B1418" t="s">
        <v>1476</v>
      </c>
      <c r="C1418">
        <v>120</v>
      </c>
      <c r="D1418">
        <v>194</v>
      </c>
      <c r="E1418">
        <v>122.36687779391499</v>
      </c>
      <c r="F1418">
        <v>0.61886819540121896</v>
      </c>
      <c r="G1418">
        <v>11760.2793935728</v>
      </c>
      <c r="H1418">
        <v>697.75213876496196</v>
      </c>
      <c r="I1418">
        <v>0.71750345835059204</v>
      </c>
      <c r="J1418">
        <v>0.30354644490899702</v>
      </c>
      <c r="K1418">
        <v>0.67109403492701603</v>
      </c>
      <c r="L1418" t="s">
        <v>38</v>
      </c>
      <c r="M1418" t="s">
        <v>34</v>
      </c>
      <c r="N1418" t="s">
        <v>35</v>
      </c>
      <c r="O1418">
        <v>0.84817013450176104</v>
      </c>
      <c r="P1418" t="s">
        <v>36</v>
      </c>
    </row>
    <row r="1419" spans="1:16">
      <c r="A1419">
        <v>1418</v>
      </c>
      <c r="B1419" t="s">
        <v>1477</v>
      </c>
      <c r="C1419">
        <v>226</v>
      </c>
      <c r="D1419">
        <v>201</v>
      </c>
      <c r="E1419">
        <v>122.398577355569</v>
      </c>
      <c r="F1419">
        <v>1.125</v>
      </c>
      <c r="G1419">
        <v>11766.373264650299</v>
      </c>
      <c r="H1419">
        <v>1456.4817284354999</v>
      </c>
      <c r="I1419">
        <v>0.65899371110762095</v>
      </c>
      <c r="J1419">
        <v>6.9701544858870798E-2</v>
      </c>
      <c r="K1419">
        <v>0.37241324156877897</v>
      </c>
      <c r="L1419" t="s">
        <v>43</v>
      </c>
      <c r="M1419" t="s">
        <v>34</v>
      </c>
      <c r="N1419" t="s">
        <v>35</v>
      </c>
      <c r="O1419">
        <v>0.81510510010443105</v>
      </c>
      <c r="P1419" t="s">
        <v>36</v>
      </c>
    </row>
    <row r="1420" spans="1:16">
      <c r="A1420">
        <v>1419</v>
      </c>
      <c r="B1420" t="s">
        <v>1478</v>
      </c>
      <c r="C1420">
        <v>208</v>
      </c>
      <c r="D1420">
        <v>127</v>
      </c>
      <c r="E1420">
        <v>122.705869462716</v>
      </c>
      <c r="F1420">
        <v>1.641027004546</v>
      </c>
      <c r="G1420">
        <v>11825.528403402601</v>
      </c>
      <c r="H1420">
        <v>1065.44946553759</v>
      </c>
      <c r="I1420">
        <v>0.54024346384300803</v>
      </c>
      <c r="J1420">
        <v>0.13090755389568801</v>
      </c>
      <c r="K1420">
        <v>0.68540342171913005</v>
      </c>
      <c r="L1420" t="s">
        <v>893</v>
      </c>
      <c r="M1420" t="s">
        <v>34</v>
      </c>
      <c r="N1420" t="s">
        <v>35</v>
      </c>
      <c r="O1420">
        <v>0.66417630479979395</v>
      </c>
      <c r="P1420" t="s">
        <v>36</v>
      </c>
    </row>
    <row r="1421" spans="1:16">
      <c r="A1421">
        <v>1420</v>
      </c>
      <c r="B1421" t="s">
        <v>1479</v>
      </c>
      <c r="C1421">
        <v>120</v>
      </c>
      <c r="D1421">
        <v>248</v>
      </c>
      <c r="E1421">
        <v>122.870779173104</v>
      </c>
      <c r="F1421">
        <v>0.48462313645451699</v>
      </c>
      <c r="G1421">
        <v>11857.3354378072</v>
      </c>
      <c r="H1421">
        <v>1002.93607677823</v>
      </c>
      <c r="I1421">
        <v>0.64162503597309695</v>
      </c>
      <c r="J1421">
        <v>0.148132537619173</v>
      </c>
      <c r="K1421">
        <v>0.53859344724920799</v>
      </c>
      <c r="L1421" t="s">
        <v>33</v>
      </c>
      <c r="M1421" t="s">
        <v>34</v>
      </c>
      <c r="N1421" t="s">
        <v>35</v>
      </c>
      <c r="O1421">
        <v>0.71385625678170395</v>
      </c>
      <c r="P1421" t="s">
        <v>36</v>
      </c>
    </row>
    <row r="1422" spans="1:16">
      <c r="A1422">
        <v>1421</v>
      </c>
      <c r="B1422" t="s">
        <v>1480</v>
      </c>
      <c r="C1422">
        <v>167</v>
      </c>
      <c r="D1422">
        <v>128</v>
      </c>
      <c r="E1422">
        <v>123.312017993038</v>
      </c>
      <c r="F1422">
        <v>1.3076923076923099</v>
      </c>
      <c r="G1422">
        <v>11942.6496328923</v>
      </c>
      <c r="H1422">
        <v>1229.76303926375</v>
      </c>
      <c r="I1422">
        <v>0.72809013472899498</v>
      </c>
      <c r="J1422">
        <v>9.9235641887186504E-2</v>
      </c>
      <c r="K1422">
        <v>0.70250397803773501</v>
      </c>
      <c r="L1422" t="s">
        <v>33</v>
      </c>
      <c r="M1422" t="s">
        <v>34</v>
      </c>
      <c r="N1422" t="s">
        <v>35</v>
      </c>
      <c r="O1422">
        <v>0.69136025047167604</v>
      </c>
      <c r="P1422" t="s">
        <v>36</v>
      </c>
    </row>
    <row r="1423" spans="1:16">
      <c r="A1423">
        <v>1422</v>
      </c>
      <c r="B1423" t="s">
        <v>1481</v>
      </c>
      <c r="C1423">
        <v>132</v>
      </c>
      <c r="D1423">
        <v>142</v>
      </c>
      <c r="E1423">
        <v>123.337337397068</v>
      </c>
      <c r="F1423">
        <v>0.92789676628205797</v>
      </c>
      <c r="G1423">
        <v>11947.5544559546</v>
      </c>
      <c r="H1423">
        <v>702.71826333481295</v>
      </c>
      <c r="I1423">
        <v>0.63573217185750797</v>
      </c>
      <c r="J1423">
        <v>0.30403697373812599</v>
      </c>
      <c r="K1423">
        <v>0.83987921721050296</v>
      </c>
      <c r="L1423" t="s">
        <v>38</v>
      </c>
      <c r="M1423" t="s">
        <v>34</v>
      </c>
      <c r="N1423" t="s">
        <v>35</v>
      </c>
      <c r="O1423">
        <v>0.68628785080334198</v>
      </c>
      <c r="P1423" t="s">
        <v>36</v>
      </c>
    </row>
    <row r="1424" spans="1:16">
      <c r="A1424">
        <v>1423</v>
      </c>
      <c r="B1424" t="s">
        <v>1482</v>
      </c>
      <c r="C1424">
        <v>198</v>
      </c>
      <c r="D1424">
        <v>176</v>
      </c>
      <c r="E1424">
        <v>123.529748467171</v>
      </c>
      <c r="F1424">
        <v>1.12693498452012</v>
      </c>
      <c r="G1424">
        <v>11984.8608374291</v>
      </c>
      <c r="H1424">
        <v>1030.9962068749501</v>
      </c>
      <c r="I1424">
        <v>0.59006209928623998</v>
      </c>
      <c r="J1424">
        <v>0.14168658232374401</v>
      </c>
      <c r="K1424">
        <v>0.52249444361647701</v>
      </c>
      <c r="L1424" t="s">
        <v>49</v>
      </c>
      <c r="M1424" t="s">
        <v>34</v>
      </c>
      <c r="N1424" t="s">
        <v>35</v>
      </c>
      <c r="O1424">
        <v>0.76293642607046297</v>
      </c>
      <c r="P1424" t="s">
        <v>36</v>
      </c>
    </row>
    <row r="1425" spans="1:16">
      <c r="A1425">
        <v>1424</v>
      </c>
      <c r="B1425" t="s">
        <v>1483</v>
      </c>
      <c r="C1425">
        <v>229</v>
      </c>
      <c r="D1425">
        <v>129</v>
      </c>
      <c r="E1425">
        <v>123.875488024193</v>
      </c>
      <c r="F1425">
        <v>1.77117225115647</v>
      </c>
      <c r="G1425">
        <v>12052.0420502836</v>
      </c>
      <c r="H1425">
        <v>883.677916821086</v>
      </c>
      <c r="I1425">
        <v>0.64440223338513503</v>
      </c>
      <c r="J1425">
        <v>0.19394674629523501</v>
      </c>
      <c r="K1425">
        <v>0.5989894587547</v>
      </c>
      <c r="L1425" t="s">
        <v>38</v>
      </c>
      <c r="M1425" t="s">
        <v>34</v>
      </c>
      <c r="N1425" t="s">
        <v>35</v>
      </c>
      <c r="O1425">
        <v>0.77865696588538502</v>
      </c>
      <c r="P1425" t="s">
        <v>36</v>
      </c>
    </row>
    <row r="1426" spans="1:16">
      <c r="A1426">
        <v>1425</v>
      </c>
      <c r="B1426" t="s">
        <v>1484</v>
      </c>
      <c r="C1426">
        <v>176</v>
      </c>
      <c r="D1426">
        <v>167</v>
      </c>
      <c r="E1426">
        <v>124.226358930201</v>
      </c>
      <c r="F1426">
        <v>1.05555555555556</v>
      </c>
      <c r="G1426">
        <v>12120.412311153101</v>
      </c>
      <c r="H1426">
        <v>1048.9535264511701</v>
      </c>
      <c r="I1426">
        <v>0.58412082601797899</v>
      </c>
      <c r="J1426">
        <v>0.13842507363669501</v>
      </c>
      <c r="K1426">
        <v>0.48200469314292799</v>
      </c>
      <c r="L1426" t="s">
        <v>43</v>
      </c>
      <c r="M1426" t="s">
        <v>34</v>
      </c>
      <c r="N1426" t="s">
        <v>35</v>
      </c>
      <c r="O1426">
        <v>0.76520088504678796</v>
      </c>
      <c r="P1426" t="s">
        <v>36</v>
      </c>
    </row>
    <row r="1427" spans="1:16">
      <c r="A1427">
        <v>1426</v>
      </c>
      <c r="B1427" t="s">
        <v>1485</v>
      </c>
      <c r="C1427">
        <v>113</v>
      </c>
      <c r="D1427">
        <v>206</v>
      </c>
      <c r="E1427">
        <v>124.28271088680999</v>
      </c>
      <c r="F1427">
        <v>0.54627333568299996</v>
      </c>
      <c r="G1427">
        <v>12131.411005292999</v>
      </c>
      <c r="H1427">
        <v>1208.04513353628</v>
      </c>
      <c r="I1427">
        <v>0.89511716426485799</v>
      </c>
      <c r="J1427">
        <v>0.10446116387128</v>
      </c>
      <c r="K1427">
        <v>0.65529561000674397</v>
      </c>
      <c r="L1427" t="s">
        <v>33</v>
      </c>
      <c r="M1427" t="s">
        <v>34</v>
      </c>
      <c r="N1427" t="s">
        <v>35</v>
      </c>
      <c r="O1427">
        <v>0.73601698496149004</v>
      </c>
      <c r="P1427" t="s">
        <v>36</v>
      </c>
    </row>
    <row r="1428" spans="1:16">
      <c r="A1428">
        <v>1427</v>
      </c>
      <c r="B1428" t="s">
        <v>1486</v>
      </c>
      <c r="C1428">
        <v>133</v>
      </c>
      <c r="D1428">
        <v>225</v>
      </c>
      <c r="E1428">
        <v>124.32229427810501</v>
      </c>
      <c r="F1428">
        <v>0.58898275824592305</v>
      </c>
      <c r="G1428">
        <v>12139.1398173913</v>
      </c>
      <c r="H1428">
        <v>1176.5100823051</v>
      </c>
      <c r="I1428">
        <v>0.57172316839557802</v>
      </c>
      <c r="J1428">
        <v>0.110206312474761</v>
      </c>
      <c r="K1428">
        <v>0.58584329787462996</v>
      </c>
      <c r="L1428" t="s">
        <v>49</v>
      </c>
      <c r="M1428" t="s">
        <v>34</v>
      </c>
      <c r="N1428" t="s">
        <v>35</v>
      </c>
      <c r="O1428">
        <v>0.78806369808103505</v>
      </c>
      <c r="P1428" t="s">
        <v>36</v>
      </c>
    </row>
    <row r="1429" spans="1:16">
      <c r="A1429">
        <v>1428</v>
      </c>
      <c r="B1429" t="s">
        <v>1487</v>
      </c>
      <c r="C1429">
        <v>166</v>
      </c>
      <c r="D1429">
        <v>148</v>
      </c>
      <c r="E1429">
        <v>124.394577563268</v>
      </c>
      <c r="F1429">
        <v>1.1189378228062901</v>
      </c>
      <c r="G1429">
        <v>12153.2597625709</v>
      </c>
      <c r="H1429">
        <v>1373.92351237567</v>
      </c>
      <c r="I1429">
        <v>0.71630767238777804</v>
      </c>
      <c r="J1429">
        <v>8.0905404391063501E-2</v>
      </c>
      <c r="K1429">
        <v>0.62914432125077902</v>
      </c>
      <c r="L1429" t="s">
        <v>49</v>
      </c>
      <c r="M1429" t="s">
        <v>34</v>
      </c>
      <c r="N1429" t="s">
        <v>35</v>
      </c>
      <c r="O1429">
        <v>0.75761126843320803</v>
      </c>
      <c r="P1429" t="s">
        <v>36</v>
      </c>
    </row>
    <row r="1430" spans="1:16">
      <c r="A1430">
        <v>1429</v>
      </c>
      <c r="B1430" t="s">
        <v>1488</v>
      </c>
      <c r="C1430">
        <v>166</v>
      </c>
      <c r="D1430">
        <v>156</v>
      </c>
      <c r="E1430">
        <v>124.898631666963</v>
      </c>
      <c r="F1430">
        <v>1.06271777003484</v>
      </c>
      <c r="G1430">
        <v>12251.9507478261</v>
      </c>
      <c r="H1430">
        <v>1577.4839965812</v>
      </c>
      <c r="I1430">
        <v>0.57860024731431703</v>
      </c>
      <c r="J1430">
        <v>6.1870721735821199E-2</v>
      </c>
      <c r="K1430">
        <v>0.53813462505140996</v>
      </c>
      <c r="L1430" t="s">
        <v>41</v>
      </c>
      <c r="M1430" t="s">
        <v>34</v>
      </c>
      <c r="N1430" t="s">
        <v>35</v>
      </c>
      <c r="O1430">
        <v>0.66109480249480002</v>
      </c>
      <c r="P1430" t="s">
        <v>36</v>
      </c>
    </row>
    <row r="1431" spans="1:16">
      <c r="A1431">
        <v>1430</v>
      </c>
      <c r="B1431" t="s">
        <v>1489</v>
      </c>
      <c r="C1431">
        <v>161</v>
      </c>
      <c r="D1431">
        <v>191</v>
      </c>
      <c r="E1431">
        <v>125.205077989264</v>
      </c>
      <c r="F1431">
        <v>0.84571428571428597</v>
      </c>
      <c r="G1431">
        <v>12312.1463035917</v>
      </c>
      <c r="H1431">
        <v>2402.8341931582499</v>
      </c>
      <c r="I1431">
        <v>0.59689033415233295</v>
      </c>
      <c r="J1431">
        <v>2.67976076720443E-2</v>
      </c>
      <c r="K1431">
        <v>0.42412001126385601</v>
      </c>
      <c r="L1431" t="s">
        <v>38</v>
      </c>
      <c r="M1431" t="s">
        <v>34</v>
      </c>
      <c r="N1431" t="s">
        <v>35</v>
      </c>
      <c r="O1431">
        <v>0.92185865442529202</v>
      </c>
      <c r="P1431" t="s">
        <v>36</v>
      </c>
    </row>
    <row r="1432" spans="1:16">
      <c r="A1432">
        <v>1431</v>
      </c>
      <c r="B1432" t="s">
        <v>1490</v>
      </c>
      <c r="C1432">
        <v>221</v>
      </c>
      <c r="D1432">
        <v>147</v>
      </c>
      <c r="E1432">
        <v>125.321406615756</v>
      </c>
      <c r="F1432">
        <v>1.4996395865212899</v>
      </c>
      <c r="G1432">
        <v>12335.0354778828</v>
      </c>
      <c r="H1432">
        <v>1152.6489159663899</v>
      </c>
      <c r="I1432">
        <v>0.58405707679183505</v>
      </c>
      <c r="J1432">
        <v>0.11666918783058999</v>
      </c>
      <c r="K1432">
        <v>0.51554249649020401</v>
      </c>
      <c r="L1432" t="s">
        <v>43</v>
      </c>
      <c r="M1432" t="s">
        <v>34</v>
      </c>
      <c r="N1432" t="s">
        <v>35</v>
      </c>
      <c r="O1432">
        <v>0.76175734666142303</v>
      </c>
      <c r="P1432" t="s">
        <v>36</v>
      </c>
    </row>
    <row r="1433" spans="1:16">
      <c r="A1433">
        <v>1432</v>
      </c>
      <c r="B1433" t="s">
        <v>1491</v>
      </c>
      <c r="C1433">
        <v>121</v>
      </c>
      <c r="D1433">
        <v>151</v>
      </c>
      <c r="E1433">
        <v>125.433855651732</v>
      </c>
      <c r="F1433">
        <v>0.79725443276939401</v>
      </c>
      <c r="G1433">
        <v>12357.1814971645</v>
      </c>
      <c r="H1433">
        <v>549.89138593694395</v>
      </c>
      <c r="I1433">
        <v>0.70466740823450202</v>
      </c>
      <c r="J1433">
        <v>0.51354139498584195</v>
      </c>
      <c r="K1433">
        <v>0.88865611338542305</v>
      </c>
      <c r="L1433" t="s">
        <v>38</v>
      </c>
      <c r="M1433" t="s">
        <v>34</v>
      </c>
      <c r="N1433" t="s">
        <v>35</v>
      </c>
      <c r="O1433">
        <v>0.704476797752837</v>
      </c>
      <c r="P1433" t="s">
        <v>36</v>
      </c>
    </row>
    <row r="1434" spans="1:16">
      <c r="A1434">
        <v>1433</v>
      </c>
      <c r="B1434" t="s">
        <v>1492</v>
      </c>
      <c r="C1434">
        <v>140</v>
      </c>
      <c r="D1434">
        <v>191</v>
      </c>
      <c r="E1434">
        <v>125.611003570216</v>
      </c>
      <c r="F1434">
        <v>0.734359586482625</v>
      </c>
      <c r="G1434">
        <v>12392.109782608701</v>
      </c>
      <c r="H1434">
        <v>853.87529476590805</v>
      </c>
      <c r="I1434">
        <v>0.64351523957047896</v>
      </c>
      <c r="J1434">
        <v>0.21358277247733701</v>
      </c>
      <c r="K1434">
        <v>0.64841386497437403</v>
      </c>
      <c r="L1434" t="s">
        <v>61</v>
      </c>
      <c r="M1434" t="s">
        <v>34</v>
      </c>
      <c r="N1434" t="s">
        <v>35</v>
      </c>
      <c r="O1434">
        <v>0.65608833964660096</v>
      </c>
      <c r="P1434" t="s">
        <v>36</v>
      </c>
    </row>
    <row r="1435" spans="1:16">
      <c r="A1435">
        <v>1434</v>
      </c>
      <c r="B1435" t="s">
        <v>1493</v>
      </c>
      <c r="C1435">
        <v>204</v>
      </c>
      <c r="D1435">
        <v>126</v>
      </c>
      <c r="E1435">
        <v>126.18220476158299</v>
      </c>
      <c r="F1435">
        <v>1.6268274785079999</v>
      </c>
      <c r="G1435">
        <v>12505.0693440454</v>
      </c>
      <c r="H1435">
        <v>868.14496932475504</v>
      </c>
      <c r="I1435">
        <v>0.72064338490068902</v>
      </c>
      <c r="J1435">
        <v>0.20850259400269699</v>
      </c>
      <c r="K1435">
        <v>0.697659955554081</v>
      </c>
      <c r="L1435" t="s">
        <v>1494</v>
      </c>
      <c r="M1435" t="s">
        <v>34</v>
      </c>
      <c r="N1435" t="s">
        <v>35</v>
      </c>
      <c r="O1435">
        <v>0.96196194840026705</v>
      </c>
      <c r="P1435" t="s">
        <v>36</v>
      </c>
    </row>
    <row r="1436" spans="1:16">
      <c r="A1436">
        <v>1435</v>
      </c>
      <c r="B1436" t="s">
        <v>1495</v>
      </c>
      <c r="C1436">
        <v>161</v>
      </c>
      <c r="D1436">
        <v>147</v>
      </c>
      <c r="E1436">
        <v>126.463845099324</v>
      </c>
      <c r="F1436">
        <v>1.1003717472118999</v>
      </c>
      <c r="G1436">
        <v>12560.9546007561</v>
      </c>
      <c r="H1436">
        <v>1643.2061064791701</v>
      </c>
      <c r="I1436">
        <v>0.56659207145818102</v>
      </c>
      <c r="J1436">
        <v>5.84586025823748E-2</v>
      </c>
      <c r="K1436">
        <v>0.58713473856799503</v>
      </c>
      <c r="L1436" t="s">
        <v>38</v>
      </c>
      <c r="M1436" t="s">
        <v>34</v>
      </c>
      <c r="N1436" t="s">
        <v>35</v>
      </c>
      <c r="O1436">
        <v>0.74968061154640198</v>
      </c>
      <c r="P1436" t="s">
        <v>36</v>
      </c>
    </row>
    <row r="1437" spans="1:16">
      <c r="A1437">
        <v>1436</v>
      </c>
      <c r="B1437" t="s">
        <v>1496</v>
      </c>
      <c r="C1437">
        <v>201</v>
      </c>
      <c r="D1437">
        <v>181</v>
      </c>
      <c r="E1437">
        <v>126.764268430486</v>
      </c>
      <c r="F1437">
        <v>1.10843375487431</v>
      </c>
      <c r="G1437">
        <v>12620.7042635161</v>
      </c>
      <c r="H1437">
        <v>1187.2782452441299</v>
      </c>
      <c r="I1437">
        <v>0.57269043587173596</v>
      </c>
      <c r="J1437">
        <v>0.11250930289126899</v>
      </c>
      <c r="K1437">
        <v>0.48804221005017601</v>
      </c>
      <c r="L1437" t="s">
        <v>38</v>
      </c>
      <c r="M1437" t="s">
        <v>34</v>
      </c>
      <c r="N1437" t="s">
        <v>35</v>
      </c>
      <c r="O1437">
        <v>0.71479985113045597</v>
      </c>
      <c r="P1437" t="s">
        <v>36</v>
      </c>
    </row>
    <row r="1438" spans="1:16">
      <c r="A1438">
        <v>1437</v>
      </c>
      <c r="B1438" t="s">
        <v>1497</v>
      </c>
      <c r="C1438">
        <v>191</v>
      </c>
      <c r="D1438">
        <v>166</v>
      </c>
      <c r="E1438">
        <v>127.406071691854</v>
      </c>
      <c r="F1438">
        <v>1.14754098360656</v>
      </c>
      <c r="G1438">
        <v>12748.824187145599</v>
      </c>
      <c r="H1438">
        <v>1786.2712961181401</v>
      </c>
      <c r="I1438">
        <v>0.57307411203132896</v>
      </c>
      <c r="J1438">
        <v>5.0209414493446798E-2</v>
      </c>
      <c r="K1438">
        <v>0.47417271993543197</v>
      </c>
      <c r="L1438" t="s">
        <v>74</v>
      </c>
      <c r="M1438" t="s">
        <v>34</v>
      </c>
      <c r="N1438" t="s">
        <v>35</v>
      </c>
      <c r="O1438">
        <v>0.69716795065966297</v>
      </c>
      <c r="P1438" t="s">
        <v>36</v>
      </c>
    </row>
    <row r="1439" spans="1:16">
      <c r="A1439">
        <v>1438</v>
      </c>
      <c r="B1439" t="s">
        <v>1498</v>
      </c>
      <c r="C1439">
        <v>181</v>
      </c>
      <c r="D1439">
        <v>166</v>
      </c>
      <c r="E1439">
        <v>127.68130720044999</v>
      </c>
      <c r="F1439">
        <v>1.08852460787906</v>
      </c>
      <c r="G1439">
        <v>12803.966288846899</v>
      </c>
      <c r="H1439">
        <v>743.62789431654903</v>
      </c>
      <c r="I1439">
        <v>0.61851117089087204</v>
      </c>
      <c r="J1439">
        <v>0.29096653449743698</v>
      </c>
      <c r="K1439">
        <v>0.63445746396718194</v>
      </c>
      <c r="L1439" t="s">
        <v>43</v>
      </c>
      <c r="M1439" t="s">
        <v>34</v>
      </c>
      <c r="N1439" t="s">
        <v>35</v>
      </c>
      <c r="O1439">
        <v>0.79560796367536102</v>
      </c>
      <c r="P1439" t="s">
        <v>36</v>
      </c>
    </row>
    <row r="1440" spans="1:16">
      <c r="A1440">
        <v>1439</v>
      </c>
      <c r="B1440" t="s">
        <v>1499</v>
      </c>
      <c r="C1440">
        <v>211</v>
      </c>
      <c r="D1440">
        <v>127</v>
      </c>
      <c r="E1440">
        <v>127.759096387223</v>
      </c>
      <c r="F1440">
        <v>1.6618211227849899</v>
      </c>
      <c r="G1440">
        <v>12819.572544045401</v>
      </c>
      <c r="H1440">
        <v>812.53507218578602</v>
      </c>
      <c r="I1440">
        <v>0.61586631025937699</v>
      </c>
      <c r="J1440">
        <v>0.244005253278957</v>
      </c>
      <c r="K1440">
        <v>0.66794963137352104</v>
      </c>
      <c r="L1440" t="s">
        <v>74</v>
      </c>
      <c r="M1440" t="s">
        <v>34</v>
      </c>
      <c r="N1440" t="s">
        <v>35</v>
      </c>
      <c r="O1440">
        <v>0.73780957234217004</v>
      </c>
      <c r="P1440" t="s">
        <v>36</v>
      </c>
    </row>
    <row r="1441" spans="1:16">
      <c r="A1441">
        <v>1440</v>
      </c>
      <c r="B1441" t="s">
        <v>1500</v>
      </c>
      <c r="C1441">
        <v>138</v>
      </c>
      <c r="D1441">
        <v>127</v>
      </c>
      <c r="E1441">
        <v>128.05869775887101</v>
      </c>
      <c r="F1441">
        <v>1.0865188865944699</v>
      </c>
      <c r="G1441">
        <v>12879.768099811001</v>
      </c>
      <c r="H1441">
        <v>555.91584556973498</v>
      </c>
      <c r="I1441">
        <v>0.691321563988058</v>
      </c>
      <c r="J1441">
        <v>0.52372077437456599</v>
      </c>
      <c r="K1441">
        <v>0.91355317533946201</v>
      </c>
      <c r="L1441" t="s">
        <v>47</v>
      </c>
      <c r="M1441" t="s">
        <v>34</v>
      </c>
      <c r="N1441" t="s">
        <v>35</v>
      </c>
      <c r="O1441">
        <v>0.863447798584983</v>
      </c>
      <c r="P1441" t="s">
        <v>36</v>
      </c>
    </row>
    <row r="1442" spans="1:16">
      <c r="A1442">
        <v>1441</v>
      </c>
      <c r="B1442" t="s">
        <v>1501</v>
      </c>
      <c r="C1442">
        <v>120</v>
      </c>
      <c r="D1442">
        <v>184</v>
      </c>
      <c r="E1442">
        <v>128.17538938902501</v>
      </c>
      <c r="F1442">
        <v>0.65449816704601904</v>
      </c>
      <c r="G1442">
        <v>12903.251798109601</v>
      </c>
      <c r="H1442">
        <v>737.13068058324905</v>
      </c>
      <c r="I1442">
        <v>0.64731835480759103</v>
      </c>
      <c r="J1442">
        <v>0.29841459575378299</v>
      </c>
      <c r="K1442">
        <v>0.71749479321630505</v>
      </c>
      <c r="L1442" t="s">
        <v>38</v>
      </c>
      <c r="M1442" t="s">
        <v>34</v>
      </c>
      <c r="N1442" t="s">
        <v>35</v>
      </c>
      <c r="O1442">
        <v>0.78391201710597103</v>
      </c>
      <c r="P1442" t="s">
        <v>36</v>
      </c>
    </row>
    <row r="1443" spans="1:16">
      <c r="A1443">
        <v>1442</v>
      </c>
      <c r="B1443" t="s">
        <v>1502</v>
      </c>
      <c r="C1443">
        <v>122</v>
      </c>
      <c r="D1443">
        <v>206</v>
      </c>
      <c r="E1443">
        <v>128.68742844236399</v>
      </c>
      <c r="F1443">
        <v>0.59416447147836404</v>
      </c>
      <c r="G1443">
        <v>13006.5503444234</v>
      </c>
      <c r="H1443">
        <v>967.42220627857296</v>
      </c>
      <c r="I1443">
        <v>0.69909029212414997</v>
      </c>
      <c r="J1443">
        <v>0.17463845731605199</v>
      </c>
      <c r="K1443">
        <v>0.69373954542932104</v>
      </c>
      <c r="L1443" t="s">
        <v>38</v>
      </c>
      <c r="M1443" t="s">
        <v>34</v>
      </c>
      <c r="N1443" t="s">
        <v>35</v>
      </c>
      <c r="O1443">
        <v>0.66186356446948502</v>
      </c>
      <c r="P1443" t="s">
        <v>36</v>
      </c>
    </row>
    <row r="1444" spans="1:16">
      <c r="A1444">
        <v>1443</v>
      </c>
      <c r="B1444" t="s">
        <v>1503</v>
      </c>
      <c r="C1444">
        <v>153</v>
      </c>
      <c r="D1444">
        <v>169</v>
      </c>
      <c r="E1444">
        <v>129.373821017475</v>
      </c>
      <c r="F1444">
        <v>0.90588482029158202</v>
      </c>
      <c r="G1444">
        <v>13145.6689621928</v>
      </c>
      <c r="H1444">
        <v>815.38129416952995</v>
      </c>
      <c r="I1444">
        <v>0.61372350523835595</v>
      </c>
      <c r="J1444">
        <v>0.24846834520362801</v>
      </c>
      <c r="K1444">
        <v>0.66921656754589098</v>
      </c>
      <c r="L1444" t="s">
        <v>33</v>
      </c>
      <c r="M1444" t="s">
        <v>34</v>
      </c>
      <c r="N1444" t="s">
        <v>35</v>
      </c>
      <c r="O1444">
        <v>0.71104989377994599</v>
      </c>
      <c r="P1444" t="s">
        <v>36</v>
      </c>
    </row>
    <row r="1445" spans="1:16">
      <c r="A1445">
        <v>1444</v>
      </c>
      <c r="B1445" t="s">
        <v>1504</v>
      </c>
      <c r="C1445">
        <v>141</v>
      </c>
      <c r="D1445">
        <v>176</v>
      </c>
      <c r="E1445">
        <v>129.396491813365</v>
      </c>
      <c r="F1445">
        <v>0.79848609451948005</v>
      </c>
      <c r="G1445">
        <v>13150.276523251399</v>
      </c>
      <c r="H1445">
        <v>1004.92368748147</v>
      </c>
      <c r="I1445">
        <v>0.71626096268689499</v>
      </c>
      <c r="J1445">
        <v>0.16363589745711599</v>
      </c>
      <c r="K1445">
        <v>0.70175048977228605</v>
      </c>
      <c r="L1445" t="s">
        <v>298</v>
      </c>
      <c r="M1445" t="s">
        <v>34</v>
      </c>
      <c r="N1445" t="s">
        <v>35</v>
      </c>
      <c r="O1445">
        <v>0.64901360510349504</v>
      </c>
      <c r="P1445" t="s">
        <v>36</v>
      </c>
    </row>
    <row r="1446" spans="1:16">
      <c r="A1446">
        <v>1445</v>
      </c>
      <c r="B1446" t="s">
        <v>1505</v>
      </c>
      <c r="C1446">
        <v>176</v>
      </c>
      <c r="D1446">
        <v>143</v>
      </c>
      <c r="E1446">
        <v>129.660205033697</v>
      </c>
      <c r="F1446">
        <v>1.2328244274809199</v>
      </c>
      <c r="G1446">
        <v>13203.9323149338</v>
      </c>
      <c r="H1446">
        <v>1411.4373331350901</v>
      </c>
      <c r="I1446">
        <v>0.58433854002917396</v>
      </c>
      <c r="J1446">
        <v>8.3289441971586997E-2</v>
      </c>
      <c r="K1446">
        <v>0.59153288365372403</v>
      </c>
      <c r="L1446" t="s">
        <v>74</v>
      </c>
      <c r="M1446" t="s">
        <v>34</v>
      </c>
      <c r="N1446" t="s">
        <v>35</v>
      </c>
      <c r="O1446">
        <v>0.73955924641778004</v>
      </c>
      <c r="P1446" t="s">
        <v>36</v>
      </c>
    </row>
    <row r="1447" spans="1:16">
      <c r="A1447">
        <v>1446</v>
      </c>
      <c r="B1447" t="s">
        <v>1506</v>
      </c>
      <c r="C1447">
        <v>99</v>
      </c>
      <c r="D1447">
        <v>244</v>
      </c>
      <c r="E1447">
        <v>129.670421336359</v>
      </c>
      <c r="F1447">
        <v>0.404190720630414</v>
      </c>
      <c r="G1447">
        <v>13206.013148960301</v>
      </c>
      <c r="H1447">
        <v>872.116002584851</v>
      </c>
      <c r="I1447">
        <v>0.61162531805725695</v>
      </c>
      <c r="J1447">
        <v>0.21818911381325601</v>
      </c>
      <c r="K1447">
        <v>0.67299127431376105</v>
      </c>
      <c r="L1447" t="s">
        <v>331</v>
      </c>
      <c r="M1447" t="s">
        <v>34</v>
      </c>
      <c r="N1447" t="s">
        <v>35</v>
      </c>
      <c r="O1447">
        <v>0.66846946737774005</v>
      </c>
      <c r="P1447" t="s">
        <v>36</v>
      </c>
    </row>
    <row r="1448" spans="1:16">
      <c r="A1448">
        <v>1447</v>
      </c>
      <c r="B1448" t="s">
        <v>1507</v>
      </c>
      <c r="C1448">
        <v>175</v>
      </c>
      <c r="D1448">
        <v>126</v>
      </c>
      <c r="E1448">
        <v>129.763604215984</v>
      </c>
      <c r="F1448">
        <v>1.38235307667704</v>
      </c>
      <c r="G1448">
        <v>13225</v>
      </c>
      <c r="H1448">
        <v>653.55338454246498</v>
      </c>
      <c r="I1448">
        <v>0.73968629995663404</v>
      </c>
      <c r="J1448">
        <v>0.38908403276932901</v>
      </c>
      <c r="K1448">
        <v>0.78138847858197902</v>
      </c>
      <c r="L1448" t="s">
        <v>47</v>
      </c>
      <c r="M1448" t="s">
        <v>34</v>
      </c>
      <c r="N1448" t="s">
        <v>35</v>
      </c>
      <c r="O1448">
        <v>0.91810313492206996</v>
      </c>
      <c r="P1448" t="s">
        <v>36</v>
      </c>
    </row>
    <row r="1449" spans="1:16">
      <c r="A1449">
        <v>1448</v>
      </c>
      <c r="B1449" t="s">
        <v>1508</v>
      </c>
      <c r="C1449">
        <v>144</v>
      </c>
      <c r="D1449">
        <v>139</v>
      </c>
      <c r="E1449">
        <v>130.09950891335501</v>
      </c>
      <c r="F1449">
        <v>1.0312541504802299</v>
      </c>
      <c r="G1449">
        <v>13293.5568090737</v>
      </c>
      <c r="H1449">
        <v>833.91251569561302</v>
      </c>
      <c r="I1449">
        <v>0.729150728432163</v>
      </c>
      <c r="J1449">
        <v>0.240220505180057</v>
      </c>
      <c r="K1449">
        <v>0.78155174372373104</v>
      </c>
      <c r="L1449" t="s">
        <v>298</v>
      </c>
      <c r="M1449" t="s">
        <v>34</v>
      </c>
      <c r="N1449" t="s">
        <v>35</v>
      </c>
      <c r="O1449">
        <v>0.67228118820963401</v>
      </c>
      <c r="P1449" t="s">
        <v>36</v>
      </c>
    </row>
    <row r="1450" spans="1:16">
      <c r="A1450">
        <v>1449</v>
      </c>
      <c r="B1450" t="s">
        <v>1509</v>
      </c>
      <c r="C1450">
        <v>125</v>
      </c>
      <c r="D1450">
        <v>207</v>
      </c>
      <c r="E1450">
        <v>130.33131126005199</v>
      </c>
      <c r="F1450">
        <v>0.60235288573492696</v>
      </c>
      <c r="G1450">
        <v>13340.9700986768</v>
      </c>
      <c r="H1450">
        <v>935.32912025648602</v>
      </c>
      <c r="I1450">
        <v>0.64974497349762395</v>
      </c>
      <c r="J1450">
        <v>0.191632146092857</v>
      </c>
      <c r="K1450">
        <v>0.69822563456317599</v>
      </c>
      <c r="L1450" t="s">
        <v>49</v>
      </c>
      <c r="M1450" t="s">
        <v>34</v>
      </c>
      <c r="N1450" t="s">
        <v>35</v>
      </c>
      <c r="O1450">
        <v>0.86062356647796801</v>
      </c>
      <c r="P1450" t="s">
        <v>36</v>
      </c>
    </row>
    <row r="1451" spans="1:16">
      <c r="A1451">
        <v>1450</v>
      </c>
      <c r="B1451" t="s">
        <v>1510</v>
      </c>
      <c r="C1451">
        <v>171</v>
      </c>
      <c r="D1451">
        <v>208</v>
      </c>
      <c r="E1451">
        <v>130.76257186950301</v>
      </c>
      <c r="F1451">
        <v>0.82414695345611999</v>
      </c>
      <c r="G1451">
        <v>13429.405544801501</v>
      </c>
      <c r="H1451">
        <v>1572.0772176305099</v>
      </c>
      <c r="I1451">
        <v>0.66005289076410201</v>
      </c>
      <c r="J1451">
        <v>6.8283992346276495E-2</v>
      </c>
      <c r="K1451">
        <v>0.482781467569315</v>
      </c>
      <c r="L1451" t="s">
        <v>41</v>
      </c>
      <c r="M1451" t="s">
        <v>34</v>
      </c>
      <c r="N1451" t="s">
        <v>35</v>
      </c>
      <c r="O1451">
        <v>0.65316032082209297</v>
      </c>
      <c r="P1451" t="s">
        <v>36</v>
      </c>
    </row>
    <row r="1452" spans="1:16">
      <c r="A1452">
        <v>1451</v>
      </c>
      <c r="B1452" t="s">
        <v>1511</v>
      </c>
      <c r="C1452">
        <v>164</v>
      </c>
      <c r="D1452">
        <v>140</v>
      </c>
      <c r="E1452">
        <v>131.198905844949</v>
      </c>
      <c r="F1452">
        <v>1.1712062256809299</v>
      </c>
      <c r="G1452">
        <v>13519.1786699433</v>
      </c>
      <c r="H1452">
        <v>709.49563285060594</v>
      </c>
      <c r="I1452">
        <v>0.61200524032208004</v>
      </c>
      <c r="J1452">
        <v>0.337489852021086</v>
      </c>
      <c r="K1452">
        <v>0.76145429583183299</v>
      </c>
      <c r="L1452" t="s">
        <v>38</v>
      </c>
      <c r="M1452" t="s">
        <v>34</v>
      </c>
      <c r="N1452" t="s">
        <v>35</v>
      </c>
      <c r="O1452">
        <v>0.74163841882075998</v>
      </c>
      <c r="P1452" t="s">
        <v>36</v>
      </c>
    </row>
    <row r="1453" spans="1:16">
      <c r="A1453">
        <v>1452</v>
      </c>
      <c r="B1453" t="s">
        <v>1512</v>
      </c>
      <c r="C1453">
        <v>117</v>
      </c>
      <c r="D1453">
        <v>260</v>
      </c>
      <c r="E1453">
        <v>131.325776753415</v>
      </c>
      <c r="F1453">
        <v>0.45168067226890801</v>
      </c>
      <c r="G1453">
        <v>13545.337726276</v>
      </c>
      <c r="H1453">
        <v>1765.54458869623</v>
      </c>
      <c r="I1453">
        <v>0.77931170924568605</v>
      </c>
      <c r="J1453">
        <v>5.4606246042126397E-2</v>
      </c>
      <c r="K1453">
        <v>0.59536299674011794</v>
      </c>
      <c r="L1453" t="s">
        <v>41</v>
      </c>
      <c r="M1453" t="s">
        <v>34</v>
      </c>
      <c r="N1453" t="s">
        <v>35</v>
      </c>
      <c r="O1453">
        <v>0.71344614705912002</v>
      </c>
      <c r="P1453" t="s">
        <v>36</v>
      </c>
    </row>
    <row r="1454" spans="1:16">
      <c r="A1454">
        <v>1453</v>
      </c>
      <c r="B1454" t="s">
        <v>1513</v>
      </c>
      <c r="C1454">
        <v>194</v>
      </c>
      <c r="D1454">
        <v>146</v>
      </c>
      <c r="E1454">
        <v>133.18876856264399</v>
      </c>
      <c r="F1454">
        <v>1.32672205778814</v>
      </c>
      <c r="G1454">
        <v>13932.3728551985</v>
      </c>
      <c r="H1454">
        <v>749.87381952679698</v>
      </c>
      <c r="I1454">
        <v>0.59424829256635903</v>
      </c>
      <c r="J1454">
        <v>0.31135695400938002</v>
      </c>
      <c r="K1454">
        <v>0.70178932394998905</v>
      </c>
      <c r="L1454" t="s">
        <v>74</v>
      </c>
      <c r="M1454" t="s">
        <v>34</v>
      </c>
      <c r="N1454" t="s">
        <v>35</v>
      </c>
      <c r="O1454">
        <v>0.68764522817886198</v>
      </c>
      <c r="P1454" t="s">
        <v>36</v>
      </c>
    </row>
    <row r="1455" spans="1:16">
      <c r="A1455">
        <v>1454</v>
      </c>
      <c r="B1455" t="s">
        <v>1514</v>
      </c>
      <c r="C1455">
        <v>182</v>
      </c>
      <c r="D1455">
        <v>152</v>
      </c>
      <c r="E1455">
        <v>133.55839024964499</v>
      </c>
      <c r="F1455">
        <v>1.1970071232844299</v>
      </c>
      <c r="G1455">
        <v>14009.809607183401</v>
      </c>
      <c r="H1455">
        <v>1236.16395383804</v>
      </c>
      <c r="I1455">
        <v>0.68611449833319205</v>
      </c>
      <c r="J1455">
        <v>0.115209938874955</v>
      </c>
      <c r="K1455">
        <v>0.65878529493989402</v>
      </c>
      <c r="L1455" t="s">
        <v>33</v>
      </c>
      <c r="M1455" t="s">
        <v>34</v>
      </c>
      <c r="N1455" t="s">
        <v>35</v>
      </c>
      <c r="O1455">
        <v>0.66162570281758903</v>
      </c>
      <c r="P1455" t="s">
        <v>36</v>
      </c>
    </row>
    <row r="1456" spans="1:16">
      <c r="A1456">
        <v>1455</v>
      </c>
      <c r="B1456" t="s">
        <v>1515</v>
      </c>
      <c r="C1456">
        <v>194</v>
      </c>
      <c r="D1456">
        <v>115</v>
      </c>
      <c r="E1456">
        <v>134.527595925376</v>
      </c>
      <c r="F1456">
        <v>1.68775749212194</v>
      </c>
      <c r="G1456">
        <v>14213.879972778799</v>
      </c>
      <c r="H1456">
        <v>710.99006874623501</v>
      </c>
      <c r="I1456">
        <v>0.57067017125453301</v>
      </c>
      <c r="J1456">
        <v>0.35334214316450202</v>
      </c>
      <c r="K1456">
        <v>0.83967267235626697</v>
      </c>
      <c r="L1456" t="s">
        <v>33</v>
      </c>
      <c r="M1456" t="s">
        <v>34</v>
      </c>
      <c r="N1456" t="s">
        <v>35</v>
      </c>
      <c r="O1456">
        <v>0.75800766721440005</v>
      </c>
      <c r="P1456" t="s">
        <v>36</v>
      </c>
    </row>
    <row r="1457" spans="1:16">
      <c r="A1457">
        <v>1456</v>
      </c>
      <c r="B1457" t="s">
        <v>1516</v>
      </c>
      <c r="C1457">
        <v>160</v>
      </c>
      <c r="D1457">
        <v>206</v>
      </c>
      <c r="E1457">
        <v>135.44376875840399</v>
      </c>
      <c r="F1457">
        <v>0.77592073486756197</v>
      </c>
      <c r="G1457">
        <v>14408.140692249501</v>
      </c>
      <c r="H1457">
        <v>789.22966386390794</v>
      </c>
      <c r="I1457">
        <v>0.63845349185532996</v>
      </c>
      <c r="J1457">
        <v>0.29067722415918801</v>
      </c>
      <c r="K1457">
        <v>0.65112170875873199</v>
      </c>
      <c r="L1457" t="s">
        <v>61</v>
      </c>
      <c r="M1457" t="s">
        <v>34</v>
      </c>
      <c r="N1457" t="s">
        <v>35</v>
      </c>
      <c r="O1457">
        <v>0.78603031024730396</v>
      </c>
      <c r="P1457" t="s">
        <v>36</v>
      </c>
    </row>
    <row r="1458" spans="1:16">
      <c r="A1458">
        <v>1457</v>
      </c>
      <c r="B1458" t="s">
        <v>1517</v>
      </c>
      <c r="C1458">
        <v>176</v>
      </c>
      <c r="D1458">
        <v>230</v>
      </c>
      <c r="E1458">
        <v>135.88805025883599</v>
      </c>
      <c r="F1458">
        <v>0.76540284360189603</v>
      </c>
      <c r="G1458">
        <v>14502.818640453699</v>
      </c>
      <c r="H1458">
        <v>1397.9419448525</v>
      </c>
      <c r="I1458">
        <v>0.57820621870595201</v>
      </c>
      <c r="J1458">
        <v>9.3257551378661596E-2</v>
      </c>
      <c r="K1458">
        <v>0.52336127783052</v>
      </c>
      <c r="L1458" t="s">
        <v>41</v>
      </c>
      <c r="M1458" t="s">
        <v>34</v>
      </c>
      <c r="N1458" t="s">
        <v>35</v>
      </c>
      <c r="O1458">
        <v>0.69743517006664701</v>
      </c>
      <c r="P1458" t="s">
        <v>36</v>
      </c>
    </row>
    <row r="1459" spans="1:16">
      <c r="A1459">
        <v>1458</v>
      </c>
      <c r="B1459" t="s">
        <v>1518</v>
      </c>
      <c r="C1459">
        <v>160</v>
      </c>
      <c r="D1459">
        <v>249</v>
      </c>
      <c r="E1459">
        <v>136.197559742945</v>
      </c>
      <c r="F1459">
        <v>0.64408998048108701</v>
      </c>
      <c r="G1459">
        <v>14568.959436294899</v>
      </c>
      <c r="H1459">
        <v>1644.63766402338</v>
      </c>
      <c r="I1459">
        <v>0.67867729079677097</v>
      </c>
      <c r="J1459">
        <v>6.7685857364807006E-2</v>
      </c>
      <c r="K1459">
        <v>0.45859065049779202</v>
      </c>
      <c r="L1459" t="s">
        <v>33</v>
      </c>
      <c r="M1459" t="s">
        <v>34</v>
      </c>
      <c r="N1459" t="s">
        <v>35</v>
      </c>
      <c r="O1459">
        <v>0.71416579601893204</v>
      </c>
      <c r="P1459" t="s">
        <v>36</v>
      </c>
    </row>
    <row r="1460" spans="1:16">
      <c r="A1460">
        <v>1459</v>
      </c>
      <c r="B1460" t="s">
        <v>1519</v>
      </c>
      <c r="C1460">
        <v>133</v>
      </c>
      <c r="D1460">
        <v>240</v>
      </c>
      <c r="E1460">
        <v>136.23368125808901</v>
      </c>
      <c r="F1460">
        <v>0.55396451361264498</v>
      </c>
      <c r="G1460">
        <v>14576.6882483932</v>
      </c>
      <c r="H1460">
        <v>1074.1697113382299</v>
      </c>
      <c r="I1460">
        <v>0.61718907531290501</v>
      </c>
      <c r="J1460">
        <v>0.158753359709565</v>
      </c>
      <c r="K1460">
        <v>0.63802671211933903</v>
      </c>
      <c r="L1460" t="s">
        <v>38</v>
      </c>
      <c r="M1460" t="s">
        <v>34</v>
      </c>
      <c r="N1460" t="s">
        <v>35</v>
      </c>
      <c r="O1460">
        <v>0.70587849130052005</v>
      </c>
      <c r="P1460" t="s">
        <v>36</v>
      </c>
    </row>
    <row r="1461" spans="1:16">
      <c r="A1461">
        <v>1460</v>
      </c>
      <c r="B1461" t="s">
        <v>1520</v>
      </c>
      <c r="C1461">
        <v>163</v>
      </c>
      <c r="D1461">
        <v>236</v>
      </c>
      <c r="E1461">
        <v>136.28715130215801</v>
      </c>
      <c r="F1461">
        <v>0.69053117782909901</v>
      </c>
      <c r="G1461">
        <v>14588.1328355388</v>
      </c>
      <c r="H1461">
        <v>1076.67547110433</v>
      </c>
      <c r="I1461">
        <v>0.63732543723218404</v>
      </c>
      <c r="J1461">
        <v>0.15813934482444</v>
      </c>
      <c r="K1461">
        <v>0.50806748005776903</v>
      </c>
      <c r="L1461" t="s">
        <v>288</v>
      </c>
      <c r="M1461" t="s">
        <v>34</v>
      </c>
      <c r="N1461" t="s">
        <v>35</v>
      </c>
      <c r="O1461">
        <v>0.69102750088436105</v>
      </c>
      <c r="P1461" t="s">
        <v>36</v>
      </c>
    </row>
    <row r="1462" spans="1:16">
      <c r="A1462">
        <v>1461</v>
      </c>
      <c r="B1462" t="s">
        <v>1521</v>
      </c>
      <c r="C1462">
        <v>162</v>
      </c>
      <c r="D1462">
        <v>124</v>
      </c>
      <c r="E1462">
        <v>136.62761748206299</v>
      </c>
      <c r="F1462">
        <v>1.30737362029878</v>
      </c>
      <c r="G1462">
        <v>14661.110657466899</v>
      </c>
      <c r="H1462">
        <v>695.73566080228102</v>
      </c>
      <c r="I1462">
        <v>0.66813348975529796</v>
      </c>
      <c r="J1462">
        <v>0.38061702224079103</v>
      </c>
      <c r="K1462">
        <v>0.84450018834971396</v>
      </c>
      <c r="L1462" t="s">
        <v>33</v>
      </c>
      <c r="M1462" t="s">
        <v>34</v>
      </c>
      <c r="N1462" t="s">
        <v>35</v>
      </c>
      <c r="O1462">
        <v>0.67225207183894897</v>
      </c>
      <c r="P1462" t="s">
        <v>36</v>
      </c>
    </row>
    <row r="1463" spans="1:16">
      <c r="A1463">
        <v>1462</v>
      </c>
      <c r="B1463" t="s">
        <v>1522</v>
      </c>
      <c r="C1463">
        <v>127</v>
      </c>
      <c r="D1463">
        <v>243</v>
      </c>
      <c r="E1463">
        <v>136.80133705117501</v>
      </c>
      <c r="F1463">
        <v>0.52207568221662304</v>
      </c>
      <c r="G1463">
        <v>14698.417038941399</v>
      </c>
      <c r="H1463">
        <v>1039.56307954166</v>
      </c>
      <c r="I1463">
        <v>0.56439126939009499</v>
      </c>
      <c r="J1463">
        <v>0.17091443179824101</v>
      </c>
      <c r="K1463">
        <v>0.65675804909148905</v>
      </c>
      <c r="L1463" t="s">
        <v>61</v>
      </c>
      <c r="M1463" t="s">
        <v>34</v>
      </c>
      <c r="N1463" t="s">
        <v>35</v>
      </c>
      <c r="O1463">
        <v>0.69738480978894402</v>
      </c>
      <c r="P1463" t="s">
        <v>36</v>
      </c>
    </row>
    <row r="1464" spans="1:16">
      <c r="A1464">
        <v>1463</v>
      </c>
      <c r="B1464" t="s">
        <v>1523</v>
      </c>
      <c r="C1464">
        <v>190</v>
      </c>
      <c r="D1464">
        <v>147</v>
      </c>
      <c r="E1464">
        <v>137.597897269154</v>
      </c>
      <c r="F1464">
        <v>1.2868797726985299</v>
      </c>
      <c r="G1464">
        <v>14870.085846124801</v>
      </c>
      <c r="H1464">
        <v>909.30037959523804</v>
      </c>
      <c r="I1464">
        <v>0.62591426113472404</v>
      </c>
      <c r="J1464">
        <v>0.22600008109880801</v>
      </c>
      <c r="K1464">
        <v>0.67189378320114401</v>
      </c>
      <c r="L1464" t="s">
        <v>38</v>
      </c>
      <c r="M1464" t="s">
        <v>34</v>
      </c>
      <c r="N1464" t="s">
        <v>35</v>
      </c>
      <c r="O1464">
        <v>0.75491600834883099</v>
      </c>
      <c r="P1464" t="s">
        <v>36</v>
      </c>
    </row>
    <row r="1465" spans="1:16">
      <c r="A1465">
        <v>1464</v>
      </c>
      <c r="B1465" t="s">
        <v>1524</v>
      </c>
      <c r="C1465">
        <v>154</v>
      </c>
      <c r="D1465">
        <v>215</v>
      </c>
      <c r="E1465">
        <v>137.71887335390301</v>
      </c>
      <c r="F1465">
        <v>0.71585895084354201</v>
      </c>
      <c r="G1465">
        <v>14896.2449024575</v>
      </c>
      <c r="H1465">
        <v>1061.9103449638001</v>
      </c>
      <c r="I1465">
        <v>0.59398214192294696</v>
      </c>
      <c r="J1465">
        <v>0.16600109945423999</v>
      </c>
      <c r="K1465">
        <v>0.61374297296966296</v>
      </c>
      <c r="L1465" t="s">
        <v>33</v>
      </c>
      <c r="M1465" t="s">
        <v>34</v>
      </c>
      <c r="N1465" t="s">
        <v>35</v>
      </c>
      <c r="O1465">
        <v>0.77134299666608697</v>
      </c>
      <c r="P1465" t="s">
        <v>36</v>
      </c>
    </row>
    <row r="1466" spans="1:16">
      <c r="A1466">
        <v>1465</v>
      </c>
      <c r="B1466" t="s">
        <v>1525</v>
      </c>
      <c r="C1466">
        <v>233</v>
      </c>
      <c r="D1466">
        <v>174</v>
      </c>
      <c r="E1466">
        <v>137.77657449247201</v>
      </c>
      <c r="F1466">
        <v>1.3404011097219699</v>
      </c>
      <c r="G1466">
        <v>14908.7299066163</v>
      </c>
      <c r="H1466">
        <v>1298.40629391121</v>
      </c>
      <c r="I1466">
        <v>0.61100343401027202</v>
      </c>
      <c r="J1466">
        <v>0.11112948120617901</v>
      </c>
      <c r="K1466">
        <v>0.55623208175985495</v>
      </c>
      <c r="L1466" t="s">
        <v>38</v>
      </c>
      <c r="M1466" t="s">
        <v>34</v>
      </c>
      <c r="N1466" t="s">
        <v>35</v>
      </c>
      <c r="O1466">
        <v>0.68619409055337299</v>
      </c>
      <c r="P1466" t="s">
        <v>36</v>
      </c>
    </row>
    <row r="1467" spans="1:16">
      <c r="A1467">
        <v>1466</v>
      </c>
      <c r="B1467" t="s">
        <v>1526</v>
      </c>
      <c r="C1467">
        <v>176</v>
      </c>
      <c r="D1467">
        <v>196</v>
      </c>
      <c r="E1467">
        <v>138.33653133933899</v>
      </c>
      <c r="F1467">
        <v>0.89972143141917005</v>
      </c>
      <c r="G1467">
        <v>15030.1614351607</v>
      </c>
      <c r="H1467">
        <v>2389.9321718464698</v>
      </c>
      <c r="I1467">
        <v>0.62535472372149803</v>
      </c>
      <c r="J1467">
        <v>3.3067575840413303E-2</v>
      </c>
      <c r="K1467">
        <v>0.465687312917338</v>
      </c>
      <c r="L1467" t="s">
        <v>38</v>
      </c>
      <c r="M1467" t="s">
        <v>34</v>
      </c>
      <c r="N1467" t="s">
        <v>35</v>
      </c>
      <c r="O1467">
        <v>0.74718624893142604</v>
      </c>
      <c r="P1467" t="s">
        <v>36</v>
      </c>
    </row>
    <row r="1468" spans="1:16">
      <c r="A1468">
        <v>1467</v>
      </c>
      <c r="B1468" t="s">
        <v>1527</v>
      </c>
      <c r="C1468">
        <v>246</v>
      </c>
      <c r="D1468">
        <v>125</v>
      </c>
      <c r="E1468">
        <v>138.77700657393299</v>
      </c>
      <c r="F1468">
        <v>1.97168262945869</v>
      </c>
      <c r="G1468">
        <v>15126.02843138</v>
      </c>
      <c r="H1468">
        <v>861.340053637442</v>
      </c>
      <c r="I1468">
        <v>0.55461407832523202</v>
      </c>
      <c r="J1468">
        <v>0.25620375482046498</v>
      </c>
      <c r="K1468">
        <v>0.686107815112453</v>
      </c>
      <c r="L1468" t="s">
        <v>43</v>
      </c>
      <c r="M1468" t="s">
        <v>34</v>
      </c>
      <c r="N1468" t="s">
        <v>35</v>
      </c>
      <c r="O1468">
        <v>0.749012183596095</v>
      </c>
      <c r="P1468" t="s">
        <v>36</v>
      </c>
    </row>
    <row r="1469" spans="1:16">
      <c r="A1469">
        <v>1468</v>
      </c>
      <c r="B1469" t="s">
        <v>1528</v>
      </c>
      <c r="C1469">
        <v>208</v>
      </c>
      <c r="D1469">
        <v>187</v>
      </c>
      <c r="E1469">
        <v>138.81109356632999</v>
      </c>
      <c r="F1469">
        <v>1.11206417224826</v>
      </c>
      <c r="G1469">
        <v>15133.4599814745</v>
      </c>
      <c r="H1469">
        <v>1261.39020150755</v>
      </c>
      <c r="I1469">
        <v>0.57862924944813898</v>
      </c>
      <c r="J1469">
        <v>0.11952236845747</v>
      </c>
      <c r="K1469">
        <v>0.55349347945443805</v>
      </c>
      <c r="L1469" t="s">
        <v>49</v>
      </c>
      <c r="M1469" t="s">
        <v>34</v>
      </c>
      <c r="N1469" t="s">
        <v>35</v>
      </c>
      <c r="O1469">
        <v>0.65700312320006204</v>
      </c>
      <c r="P1469" t="s">
        <v>36</v>
      </c>
    </row>
    <row r="1470" spans="1:16">
      <c r="A1470">
        <v>1469</v>
      </c>
      <c r="B1470" t="s">
        <v>1529</v>
      </c>
      <c r="C1470">
        <v>176</v>
      </c>
      <c r="D1470">
        <v>196</v>
      </c>
      <c r="E1470">
        <v>139.505328452047</v>
      </c>
      <c r="F1470">
        <v>0.89972143141917005</v>
      </c>
      <c r="G1470">
        <v>15285.2122344045</v>
      </c>
      <c r="H1470">
        <v>1697.8779862833001</v>
      </c>
      <c r="I1470">
        <v>0.59614635855588005</v>
      </c>
      <c r="J1470">
        <v>6.6629780440808195E-2</v>
      </c>
      <c r="K1470">
        <v>0.53473655749042004</v>
      </c>
      <c r="L1470" t="s">
        <v>33</v>
      </c>
      <c r="M1470" t="s">
        <v>34</v>
      </c>
      <c r="N1470" t="s">
        <v>35</v>
      </c>
      <c r="O1470">
        <v>0.78072855377721795</v>
      </c>
      <c r="P1470" t="s">
        <v>36</v>
      </c>
    </row>
    <row r="1471" spans="1:16">
      <c r="A1471">
        <v>1470</v>
      </c>
      <c r="B1471" t="s">
        <v>1530</v>
      </c>
      <c r="C1471">
        <v>235</v>
      </c>
      <c r="D1471">
        <v>151</v>
      </c>
      <c r="E1471">
        <v>139.84404921591701</v>
      </c>
      <c r="F1471">
        <v>1.55595667870036</v>
      </c>
      <c r="G1471">
        <v>15359.5277353497</v>
      </c>
      <c r="H1471">
        <v>1064.8035781400099</v>
      </c>
      <c r="I1471">
        <v>0.60968583349586403</v>
      </c>
      <c r="J1471">
        <v>0.17023494815294901</v>
      </c>
      <c r="K1471">
        <v>0.62983391741581596</v>
      </c>
      <c r="L1471" t="s">
        <v>33</v>
      </c>
      <c r="M1471" t="s">
        <v>34</v>
      </c>
      <c r="N1471" t="s">
        <v>35</v>
      </c>
      <c r="O1471">
        <v>0.72592219595706398</v>
      </c>
      <c r="P1471" t="s">
        <v>36</v>
      </c>
    </row>
    <row r="1472" spans="1:16">
      <c r="A1472">
        <v>1471</v>
      </c>
      <c r="B1472" t="s">
        <v>1531</v>
      </c>
      <c r="C1472">
        <v>139</v>
      </c>
      <c r="D1472">
        <v>238</v>
      </c>
      <c r="E1472">
        <v>139.867728949623</v>
      </c>
      <c r="F1472">
        <v>0.58612488104951099</v>
      </c>
      <c r="G1472">
        <v>15364.7298204159</v>
      </c>
      <c r="H1472">
        <v>1030.3331312304999</v>
      </c>
      <c r="I1472">
        <v>0.68093475463535402</v>
      </c>
      <c r="J1472">
        <v>0.18187770335929701</v>
      </c>
      <c r="K1472">
        <v>0.63178384589057801</v>
      </c>
      <c r="L1472" t="s">
        <v>47</v>
      </c>
      <c r="M1472" t="s">
        <v>34</v>
      </c>
      <c r="N1472" t="s">
        <v>35</v>
      </c>
      <c r="O1472">
        <v>0.854278912139251</v>
      </c>
      <c r="P1472" t="s">
        <v>36</v>
      </c>
    </row>
    <row r="1473" spans="1:16">
      <c r="A1473">
        <v>1472</v>
      </c>
      <c r="B1473" t="s">
        <v>1532</v>
      </c>
      <c r="C1473">
        <v>243</v>
      </c>
      <c r="D1473">
        <v>179</v>
      </c>
      <c r="E1473">
        <v>140.45303545706801</v>
      </c>
      <c r="F1473">
        <v>1.35617529717515</v>
      </c>
      <c r="G1473">
        <v>15493.5928990548</v>
      </c>
      <c r="H1473">
        <v>1186.10091354101</v>
      </c>
      <c r="I1473">
        <v>0.65840819209923696</v>
      </c>
      <c r="J1473">
        <v>0.138394465824766</v>
      </c>
      <c r="K1473">
        <v>0.50700868668592702</v>
      </c>
      <c r="L1473" t="s">
        <v>38</v>
      </c>
      <c r="M1473" t="s">
        <v>34</v>
      </c>
      <c r="N1473" t="s">
        <v>35</v>
      </c>
      <c r="O1473">
        <v>0.72805552624794501</v>
      </c>
      <c r="P1473" t="s">
        <v>36</v>
      </c>
    </row>
    <row r="1474" spans="1:16">
      <c r="A1474">
        <v>1473</v>
      </c>
      <c r="B1474" t="s">
        <v>1533</v>
      </c>
      <c r="C1474">
        <v>288</v>
      </c>
      <c r="D1474">
        <v>200</v>
      </c>
      <c r="E1474">
        <v>140.62808508648399</v>
      </c>
      <c r="F1474">
        <v>1.43798908090719</v>
      </c>
      <c r="G1474">
        <v>15532.236959546301</v>
      </c>
      <c r="H1474">
        <v>1408.08691787512</v>
      </c>
      <c r="I1474">
        <v>0.56734015581379005</v>
      </c>
      <c r="J1474">
        <v>9.8443023617603098E-2</v>
      </c>
      <c r="K1474">
        <v>0.366541214929341</v>
      </c>
      <c r="L1474" t="s">
        <v>33</v>
      </c>
      <c r="M1474" t="s">
        <v>34</v>
      </c>
      <c r="N1474" t="s">
        <v>35</v>
      </c>
      <c r="O1474">
        <v>0.64902880421287501</v>
      </c>
      <c r="P1474" t="s">
        <v>36</v>
      </c>
    </row>
    <row r="1475" spans="1:16">
      <c r="A1475">
        <v>1474</v>
      </c>
      <c r="B1475" t="s">
        <v>1534</v>
      </c>
      <c r="C1475">
        <v>219</v>
      </c>
      <c r="D1475">
        <v>161</v>
      </c>
      <c r="E1475">
        <v>141.381005847008</v>
      </c>
      <c r="F1475">
        <v>1.36108774044356</v>
      </c>
      <c r="G1475">
        <v>15699.000943667301</v>
      </c>
      <c r="H1475">
        <v>1159.30501206792</v>
      </c>
      <c r="I1475">
        <v>0.574740933484153</v>
      </c>
      <c r="J1475">
        <v>0.146786614046504</v>
      </c>
      <c r="K1475">
        <v>0.622702243812713</v>
      </c>
      <c r="L1475" t="s">
        <v>33</v>
      </c>
      <c r="M1475" t="s">
        <v>34</v>
      </c>
      <c r="N1475" t="s">
        <v>35</v>
      </c>
      <c r="O1475">
        <v>0.726583594438724</v>
      </c>
      <c r="P1475" t="s">
        <v>36</v>
      </c>
    </row>
    <row r="1476" spans="1:16">
      <c r="A1476">
        <v>1475</v>
      </c>
      <c r="B1476" t="s">
        <v>1535</v>
      </c>
      <c r="C1476">
        <v>186</v>
      </c>
      <c r="D1476">
        <v>215</v>
      </c>
      <c r="E1476">
        <v>141.88406779763801</v>
      </c>
      <c r="F1476">
        <v>0.86329111811633397</v>
      </c>
      <c r="G1476">
        <v>15810.920088090699</v>
      </c>
      <c r="H1476">
        <v>2720.39098495183</v>
      </c>
      <c r="I1476">
        <v>0.64511383028802505</v>
      </c>
      <c r="J1476">
        <v>2.6847531074570202E-2</v>
      </c>
      <c r="K1476">
        <v>0.41009182800175797</v>
      </c>
      <c r="L1476" t="s">
        <v>33</v>
      </c>
      <c r="M1476" t="s">
        <v>34</v>
      </c>
      <c r="N1476" t="s">
        <v>35</v>
      </c>
      <c r="O1476">
        <v>0.73002611739096501</v>
      </c>
      <c r="P1476" t="s">
        <v>36</v>
      </c>
    </row>
    <row r="1477" spans="1:16">
      <c r="A1477">
        <v>1476</v>
      </c>
      <c r="B1477" t="s">
        <v>1536</v>
      </c>
      <c r="C1477">
        <v>152</v>
      </c>
      <c r="D1477">
        <v>245</v>
      </c>
      <c r="E1477">
        <v>142.798100967512</v>
      </c>
      <c r="F1477">
        <v>0.61915362306232002</v>
      </c>
      <c r="G1477">
        <v>16015.287715689999</v>
      </c>
      <c r="H1477">
        <v>1557.5140920464901</v>
      </c>
      <c r="I1477">
        <v>0.63033728666516897</v>
      </c>
      <c r="J1477">
        <v>8.2962272499064196E-2</v>
      </c>
      <c r="K1477">
        <v>0.48664956462044301</v>
      </c>
      <c r="L1477" t="s">
        <v>33</v>
      </c>
      <c r="M1477" t="s">
        <v>34</v>
      </c>
      <c r="N1477" t="s">
        <v>35</v>
      </c>
      <c r="O1477">
        <v>0.67807213069474903</v>
      </c>
      <c r="P1477" t="s">
        <v>36</v>
      </c>
    </row>
    <row r="1478" spans="1:16">
      <c r="A1478">
        <v>1477</v>
      </c>
      <c r="B1478" t="s">
        <v>1537</v>
      </c>
      <c r="C1478">
        <v>181</v>
      </c>
      <c r="D1478">
        <v>208</v>
      </c>
      <c r="E1478">
        <v>142.87362012287099</v>
      </c>
      <c r="F1478">
        <v>0.87139105551268503</v>
      </c>
      <c r="G1478">
        <v>16032.2316499055</v>
      </c>
      <c r="H1478">
        <v>2181.75542752722</v>
      </c>
      <c r="I1478">
        <v>0.58729169359612698</v>
      </c>
      <c r="J1478">
        <v>4.2324488017196203E-2</v>
      </c>
      <c r="K1478">
        <v>0.48399269519489202</v>
      </c>
      <c r="L1478" t="s">
        <v>144</v>
      </c>
      <c r="M1478" t="s">
        <v>34</v>
      </c>
      <c r="N1478" t="s">
        <v>35</v>
      </c>
      <c r="O1478">
        <v>0.76088900092619904</v>
      </c>
      <c r="P1478" t="s">
        <v>36</v>
      </c>
    </row>
    <row r="1479" spans="1:16">
      <c r="A1479">
        <v>1478</v>
      </c>
      <c r="B1479" t="s">
        <v>1538</v>
      </c>
      <c r="C1479">
        <v>198</v>
      </c>
      <c r="D1479">
        <v>191</v>
      </c>
      <c r="E1479">
        <v>143.058275145186</v>
      </c>
      <c r="F1479">
        <v>1.03714285714286</v>
      </c>
      <c r="G1479">
        <v>16073.6996994329</v>
      </c>
      <c r="H1479">
        <v>1277.17216075286</v>
      </c>
      <c r="I1479">
        <v>0.55433401169186802</v>
      </c>
      <c r="J1479">
        <v>0.12383027216909601</v>
      </c>
      <c r="K1479">
        <v>0.56494415596627401</v>
      </c>
      <c r="L1479" t="s">
        <v>38</v>
      </c>
      <c r="M1479" t="s">
        <v>34</v>
      </c>
      <c r="N1479" t="s">
        <v>35</v>
      </c>
      <c r="O1479">
        <v>0.76961099687299805</v>
      </c>
      <c r="P1479" t="s">
        <v>36</v>
      </c>
    </row>
    <row r="1480" spans="1:16">
      <c r="A1480">
        <v>1479</v>
      </c>
      <c r="B1480" t="s">
        <v>1539</v>
      </c>
      <c r="C1480">
        <v>112</v>
      </c>
      <c r="D1480">
        <v>416</v>
      </c>
      <c r="E1480">
        <v>143.28638336860399</v>
      </c>
      <c r="F1480">
        <v>0.26996200526484598</v>
      </c>
      <c r="G1480">
        <v>16125</v>
      </c>
      <c r="H1480">
        <v>1453.6753106117201</v>
      </c>
      <c r="I1480">
        <v>0.91348174055298403</v>
      </c>
      <c r="J1480">
        <v>9.5890317926342297E-2</v>
      </c>
      <c r="K1480">
        <v>0.50058207217695005</v>
      </c>
      <c r="L1480" t="s">
        <v>61</v>
      </c>
      <c r="M1480" t="s">
        <v>34</v>
      </c>
      <c r="N1480" t="s">
        <v>35</v>
      </c>
      <c r="O1480">
        <v>0.89669424562201505</v>
      </c>
      <c r="P1480" t="s">
        <v>36</v>
      </c>
    </row>
    <row r="1481" spans="1:16">
      <c r="A1481">
        <v>1480</v>
      </c>
      <c r="B1481" t="s">
        <v>1540</v>
      </c>
      <c r="C1481">
        <v>206</v>
      </c>
      <c r="D1481">
        <v>131</v>
      </c>
      <c r="E1481">
        <v>144.41437046924099</v>
      </c>
      <c r="F1481">
        <v>1.57608165383309</v>
      </c>
      <c r="G1481">
        <v>16379.879563327</v>
      </c>
      <c r="H1481">
        <v>941.51407848762403</v>
      </c>
      <c r="I1481">
        <v>0.53286498237695801</v>
      </c>
      <c r="J1481">
        <v>0.23220252145602199</v>
      </c>
      <c r="K1481">
        <v>0.80530954051210102</v>
      </c>
      <c r="L1481" t="s">
        <v>38</v>
      </c>
      <c r="M1481" t="s">
        <v>34</v>
      </c>
      <c r="N1481" t="s">
        <v>35</v>
      </c>
      <c r="O1481">
        <v>0.69409349726394498</v>
      </c>
      <c r="P1481" t="s">
        <v>36</v>
      </c>
    </row>
    <row r="1482" spans="1:16">
      <c r="A1482">
        <v>1481</v>
      </c>
      <c r="B1482" t="s">
        <v>1541</v>
      </c>
      <c r="C1482">
        <v>257</v>
      </c>
      <c r="D1482">
        <v>133</v>
      </c>
      <c r="E1482">
        <v>144.83308150941099</v>
      </c>
      <c r="F1482">
        <v>1.931137934928</v>
      </c>
      <c r="G1482">
        <v>16475</v>
      </c>
      <c r="H1482">
        <v>1046.3960921764401</v>
      </c>
      <c r="I1482">
        <v>0.559146184922242</v>
      </c>
      <c r="J1482">
        <v>0.189078900897588</v>
      </c>
      <c r="K1482">
        <v>0.65998998497746597</v>
      </c>
      <c r="L1482" t="s">
        <v>43</v>
      </c>
      <c r="M1482" t="s">
        <v>34</v>
      </c>
      <c r="N1482" t="s">
        <v>35</v>
      </c>
      <c r="O1482">
        <v>0.76735252178963897</v>
      </c>
      <c r="P1482" t="s">
        <v>36</v>
      </c>
    </row>
    <row r="1483" spans="1:16">
      <c r="A1483">
        <v>1482</v>
      </c>
      <c r="B1483" t="s">
        <v>1542</v>
      </c>
      <c r="C1483">
        <v>161</v>
      </c>
      <c r="D1483">
        <v>201</v>
      </c>
      <c r="E1483">
        <v>145.27211117506801</v>
      </c>
      <c r="F1483">
        <v>0.80434782608695699</v>
      </c>
      <c r="G1483">
        <v>16575.032068809101</v>
      </c>
      <c r="H1483">
        <v>1353.8861759413801</v>
      </c>
      <c r="I1483">
        <v>0.606030861927496</v>
      </c>
      <c r="J1483">
        <v>0.11363181241729201</v>
      </c>
      <c r="K1483">
        <v>0.57530656569043703</v>
      </c>
      <c r="L1483" t="s">
        <v>33</v>
      </c>
      <c r="M1483" t="s">
        <v>34</v>
      </c>
      <c r="N1483" t="s">
        <v>35</v>
      </c>
      <c r="O1483">
        <v>0.79307504690213404</v>
      </c>
      <c r="P1483" t="s">
        <v>36</v>
      </c>
    </row>
    <row r="1484" spans="1:16">
      <c r="A1484">
        <v>1483</v>
      </c>
      <c r="B1484" t="s">
        <v>1543</v>
      </c>
      <c r="C1484">
        <v>121</v>
      </c>
      <c r="D1484">
        <v>288</v>
      </c>
      <c r="E1484">
        <v>145.95571171981899</v>
      </c>
      <c r="F1484">
        <v>0.41934660631078102</v>
      </c>
      <c r="G1484">
        <v>16731.3918827977</v>
      </c>
      <c r="H1484">
        <v>1062.22972593038</v>
      </c>
      <c r="I1484">
        <v>0.68534066208543998</v>
      </c>
      <c r="J1484">
        <v>0.18633954637072001</v>
      </c>
      <c r="K1484">
        <v>0.63191871561693003</v>
      </c>
      <c r="L1484" t="s">
        <v>47</v>
      </c>
      <c r="M1484" t="s">
        <v>34</v>
      </c>
      <c r="N1484" t="s">
        <v>35</v>
      </c>
      <c r="O1484">
        <v>0.939178875621276</v>
      </c>
      <c r="P1484" t="s">
        <v>36</v>
      </c>
    </row>
    <row r="1485" spans="1:16">
      <c r="A1485">
        <v>1484</v>
      </c>
      <c r="B1485" t="s">
        <v>1544</v>
      </c>
      <c r="C1485">
        <v>229</v>
      </c>
      <c r="D1485">
        <v>190</v>
      </c>
      <c r="E1485">
        <v>146.47019445824901</v>
      </c>
      <c r="F1485">
        <v>1.20100196944368</v>
      </c>
      <c r="G1485">
        <v>16849.5535293006</v>
      </c>
      <c r="H1485">
        <v>1341.1469300020301</v>
      </c>
      <c r="I1485">
        <v>0.61808527786411505</v>
      </c>
      <c r="J1485">
        <v>0.11771872294529601</v>
      </c>
      <c r="K1485">
        <v>0.56103789412213001</v>
      </c>
      <c r="L1485" t="s">
        <v>331</v>
      </c>
      <c r="M1485" t="s">
        <v>34</v>
      </c>
      <c r="N1485" t="s">
        <v>35</v>
      </c>
      <c r="O1485">
        <v>0.65322601409342596</v>
      </c>
      <c r="P1485" t="s">
        <v>36</v>
      </c>
    </row>
    <row r="1486" spans="1:16">
      <c r="A1486">
        <v>1485</v>
      </c>
      <c r="B1486" t="s">
        <v>1545</v>
      </c>
      <c r="C1486">
        <v>156</v>
      </c>
      <c r="D1486">
        <v>221</v>
      </c>
      <c r="E1486">
        <v>146.50830418075</v>
      </c>
      <c r="F1486">
        <v>0.70535614404064595</v>
      </c>
      <c r="G1486">
        <v>16858.322758412101</v>
      </c>
      <c r="H1486">
        <v>954.77925949822304</v>
      </c>
      <c r="I1486">
        <v>0.57953460874295504</v>
      </c>
      <c r="J1486">
        <v>0.23239044932467701</v>
      </c>
      <c r="K1486">
        <v>0.69088096093754803</v>
      </c>
      <c r="L1486" t="s">
        <v>33</v>
      </c>
      <c r="M1486" t="s">
        <v>34</v>
      </c>
      <c r="N1486" t="s">
        <v>35</v>
      </c>
      <c r="O1486">
        <v>0.79385198284744696</v>
      </c>
      <c r="P1486" t="s">
        <v>36</v>
      </c>
    </row>
    <row r="1487" spans="1:16">
      <c r="A1487">
        <v>1486</v>
      </c>
      <c r="B1487" t="s">
        <v>1546</v>
      </c>
      <c r="C1487">
        <v>171</v>
      </c>
      <c r="D1487">
        <v>213</v>
      </c>
      <c r="E1487">
        <v>146.601921576595</v>
      </c>
      <c r="F1487">
        <v>0.80306905370843995</v>
      </c>
      <c r="G1487">
        <v>16879.874253686201</v>
      </c>
      <c r="H1487">
        <v>1716.34728514412</v>
      </c>
      <c r="I1487">
        <v>0.56584383496172797</v>
      </c>
      <c r="J1487">
        <v>7.2006008308516195E-2</v>
      </c>
      <c r="K1487">
        <v>0.49462126755165298</v>
      </c>
      <c r="L1487" t="s">
        <v>38</v>
      </c>
      <c r="M1487" t="s">
        <v>34</v>
      </c>
      <c r="N1487" t="s">
        <v>35</v>
      </c>
      <c r="O1487">
        <v>0.69952762867315099</v>
      </c>
      <c r="P1487" t="s">
        <v>36</v>
      </c>
    </row>
    <row r="1488" spans="1:16">
      <c r="A1488">
        <v>1487</v>
      </c>
      <c r="B1488" t="s">
        <v>1547</v>
      </c>
      <c r="C1488">
        <v>197</v>
      </c>
      <c r="D1488">
        <v>237</v>
      </c>
      <c r="E1488">
        <v>146.928790727429</v>
      </c>
      <c r="F1488">
        <v>0.83179721136800999</v>
      </c>
      <c r="G1488">
        <v>16955.230171644602</v>
      </c>
      <c r="H1488">
        <v>1188.1267937421801</v>
      </c>
      <c r="I1488">
        <v>0.58316016331547105</v>
      </c>
      <c r="J1488">
        <v>0.15093431013299699</v>
      </c>
      <c r="K1488">
        <v>0.51890229756960704</v>
      </c>
      <c r="L1488" t="s">
        <v>43</v>
      </c>
      <c r="M1488" t="s">
        <v>34</v>
      </c>
      <c r="N1488" t="s">
        <v>35</v>
      </c>
      <c r="O1488">
        <v>0.65705433819894499</v>
      </c>
      <c r="P1488" t="s">
        <v>36</v>
      </c>
    </row>
    <row r="1489" spans="1:16">
      <c r="A1489">
        <v>1488</v>
      </c>
      <c r="B1489" t="s">
        <v>1548</v>
      </c>
      <c r="C1489">
        <v>235</v>
      </c>
      <c r="D1489">
        <v>139</v>
      </c>
      <c r="E1489">
        <v>147.20287703335001</v>
      </c>
      <c r="F1489">
        <v>1.6969500552648</v>
      </c>
      <c r="G1489">
        <v>17018.5469784499</v>
      </c>
      <c r="H1489">
        <v>1009.03090562862</v>
      </c>
      <c r="I1489">
        <v>0.73156550122711395</v>
      </c>
      <c r="J1489">
        <v>0.210050347782827</v>
      </c>
      <c r="K1489">
        <v>0.68750562904165202</v>
      </c>
      <c r="L1489" t="s">
        <v>49</v>
      </c>
      <c r="M1489" t="s">
        <v>34</v>
      </c>
      <c r="N1489" t="s">
        <v>35</v>
      </c>
      <c r="O1489">
        <v>0.69850355347817505</v>
      </c>
      <c r="P1489" t="s">
        <v>36</v>
      </c>
    </row>
    <row r="1490" spans="1:16">
      <c r="A1490">
        <v>1489</v>
      </c>
      <c r="B1490" t="s">
        <v>1549</v>
      </c>
      <c r="C1490">
        <v>145</v>
      </c>
      <c r="D1490">
        <v>264</v>
      </c>
      <c r="E1490">
        <v>147.57138074100001</v>
      </c>
      <c r="F1490">
        <v>0.54776707618810305</v>
      </c>
      <c r="G1490">
        <v>17103.861173534999</v>
      </c>
      <c r="H1490">
        <v>1252.3881836943001</v>
      </c>
      <c r="I1490">
        <v>0.74944627291863497</v>
      </c>
      <c r="J1490">
        <v>0.137033296112755</v>
      </c>
      <c r="K1490">
        <v>0.65097072000724099</v>
      </c>
      <c r="L1490" t="s">
        <v>33</v>
      </c>
      <c r="M1490" t="s">
        <v>34</v>
      </c>
      <c r="N1490" t="s">
        <v>35</v>
      </c>
      <c r="O1490">
        <v>0.68468821827956905</v>
      </c>
      <c r="P1490" t="s">
        <v>36</v>
      </c>
    </row>
    <row r="1491" spans="1:16">
      <c r="A1491">
        <v>1490</v>
      </c>
      <c r="B1491" t="s">
        <v>1550</v>
      </c>
      <c r="C1491">
        <v>186</v>
      </c>
      <c r="D1491">
        <v>171</v>
      </c>
      <c r="E1491">
        <v>147.609206159666</v>
      </c>
      <c r="F1491">
        <v>1.0859872778606601</v>
      </c>
      <c r="G1491">
        <v>17112.6304026465</v>
      </c>
      <c r="H1491">
        <v>2212.8005364110199</v>
      </c>
      <c r="I1491">
        <v>0.65232531129139704</v>
      </c>
      <c r="J1491">
        <v>4.3917953902116898E-2</v>
      </c>
      <c r="K1491">
        <v>0.59132136327218199</v>
      </c>
      <c r="L1491" t="s">
        <v>61</v>
      </c>
      <c r="M1491" t="s">
        <v>34</v>
      </c>
      <c r="N1491" t="s">
        <v>35</v>
      </c>
      <c r="O1491">
        <v>0.69664799519635401</v>
      </c>
      <c r="P1491" t="s">
        <v>36</v>
      </c>
    </row>
    <row r="1492" spans="1:16">
      <c r="A1492">
        <v>1491</v>
      </c>
      <c r="B1492" t="s">
        <v>1551</v>
      </c>
      <c r="C1492">
        <v>220</v>
      </c>
      <c r="D1492">
        <v>233</v>
      </c>
      <c r="E1492">
        <v>147.81803313006</v>
      </c>
      <c r="F1492">
        <v>0.94613583138173296</v>
      </c>
      <c r="G1492">
        <v>17161.0841092628</v>
      </c>
      <c r="H1492">
        <v>1846.2773088812801</v>
      </c>
      <c r="I1492">
        <v>0.61621027169912801</v>
      </c>
      <c r="J1492">
        <v>6.3264593165228006E-2</v>
      </c>
      <c r="K1492">
        <v>0.45639645194952999</v>
      </c>
      <c r="L1492" t="s">
        <v>38</v>
      </c>
      <c r="M1492" t="s">
        <v>34</v>
      </c>
      <c r="N1492" t="s">
        <v>35</v>
      </c>
      <c r="O1492">
        <v>0.72703507429854097</v>
      </c>
      <c r="P1492" t="s">
        <v>36</v>
      </c>
    </row>
    <row r="1493" spans="1:16">
      <c r="A1493">
        <v>1492</v>
      </c>
      <c r="B1493" t="s">
        <v>1552</v>
      </c>
      <c r="C1493">
        <v>193</v>
      </c>
      <c r="D1493">
        <v>215</v>
      </c>
      <c r="E1493">
        <v>150.84740990812901</v>
      </c>
      <c r="F1493">
        <v>0.89816092856131302</v>
      </c>
      <c r="G1493">
        <v>17871.688929300599</v>
      </c>
      <c r="H1493">
        <v>1487.47497743648</v>
      </c>
      <c r="I1493">
        <v>0.58940476487694504</v>
      </c>
      <c r="J1493">
        <v>0.101502356083466</v>
      </c>
      <c r="K1493">
        <v>0.55980669671123695</v>
      </c>
      <c r="L1493" t="s">
        <v>33</v>
      </c>
      <c r="M1493" t="s">
        <v>34</v>
      </c>
      <c r="N1493" t="s">
        <v>35</v>
      </c>
      <c r="O1493">
        <v>0.76975500439692102</v>
      </c>
      <c r="P1493" t="s">
        <v>36</v>
      </c>
    </row>
    <row r="1494" spans="1:16">
      <c r="A1494">
        <v>1493</v>
      </c>
      <c r="B1494" t="s">
        <v>1553</v>
      </c>
      <c r="C1494">
        <v>159</v>
      </c>
      <c r="D1494">
        <v>182</v>
      </c>
      <c r="E1494">
        <v>150.86138293858099</v>
      </c>
      <c r="F1494">
        <v>0.873626368443987</v>
      </c>
      <c r="G1494">
        <v>17875</v>
      </c>
      <c r="H1494">
        <v>810.12192606925998</v>
      </c>
      <c r="I1494">
        <v>0.76985096303140399</v>
      </c>
      <c r="J1494">
        <v>0.34225920823864098</v>
      </c>
      <c r="K1494">
        <v>0.78701155751238305</v>
      </c>
      <c r="L1494" t="s">
        <v>33</v>
      </c>
      <c r="M1494" t="s">
        <v>34</v>
      </c>
      <c r="N1494" t="s">
        <v>35</v>
      </c>
      <c r="O1494">
        <v>0.74986328111643896</v>
      </c>
      <c r="P1494" t="s">
        <v>36</v>
      </c>
    </row>
    <row r="1495" spans="1:16">
      <c r="A1495">
        <v>1494</v>
      </c>
      <c r="B1495" t="s">
        <v>1554</v>
      </c>
      <c r="C1495">
        <v>219</v>
      </c>
      <c r="D1495">
        <v>148</v>
      </c>
      <c r="E1495">
        <v>150.999131952249</v>
      </c>
      <c r="F1495">
        <v>1.4787218121367101</v>
      </c>
      <c r="G1495">
        <v>17907.657631758</v>
      </c>
      <c r="H1495">
        <v>1218.95888360086</v>
      </c>
      <c r="I1495">
        <v>0.60176369744162905</v>
      </c>
      <c r="J1495">
        <v>0.15145043782530701</v>
      </c>
      <c r="K1495">
        <v>0.70845853056184405</v>
      </c>
      <c r="L1495" t="s">
        <v>41</v>
      </c>
      <c r="M1495" t="s">
        <v>34</v>
      </c>
      <c r="N1495" t="s">
        <v>35</v>
      </c>
      <c r="O1495">
        <v>0.69245448065356296</v>
      </c>
      <c r="P1495" t="s">
        <v>36</v>
      </c>
    </row>
    <row r="1496" spans="1:16">
      <c r="A1496">
        <v>1495</v>
      </c>
      <c r="B1496" t="s">
        <v>1555</v>
      </c>
      <c r="C1496">
        <v>232</v>
      </c>
      <c r="D1496">
        <v>162</v>
      </c>
      <c r="E1496">
        <v>151.910019266663</v>
      </c>
      <c r="F1496">
        <v>1.43449135593741</v>
      </c>
      <c r="G1496">
        <v>18124.361632514199</v>
      </c>
      <c r="H1496">
        <v>1095.7553251828299</v>
      </c>
      <c r="I1496">
        <v>0.58608927453638104</v>
      </c>
      <c r="J1496">
        <v>0.18969042220528601</v>
      </c>
      <c r="K1496">
        <v>0.63216120520277697</v>
      </c>
      <c r="L1496" t="s">
        <v>43</v>
      </c>
      <c r="M1496" t="s">
        <v>34</v>
      </c>
      <c r="N1496" t="s">
        <v>35</v>
      </c>
      <c r="O1496">
        <v>0.76415338730212401</v>
      </c>
      <c r="P1496" t="s">
        <v>36</v>
      </c>
    </row>
    <row r="1497" spans="1:16">
      <c r="A1497">
        <v>1496</v>
      </c>
      <c r="B1497" t="s">
        <v>1556</v>
      </c>
      <c r="C1497">
        <v>141</v>
      </c>
      <c r="D1497">
        <v>205</v>
      </c>
      <c r="E1497">
        <v>152.195651812237</v>
      </c>
      <c r="F1497">
        <v>0.687136508267017</v>
      </c>
      <c r="G1497">
        <v>18192.583262381901</v>
      </c>
      <c r="H1497">
        <v>878.86222806712897</v>
      </c>
      <c r="I1497">
        <v>0.691918504368912</v>
      </c>
      <c r="J1497">
        <v>0.29598018406392002</v>
      </c>
      <c r="K1497">
        <v>0.79626461270239901</v>
      </c>
      <c r="L1497" t="s">
        <v>33</v>
      </c>
      <c r="M1497" t="s">
        <v>34</v>
      </c>
      <c r="N1497" t="s">
        <v>35</v>
      </c>
      <c r="O1497">
        <v>0.65850244897660504</v>
      </c>
      <c r="P1497" t="s">
        <v>36</v>
      </c>
    </row>
    <row r="1498" spans="1:16">
      <c r="A1498">
        <v>1497</v>
      </c>
      <c r="B1498" t="s">
        <v>1557</v>
      </c>
      <c r="C1498">
        <v>220</v>
      </c>
      <c r="D1498">
        <v>252</v>
      </c>
      <c r="E1498">
        <v>152.59860763666799</v>
      </c>
      <c r="F1498">
        <v>0.872570177585963</v>
      </c>
      <c r="G1498">
        <v>18289.0447826087</v>
      </c>
      <c r="H1498">
        <v>2089.6806424532801</v>
      </c>
      <c r="I1498">
        <v>0.58803272014485897</v>
      </c>
      <c r="J1498">
        <v>5.2630930461227902E-2</v>
      </c>
      <c r="K1498">
        <v>0.433832213936926</v>
      </c>
      <c r="L1498" t="s">
        <v>38</v>
      </c>
      <c r="M1498" t="s">
        <v>34</v>
      </c>
      <c r="N1498" t="s">
        <v>35</v>
      </c>
      <c r="O1498">
        <v>0.82299996926317398</v>
      </c>
      <c r="P1498" t="s">
        <v>36</v>
      </c>
    </row>
    <row r="1499" spans="1:16">
      <c r="A1499">
        <v>1498</v>
      </c>
      <c r="B1499" t="s">
        <v>1558</v>
      </c>
      <c r="C1499">
        <v>143</v>
      </c>
      <c r="D1499">
        <v>239</v>
      </c>
      <c r="E1499">
        <v>152.80062222249299</v>
      </c>
      <c r="F1499">
        <v>0.59744787467823701</v>
      </c>
      <c r="G1499">
        <v>18337.5</v>
      </c>
      <c r="H1499">
        <v>1082.75648295879</v>
      </c>
      <c r="I1499">
        <v>0.74228801652036203</v>
      </c>
      <c r="J1499">
        <v>0.19655695040483701</v>
      </c>
      <c r="K1499">
        <v>0.70596727622714195</v>
      </c>
      <c r="L1499" t="s">
        <v>38</v>
      </c>
      <c r="M1499" t="s">
        <v>34</v>
      </c>
      <c r="N1499" t="s">
        <v>35</v>
      </c>
      <c r="O1499">
        <v>0.67825492037025104</v>
      </c>
      <c r="P1499" t="s">
        <v>36</v>
      </c>
    </row>
    <row r="1500" spans="1:16">
      <c r="A1500">
        <v>1499</v>
      </c>
      <c r="B1500" t="s">
        <v>1559</v>
      </c>
      <c r="C1500">
        <v>158</v>
      </c>
      <c r="D1500">
        <v>262</v>
      </c>
      <c r="E1500">
        <v>153.40011020565601</v>
      </c>
      <c r="F1500">
        <v>0.60365141607058803</v>
      </c>
      <c r="G1500">
        <v>18481.6705610586</v>
      </c>
      <c r="H1500">
        <v>973.39414548459297</v>
      </c>
      <c r="I1500">
        <v>0.58930755100322296</v>
      </c>
      <c r="J1500">
        <v>0.245117110805878</v>
      </c>
      <c r="K1500">
        <v>0.72700803330254105</v>
      </c>
      <c r="L1500" t="s">
        <v>47</v>
      </c>
      <c r="M1500" t="s">
        <v>34</v>
      </c>
      <c r="N1500" t="s">
        <v>35</v>
      </c>
      <c r="O1500">
        <v>0.846868363253234</v>
      </c>
      <c r="P1500" t="s">
        <v>36</v>
      </c>
    </row>
    <row r="1501" spans="1:16">
      <c r="A1501">
        <v>1500</v>
      </c>
      <c r="B1501" t="s">
        <v>1560</v>
      </c>
      <c r="C1501">
        <v>176</v>
      </c>
      <c r="D1501">
        <v>211</v>
      </c>
      <c r="E1501">
        <v>154.217695431647</v>
      </c>
      <c r="F1501">
        <v>0.83505992159366904</v>
      </c>
      <c r="G1501">
        <v>18679.201162570898</v>
      </c>
      <c r="H1501">
        <v>1451.74125758949</v>
      </c>
      <c r="I1501">
        <v>0.78371867372537196</v>
      </c>
      <c r="J1501">
        <v>0.11137551479937501</v>
      </c>
      <c r="K1501">
        <v>0.63369167313762498</v>
      </c>
      <c r="L1501" t="s">
        <v>33</v>
      </c>
      <c r="M1501" t="s">
        <v>34</v>
      </c>
      <c r="N1501" t="s">
        <v>35</v>
      </c>
      <c r="O1501">
        <v>0.73975629212379601</v>
      </c>
      <c r="P1501" t="s">
        <v>36</v>
      </c>
    </row>
    <row r="1502" spans="1:16">
      <c r="A1502">
        <v>1501</v>
      </c>
      <c r="B1502" t="s">
        <v>1561</v>
      </c>
      <c r="C1502">
        <v>169</v>
      </c>
      <c r="D1502">
        <v>188</v>
      </c>
      <c r="E1502">
        <v>154.375299195265</v>
      </c>
      <c r="F1502">
        <v>0.90181407439357297</v>
      </c>
      <c r="G1502">
        <v>18717.399330056702</v>
      </c>
      <c r="H1502">
        <v>814.14527226137102</v>
      </c>
      <c r="I1502">
        <v>0.633085001646715</v>
      </c>
      <c r="J1502">
        <v>0.35485551520074998</v>
      </c>
      <c r="K1502">
        <v>0.76879685477766102</v>
      </c>
      <c r="L1502" t="s">
        <v>38</v>
      </c>
      <c r="M1502" t="s">
        <v>34</v>
      </c>
      <c r="N1502" t="s">
        <v>35</v>
      </c>
      <c r="O1502">
        <v>0.65406413088992199</v>
      </c>
      <c r="P1502" t="s">
        <v>36</v>
      </c>
    </row>
    <row r="1503" spans="1:16">
      <c r="A1503">
        <v>1502</v>
      </c>
      <c r="B1503" t="s">
        <v>1562</v>
      </c>
      <c r="C1503">
        <v>155</v>
      </c>
      <c r="D1503">
        <v>227</v>
      </c>
      <c r="E1503">
        <v>155.15664790282199</v>
      </c>
      <c r="F1503">
        <v>0.68465765071784301</v>
      </c>
      <c r="G1503">
        <v>18907.3497504726</v>
      </c>
      <c r="H1503">
        <v>1059.4100944320001</v>
      </c>
      <c r="I1503">
        <v>0.60889053064362197</v>
      </c>
      <c r="J1503">
        <v>0.21169583250150001</v>
      </c>
      <c r="K1503">
        <v>0.65967288604942997</v>
      </c>
      <c r="L1503" t="s">
        <v>38</v>
      </c>
      <c r="M1503" t="s">
        <v>34</v>
      </c>
      <c r="N1503" t="s">
        <v>35</v>
      </c>
      <c r="O1503">
        <v>0.88102121399459998</v>
      </c>
      <c r="P1503" t="s">
        <v>36</v>
      </c>
    </row>
    <row r="1504" spans="1:16">
      <c r="A1504">
        <v>1503</v>
      </c>
      <c r="B1504" t="s">
        <v>1563</v>
      </c>
      <c r="C1504">
        <v>235</v>
      </c>
      <c r="D1504">
        <v>206</v>
      </c>
      <c r="E1504">
        <v>156.22265322603701</v>
      </c>
      <c r="F1504">
        <v>1.1432360974600499</v>
      </c>
      <c r="G1504">
        <v>19168.048527788302</v>
      </c>
      <c r="H1504">
        <v>3135.16086400011</v>
      </c>
      <c r="I1504">
        <v>0.65154650313479601</v>
      </c>
      <c r="J1504">
        <v>2.45057560435425E-2</v>
      </c>
      <c r="K1504">
        <v>0.41784603421461902</v>
      </c>
      <c r="L1504" t="s">
        <v>33</v>
      </c>
      <c r="M1504" t="s">
        <v>34</v>
      </c>
      <c r="N1504" t="s">
        <v>35</v>
      </c>
      <c r="O1504">
        <v>0.70840320442671301</v>
      </c>
      <c r="P1504" t="s">
        <v>36</v>
      </c>
    </row>
    <row r="1505" spans="1:16">
      <c r="A1505">
        <v>1504</v>
      </c>
      <c r="B1505" t="s">
        <v>1564</v>
      </c>
      <c r="C1505">
        <v>220</v>
      </c>
      <c r="D1505">
        <v>201</v>
      </c>
      <c r="E1505">
        <v>156.36129315794599</v>
      </c>
      <c r="F1505">
        <v>1.09782608695652</v>
      </c>
      <c r="G1505">
        <v>19202.085027221201</v>
      </c>
      <c r="H1505">
        <v>2656.5767143010098</v>
      </c>
      <c r="I1505">
        <v>0.609529387852488</v>
      </c>
      <c r="J1505">
        <v>3.4191135903650402E-2</v>
      </c>
      <c r="K1505">
        <v>0.51270522217768699</v>
      </c>
      <c r="L1505" t="s">
        <v>43</v>
      </c>
      <c r="M1505" t="s">
        <v>34</v>
      </c>
      <c r="N1505" t="s">
        <v>35</v>
      </c>
      <c r="O1505">
        <v>0.77750476369279098</v>
      </c>
      <c r="P1505" t="s">
        <v>36</v>
      </c>
    </row>
    <row r="1506" spans="1:16">
      <c r="A1506">
        <v>1505</v>
      </c>
      <c r="B1506" t="s">
        <v>1565</v>
      </c>
      <c r="C1506">
        <v>232</v>
      </c>
      <c r="D1506">
        <v>168</v>
      </c>
      <c r="E1506">
        <v>156.67927669993199</v>
      </c>
      <c r="F1506">
        <v>1.3832624978055701</v>
      </c>
      <c r="G1506">
        <v>19280.264934215498</v>
      </c>
      <c r="H1506">
        <v>865.883372617286</v>
      </c>
      <c r="I1506">
        <v>0.65646069515083005</v>
      </c>
      <c r="J1506">
        <v>0.323149926332087</v>
      </c>
      <c r="K1506">
        <v>0.713215929271659</v>
      </c>
      <c r="L1506" t="s">
        <v>38</v>
      </c>
      <c r="M1506" t="s">
        <v>34</v>
      </c>
      <c r="N1506" t="s">
        <v>35</v>
      </c>
      <c r="O1506">
        <v>0.80738206379573596</v>
      </c>
      <c r="P1506" t="s">
        <v>36</v>
      </c>
    </row>
    <row r="1507" spans="1:16">
      <c r="A1507">
        <v>1506</v>
      </c>
      <c r="B1507" t="s">
        <v>1566</v>
      </c>
      <c r="C1507">
        <v>239</v>
      </c>
      <c r="D1507">
        <v>172</v>
      </c>
      <c r="E1507">
        <v>156.822943315316</v>
      </c>
      <c r="F1507">
        <v>1.39013321951108</v>
      </c>
      <c r="G1507">
        <v>19315.639112665402</v>
      </c>
      <c r="H1507">
        <v>1309.2464422979599</v>
      </c>
      <c r="I1507">
        <v>0.58681046715200802</v>
      </c>
      <c r="J1507">
        <v>0.14160420226603901</v>
      </c>
      <c r="K1507">
        <v>0.57001184262467697</v>
      </c>
      <c r="L1507" t="s">
        <v>38</v>
      </c>
      <c r="M1507" t="s">
        <v>34</v>
      </c>
      <c r="N1507" t="s">
        <v>35</v>
      </c>
      <c r="O1507">
        <v>0.72487826488022</v>
      </c>
      <c r="P1507" t="s">
        <v>36</v>
      </c>
    </row>
    <row r="1508" spans="1:16">
      <c r="A1508">
        <v>1507</v>
      </c>
      <c r="B1508" t="s">
        <v>1567</v>
      </c>
      <c r="C1508">
        <v>274</v>
      </c>
      <c r="D1508">
        <v>161</v>
      </c>
      <c r="E1508">
        <v>157.372851183552</v>
      </c>
      <c r="F1508">
        <v>1.70235695284831</v>
      </c>
      <c r="G1508">
        <v>19451.339217391302</v>
      </c>
      <c r="H1508">
        <v>1469.07377101919</v>
      </c>
      <c r="I1508">
        <v>0.591281883660281</v>
      </c>
      <c r="J1508">
        <v>0.113258853749197</v>
      </c>
      <c r="K1508">
        <v>0.57114053539788201</v>
      </c>
      <c r="L1508" t="s">
        <v>298</v>
      </c>
      <c r="M1508" t="s">
        <v>34</v>
      </c>
      <c r="N1508" t="s">
        <v>35</v>
      </c>
      <c r="O1508">
        <v>0.78661904113306302</v>
      </c>
      <c r="P1508" t="s">
        <v>36</v>
      </c>
    </row>
    <row r="1509" spans="1:16">
      <c r="A1509">
        <v>1508</v>
      </c>
      <c r="B1509" t="s">
        <v>1568</v>
      </c>
      <c r="C1509">
        <v>245</v>
      </c>
      <c r="D1509">
        <v>215</v>
      </c>
      <c r="E1509">
        <v>160.41762085182501</v>
      </c>
      <c r="F1509">
        <v>1.1367088818836699</v>
      </c>
      <c r="G1509">
        <v>20211.2895300567</v>
      </c>
      <c r="H1509">
        <v>2809.2829788285799</v>
      </c>
      <c r="I1509">
        <v>0.61096386345431997</v>
      </c>
      <c r="J1509">
        <v>3.21819912024136E-2</v>
      </c>
      <c r="K1509">
        <v>0.41826509018430602</v>
      </c>
      <c r="L1509" t="s">
        <v>38</v>
      </c>
      <c r="M1509" t="s">
        <v>34</v>
      </c>
      <c r="N1509" t="s">
        <v>35</v>
      </c>
      <c r="O1509">
        <v>0.78313703268197099</v>
      </c>
      <c r="P1509" t="s">
        <v>36</v>
      </c>
    </row>
    <row r="1510" spans="1:16">
      <c r="A1510">
        <v>1509</v>
      </c>
      <c r="B1510" t="s">
        <v>1569</v>
      </c>
      <c r="C1510">
        <v>210</v>
      </c>
      <c r="D1510">
        <v>230</v>
      </c>
      <c r="E1510">
        <v>160.81762648395701</v>
      </c>
      <c r="F1510">
        <v>0.91469194312796198</v>
      </c>
      <c r="G1510">
        <v>20312.2099803403</v>
      </c>
      <c r="H1510">
        <v>2440.1375668088299</v>
      </c>
      <c r="I1510">
        <v>0.62522404720748603</v>
      </c>
      <c r="J1510">
        <v>4.2868513008909898E-2</v>
      </c>
      <c r="K1510">
        <v>0.46317309256547901</v>
      </c>
      <c r="L1510" t="s">
        <v>47</v>
      </c>
      <c r="M1510" t="s">
        <v>34</v>
      </c>
      <c r="N1510" t="s">
        <v>35</v>
      </c>
      <c r="O1510">
        <v>0.90163826383868895</v>
      </c>
      <c r="P1510" t="s">
        <v>36</v>
      </c>
    </row>
    <row r="1511" spans="1:16">
      <c r="A1511">
        <v>1510</v>
      </c>
      <c r="B1511" t="s">
        <v>1570</v>
      </c>
      <c r="C1511">
        <v>165</v>
      </c>
      <c r="D1511">
        <v>321</v>
      </c>
      <c r="E1511">
        <v>160.82409850359599</v>
      </c>
      <c r="F1511">
        <v>0.51273344915853303</v>
      </c>
      <c r="G1511">
        <v>20313.844921361098</v>
      </c>
      <c r="H1511">
        <v>1703.9595198910099</v>
      </c>
      <c r="I1511">
        <v>0.69360075974374702</v>
      </c>
      <c r="J1511">
        <v>8.7919143830440305E-2</v>
      </c>
      <c r="K1511">
        <v>0.46545676220575399</v>
      </c>
      <c r="L1511" t="s">
        <v>38</v>
      </c>
      <c r="M1511" t="s">
        <v>34</v>
      </c>
      <c r="N1511" t="s">
        <v>35</v>
      </c>
      <c r="O1511">
        <v>0.67470836948560198</v>
      </c>
      <c r="P1511" t="s">
        <v>36</v>
      </c>
    </row>
    <row r="1512" spans="1:16">
      <c r="A1512">
        <v>1511</v>
      </c>
      <c r="B1512" t="s">
        <v>1571</v>
      </c>
      <c r="C1512">
        <v>216</v>
      </c>
      <c r="D1512">
        <v>245</v>
      </c>
      <c r="E1512">
        <v>161.05515548122699</v>
      </c>
      <c r="F1512">
        <v>0.881959894867269</v>
      </c>
      <c r="G1512">
        <v>20372.256905104001</v>
      </c>
      <c r="H1512">
        <v>2161.8121134778698</v>
      </c>
      <c r="I1512">
        <v>0.62655658492810395</v>
      </c>
      <c r="J1512">
        <v>5.4778875923782402E-2</v>
      </c>
      <c r="K1512">
        <v>0.50248739803867704</v>
      </c>
      <c r="L1512" t="s">
        <v>211</v>
      </c>
      <c r="M1512" t="s">
        <v>34</v>
      </c>
      <c r="N1512" t="s">
        <v>35</v>
      </c>
      <c r="O1512">
        <v>0.70395414845241699</v>
      </c>
      <c r="P1512" t="s">
        <v>36</v>
      </c>
    </row>
    <row r="1513" spans="1:16">
      <c r="A1513">
        <v>1512</v>
      </c>
      <c r="B1513" t="s">
        <v>1572</v>
      </c>
      <c r="C1513">
        <v>261</v>
      </c>
      <c r="D1513">
        <v>148</v>
      </c>
      <c r="E1513">
        <v>162.285401740574</v>
      </c>
      <c r="F1513">
        <v>1.7651375624856001</v>
      </c>
      <c r="G1513">
        <v>20684.679271077501</v>
      </c>
      <c r="H1513">
        <v>1307.2520012724899</v>
      </c>
      <c r="I1513">
        <v>0.67760381812286696</v>
      </c>
      <c r="J1513">
        <v>0.15210378614091799</v>
      </c>
      <c r="K1513">
        <v>0.70420596688661297</v>
      </c>
      <c r="L1513" t="s">
        <v>33</v>
      </c>
      <c r="M1513" t="s">
        <v>34</v>
      </c>
      <c r="N1513" t="s">
        <v>35</v>
      </c>
      <c r="O1513">
        <v>0.70311977668153303</v>
      </c>
      <c r="P1513" t="s">
        <v>36</v>
      </c>
    </row>
    <row r="1514" spans="1:16">
      <c r="A1514">
        <v>1513</v>
      </c>
      <c r="B1514" t="s">
        <v>1573</v>
      </c>
      <c r="C1514">
        <v>409</v>
      </c>
      <c r="D1514">
        <v>246</v>
      </c>
      <c r="E1514">
        <v>162.747108156672</v>
      </c>
      <c r="F1514">
        <v>1.66327338279348</v>
      </c>
      <c r="G1514">
        <v>20802.543655576599</v>
      </c>
      <c r="H1514">
        <v>2140.4058027086098</v>
      </c>
      <c r="I1514">
        <v>0.674864353291876</v>
      </c>
      <c r="J1514">
        <v>5.7060302108758003E-2</v>
      </c>
      <c r="K1514">
        <v>0.31440393743415301</v>
      </c>
      <c r="L1514" t="s">
        <v>41</v>
      </c>
      <c r="M1514" t="s">
        <v>34</v>
      </c>
      <c r="N1514" t="s">
        <v>35</v>
      </c>
      <c r="O1514">
        <v>0.69087809039431602</v>
      </c>
      <c r="P1514" t="s">
        <v>36</v>
      </c>
    </row>
    <row r="1515" spans="1:16">
      <c r="A1515">
        <v>1514</v>
      </c>
      <c r="B1515" t="s">
        <v>1574</v>
      </c>
      <c r="C1515">
        <v>178</v>
      </c>
      <c r="D1515">
        <v>237</v>
      </c>
      <c r="E1515">
        <v>163.30429990595101</v>
      </c>
      <c r="F1515">
        <v>0.75330863530153902</v>
      </c>
      <c r="G1515">
        <v>20945.2294173913</v>
      </c>
      <c r="H1515">
        <v>1422.63285521227</v>
      </c>
      <c r="I1515">
        <v>0.59708275044967696</v>
      </c>
      <c r="J1515">
        <v>0.130049688695069</v>
      </c>
      <c r="K1515">
        <v>0.605278756120608</v>
      </c>
      <c r="L1515" t="s">
        <v>38</v>
      </c>
      <c r="M1515" t="s">
        <v>34</v>
      </c>
      <c r="N1515" t="s">
        <v>35</v>
      </c>
      <c r="O1515">
        <v>0.71493834189378402</v>
      </c>
      <c r="P1515" t="s">
        <v>36</v>
      </c>
    </row>
    <row r="1516" spans="1:16">
      <c r="A1516">
        <v>1515</v>
      </c>
      <c r="B1516" t="s">
        <v>1575</v>
      </c>
      <c r="C1516">
        <v>261</v>
      </c>
      <c r="D1516">
        <v>210</v>
      </c>
      <c r="E1516">
        <v>163.407403744405</v>
      </c>
      <c r="F1516">
        <v>1.2409326805838401</v>
      </c>
      <c r="G1516">
        <v>20971.685735727799</v>
      </c>
      <c r="H1516">
        <v>2301.4613673296199</v>
      </c>
      <c r="I1516">
        <v>0.634610346978148</v>
      </c>
      <c r="J1516">
        <v>4.9754896460856603E-2</v>
      </c>
      <c r="K1516">
        <v>0.43676598958688001</v>
      </c>
      <c r="L1516" t="s">
        <v>38</v>
      </c>
      <c r="M1516" t="s">
        <v>34</v>
      </c>
      <c r="N1516" t="s">
        <v>35</v>
      </c>
      <c r="O1516">
        <v>0.70777102738562803</v>
      </c>
      <c r="P1516" t="s">
        <v>36</v>
      </c>
    </row>
    <row r="1517" spans="1:16">
      <c r="A1517">
        <v>1516</v>
      </c>
      <c r="B1517" t="s">
        <v>1576</v>
      </c>
      <c r="C1517">
        <v>151</v>
      </c>
      <c r="D1517">
        <v>319</v>
      </c>
      <c r="E1517">
        <v>164.48811606198899</v>
      </c>
      <c r="F1517">
        <v>0.47178186678073802</v>
      </c>
      <c r="G1517">
        <v>21250</v>
      </c>
      <c r="H1517">
        <v>1179.82755064964</v>
      </c>
      <c r="I1517">
        <v>0.851303362279481</v>
      </c>
      <c r="J1517">
        <v>0.191836716206882</v>
      </c>
      <c r="K1517">
        <v>0.642965204236006</v>
      </c>
      <c r="L1517" t="s">
        <v>33</v>
      </c>
      <c r="M1517" t="s">
        <v>34</v>
      </c>
      <c r="N1517" t="s">
        <v>35</v>
      </c>
      <c r="O1517">
        <v>0.71083298584778998</v>
      </c>
      <c r="P1517" t="s">
        <v>36</v>
      </c>
    </row>
    <row r="1518" spans="1:16">
      <c r="A1518">
        <v>1517</v>
      </c>
      <c r="B1518" t="s">
        <v>1577</v>
      </c>
      <c r="C1518">
        <v>260</v>
      </c>
      <c r="D1518">
        <v>146</v>
      </c>
      <c r="E1518">
        <v>164.68443554523401</v>
      </c>
      <c r="F1518">
        <v>1.78651685393258</v>
      </c>
      <c r="G1518">
        <v>21300.754773912999</v>
      </c>
      <c r="H1518">
        <v>1308.18810723502</v>
      </c>
      <c r="I1518">
        <v>0.71492999318472905</v>
      </c>
      <c r="J1518">
        <v>0.15640998101717801</v>
      </c>
      <c r="K1518">
        <v>0.66153824849055598</v>
      </c>
      <c r="L1518" t="s">
        <v>33</v>
      </c>
      <c r="M1518" t="s">
        <v>34</v>
      </c>
      <c r="N1518" t="s">
        <v>35</v>
      </c>
      <c r="O1518">
        <v>0.72255553745117196</v>
      </c>
      <c r="P1518" t="s">
        <v>36</v>
      </c>
    </row>
    <row r="1519" spans="1:16">
      <c r="A1519">
        <v>1518</v>
      </c>
      <c r="B1519" t="s">
        <v>1578</v>
      </c>
      <c r="C1519">
        <v>238</v>
      </c>
      <c r="D1519">
        <v>204</v>
      </c>
      <c r="E1519">
        <v>164.70224600714201</v>
      </c>
      <c r="F1519">
        <v>1.1672997504796201</v>
      </c>
      <c r="G1519">
        <v>21305.3623349716</v>
      </c>
      <c r="H1519">
        <v>1412.4032620432099</v>
      </c>
      <c r="I1519">
        <v>0.56401737177625699</v>
      </c>
      <c r="J1519">
        <v>0.13420891479816299</v>
      </c>
      <c r="K1519">
        <v>0.60335552955240002</v>
      </c>
      <c r="L1519" t="s">
        <v>38</v>
      </c>
      <c r="M1519" t="s">
        <v>34</v>
      </c>
      <c r="N1519" t="s">
        <v>35</v>
      </c>
      <c r="O1519">
        <v>0.72045631139906996</v>
      </c>
      <c r="P1519" t="s">
        <v>36</v>
      </c>
    </row>
    <row r="1520" spans="1:16">
      <c r="A1520">
        <v>1519</v>
      </c>
      <c r="B1520" t="s">
        <v>1579</v>
      </c>
      <c r="C1520">
        <v>159</v>
      </c>
      <c r="D1520">
        <v>213</v>
      </c>
      <c r="E1520">
        <v>165.80789432407701</v>
      </c>
      <c r="F1520">
        <v>0.746470389702524</v>
      </c>
      <c r="G1520">
        <v>21592.368799621901</v>
      </c>
      <c r="H1520">
        <v>1089.6228873784601</v>
      </c>
      <c r="I1520">
        <v>0.61913717478838204</v>
      </c>
      <c r="J1520">
        <v>0.22853763010084999</v>
      </c>
      <c r="K1520">
        <v>0.76968926329174303</v>
      </c>
      <c r="L1520" t="s">
        <v>33</v>
      </c>
      <c r="M1520" t="s">
        <v>34</v>
      </c>
      <c r="N1520" t="s">
        <v>35</v>
      </c>
      <c r="O1520">
        <v>0.670550843457561</v>
      </c>
      <c r="P1520" t="s">
        <v>36</v>
      </c>
    </row>
    <row r="1521" spans="1:16">
      <c r="A1521">
        <v>1520</v>
      </c>
      <c r="B1521" t="s">
        <v>1580</v>
      </c>
      <c r="C1521">
        <v>208</v>
      </c>
      <c r="D1521">
        <v>204</v>
      </c>
      <c r="E1521">
        <v>166.12485404699299</v>
      </c>
      <c r="F1521">
        <v>1.0188678203753301</v>
      </c>
      <c r="G1521">
        <v>21675</v>
      </c>
      <c r="H1521">
        <v>954.97473835945095</v>
      </c>
      <c r="I1521">
        <v>0.75214860219984803</v>
      </c>
      <c r="J1521">
        <v>0.298665599529847</v>
      </c>
      <c r="K1521">
        <v>0.70746634026927802</v>
      </c>
      <c r="L1521" t="s">
        <v>33</v>
      </c>
      <c r="M1521" t="s">
        <v>34</v>
      </c>
      <c r="N1521" t="s">
        <v>35</v>
      </c>
      <c r="O1521">
        <v>0.65439463742265502</v>
      </c>
      <c r="P1521" t="s">
        <v>36</v>
      </c>
    </row>
    <row r="1522" spans="1:16">
      <c r="A1522">
        <v>1521</v>
      </c>
      <c r="B1522" t="s">
        <v>1581</v>
      </c>
      <c r="C1522">
        <v>207</v>
      </c>
      <c r="D1522">
        <v>238</v>
      </c>
      <c r="E1522">
        <v>167.28505396494199</v>
      </c>
      <c r="F1522">
        <v>0.86947304443655604</v>
      </c>
      <c r="G1522">
        <v>21978.8094045369</v>
      </c>
      <c r="H1522">
        <v>1597.4389896431201</v>
      </c>
      <c r="I1522">
        <v>0.56367390572094001</v>
      </c>
      <c r="J1522">
        <v>0.108234437971767</v>
      </c>
      <c r="K1522">
        <v>0.57454852045256699</v>
      </c>
      <c r="L1522" t="s">
        <v>49</v>
      </c>
      <c r="M1522" t="s">
        <v>34</v>
      </c>
      <c r="N1522" t="s">
        <v>35</v>
      </c>
      <c r="O1522">
        <v>0.79865950218597204</v>
      </c>
      <c r="P1522" t="s">
        <v>36</v>
      </c>
    </row>
    <row r="1523" spans="1:16">
      <c r="A1523">
        <v>1522</v>
      </c>
      <c r="B1523" t="s">
        <v>1582</v>
      </c>
      <c r="C1523">
        <v>201</v>
      </c>
      <c r="D1523">
        <v>250</v>
      </c>
      <c r="E1523">
        <v>167.687298871769</v>
      </c>
      <c r="F1523">
        <v>0.80349342359430198</v>
      </c>
      <c r="G1523">
        <v>22084.634677882801</v>
      </c>
      <c r="H1523">
        <v>2072.2696786554002</v>
      </c>
      <c r="I1523">
        <v>0.57973685369680705</v>
      </c>
      <c r="J1523">
        <v>6.4626039047429695E-2</v>
      </c>
      <c r="K1523">
        <v>0.476069487876147</v>
      </c>
      <c r="L1523" t="s">
        <v>47</v>
      </c>
      <c r="M1523" t="s">
        <v>34</v>
      </c>
      <c r="N1523" t="s">
        <v>35</v>
      </c>
      <c r="O1523">
        <v>0.88624893153990802</v>
      </c>
      <c r="P1523" t="s">
        <v>36</v>
      </c>
    </row>
    <row r="1524" spans="1:16">
      <c r="A1524">
        <v>1523</v>
      </c>
      <c r="B1524" t="s">
        <v>1583</v>
      </c>
      <c r="C1524">
        <v>328</v>
      </c>
      <c r="D1524">
        <v>214</v>
      </c>
      <c r="E1524">
        <v>168.07563339096799</v>
      </c>
      <c r="F1524">
        <v>1.53571428571429</v>
      </c>
      <c r="G1524">
        <v>22187.041438185301</v>
      </c>
      <c r="H1524">
        <v>2702.4430676141001</v>
      </c>
      <c r="I1524">
        <v>0.65994180459843399</v>
      </c>
      <c r="J1524">
        <v>3.8176503659595698E-2</v>
      </c>
      <c r="K1524">
        <v>0.47570427023581902</v>
      </c>
      <c r="L1524" t="s">
        <v>33</v>
      </c>
      <c r="M1524" t="s">
        <v>34</v>
      </c>
      <c r="N1524" t="s">
        <v>35</v>
      </c>
      <c r="O1524">
        <v>0.76416123865727004</v>
      </c>
      <c r="P1524" t="s">
        <v>36</v>
      </c>
    </row>
    <row r="1525" spans="1:16">
      <c r="A1525">
        <v>1524</v>
      </c>
      <c r="B1525" t="s">
        <v>1584</v>
      </c>
      <c r="C1525">
        <v>297</v>
      </c>
      <c r="D1525">
        <v>138</v>
      </c>
      <c r="E1525">
        <v>168.66459339967099</v>
      </c>
      <c r="F1525">
        <v>2.1488877897918601</v>
      </c>
      <c r="G1525">
        <v>22342.806728166401</v>
      </c>
      <c r="H1525">
        <v>1331.5428035234399</v>
      </c>
      <c r="I1525">
        <v>0.61099951146512299</v>
      </c>
      <c r="J1525">
        <v>0.158357023204165</v>
      </c>
      <c r="K1525">
        <v>0.68500966060296697</v>
      </c>
      <c r="L1525" t="s">
        <v>41</v>
      </c>
      <c r="M1525" t="s">
        <v>34</v>
      </c>
      <c r="N1525" t="s">
        <v>35</v>
      </c>
      <c r="O1525">
        <v>0.680786639086991</v>
      </c>
      <c r="P1525" t="s">
        <v>36</v>
      </c>
    </row>
    <row r="1526" spans="1:16">
      <c r="A1526">
        <v>1525</v>
      </c>
      <c r="B1526" t="s">
        <v>1585</v>
      </c>
      <c r="C1526">
        <v>166</v>
      </c>
      <c r="D1526">
        <v>181</v>
      </c>
      <c r="E1526">
        <v>169.51182486958101</v>
      </c>
      <c r="F1526">
        <v>0.91867468384426698</v>
      </c>
      <c r="G1526">
        <v>22567.834065028401</v>
      </c>
      <c r="H1526">
        <v>1139.01734279674</v>
      </c>
      <c r="I1526">
        <v>0.64406647027127695</v>
      </c>
      <c r="J1526">
        <v>0.21859441940187799</v>
      </c>
      <c r="K1526">
        <v>0.82392138349422395</v>
      </c>
      <c r="L1526" t="s">
        <v>74</v>
      </c>
      <c r="M1526" t="s">
        <v>34</v>
      </c>
      <c r="N1526" t="s">
        <v>35</v>
      </c>
      <c r="O1526">
        <v>0.735054100049363</v>
      </c>
      <c r="P1526" t="s">
        <v>36</v>
      </c>
    </row>
    <row r="1527" spans="1:16">
      <c r="A1527">
        <v>1526</v>
      </c>
      <c r="B1527" t="s">
        <v>1586</v>
      </c>
      <c r="C1527">
        <v>129</v>
      </c>
      <c r="D1527">
        <v>351</v>
      </c>
      <c r="E1527">
        <v>169.679489642455</v>
      </c>
      <c r="F1527">
        <v>0.36752135985797602</v>
      </c>
      <c r="G1527">
        <v>22612.5</v>
      </c>
      <c r="H1527">
        <v>1273.4671598672901</v>
      </c>
      <c r="I1527">
        <v>0.89588341909117097</v>
      </c>
      <c r="J1527">
        <v>0.175219704728689</v>
      </c>
      <c r="K1527">
        <v>0.70361726954492398</v>
      </c>
      <c r="L1527" t="s">
        <v>33</v>
      </c>
      <c r="M1527" t="s">
        <v>34</v>
      </c>
      <c r="N1527" t="s">
        <v>35</v>
      </c>
      <c r="O1527">
        <v>0.80501580026136099</v>
      </c>
      <c r="P1527" t="s">
        <v>36</v>
      </c>
    </row>
    <row r="1528" spans="1:16">
      <c r="A1528">
        <v>1527</v>
      </c>
      <c r="B1528" t="s">
        <v>1587</v>
      </c>
      <c r="C1528">
        <v>264</v>
      </c>
      <c r="D1528">
        <v>279</v>
      </c>
      <c r="E1528">
        <v>170.511959130533</v>
      </c>
      <c r="F1528">
        <v>0.94726561871357196</v>
      </c>
      <c r="G1528">
        <v>22834.923975425299</v>
      </c>
      <c r="H1528">
        <v>2525.3824619402099</v>
      </c>
      <c r="I1528">
        <v>0.64330434682773896</v>
      </c>
      <c r="J1528">
        <v>4.49940528269719E-2</v>
      </c>
      <c r="K1528">
        <v>0.36928472192176598</v>
      </c>
      <c r="L1528" t="s">
        <v>33</v>
      </c>
      <c r="M1528" t="s">
        <v>34</v>
      </c>
      <c r="N1528" t="s">
        <v>35</v>
      </c>
      <c r="O1528">
        <v>0.78450197814879297</v>
      </c>
      <c r="P1528" t="s">
        <v>36</v>
      </c>
    </row>
    <row r="1529" spans="1:16">
      <c r="A1529">
        <v>1528</v>
      </c>
      <c r="B1529" t="s">
        <v>1588</v>
      </c>
      <c r="C1529">
        <v>297</v>
      </c>
      <c r="D1529">
        <v>207</v>
      </c>
      <c r="E1529">
        <v>171.997130903075</v>
      </c>
      <c r="F1529">
        <v>1.4379946324483199</v>
      </c>
      <c r="G1529">
        <v>23234.444108506599</v>
      </c>
      <c r="H1529">
        <v>1836.9737588922901</v>
      </c>
      <c r="I1529">
        <v>0.62875325717526098</v>
      </c>
      <c r="J1529">
        <v>8.65239316143908E-2</v>
      </c>
      <c r="K1529">
        <v>0.50884736824973098</v>
      </c>
      <c r="L1529" t="s">
        <v>38</v>
      </c>
      <c r="M1529" t="s">
        <v>34</v>
      </c>
      <c r="N1529" t="s">
        <v>35</v>
      </c>
      <c r="O1529">
        <v>0.85321682590630399</v>
      </c>
      <c r="P1529" t="s">
        <v>36</v>
      </c>
    </row>
    <row r="1530" spans="1:16">
      <c r="A1530">
        <v>1529</v>
      </c>
      <c r="B1530" t="s">
        <v>1589</v>
      </c>
      <c r="C1530">
        <v>315</v>
      </c>
      <c r="D1530">
        <v>186</v>
      </c>
      <c r="E1530">
        <v>174.73156501755301</v>
      </c>
      <c r="F1530">
        <v>1.6950146627566001</v>
      </c>
      <c r="G1530">
        <v>23979.085427977301</v>
      </c>
      <c r="H1530">
        <v>2045.95754975143</v>
      </c>
      <c r="I1530">
        <v>0.70394934586475699</v>
      </c>
      <c r="J1530">
        <v>7.1986198857439704E-2</v>
      </c>
      <c r="K1530">
        <v>0.53067098221481002</v>
      </c>
      <c r="L1530" t="s">
        <v>38</v>
      </c>
      <c r="M1530" t="s">
        <v>34</v>
      </c>
      <c r="N1530" t="s">
        <v>35</v>
      </c>
      <c r="O1530">
        <v>0.87218833330190404</v>
      </c>
      <c r="P1530" t="s">
        <v>36</v>
      </c>
    </row>
    <row r="1531" spans="1:16">
      <c r="A1531">
        <v>1530</v>
      </c>
      <c r="B1531" t="s">
        <v>1590</v>
      </c>
      <c r="C1531">
        <v>260</v>
      </c>
      <c r="D1531">
        <v>142</v>
      </c>
      <c r="E1531">
        <v>175.510167192594</v>
      </c>
      <c r="F1531">
        <v>1.8237547892720301</v>
      </c>
      <c r="G1531">
        <v>24193.2627017013</v>
      </c>
      <c r="H1531">
        <v>1028.61656921345</v>
      </c>
      <c r="I1531">
        <v>0.70310395685580196</v>
      </c>
      <c r="J1531">
        <v>0.287340784885949</v>
      </c>
      <c r="K1531">
        <v>0.86215499022770203</v>
      </c>
      <c r="L1531" t="s">
        <v>47</v>
      </c>
      <c r="M1531" t="s">
        <v>34</v>
      </c>
      <c r="N1531" t="s">
        <v>35</v>
      </c>
      <c r="O1531">
        <v>0.94674056320007605</v>
      </c>
      <c r="P1531" t="s">
        <v>36</v>
      </c>
    </row>
    <row r="1532" spans="1:16">
      <c r="A1532">
        <v>1531</v>
      </c>
      <c r="B1532" t="s">
        <v>1591</v>
      </c>
      <c r="C1532">
        <v>292</v>
      </c>
      <c r="D1532">
        <v>202</v>
      </c>
      <c r="E1532">
        <v>179.681914653799</v>
      </c>
      <c r="F1532">
        <v>1.44105977746554</v>
      </c>
      <c r="G1532">
        <v>25357.043446502801</v>
      </c>
      <c r="H1532">
        <v>1140.5805316798601</v>
      </c>
      <c r="I1532">
        <v>0.68475738295298105</v>
      </c>
      <c r="J1532">
        <v>0.24493822703285201</v>
      </c>
      <c r="K1532">
        <v>0.59529566937788503</v>
      </c>
      <c r="L1532" t="s">
        <v>288</v>
      </c>
      <c r="M1532" t="s">
        <v>34</v>
      </c>
      <c r="N1532" t="s">
        <v>35</v>
      </c>
      <c r="O1532">
        <v>0.792059146780276</v>
      </c>
      <c r="P1532" t="s">
        <v>36</v>
      </c>
    </row>
    <row r="1533" spans="1:16">
      <c r="A1533">
        <v>1532</v>
      </c>
      <c r="B1533" t="s">
        <v>1592</v>
      </c>
      <c r="C1533">
        <v>307</v>
      </c>
      <c r="D1533">
        <v>214</v>
      </c>
      <c r="E1533">
        <v>180.890621043153</v>
      </c>
      <c r="F1533">
        <v>1.43812966124756</v>
      </c>
      <c r="G1533">
        <v>25699.3406438563</v>
      </c>
      <c r="H1533">
        <v>1700.7015107858699</v>
      </c>
      <c r="I1533">
        <v>0.61471783752569198</v>
      </c>
      <c r="J1533">
        <v>0.111654350602806</v>
      </c>
      <c r="K1533">
        <v>0.52609687823282403</v>
      </c>
      <c r="L1533" t="s">
        <v>33</v>
      </c>
      <c r="M1533" t="s">
        <v>34</v>
      </c>
      <c r="N1533" t="s">
        <v>35</v>
      </c>
      <c r="O1533">
        <v>0.68299123703888698</v>
      </c>
      <c r="P1533" t="s">
        <v>36</v>
      </c>
    </row>
    <row r="1534" spans="1:16">
      <c r="A1534">
        <v>1533</v>
      </c>
      <c r="B1534" t="s">
        <v>1593</v>
      </c>
      <c r="C1534">
        <v>264</v>
      </c>
      <c r="D1534">
        <v>225</v>
      </c>
      <c r="E1534">
        <v>183.85730202347401</v>
      </c>
      <c r="F1534">
        <v>1.1743341661997899</v>
      </c>
      <c r="G1534">
        <v>26549.212712665401</v>
      </c>
      <c r="H1534">
        <v>2294.8279687092599</v>
      </c>
      <c r="I1534">
        <v>0.59395374095573705</v>
      </c>
      <c r="J1534">
        <v>6.3352133117441006E-2</v>
      </c>
      <c r="K1534">
        <v>0.48435292618312298</v>
      </c>
      <c r="L1534" t="s">
        <v>38</v>
      </c>
      <c r="M1534" t="s">
        <v>34</v>
      </c>
      <c r="N1534" t="s">
        <v>35</v>
      </c>
      <c r="O1534">
        <v>0.73627454315282403</v>
      </c>
      <c r="P1534" t="s">
        <v>36</v>
      </c>
    </row>
    <row r="1535" spans="1:16">
      <c r="A1535">
        <v>1534</v>
      </c>
      <c r="B1535" t="s">
        <v>1594</v>
      </c>
      <c r="C1535">
        <v>257</v>
      </c>
      <c r="D1535">
        <v>284</v>
      </c>
      <c r="E1535">
        <v>186.310743351913</v>
      </c>
      <c r="F1535">
        <v>0.90551176712855397</v>
      </c>
      <c r="G1535">
        <v>27262.5</v>
      </c>
      <c r="H1535">
        <v>2421.57898128033</v>
      </c>
      <c r="I1535">
        <v>0.74324072894331505</v>
      </c>
      <c r="J1535">
        <v>5.8422248250935199E-2</v>
      </c>
      <c r="K1535">
        <v>0.43394349383207298</v>
      </c>
      <c r="L1535" t="s">
        <v>38</v>
      </c>
      <c r="M1535" t="s">
        <v>34</v>
      </c>
      <c r="N1535" t="s">
        <v>35</v>
      </c>
      <c r="O1535">
        <v>0.71764631923018896</v>
      </c>
      <c r="P1535" t="s">
        <v>36</v>
      </c>
    </row>
    <row r="1536" spans="1:16">
      <c r="A1536">
        <v>1535</v>
      </c>
      <c r="B1536" t="s">
        <v>1595</v>
      </c>
      <c r="C1536">
        <v>693</v>
      </c>
      <c r="D1536">
        <v>152</v>
      </c>
      <c r="E1536">
        <v>188.89822191117301</v>
      </c>
      <c r="F1536">
        <v>4.5459997314680702</v>
      </c>
      <c r="G1536">
        <v>28025</v>
      </c>
      <c r="H1536">
        <v>2306.9343197345702</v>
      </c>
      <c r="I1536">
        <v>0.45113338879430498</v>
      </c>
      <c r="J1536">
        <v>6.6173640132305395E-2</v>
      </c>
      <c r="K1536">
        <v>0.351962323390895</v>
      </c>
      <c r="L1536" t="s">
        <v>49</v>
      </c>
      <c r="M1536" t="s">
        <v>34</v>
      </c>
      <c r="N1536" t="s">
        <v>35</v>
      </c>
      <c r="O1536">
        <v>0.83597073670131195</v>
      </c>
      <c r="P1536" t="s">
        <v>36</v>
      </c>
    </row>
    <row r="1537" spans="1:16">
      <c r="A1537">
        <v>1536</v>
      </c>
      <c r="B1537" t="s">
        <v>1596</v>
      </c>
      <c r="C1537">
        <v>314</v>
      </c>
      <c r="D1537">
        <v>201</v>
      </c>
      <c r="E1537">
        <v>189.15441391747601</v>
      </c>
      <c r="F1537">
        <v>1.55970477942228</v>
      </c>
      <c r="G1537">
        <v>28101.069003402699</v>
      </c>
      <c r="H1537">
        <v>1749.32880539231</v>
      </c>
      <c r="I1537">
        <v>0.59999423130740004</v>
      </c>
      <c r="J1537">
        <v>0.115395748991366</v>
      </c>
      <c r="K1537">
        <v>0.59014889034553797</v>
      </c>
      <c r="L1537" t="s">
        <v>33</v>
      </c>
      <c r="M1537" t="s">
        <v>34</v>
      </c>
      <c r="N1537" t="s">
        <v>35</v>
      </c>
      <c r="O1537">
        <v>0.708943284645279</v>
      </c>
      <c r="P1537" t="s">
        <v>36</v>
      </c>
    </row>
    <row r="1538" spans="1:16">
      <c r="A1538">
        <v>1537</v>
      </c>
      <c r="B1538" t="s">
        <v>1597</v>
      </c>
      <c r="C1538">
        <v>294</v>
      </c>
      <c r="D1538">
        <v>240</v>
      </c>
      <c r="E1538">
        <v>191.398161250849</v>
      </c>
      <c r="F1538">
        <v>1.2249998924948799</v>
      </c>
      <c r="G1538">
        <v>28771.692083932001</v>
      </c>
      <c r="H1538">
        <v>2437.9113022812599</v>
      </c>
      <c r="I1538">
        <v>0.60559679854010495</v>
      </c>
      <c r="J1538">
        <v>6.0833032484230901E-2</v>
      </c>
      <c r="K1538">
        <v>0.47292929440995601</v>
      </c>
      <c r="L1538" t="s">
        <v>38</v>
      </c>
      <c r="M1538" t="s">
        <v>34</v>
      </c>
      <c r="N1538" t="s">
        <v>35</v>
      </c>
      <c r="O1538">
        <v>0.73982792930718699</v>
      </c>
      <c r="P1538" t="s">
        <v>36</v>
      </c>
    </row>
    <row r="1539" spans="1:16">
      <c r="A1539">
        <v>1538</v>
      </c>
      <c r="B1539" t="s">
        <v>1598</v>
      </c>
      <c r="C1539">
        <v>214</v>
      </c>
      <c r="D1539">
        <v>225</v>
      </c>
      <c r="E1539">
        <v>192.364685308399</v>
      </c>
      <c r="F1539">
        <v>0.95398773482866805</v>
      </c>
      <c r="G1539">
        <v>29063.008847637098</v>
      </c>
      <c r="H1539">
        <v>1365.0042033365501</v>
      </c>
      <c r="I1539">
        <v>0.62114949169814304</v>
      </c>
      <c r="J1539">
        <v>0.19601191004111301</v>
      </c>
      <c r="K1539">
        <v>0.69547124580753195</v>
      </c>
      <c r="L1539" t="s">
        <v>49</v>
      </c>
      <c r="M1539" t="s">
        <v>34</v>
      </c>
      <c r="N1539" t="s">
        <v>35</v>
      </c>
      <c r="O1539">
        <v>0.82073186901568096</v>
      </c>
      <c r="P1539" t="s">
        <v>36</v>
      </c>
    </row>
    <row r="1540" spans="1:16">
      <c r="A1540">
        <v>1539</v>
      </c>
      <c r="B1540" t="s">
        <v>1599</v>
      </c>
      <c r="C1540">
        <v>210</v>
      </c>
      <c r="D1540">
        <v>201</v>
      </c>
      <c r="E1540">
        <v>193.26959410255901</v>
      </c>
      <c r="F1540">
        <v>1.0489130434782601</v>
      </c>
      <c r="G1540">
        <v>29337.084415122899</v>
      </c>
      <c r="H1540">
        <v>1244.9578013165101</v>
      </c>
      <c r="I1540">
        <v>0.518919344540965</v>
      </c>
      <c r="J1540">
        <v>0.237857884829414</v>
      </c>
      <c r="K1540">
        <v>0.83609515579728599</v>
      </c>
      <c r="L1540" t="s">
        <v>43</v>
      </c>
      <c r="M1540" t="s">
        <v>34</v>
      </c>
      <c r="N1540" t="s">
        <v>35</v>
      </c>
      <c r="O1540">
        <v>0.78376247482713601</v>
      </c>
      <c r="P1540" t="s">
        <v>36</v>
      </c>
    </row>
    <row r="1541" spans="1:16">
      <c r="A1541">
        <v>1540</v>
      </c>
      <c r="B1541" t="s">
        <v>1600</v>
      </c>
      <c r="C1541">
        <v>374</v>
      </c>
      <c r="D1541">
        <v>211</v>
      </c>
      <c r="E1541">
        <v>194.870134760887</v>
      </c>
      <c r="F1541">
        <v>1.7722513124513699</v>
      </c>
      <c r="G1541">
        <v>29825</v>
      </c>
      <c r="H1541">
        <v>1837.5230705738099</v>
      </c>
      <c r="I1541">
        <v>0.76619781299704803</v>
      </c>
      <c r="J1541">
        <v>0.111000443863273</v>
      </c>
      <c r="K1541">
        <v>0.53823595759079601</v>
      </c>
      <c r="L1541" t="s">
        <v>144</v>
      </c>
      <c r="M1541" t="s">
        <v>34</v>
      </c>
      <c r="N1541" t="s">
        <v>35</v>
      </c>
      <c r="O1541">
        <v>0.747176522854341</v>
      </c>
      <c r="P1541" t="s">
        <v>36</v>
      </c>
    </row>
    <row r="1542" spans="1:16">
      <c r="A1542">
        <v>1541</v>
      </c>
      <c r="B1542" t="s">
        <v>1601</v>
      </c>
      <c r="C1542">
        <v>260</v>
      </c>
      <c r="D1542">
        <v>225</v>
      </c>
      <c r="E1542">
        <v>195.04547423578299</v>
      </c>
      <c r="F1542">
        <v>1.15269445397156</v>
      </c>
      <c r="G1542">
        <v>29878.6957860113</v>
      </c>
      <c r="H1542">
        <v>1666.0040890646001</v>
      </c>
      <c r="I1542">
        <v>0.59856811116471798</v>
      </c>
      <c r="J1542">
        <v>0.13527557059588299</v>
      </c>
      <c r="K1542">
        <v>0.57483300544448002</v>
      </c>
      <c r="L1542" t="s">
        <v>38</v>
      </c>
      <c r="M1542" t="s">
        <v>34</v>
      </c>
      <c r="N1542" t="s">
        <v>35</v>
      </c>
      <c r="O1542">
        <v>0.734638624866921</v>
      </c>
      <c r="P1542" t="s">
        <v>36</v>
      </c>
    </row>
    <row r="1543" spans="1:16">
      <c r="A1543">
        <v>1542</v>
      </c>
      <c r="B1543" t="s">
        <v>1602</v>
      </c>
      <c r="C1543">
        <v>733</v>
      </c>
      <c r="D1543">
        <v>162</v>
      </c>
      <c r="E1543">
        <v>196.13197022747499</v>
      </c>
      <c r="F1543">
        <v>4.51510769121602</v>
      </c>
      <c r="G1543">
        <v>30212.5</v>
      </c>
      <c r="H1543">
        <v>2423.2947105169301</v>
      </c>
      <c r="I1543">
        <v>0.36852329459033201</v>
      </c>
      <c r="J1543">
        <v>6.4652311799740694E-2</v>
      </c>
      <c r="K1543">
        <v>0.33780573025855998</v>
      </c>
      <c r="L1543" t="s">
        <v>33</v>
      </c>
      <c r="M1543" t="s">
        <v>34</v>
      </c>
      <c r="N1543" t="s">
        <v>35</v>
      </c>
      <c r="O1543">
        <v>0.778785159565478</v>
      </c>
      <c r="P1543" t="s">
        <v>36</v>
      </c>
    </row>
    <row r="1544" spans="1:16">
      <c r="A1544">
        <v>1543</v>
      </c>
      <c r="B1544" t="s">
        <v>1603</v>
      </c>
      <c r="C1544">
        <v>286</v>
      </c>
      <c r="D1544">
        <v>277</v>
      </c>
      <c r="E1544">
        <v>198.58770979087001</v>
      </c>
      <c r="F1544">
        <v>1.0310235554845</v>
      </c>
      <c r="G1544">
        <v>30973.809007939501</v>
      </c>
      <c r="H1544">
        <v>1703.62133444745</v>
      </c>
      <c r="I1544">
        <v>0.59096561878771603</v>
      </c>
      <c r="J1544">
        <v>0.13410912837203201</v>
      </c>
      <c r="K1544">
        <v>0.50016320574484197</v>
      </c>
      <c r="L1544" t="s">
        <v>38</v>
      </c>
      <c r="M1544" t="s">
        <v>34</v>
      </c>
      <c r="N1544" t="s">
        <v>35</v>
      </c>
      <c r="O1544">
        <v>0.75635049853340897</v>
      </c>
      <c r="P1544" t="s">
        <v>36</v>
      </c>
    </row>
    <row r="1545" spans="1:16">
      <c r="A1545">
        <v>1544</v>
      </c>
      <c r="B1545" t="s">
        <v>1604</v>
      </c>
      <c r="C1545">
        <v>355</v>
      </c>
      <c r="D1545">
        <v>202</v>
      </c>
      <c r="E1545">
        <v>202.51969986838699</v>
      </c>
      <c r="F1545">
        <v>1.7547530186132001</v>
      </c>
      <c r="G1545">
        <v>32212.5</v>
      </c>
      <c r="H1545">
        <v>1609.03064906597</v>
      </c>
      <c r="I1545">
        <v>0.83846268760356102</v>
      </c>
      <c r="J1545">
        <v>0.156352799682832</v>
      </c>
      <c r="K1545">
        <v>0.57728494623655902</v>
      </c>
      <c r="L1545" t="s">
        <v>33</v>
      </c>
      <c r="M1545" t="s">
        <v>34</v>
      </c>
      <c r="N1545" t="s">
        <v>35</v>
      </c>
      <c r="O1545">
        <v>0.743636937696176</v>
      </c>
      <c r="P1545" t="s">
        <v>36</v>
      </c>
    </row>
    <row r="1546" spans="1:16">
      <c r="A1546">
        <v>1545</v>
      </c>
      <c r="B1546" t="s">
        <v>1605</v>
      </c>
      <c r="C1546">
        <v>369</v>
      </c>
      <c r="D1546">
        <v>211</v>
      </c>
      <c r="E1546">
        <v>204.725583285851</v>
      </c>
      <c r="F1546">
        <v>1.7465301379312399</v>
      </c>
      <c r="G1546">
        <v>32918.051143667297</v>
      </c>
      <c r="H1546">
        <v>2157.08559841851</v>
      </c>
      <c r="I1546">
        <v>0.57712256297199105</v>
      </c>
      <c r="J1546">
        <v>8.8901527090313306E-2</v>
      </c>
      <c r="K1546">
        <v>0.55133605173933198</v>
      </c>
      <c r="L1546" t="s">
        <v>38</v>
      </c>
      <c r="M1546" t="s">
        <v>34</v>
      </c>
      <c r="N1546" t="s">
        <v>35</v>
      </c>
      <c r="O1546">
        <v>0.73685212151260604</v>
      </c>
      <c r="P1546" t="s">
        <v>36</v>
      </c>
    </row>
    <row r="1547" spans="1:16">
      <c r="A1547">
        <v>1546</v>
      </c>
      <c r="B1547" t="s">
        <v>1606</v>
      </c>
      <c r="C1547">
        <v>221</v>
      </c>
      <c r="D1547">
        <v>434</v>
      </c>
      <c r="E1547">
        <v>211.62750526824101</v>
      </c>
      <c r="F1547">
        <v>0.51035405531523703</v>
      </c>
      <c r="G1547">
        <v>35175</v>
      </c>
      <c r="H1547">
        <v>2518.6500489711798</v>
      </c>
      <c r="I1547">
        <v>0.75338803623730299</v>
      </c>
      <c r="J1547">
        <v>6.9680027255738006E-2</v>
      </c>
      <c r="K1547">
        <v>0.50666186532228996</v>
      </c>
      <c r="L1547" t="s">
        <v>43</v>
      </c>
      <c r="M1547" t="s">
        <v>34</v>
      </c>
      <c r="N1547" t="s">
        <v>35</v>
      </c>
      <c r="O1547">
        <v>0.76847356874565398</v>
      </c>
      <c r="P1547" t="s">
        <v>36</v>
      </c>
    </row>
    <row r="1548" spans="1:16">
      <c r="A1548">
        <v>1547</v>
      </c>
      <c r="B1548" t="s">
        <v>1607</v>
      </c>
      <c r="C1548">
        <v>438</v>
      </c>
      <c r="D1548">
        <v>240</v>
      </c>
      <c r="E1548">
        <v>213.46208142714599</v>
      </c>
      <c r="F1548">
        <v>1.82352925776103</v>
      </c>
      <c r="G1548">
        <v>35787.5</v>
      </c>
      <c r="H1548">
        <v>2176.0154920816399</v>
      </c>
      <c r="I1548">
        <v>0.65693110181477898</v>
      </c>
      <c r="J1548">
        <v>9.4976740084969605E-2</v>
      </c>
      <c r="K1548">
        <v>0.39176245210728</v>
      </c>
      <c r="L1548" t="s">
        <v>33</v>
      </c>
      <c r="M1548" t="s">
        <v>34</v>
      </c>
      <c r="N1548" t="s">
        <v>35</v>
      </c>
      <c r="O1548">
        <v>0.77314940504965601</v>
      </c>
      <c r="P1548" t="s">
        <v>36</v>
      </c>
    </row>
    <row r="1549" spans="1:16">
      <c r="A1549">
        <v>1548</v>
      </c>
      <c r="B1549" t="s">
        <v>1608</v>
      </c>
      <c r="C1549">
        <v>195</v>
      </c>
      <c r="D1549">
        <v>402</v>
      </c>
      <c r="E1549">
        <v>215.65219074351799</v>
      </c>
      <c r="F1549">
        <v>0.484396200814111</v>
      </c>
      <c r="G1549">
        <v>36525.622821550103</v>
      </c>
      <c r="H1549">
        <v>3127.2726389946101</v>
      </c>
      <c r="I1549">
        <v>0.71344227835150498</v>
      </c>
      <c r="J1549">
        <v>4.6932750172667299E-2</v>
      </c>
      <c r="K1549">
        <v>0.52688146683875803</v>
      </c>
      <c r="L1549" t="s">
        <v>144</v>
      </c>
      <c r="M1549" t="s">
        <v>34</v>
      </c>
      <c r="N1549" t="s">
        <v>35</v>
      </c>
      <c r="O1549">
        <v>0.98073165010304097</v>
      </c>
      <c r="P1549" t="s">
        <v>36</v>
      </c>
    </row>
    <row r="1550" spans="1:16">
      <c r="A1550">
        <v>1549</v>
      </c>
      <c r="B1550" t="s">
        <v>1609</v>
      </c>
      <c r="C1550">
        <v>225</v>
      </c>
      <c r="D1550">
        <v>295</v>
      </c>
      <c r="E1550">
        <v>216.791269877356</v>
      </c>
      <c r="F1550">
        <v>0.76271186440677996</v>
      </c>
      <c r="G1550">
        <v>36912.5</v>
      </c>
      <c r="H1550">
        <v>1743.8834613561601</v>
      </c>
      <c r="I1550">
        <v>0.53776117560313996</v>
      </c>
      <c r="J1550">
        <v>0.15252758924474699</v>
      </c>
      <c r="K1550">
        <v>0.69254221388367698</v>
      </c>
      <c r="L1550" t="s">
        <v>74</v>
      </c>
      <c r="M1550" t="s">
        <v>34</v>
      </c>
      <c r="N1550" t="s">
        <v>35</v>
      </c>
      <c r="O1550">
        <v>0.657027066360789</v>
      </c>
      <c r="P1550" t="s">
        <v>36</v>
      </c>
    </row>
    <row r="1551" spans="1:16">
      <c r="A1551">
        <v>1550</v>
      </c>
      <c r="B1551" t="s">
        <v>1610</v>
      </c>
      <c r="C1551">
        <v>314</v>
      </c>
      <c r="D1551">
        <v>318</v>
      </c>
      <c r="E1551">
        <v>221.89160642817299</v>
      </c>
      <c r="F1551">
        <v>0.98458904109588996</v>
      </c>
      <c r="G1551">
        <v>38669.773654820397</v>
      </c>
      <c r="H1551">
        <v>3457.5780789660398</v>
      </c>
      <c r="I1551">
        <v>0.60005236038764698</v>
      </c>
      <c r="J1551">
        <v>4.0647842751171601E-2</v>
      </c>
      <c r="K1551">
        <v>0.42000849144478902</v>
      </c>
      <c r="L1551" t="s">
        <v>47</v>
      </c>
      <c r="M1551" t="s">
        <v>34</v>
      </c>
      <c r="N1551" t="s">
        <v>35</v>
      </c>
      <c r="O1551">
        <v>0.91275175653802099</v>
      </c>
      <c r="P1551" t="s">
        <v>36</v>
      </c>
    </row>
    <row r="1552" spans="1:16">
      <c r="A1552">
        <v>1551</v>
      </c>
      <c r="B1552" t="s">
        <v>1611</v>
      </c>
      <c r="C1552">
        <v>183</v>
      </c>
      <c r="D1552">
        <v>474</v>
      </c>
      <c r="E1552">
        <v>224.367351680155</v>
      </c>
      <c r="F1552">
        <v>0.38716357450049399</v>
      </c>
      <c r="G1552">
        <v>39537.5</v>
      </c>
      <c r="H1552">
        <v>2149.44695055485</v>
      </c>
      <c r="I1552">
        <v>0.89562699561892301</v>
      </c>
      <c r="J1552">
        <v>0.107538904250447</v>
      </c>
      <c r="K1552">
        <v>0.55442594215600305</v>
      </c>
      <c r="L1552" t="s">
        <v>61</v>
      </c>
      <c r="M1552" t="s">
        <v>34</v>
      </c>
      <c r="N1552" t="s">
        <v>35</v>
      </c>
      <c r="O1552">
        <v>0.92886659218915801</v>
      </c>
      <c r="P1552" t="s">
        <v>36</v>
      </c>
    </row>
    <row r="1553" spans="1:17">
      <c r="A1553">
        <v>1552</v>
      </c>
      <c r="B1553" t="s">
        <v>1612</v>
      </c>
      <c r="C1553">
        <v>221</v>
      </c>
      <c r="D1553">
        <v>417</v>
      </c>
      <c r="E1553">
        <v>224.43827545359699</v>
      </c>
      <c r="F1553">
        <v>0.53139320934324197</v>
      </c>
      <c r="G1553">
        <v>39562.5</v>
      </c>
      <c r="H1553">
        <v>1738.7362736463499</v>
      </c>
      <c r="I1553">
        <v>0.89071979708319404</v>
      </c>
      <c r="J1553">
        <v>0.16444707849776299</v>
      </c>
      <c r="K1553">
        <v>0.57493188010899199</v>
      </c>
      <c r="L1553" t="s">
        <v>38</v>
      </c>
      <c r="M1553" t="s">
        <v>34</v>
      </c>
      <c r="N1553" t="s">
        <v>35</v>
      </c>
      <c r="O1553">
        <v>0.78767577641703801</v>
      </c>
      <c r="P1553" t="s">
        <v>36</v>
      </c>
    </row>
    <row r="1554" spans="1:17">
      <c r="A1554">
        <v>1553</v>
      </c>
      <c r="B1554" t="s">
        <v>1613</v>
      </c>
      <c r="C1554">
        <v>489</v>
      </c>
      <c r="D1554">
        <v>283</v>
      </c>
      <c r="E1554">
        <v>240.02935112037099</v>
      </c>
      <c r="F1554">
        <v>1.72475669939405</v>
      </c>
      <c r="G1554">
        <v>45250</v>
      </c>
      <c r="H1554">
        <v>2795.6348919868501</v>
      </c>
      <c r="I1554">
        <v>0.60673003866586805</v>
      </c>
      <c r="J1554">
        <v>7.2755787049165105E-2</v>
      </c>
      <c r="K1554">
        <v>0.415566525083228</v>
      </c>
      <c r="L1554" t="s">
        <v>61</v>
      </c>
      <c r="M1554" t="s">
        <v>34</v>
      </c>
      <c r="N1554" t="s">
        <v>35</v>
      </c>
      <c r="O1554">
        <v>0.85105066214297398</v>
      </c>
      <c r="P1554" t="s">
        <v>36</v>
      </c>
    </row>
    <row r="1555" spans="1:17">
      <c r="A1555">
        <v>1554</v>
      </c>
      <c r="B1555" t="s">
        <v>1614</v>
      </c>
      <c r="C1555">
        <v>321</v>
      </c>
      <c r="D1555">
        <v>488</v>
      </c>
      <c r="E1555">
        <v>243.467358531922</v>
      </c>
      <c r="F1555">
        <v>0.65830910057672598</v>
      </c>
      <c r="G1555">
        <v>46555.540091115297</v>
      </c>
      <c r="H1555">
        <v>2529.3833181458999</v>
      </c>
      <c r="I1555">
        <v>0.608597145754734</v>
      </c>
      <c r="J1555">
        <v>9.1443309033667597E-2</v>
      </c>
      <c r="K1555">
        <v>0.45862305758466199</v>
      </c>
      <c r="L1555" t="s">
        <v>38</v>
      </c>
      <c r="M1555" t="s">
        <v>34</v>
      </c>
      <c r="N1555" t="s">
        <v>35</v>
      </c>
      <c r="O1555">
        <v>0.68081355209113703</v>
      </c>
      <c r="P1555" t="s">
        <v>36</v>
      </c>
    </row>
    <row r="1556" spans="1:17">
      <c r="A1556">
        <v>1555</v>
      </c>
      <c r="B1556" t="s">
        <v>1615</v>
      </c>
      <c r="C1556">
        <v>259</v>
      </c>
      <c r="D1556">
        <v>478</v>
      </c>
      <c r="E1556">
        <v>251.63371906513399</v>
      </c>
      <c r="F1556">
        <v>0.54223744880814895</v>
      </c>
      <c r="G1556">
        <v>49731.041446502801</v>
      </c>
      <c r="H1556">
        <v>2478.8186564889202</v>
      </c>
      <c r="I1556">
        <v>0.71851192319036306</v>
      </c>
      <c r="J1556">
        <v>0.101706311844805</v>
      </c>
      <c r="K1556">
        <v>0.56561678015268202</v>
      </c>
      <c r="L1556" t="s">
        <v>33</v>
      </c>
      <c r="M1556" t="s">
        <v>34</v>
      </c>
      <c r="N1556" t="s">
        <v>35</v>
      </c>
      <c r="O1556">
        <v>0.67001532058648605</v>
      </c>
      <c r="P1556" t="s">
        <v>36</v>
      </c>
    </row>
    <row r="1557" spans="1:17">
      <c r="A1557">
        <v>1556</v>
      </c>
      <c r="B1557" t="s">
        <v>1616</v>
      </c>
      <c r="C1557">
        <v>359</v>
      </c>
      <c r="D1557">
        <v>410</v>
      </c>
      <c r="E1557">
        <v>280.44725195919398</v>
      </c>
      <c r="F1557">
        <v>0.87485937718486095</v>
      </c>
      <c r="G1557">
        <v>61772.084802646503</v>
      </c>
      <c r="H1557">
        <v>3369.6614162359001</v>
      </c>
      <c r="I1557">
        <v>0.56407483560206095</v>
      </c>
      <c r="J1557">
        <v>6.8364334858742604E-2</v>
      </c>
      <c r="K1557">
        <v>0.52582322970977702</v>
      </c>
      <c r="L1557" t="s">
        <v>47</v>
      </c>
      <c r="M1557" t="s">
        <v>34</v>
      </c>
      <c r="N1557" t="s">
        <v>35</v>
      </c>
      <c r="O1557">
        <v>0.84957344994880502</v>
      </c>
      <c r="P1557" t="s">
        <v>36</v>
      </c>
    </row>
    <row r="1558" spans="1:17">
      <c r="A1558">
        <v>1557</v>
      </c>
      <c r="B1558" t="s">
        <v>1617</v>
      </c>
      <c r="C1558">
        <v>349</v>
      </c>
      <c r="D1558">
        <v>545</v>
      </c>
      <c r="E1558">
        <v>305.47101848584299</v>
      </c>
      <c r="F1558">
        <v>0.64081690295122595</v>
      </c>
      <c r="G1558">
        <v>73287.5</v>
      </c>
      <c r="H1558">
        <v>2647.1424704790102</v>
      </c>
      <c r="I1558">
        <v>0.75754201575250102</v>
      </c>
      <c r="J1558">
        <v>0.13142716487763101</v>
      </c>
      <c r="K1558">
        <v>0.53665903890160205</v>
      </c>
      <c r="L1558" t="s">
        <v>33</v>
      </c>
      <c r="M1558" t="s">
        <v>34</v>
      </c>
      <c r="N1558" t="s">
        <v>35</v>
      </c>
      <c r="O1558">
        <v>0.82230593583274103</v>
      </c>
      <c r="P1558" t="s">
        <v>36</v>
      </c>
    </row>
    <row r="1559" spans="1:17">
      <c r="A1559">
        <v>1558</v>
      </c>
      <c r="B1559" t="s">
        <v>1618</v>
      </c>
      <c r="C1559">
        <v>310</v>
      </c>
      <c r="D1559">
        <v>1049</v>
      </c>
      <c r="E1559">
        <v>307.03008450855401</v>
      </c>
      <c r="F1559">
        <v>0.29519683798687402</v>
      </c>
      <c r="G1559">
        <v>74037.5</v>
      </c>
      <c r="H1559">
        <v>4388.0969995260202</v>
      </c>
      <c r="I1559">
        <v>0.82475018178980097</v>
      </c>
      <c r="J1559">
        <v>4.8318024686820497E-2</v>
      </c>
      <c r="K1559">
        <v>0.34320315216131603</v>
      </c>
      <c r="L1559" t="s">
        <v>38</v>
      </c>
      <c r="M1559" t="s">
        <v>34</v>
      </c>
      <c r="N1559" t="s">
        <v>35</v>
      </c>
      <c r="O1559">
        <v>0.73927941289366905</v>
      </c>
      <c r="P1559" t="s">
        <v>36</v>
      </c>
    </row>
    <row r="1560" spans="1:17">
      <c r="A1560">
        <v>1559</v>
      </c>
      <c r="B1560" t="s">
        <v>1619</v>
      </c>
      <c r="C1560">
        <v>549</v>
      </c>
      <c r="D1560">
        <v>341</v>
      </c>
      <c r="E1560">
        <v>329.87002681651597</v>
      </c>
      <c r="F1560">
        <v>1.61186447418018</v>
      </c>
      <c r="G1560">
        <v>85462.5</v>
      </c>
      <c r="H1560">
        <v>3917.6806980371498</v>
      </c>
      <c r="I1560">
        <v>0.68990467737210903</v>
      </c>
      <c r="J1560">
        <v>6.9972498769368605E-2</v>
      </c>
      <c r="K1560">
        <v>0.57730304821413503</v>
      </c>
      <c r="L1560" t="s">
        <v>49</v>
      </c>
      <c r="M1560" t="s">
        <v>34</v>
      </c>
      <c r="N1560" t="s">
        <v>35</v>
      </c>
      <c r="O1560">
        <v>0.83544959851556699</v>
      </c>
      <c r="P1560" t="s">
        <v>36</v>
      </c>
    </row>
    <row r="1561" spans="1:17">
      <c r="A1561">
        <v>1560</v>
      </c>
      <c r="B1561" t="s">
        <v>1620</v>
      </c>
      <c r="C1561">
        <v>402</v>
      </c>
      <c r="D1561">
        <v>807</v>
      </c>
      <c r="E1561">
        <v>346.18444816051101</v>
      </c>
      <c r="F1561">
        <v>0.49765564229644399</v>
      </c>
      <c r="G1561">
        <v>94125</v>
      </c>
      <c r="H1561">
        <v>3872.3253595829001</v>
      </c>
      <c r="I1561">
        <v>0.89347254945529098</v>
      </c>
      <c r="J1561">
        <v>7.8880775661692507E-2</v>
      </c>
      <c r="K1561">
        <v>0.46813801678582501</v>
      </c>
      <c r="L1561" t="s">
        <v>47</v>
      </c>
      <c r="M1561" t="s">
        <v>34</v>
      </c>
      <c r="N1561" t="s">
        <v>35</v>
      </c>
      <c r="O1561">
        <v>0.89828935826293799</v>
      </c>
      <c r="P1561" t="s">
        <v>36</v>
      </c>
    </row>
    <row r="1562" spans="1:17">
      <c r="A1562">
        <v>1561</v>
      </c>
      <c r="B1562" t="s">
        <v>1621</v>
      </c>
      <c r="C1562">
        <v>385</v>
      </c>
      <c r="D1562">
        <v>534</v>
      </c>
      <c r="E1562">
        <v>368.886806952445</v>
      </c>
      <c r="F1562">
        <v>0.72046036305789996</v>
      </c>
      <c r="G1562">
        <v>106875</v>
      </c>
      <c r="H1562">
        <v>2790.07140278816</v>
      </c>
      <c r="I1562">
        <v>0.70527280552985705</v>
      </c>
      <c r="J1562">
        <v>0.172526318943757</v>
      </c>
      <c r="K1562">
        <v>0.65901032834900597</v>
      </c>
      <c r="L1562" t="s">
        <v>47</v>
      </c>
      <c r="M1562" t="s">
        <v>34</v>
      </c>
      <c r="N1562" t="s">
        <v>35</v>
      </c>
      <c r="O1562">
        <v>0.88488211899145597</v>
      </c>
      <c r="P1562" t="s">
        <v>36</v>
      </c>
    </row>
    <row r="1563" spans="1:17">
      <c r="A1563">
        <v>1562</v>
      </c>
      <c r="B1563" t="s">
        <v>1622</v>
      </c>
      <c r="C1563">
        <v>318</v>
      </c>
      <c r="D1563">
        <v>844</v>
      </c>
      <c r="E1563">
        <v>387.75465792033202</v>
      </c>
      <c r="F1563">
        <v>0.376569761985658</v>
      </c>
      <c r="G1563">
        <v>118087.5</v>
      </c>
      <c r="H1563">
        <v>4645.3762179613104</v>
      </c>
      <c r="I1563">
        <v>0.91520818653511005</v>
      </c>
      <c r="J1563">
        <v>6.8765722116611305E-2</v>
      </c>
      <c r="K1563">
        <v>0.57026439695762399</v>
      </c>
      <c r="L1563" t="s">
        <v>38</v>
      </c>
      <c r="M1563" t="s">
        <v>34</v>
      </c>
      <c r="N1563" t="s">
        <v>35</v>
      </c>
      <c r="O1563">
        <v>0.77488260263489805</v>
      </c>
      <c r="P1563" t="s">
        <v>36</v>
      </c>
    </row>
    <row r="1564" spans="1:17">
      <c r="A1564">
        <v>1563</v>
      </c>
      <c r="B1564" t="s">
        <v>1623</v>
      </c>
      <c r="C1564">
        <v>544</v>
      </c>
      <c r="D1564">
        <v>406</v>
      </c>
      <c r="E1564">
        <v>399.699552008311</v>
      </c>
      <c r="F1564">
        <v>1.3420427895307001</v>
      </c>
      <c r="G1564">
        <v>125475</v>
      </c>
      <c r="H1564">
        <v>2963.2084858417502</v>
      </c>
      <c r="I1564">
        <v>0.70804834211086998</v>
      </c>
      <c r="J1564">
        <v>0.17957366686406701</v>
      </c>
      <c r="K1564">
        <v>0.69611650485436904</v>
      </c>
      <c r="L1564" t="s">
        <v>33</v>
      </c>
      <c r="M1564" t="s">
        <v>34</v>
      </c>
      <c r="N1564" t="s">
        <v>35</v>
      </c>
      <c r="O1564">
        <v>0.69467530278523104</v>
      </c>
      <c r="P1564" t="s">
        <v>36</v>
      </c>
    </row>
    <row r="1565" spans="1:17">
      <c r="A1565">
        <v>1564</v>
      </c>
      <c r="B1565" t="s">
        <v>1624</v>
      </c>
      <c r="C1565">
        <v>721</v>
      </c>
      <c r="D1565">
        <v>347</v>
      </c>
      <c r="E1565">
        <v>408.73578723126599</v>
      </c>
      <c r="F1565">
        <v>2.0777717935483402</v>
      </c>
      <c r="G1565">
        <v>131212.5</v>
      </c>
      <c r="H1565">
        <v>2765.4267412424101</v>
      </c>
      <c r="I1565">
        <v>0.539931929545163</v>
      </c>
      <c r="J1565">
        <v>0.21560595809607</v>
      </c>
      <c r="K1565">
        <v>0.67396468699839496</v>
      </c>
      <c r="L1565" t="s">
        <v>49</v>
      </c>
      <c r="M1565" t="s">
        <v>34</v>
      </c>
      <c r="N1565" t="s">
        <v>35</v>
      </c>
      <c r="O1565">
        <v>0.81670991024068496</v>
      </c>
      <c r="P1565" t="s">
        <v>36</v>
      </c>
    </row>
    <row r="1566" spans="1:17">
      <c r="A1566">
        <v>1565</v>
      </c>
      <c r="B1566" t="s">
        <v>1625</v>
      </c>
      <c r="C1566">
        <v>83</v>
      </c>
      <c r="D1566">
        <v>65</v>
      </c>
      <c r="E1566">
        <v>50.3553890278721</v>
      </c>
      <c r="F1566">
        <v>1.2721893253126899</v>
      </c>
      <c r="G1566">
        <v>1991.50679432892</v>
      </c>
      <c r="H1566">
        <v>481.18231562002802</v>
      </c>
      <c r="I1566">
        <v>0.54904347798382103</v>
      </c>
      <c r="J1566">
        <v>0.108086720719823</v>
      </c>
      <c r="K1566">
        <v>0.492555968091755</v>
      </c>
      <c r="L1566" t="s">
        <v>38</v>
      </c>
      <c r="M1566" t="s">
        <v>34</v>
      </c>
      <c r="N1566" t="s">
        <v>35</v>
      </c>
      <c r="O1566">
        <v>0.845640674711854</v>
      </c>
      <c r="P1566" t="s">
        <v>36</v>
      </c>
      <c r="Q1566" t="s">
        <v>1626</v>
      </c>
    </row>
    <row r="1567" spans="1:17">
      <c r="A1567">
        <v>1566</v>
      </c>
      <c r="B1567" t="s">
        <v>1627</v>
      </c>
      <c r="C1567">
        <v>51</v>
      </c>
      <c r="D1567">
        <v>74</v>
      </c>
      <c r="E1567">
        <v>50.453006187398998</v>
      </c>
      <c r="F1567">
        <v>0.69887344970324305</v>
      </c>
      <c r="G1567">
        <v>1999.2356064272201</v>
      </c>
      <c r="H1567">
        <v>328.17936760705499</v>
      </c>
      <c r="I1567">
        <v>0.74484668268288101</v>
      </c>
      <c r="J1567">
        <v>0.233265920595945</v>
      </c>
      <c r="K1567">
        <v>0.73793065613342101</v>
      </c>
      <c r="L1567" t="s">
        <v>74</v>
      </c>
      <c r="M1567" t="s">
        <v>34</v>
      </c>
      <c r="N1567" t="s">
        <v>35</v>
      </c>
      <c r="O1567">
        <v>0.72480563254126795</v>
      </c>
      <c r="P1567" t="s">
        <v>36</v>
      </c>
    </row>
    <row r="1568" spans="1:17">
      <c r="A1568">
        <v>1567</v>
      </c>
      <c r="B1568" t="s">
        <v>1628</v>
      </c>
      <c r="C1568">
        <v>59</v>
      </c>
      <c r="D1568">
        <v>63</v>
      </c>
      <c r="E1568">
        <v>50.694360272815302</v>
      </c>
      <c r="F1568">
        <v>0.93103447368680703</v>
      </c>
      <c r="G1568">
        <v>2018.40900567108</v>
      </c>
      <c r="H1568">
        <v>377.30373002529097</v>
      </c>
      <c r="I1568">
        <v>0.64307694249760705</v>
      </c>
      <c r="J1568">
        <v>0.178170927968436</v>
      </c>
      <c r="K1568">
        <v>0.635381088288963</v>
      </c>
      <c r="L1568" t="s">
        <v>33</v>
      </c>
      <c r="M1568" t="s">
        <v>34</v>
      </c>
      <c r="N1568" t="s">
        <v>35</v>
      </c>
      <c r="O1568">
        <v>0.78289606830649805</v>
      </c>
      <c r="P1568" t="s">
        <v>36</v>
      </c>
    </row>
    <row r="1569" spans="1:16">
      <c r="A1569">
        <v>1568</v>
      </c>
      <c r="B1569" t="s">
        <v>1629</v>
      </c>
      <c r="C1569">
        <v>56</v>
      </c>
      <c r="D1569">
        <v>76</v>
      </c>
      <c r="E1569">
        <v>50.880668729764501</v>
      </c>
      <c r="F1569">
        <v>0.73578457208996095</v>
      </c>
      <c r="G1569">
        <v>2033.2721058601101</v>
      </c>
      <c r="H1569">
        <v>368.99431565989602</v>
      </c>
      <c r="I1569">
        <v>0.76817191364386805</v>
      </c>
      <c r="J1569">
        <v>0.18765753826319501</v>
      </c>
      <c r="K1569">
        <v>0.59182349123945499</v>
      </c>
      <c r="L1569" t="s">
        <v>33</v>
      </c>
      <c r="M1569" t="s">
        <v>34</v>
      </c>
      <c r="N1569" t="s">
        <v>35</v>
      </c>
      <c r="O1569">
        <v>0.61376796550437096</v>
      </c>
      <c r="P1569" t="s">
        <v>36</v>
      </c>
    </row>
    <row r="1570" spans="1:16">
      <c r="A1570">
        <v>1569</v>
      </c>
      <c r="B1570" t="s">
        <v>1630</v>
      </c>
      <c r="C1570">
        <v>73</v>
      </c>
      <c r="D1570">
        <v>46</v>
      </c>
      <c r="E1570">
        <v>51.0366422426005</v>
      </c>
      <c r="F1570">
        <v>1.58418626159391</v>
      </c>
      <c r="G1570">
        <v>2045.7571100189</v>
      </c>
      <c r="H1570">
        <v>274.647871096031</v>
      </c>
      <c r="I1570">
        <v>0.69714638353779701</v>
      </c>
      <c r="J1570">
        <v>0.34080931727778202</v>
      </c>
      <c r="K1570">
        <v>0.74291574458897802</v>
      </c>
      <c r="L1570" t="s">
        <v>38</v>
      </c>
      <c r="M1570" t="s">
        <v>34</v>
      </c>
      <c r="N1570" t="s">
        <v>35</v>
      </c>
      <c r="O1570">
        <v>0.79500196793149902</v>
      </c>
      <c r="P1570" t="s">
        <v>36</v>
      </c>
    </row>
    <row r="1571" spans="1:16">
      <c r="A1571">
        <v>1570</v>
      </c>
      <c r="B1571" t="s">
        <v>1631</v>
      </c>
      <c r="C1571">
        <v>74</v>
      </c>
      <c r="D1571">
        <v>49</v>
      </c>
      <c r="E1571">
        <v>51.168106229476599</v>
      </c>
      <c r="F1571">
        <v>1.5</v>
      </c>
      <c r="G1571">
        <v>2056.3099111531201</v>
      </c>
      <c r="H1571">
        <v>377.62311099187201</v>
      </c>
      <c r="I1571">
        <v>0.77353932512942203</v>
      </c>
      <c r="J1571">
        <v>0.18120964151774299</v>
      </c>
      <c r="K1571">
        <v>0.66842206976519503</v>
      </c>
      <c r="L1571" t="s">
        <v>38</v>
      </c>
      <c r="M1571" t="s">
        <v>34</v>
      </c>
      <c r="N1571" t="s">
        <v>35</v>
      </c>
      <c r="O1571">
        <v>0.76192875406262806</v>
      </c>
      <c r="P1571" t="s">
        <v>36</v>
      </c>
    </row>
    <row r="1572" spans="1:16">
      <c r="A1572">
        <v>1571</v>
      </c>
      <c r="B1572" t="s">
        <v>1632</v>
      </c>
      <c r="C1572">
        <v>53</v>
      </c>
      <c r="D1572">
        <v>74</v>
      </c>
      <c r="E1572">
        <v>51.556816625040597</v>
      </c>
      <c r="F1572">
        <v>0.71810433680963703</v>
      </c>
      <c r="G1572">
        <v>2087.6710525519902</v>
      </c>
      <c r="H1572">
        <v>369.85777563074402</v>
      </c>
      <c r="I1572">
        <v>0.74313995807630295</v>
      </c>
      <c r="J1572">
        <v>0.19177960796903201</v>
      </c>
      <c r="K1572">
        <v>0.66612918524139197</v>
      </c>
      <c r="L1572" t="s">
        <v>38</v>
      </c>
      <c r="M1572" t="s">
        <v>34</v>
      </c>
      <c r="N1572" t="s">
        <v>35</v>
      </c>
      <c r="O1572">
        <v>0.73901868148360605</v>
      </c>
      <c r="P1572" t="s">
        <v>36</v>
      </c>
    </row>
    <row r="1573" spans="1:16">
      <c r="A1573">
        <v>1572</v>
      </c>
      <c r="B1573" t="s">
        <v>1633</v>
      </c>
      <c r="C1573">
        <v>46</v>
      </c>
      <c r="D1573">
        <v>78</v>
      </c>
      <c r="E1573">
        <v>51.593509261259598</v>
      </c>
      <c r="F1573">
        <v>0.58714363026831096</v>
      </c>
      <c r="G1573">
        <v>2090.6436725897902</v>
      </c>
      <c r="H1573">
        <v>311.80014838674799</v>
      </c>
      <c r="I1573">
        <v>0.81486767901909796</v>
      </c>
      <c r="J1573">
        <v>0.27023229359387901</v>
      </c>
      <c r="K1573">
        <v>0.73528489283847398</v>
      </c>
      <c r="L1573" t="s">
        <v>33</v>
      </c>
      <c r="M1573" t="s">
        <v>34</v>
      </c>
      <c r="N1573" t="s">
        <v>35</v>
      </c>
      <c r="O1573">
        <v>0.74787549081733695</v>
      </c>
      <c r="P1573" t="s">
        <v>36</v>
      </c>
    </row>
    <row r="1574" spans="1:16">
      <c r="A1574">
        <v>1573</v>
      </c>
      <c r="B1574" t="s">
        <v>1634</v>
      </c>
      <c r="C1574">
        <v>72</v>
      </c>
      <c r="D1574">
        <v>58</v>
      </c>
      <c r="E1574">
        <v>51.633841044547999</v>
      </c>
      <c r="F1574">
        <v>1.24262298383195</v>
      </c>
      <c r="G1574">
        <v>2093.9135546313801</v>
      </c>
      <c r="H1574">
        <v>467.21645001100501</v>
      </c>
      <c r="I1574">
        <v>0.64152965277184804</v>
      </c>
      <c r="J1574">
        <v>0.120540326025929</v>
      </c>
      <c r="K1574">
        <v>0.62325252167757905</v>
      </c>
      <c r="L1574" t="s">
        <v>331</v>
      </c>
      <c r="M1574" t="s">
        <v>34</v>
      </c>
      <c r="N1574" t="s">
        <v>35</v>
      </c>
      <c r="O1574">
        <v>0.61736664555269605</v>
      </c>
      <c r="P1574" t="s">
        <v>36</v>
      </c>
    </row>
    <row r="1575" spans="1:16">
      <c r="A1575">
        <v>1574</v>
      </c>
      <c r="B1575" t="s">
        <v>1635</v>
      </c>
      <c r="C1575">
        <v>52</v>
      </c>
      <c r="D1575">
        <v>83</v>
      </c>
      <c r="E1575">
        <v>51.864227966203998</v>
      </c>
      <c r="F1575">
        <v>0.62796076855388805</v>
      </c>
      <c r="G1575">
        <v>2112.6410608695701</v>
      </c>
      <c r="H1575">
        <v>321.23988326279999</v>
      </c>
      <c r="I1575">
        <v>0.63352364572018205</v>
      </c>
      <c r="J1575">
        <v>0.25726260421237401</v>
      </c>
      <c r="K1575">
        <v>0.72424335065729095</v>
      </c>
      <c r="L1575" t="s">
        <v>331</v>
      </c>
      <c r="M1575" t="s">
        <v>34</v>
      </c>
      <c r="N1575" t="s">
        <v>35</v>
      </c>
      <c r="O1575">
        <v>0.67573000222009105</v>
      </c>
      <c r="P1575" t="s">
        <v>36</v>
      </c>
    </row>
    <row r="1576" spans="1:16">
      <c r="A1576">
        <v>1575</v>
      </c>
      <c r="B1576" t="s">
        <v>1636</v>
      </c>
      <c r="C1576">
        <v>44</v>
      </c>
      <c r="D1576">
        <v>68</v>
      </c>
      <c r="E1576">
        <v>51.8806450263776</v>
      </c>
      <c r="F1576">
        <v>0.64</v>
      </c>
      <c r="G1576">
        <v>2113.9787398865801</v>
      </c>
      <c r="H1576">
        <v>342.12253573490199</v>
      </c>
      <c r="I1576">
        <v>0.63516951816871703</v>
      </c>
      <c r="J1576">
        <v>0.22695884613473999</v>
      </c>
      <c r="K1576">
        <v>0.73443147784777396</v>
      </c>
      <c r="L1576" t="s">
        <v>38</v>
      </c>
      <c r="M1576" t="s">
        <v>34</v>
      </c>
      <c r="N1576" t="s">
        <v>35</v>
      </c>
      <c r="O1576">
        <v>0.75769083046942698</v>
      </c>
      <c r="P1576" t="s">
        <v>36</v>
      </c>
    </row>
    <row r="1577" spans="1:16">
      <c r="A1577">
        <v>1576</v>
      </c>
      <c r="B1577" t="s">
        <v>1637</v>
      </c>
      <c r="C1577">
        <v>74</v>
      </c>
      <c r="D1577">
        <v>54</v>
      </c>
      <c r="E1577">
        <v>51.882468823507097</v>
      </c>
      <c r="F1577">
        <v>1.36363636363636</v>
      </c>
      <c r="G1577">
        <v>2114.1273708884701</v>
      </c>
      <c r="H1577">
        <v>316.45857100258701</v>
      </c>
      <c r="I1577">
        <v>0.82785552156915398</v>
      </c>
      <c r="J1577">
        <v>0.26528169735415502</v>
      </c>
      <c r="K1577">
        <v>0.66053682548527903</v>
      </c>
      <c r="L1577" t="s">
        <v>288</v>
      </c>
      <c r="M1577" t="s">
        <v>34</v>
      </c>
      <c r="N1577" t="s">
        <v>35</v>
      </c>
      <c r="O1577">
        <v>0.73907600411575403</v>
      </c>
      <c r="P1577" t="s">
        <v>36</v>
      </c>
    </row>
    <row r="1578" spans="1:16">
      <c r="A1578">
        <v>1577</v>
      </c>
      <c r="B1578" t="s">
        <v>1638</v>
      </c>
      <c r="C1578">
        <v>58</v>
      </c>
      <c r="D1578">
        <v>58</v>
      </c>
      <c r="E1578">
        <v>51.922576152807999</v>
      </c>
      <c r="F1578">
        <v>1</v>
      </c>
      <c r="G1578">
        <v>2117.3972529300599</v>
      </c>
      <c r="H1578">
        <v>605.469183356244</v>
      </c>
      <c r="I1578">
        <v>0.52231842675053997</v>
      </c>
      <c r="J1578">
        <v>7.2581864776855604E-2</v>
      </c>
      <c r="K1578">
        <v>0.62329366468323399</v>
      </c>
      <c r="L1578" t="s">
        <v>43</v>
      </c>
      <c r="M1578" t="s">
        <v>34</v>
      </c>
      <c r="N1578" t="s">
        <v>35</v>
      </c>
      <c r="O1578">
        <v>0.75687916729854898</v>
      </c>
      <c r="P1578" t="s">
        <v>36</v>
      </c>
    </row>
    <row r="1579" spans="1:16">
      <c r="A1579">
        <v>1578</v>
      </c>
      <c r="B1579" t="s">
        <v>1639</v>
      </c>
      <c r="C1579">
        <v>63</v>
      </c>
      <c r="D1579">
        <v>88</v>
      </c>
      <c r="E1579">
        <v>52.017252364398601</v>
      </c>
      <c r="F1579">
        <v>0.71604938271604901</v>
      </c>
      <c r="G1579">
        <v>2125.1260650283598</v>
      </c>
      <c r="H1579">
        <v>453.33748132249599</v>
      </c>
      <c r="I1579">
        <v>0.62518105892013498</v>
      </c>
      <c r="J1579">
        <v>0.12994252668508699</v>
      </c>
      <c r="K1579">
        <v>0.55315691736304595</v>
      </c>
      <c r="L1579" t="s">
        <v>38</v>
      </c>
      <c r="M1579" t="s">
        <v>34</v>
      </c>
      <c r="N1579" t="s">
        <v>35</v>
      </c>
      <c r="O1579">
        <v>0.71394921100143605</v>
      </c>
      <c r="P1579" t="s">
        <v>36</v>
      </c>
    </row>
    <row r="1580" spans="1:16">
      <c r="A1580">
        <v>1579</v>
      </c>
      <c r="B1580" t="s">
        <v>1640</v>
      </c>
      <c r="C1580">
        <v>59</v>
      </c>
      <c r="D1580">
        <v>49</v>
      </c>
      <c r="E1580">
        <v>52.358114967476098</v>
      </c>
      <c r="F1580">
        <v>1.20000003390843</v>
      </c>
      <c r="G1580">
        <v>2153.0686933837401</v>
      </c>
      <c r="H1580">
        <v>323.07867438026102</v>
      </c>
      <c r="I1580">
        <v>0.47647312754558502</v>
      </c>
      <c r="J1580">
        <v>0.25920964999547702</v>
      </c>
      <c r="K1580">
        <v>0.81008835700704596</v>
      </c>
      <c r="L1580" t="s">
        <v>33</v>
      </c>
      <c r="M1580" t="s">
        <v>34</v>
      </c>
      <c r="N1580" t="s">
        <v>35</v>
      </c>
      <c r="O1580">
        <v>0.81099828081840997</v>
      </c>
      <c r="P1580" t="s">
        <v>36</v>
      </c>
    </row>
    <row r="1581" spans="1:16">
      <c r="A1581">
        <v>1580</v>
      </c>
      <c r="B1581" t="s">
        <v>1641</v>
      </c>
      <c r="C1581">
        <v>77</v>
      </c>
      <c r="D1581">
        <v>63</v>
      </c>
      <c r="E1581">
        <v>52.3635362781678</v>
      </c>
      <c r="F1581">
        <v>1.2241378289765801</v>
      </c>
      <c r="G1581">
        <v>2153.5145863894099</v>
      </c>
      <c r="H1581">
        <v>579.96020798797201</v>
      </c>
      <c r="I1581">
        <v>0.68907031317643397</v>
      </c>
      <c r="J1581">
        <v>8.0456528121518697E-2</v>
      </c>
      <c r="K1581">
        <v>0.56006957866254303</v>
      </c>
      <c r="L1581" t="s">
        <v>33</v>
      </c>
      <c r="M1581" t="s">
        <v>34</v>
      </c>
      <c r="N1581" t="s">
        <v>35</v>
      </c>
      <c r="O1581">
        <v>0.69340313111547203</v>
      </c>
      <c r="P1581" t="s">
        <v>36</v>
      </c>
    </row>
    <row r="1582" spans="1:16">
      <c r="A1582">
        <v>1581</v>
      </c>
      <c r="B1582" t="s">
        <v>1642</v>
      </c>
      <c r="C1582">
        <v>49</v>
      </c>
      <c r="D1582">
        <v>71</v>
      </c>
      <c r="E1582">
        <v>52.439375778708197</v>
      </c>
      <c r="F1582">
        <v>0.69807279050778404</v>
      </c>
      <c r="G1582">
        <v>2159.7570884688098</v>
      </c>
      <c r="H1582">
        <v>263.87581515281101</v>
      </c>
      <c r="I1582">
        <v>0.77409700920312097</v>
      </c>
      <c r="J1582">
        <v>0.38977645037416703</v>
      </c>
      <c r="K1582">
        <v>0.78724672228843895</v>
      </c>
      <c r="L1582" t="s">
        <v>211</v>
      </c>
      <c r="M1582" t="s">
        <v>34</v>
      </c>
      <c r="N1582" t="s">
        <v>35</v>
      </c>
      <c r="O1582">
        <v>0.68568556762849098</v>
      </c>
      <c r="P1582" t="s">
        <v>36</v>
      </c>
    </row>
    <row r="1583" spans="1:16">
      <c r="A1583">
        <v>1582</v>
      </c>
      <c r="B1583" t="s">
        <v>1643</v>
      </c>
      <c r="C1583">
        <v>47</v>
      </c>
      <c r="D1583">
        <v>97</v>
      </c>
      <c r="E1583">
        <v>52.732672222607597</v>
      </c>
      <c r="F1583">
        <v>0.49003987249193498</v>
      </c>
      <c r="G1583">
        <v>2183.9839417769399</v>
      </c>
      <c r="H1583">
        <v>404.56459959050898</v>
      </c>
      <c r="I1583">
        <v>0.86185271742668501</v>
      </c>
      <c r="J1583">
        <v>0.16768088147009899</v>
      </c>
      <c r="K1583">
        <v>0.728471568092807</v>
      </c>
      <c r="L1583" t="s">
        <v>298</v>
      </c>
      <c r="M1583" t="s">
        <v>34</v>
      </c>
      <c r="N1583" t="s">
        <v>35</v>
      </c>
      <c r="O1583">
        <v>0.72602419362741399</v>
      </c>
      <c r="P1583" t="s">
        <v>36</v>
      </c>
    </row>
    <row r="1584" spans="1:16">
      <c r="A1584">
        <v>1583</v>
      </c>
      <c r="B1584" t="s">
        <v>1644</v>
      </c>
      <c r="C1584">
        <v>73</v>
      </c>
      <c r="D1584">
        <v>93</v>
      </c>
      <c r="E1584">
        <v>52.761374182671403</v>
      </c>
      <c r="F1584">
        <v>0.78235294117647103</v>
      </c>
      <c r="G1584">
        <v>2186.3620378071801</v>
      </c>
      <c r="H1584">
        <v>589.00306721542199</v>
      </c>
      <c r="I1584">
        <v>0.72581291961295302</v>
      </c>
      <c r="J1584">
        <v>7.9194829711517103E-2</v>
      </c>
      <c r="K1584">
        <v>0.45378825271470902</v>
      </c>
      <c r="L1584" t="s">
        <v>43</v>
      </c>
      <c r="M1584" t="s">
        <v>34</v>
      </c>
      <c r="N1584" t="s">
        <v>35</v>
      </c>
      <c r="O1584">
        <v>0.71889672925612103</v>
      </c>
      <c r="P1584" t="s">
        <v>36</v>
      </c>
    </row>
    <row r="1585" spans="1:16">
      <c r="A1585">
        <v>1584</v>
      </c>
      <c r="B1585" t="s">
        <v>1645</v>
      </c>
      <c r="C1585">
        <v>63</v>
      </c>
      <c r="D1585">
        <v>83</v>
      </c>
      <c r="E1585">
        <v>53.101024008846899</v>
      </c>
      <c r="F1585">
        <v>0.76315789473684204</v>
      </c>
      <c r="G1585">
        <v>2214.6019281663498</v>
      </c>
      <c r="H1585">
        <v>367.86399514923897</v>
      </c>
      <c r="I1585">
        <v>0.69775410343764799</v>
      </c>
      <c r="J1585">
        <v>0.20565106902936001</v>
      </c>
      <c r="K1585">
        <v>0.62194765621738901</v>
      </c>
      <c r="L1585" t="s">
        <v>33</v>
      </c>
      <c r="M1585" t="s">
        <v>34</v>
      </c>
      <c r="N1585" t="s">
        <v>35</v>
      </c>
      <c r="O1585">
        <v>0.62669565979833997</v>
      </c>
      <c r="P1585" t="s">
        <v>36</v>
      </c>
    </row>
    <row r="1586" spans="1:16">
      <c r="A1586">
        <v>1585</v>
      </c>
      <c r="B1586" t="s">
        <v>1646</v>
      </c>
      <c r="C1586">
        <v>54</v>
      </c>
      <c r="D1586">
        <v>63</v>
      </c>
      <c r="E1586">
        <v>53.141992216883303</v>
      </c>
      <c r="F1586">
        <v>0.86116457420152503</v>
      </c>
      <c r="G1586">
        <v>2218.0204412098301</v>
      </c>
      <c r="H1586">
        <v>264.32748800225897</v>
      </c>
      <c r="I1586">
        <v>0.66555420359574402</v>
      </c>
      <c r="J1586">
        <v>0.39892453808592099</v>
      </c>
      <c r="K1586">
        <v>0.837523852284207</v>
      </c>
      <c r="L1586" t="s">
        <v>33</v>
      </c>
      <c r="M1586" t="s">
        <v>34</v>
      </c>
      <c r="N1586" t="s">
        <v>35</v>
      </c>
      <c r="O1586">
        <v>0.72430231272172896</v>
      </c>
      <c r="P1586" t="s">
        <v>36</v>
      </c>
    </row>
    <row r="1587" spans="1:16">
      <c r="A1587">
        <v>1586</v>
      </c>
      <c r="B1587" t="s">
        <v>1647</v>
      </c>
      <c r="C1587">
        <v>54</v>
      </c>
      <c r="D1587">
        <v>64</v>
      </c>
      <c r="E1587">
        <v>53.174032275393003</v>
      </c>
      <c r="F1587">
        <v>0.84151476232185696</v>
      </c>
      <c r="G1587">
        <v>2220.6957992438602</v>
      </c>
      <c r="H1587">
        <v>216.63953181857701</v>
      </c>
      <c r="I1587">
        <v>0.74788030040254905</v>
      </c>
      <c r="J1587">
        <v>0.59459810144125502</v>
      </c>
      <c r="K1587">
        <v>0.87231433909388101</v>
      </c>
      <c r="L1587" t="s">
        <v>47</v>
      </c>
      <c r="M1587" t="s">
        <v>34</v>
      </c>
      <c r="N1587" t="s">
        <v>35</v>
      </c>
      <c r="O1587">
        <v>0.924665505464636</v>
      </c>
      <c r="P1587" t="s">
        <v>36</v>
      </c>
    </row>
    <row r="1588" spans="1:16">
      <c r="A1588">
        <v>1587</v>
      </c>
      <c r="B1588" t="s">
        <v>1648</v>
      </c>
      <c r="C1588">
        <v>55</v>
      </c>
      <c r="D1588">
        <v>60</v>
      </c>
      <c r="E1588">
        <v>53.225538860924097</v>
      </c>
      <c r="F1588">
        <v>0.91666666666666696</v>
      </c>
      <c r="G1588">
        <v>2225</v>
      </c>
      <c r="H1588">
        <v>237.27921843528699</v>
      </c>
      <c r="I1588">
        <v>0.57680757087104795</v>
      </c>
      <c r="J1588">
        <v>0.49661573174717399</v>
      </c>
      <c r="K1588">
        <v>0.80909090909090897</v>
      </c>
      <c r="L1588" t="s">
        <v>43</v>
      </c>
      <c r="M1588" t="s">
        <v>34</v>
      </c>
      <c r="N1588" t="s">
        <v>35</v>
      </c>
      <c r="O1588">
        <v>0.71446928486310102</v>
      </c>
      <c r="P1588" t="s">
        <v>36</v>
      </c>
    </row>
    <row r="1589" spans="1:16">
      <c r="A1589">
        <v>1588</v>
      </c>
      <c r="B1589" t="s">
        <v>1649</v>
      </c>
      <c r="C1589">
        <v>34</v>
      </c>
      <c r="D1589">
        <v>93</v>
      </c>
      <c r="E1589">
        <v>53.454448661968598</v>
      </c>
      <c r="F1589">
        <v>0.36257309941520499</v>
      </c>
      <c r="G1589">
        <v>2244.17949754253</v>
      </c>
      <c r="H1589">
        <v>360.44073823586803</v>
      </c>
      <c r="I1589">
        <v>0.82389103351485804</v>
      </c>
      <c r="J1589">
        <v>0.21706995358745901</v>
      </c>
      <c r="K1589">
        <v>0.77546094191361503</v>
      </c>
      <c r="L1589" t="s">
        <v>38</v>
      </c>
      <c r="M1589" t="s">
        <v>34</v>
      </c>
      <c r="N1589" t="s">
        <v>35</v>
      </c>
      <c r="O1589">
        <v>0.68955429489371101</v>
      </c>
      <c r="P1589" t="s">
        <v>36</v>
      </c>
    </row>
    <row r="1590" spans="1:16">
      <c r="A1590">
        <v>1589</v>
      </c>
      <c r="B1590" t="s">
        <v>1650</v>
      </c>
      <c r="C1590">
        <v>75</v>
      </c>
      <c r="D1590">
        <v>83</v>
      </c>
      <c r="E1590">
        <v>53.511062908232503</v>
      </c>
      <c r="F1590">
        <v>0.89542481574260602</v>
      </c>
      <c r="G1590">
        <v>2248.9356896030199</v>
      </c>
      <c r="H1590">
        <v>683.32130506380702</v>
      </c>
      <c r="I1590">
        <v>0.41837551377802101</v>
      </c>
      <c r="J1590">
        <v>6.0525303693582298E-2</v>
      </c>
      <c r="K1590">
        <v>0.44580301110751003</v>
      </c>
      <c r="L1590" t="s">
        <v>41</v>
      </c>
      <c r="M1590" t="s">
        <v>34</v>
      </c>
      <c r="N1590" t="s">
        <v>35</v>
      </c>
      <c r="O1590">
        <v>0.72106207513209397</v>
      </c>
      <c r="P1590" t="s">
        <v>36</v>
      </c>
    </row>
    <row r="1591" spans="1:16">
      <c r="A1591">
        <v>1590</v>
      </c>
      <c r="B1591" t="s">
        <v>1651</v>
      </c>
      <c r="C1591">
        <v>87</v>
      </c>
      <c r="D1591">
        <v>103</v>
      </c>
      <c r="E1591">
        <v>53.606463868684301</v>
      </c>
      <c r="F1591">
        <v>0.84656082178522696</v>
      </c>
      <c r="G1591">
        <v>2256.9617637051001</v>
      </c>
      <c r="H1591">
        <v>628.83166565304202</v>
      </c>
      <c r="I1591">
        <v>0.452234662887112</v>
      </c>
      <c r="J1591">
        <v>7.1724125113478004E-2</v>
      </c>
      <c r="K1591">
        <v>0.41067178710514901</v>
      </c>
      <c r="L1591" t="s">
        <v>38</v>
      </c>
      <c r="M1591" t="s">
        <v>34</v>
      </c>
      <c r="N1591" t="s">
        <v>35</v>
      </c>
      <c r="O1591">
        <v>0.86035548580906296</v>
      </c>
      <c r="P1591" t="s">
        <v>36</v>
      </c>
    </row>
    <row r="1592" spans="1:16">
      <c r="A1592">
        <v>1591</v>
      </c>
      <c r="B1592" t="s">
        <v>1652</v>
      </c>
      <c r="C1592">
        <v>57</v>
      </c>
      <c r="D1592">
        <v>77</v>
      </c>
      <c r="E1592">
        <v>53.858283474293501</v>
      </c>
      <c r="F1592">
        <v>0.73960825230094096</v>
      </c>
      <c r="G1592">
        <v>2278.2159969754298</v>
      </c>
      <c r="H1592">
        <v>327.14373002529101</v>
      </c>
      <c r="I1592">
        <v>0.81726529815358095</v>
      </c>
      <c r="J1592">
        <v>0.267502323632612</v>
      </c>
      <c r="K1592">
        <v>0.69085500518321497</v>
      </c>
      <c r="L1592" t="s">
        <v>33</v>
      </c>
      <c r="M1592" t="s">
        <v>34</v>
      </c>
      <c r="N1592" t="s">
        <v>35</v>
      </c>
      <c r="O1592">
        <v>0.75838966033276101</v>
      </c>
      <c r="P1592" t="s">
        <v>36</v>
      </c>
    </row>
    <row r="1593" spans="1:16">
      <c r="A1593">
        <v>1592</v>
      </c>
      <c r="B1593" t="s">
        <v>1653</v>
      </c>
      <c r="C1593">
        <v>98</v>
      </c>
      <c r="D1593">
        <v>49</v>
      </c>
      <c r="E1593">
        <v>53.8776054623657</v>
      </c>
      <c r="F1593">
        <v>2.0112359569825502</v>
      </c>
      <c r="G1593">
        <v>2279.8509379962202</v>
      </c>
      <c r="H1593">
        <v>553.78977320536296</v>
      </c>
      <c r="I1593">
        <v>0.81448610945975397</v>
      </c>
      <c r="J1593">
        <v>9.34171156696747E-2</v>
      </c>
      <c r="K1593">
        <v>0.568279490219324</v>
      </c>
      <c r="L1593" t="s">
        <v>33</v>
      </c>
      <c r="M1593" t="s">
        <v>34</v>
      </c>
      <c r="N1593" t="s">
        <v>35</v>
      </c>
      <c r="O1593">
        <v>0.77252669375861904</v>
      </c>
      <c r="P1593" t="s">
        <v>36</v>
      </c>
    </row>
    <row r="1594" spans="1:16">
      <c r="A1594">
        <v>1593</v>
      </c>
      <c r="B1594" t="s">
        <v>1654</v>
      </c>
      <c r="C1594">
        <v>65</v>
      </c>
      <c r="D1594">
        <v>69</v>
      </c>
      <c r="E1594">
        <v>54.330564818305199</v>
      </c>
      <c r="F1594">
        <v>0.94641144414168898</v>
      </c>
      <c r="G1594">
        <v>2318.3463674858199</v>
      </c>
      <c r="H1594">
        <v>304.61877775793499</v>
      </c>
      <c r="I1594">
        <v>0.74251755176925605</v>
      </c>
      <c r="J1594">
        <v>0.31396037766773399</v>
      </c>
      <c r="K1594">
        <v>0.72296639629200499</v>
      </c>
      <c r="L1594" t="s">
        <v>33</v>
      </c>
      <c r="M1594" t="s">
        <v>34</v>
      </c>
      <c r="N1594" t="s">
        <v>35</v>
      </c>
      <c r="O1594">
        <v>0.73584189422218305</v>
      </c>
      <c r="P1594" t="s">
        <v>36</v>
      </c>
    </row>
    <row r="1595" spans="1:16">
      <c r="A1595">
        <v>1594</v>
      </c>
      <c r="B1595" t="s">
        <v>1655</v>
      </c>
      <c r="C1595">
        <v>77</v>
      </c>
      <c r="D1595">
        <v>58</v>
      </c>
      <c r="E1595">
        <v>54.5252737253494</v>
      </c>
      <c r="F1595">
        <v>1.3255724135942899</v>
      </c>
      <c r="G1595">
        <v>2334.9930396975401</v>
      </c>
      <c r="H1595">
        <v>353.87543205903899</v>
      </c>
      <c r="I1595">
        <v>0.55579735423968202</v>
      </c>
      <c r="J1595">
        <v>0.23431205292277299</v>
      </c>
      <c r="K1595">
        <v>0.63369771287967402</v>
      </c>
      <c r="L1595" t="s">
        <v>33</v>
      </c>
      <c r="M1595" t="s">
        <v>34</v>
      </c>
      <c r="N1595" t="s">
        <v>35</v>
      </c>
      <c r="O1595">
        <v>0.67653430110030199</v>
      </c>
      <c r="P1595" t="s">
        <v>36</v>
      </c>
    </row>
    <row r="1596" spans="1:16">
      <c r="A1596">
        <v>1595</v>
      </c>
      <c r="B1596" t="s">
        <v>1656</v>
      </c>
      <c r="C1596">
        <v>75</v>
      </c>
      <c r="D1596">
        <v>40</v>
      </c>
      <c r="E1596">
        <v>54.554536345004699</v>
      </c>
      <c r="F1596">
        <v>1.875</v>
      </c>
      <c r="G1596">
        <v>2337.5</v>
      </c>
      <c r="H1596">
        <v>227.78174459934201</v>
      </c>
      <c r="I1596">
        <v>0.69612953080500195</v>
      </c>
      <c r="J1596">
        <v>0.56613975642179304</v>
      </c>
      <c r="K1596">
        <v>0.88207547169811296</v>
      </c>
      <c r="L1596" t="s">
        <v>144</v>
      </c>
      <c r="M1596" t="s">
        <v>34</v>
      </c>
      <c r="N1596" t="s">
        <v>35</v>
      </c>
      <c r="O1596">
        <v>0.76178927877048497</v>
      </c>
      <c r="P1596" t="s">
        <v>36</v>
      </c>
    </row>
    <row r="1597" spans="1:16">
      <c r="A1597">
        <v>1596</v>
      </c>
      <c r="B1597" t="s">
        <v>1657</v>
      </c>
      <c r="C1597">
        <v>63</v>
      </c>
      <c r="D1597">
        <v>68</v>
      </c>
      <c r="E1597">
        <v>54.559970053216503</v>
      </c>
      <c r="F1597">
        <v>0.91999999023437395</v>
      </c>
      <c r="G1597">
        <v>2337.9656597353501</v>
      </c>
      <c r="H1597">
        <v>476.95286837246101</v>
      </c>
      <c r="I1597">
        <v>0.66232513344888699</v>
      </c>
      <c r="J1597">
        <v>0.129150788505419</v>
      </c>
      <c r="K1597">
        <v>0.694972165768313</v>
      </c>
      <c r="L1597" t="s">
        <v>38</v>
      </c>
      <c r="M1597" t="s">
        <v>34</v>
      </c>
      <c r="N1597" t="s">
        <v>35</v>
      </c>
      <c r="O1597">
        <v>0.86282958675902599</v>
      </c>
      <c r="P1597" t="s">
        <v>36</v>
      </c>
    </row>
    <row r="1598" spans="1:16">
      <c r="A1598">
        <v>1597</v>
      </c>
      <c r="B1598" t="s">
        <v>1658</v>
      </c>
      <c r="C1598">
        <v>74</v>
      </c>
      <c r="D1598">
        <v>58</v>
      </c>
      <c r="E1598">
        <v>54.660464859168101</v>
      </c>
      <c r="F1598">
        <v>1.26168224299065</v>
      </c>
      <c r="G1598">
        <v>2346.5862578449901</v>
      </c>
      <c r="H1598">
        <v>333.499249637231</v>
      </c>
      <c r="I1598">
        <v>0.55713880722104303</v>
      </c>
      <c r="J1598">
        <v>0.26512865266845398</v>
      </c>
      <c r="K1598">
        <v>0.73092592592592598</v>
      </c>
      <c r="L1598" t="s">
        <v>38</v>
      </c>
      <c r="M1598" t="s">
        <v>34</v>
      </c>
      <c r="N1598" t="s">
        <v>35</v>
      </c>
      <c r="O1598">
        <v>0.70347257740403202</v>
      </c>
      <c r="P1598" t="s">
        <v>36</v>
      </c>
    </row>
    <row r="1599" spans="1:16">
      <c r="A1599">
        <v>1598</v>
      </c>
      <c r="B1599" t="s">
        <v>1659</v>
      </c>
      <c r="C1599">
        <v>92</v>
      </c>
      <c r="D1599">
        <v>68</v>
      </c>
      <c r="E1599">
        <v>54.810861590008201</v>
      </c>
      <c r="F1599">
        <v>1.35375200185117</v>
      </c>
      <c r="G1599">
        <v>2359.5171550094501</v>
      </c>
      <c r="H1599">
        <v>462.94160780108501</v>
      </c>
      <c r="I1599">
        <v>0.75673931090888202</v>
      </c>
      <c r="J1599">
        <v>0.13835044871483199</v>
      </c>
      <c r="K1599">
        <v>0.467337866878625</v>
      </c>
      <c r="L1599" t="s">
        <v>144</v>
      </c>
      <c r="M1599" t="s">
        <v>34</v>
      </c>
      <c r="N1599" t="s">
        <v>35</v>
      </c>
      <c r="O1599">
        <v>0.66953419719440599</v>
      </c>
      <c r="P1599" t="s">
        <v>36</v>
      </c>
    </row>
    <row r="1600" spans="1:16">
      <c r="A1600">
        <v>1599</v>
      </c>
      <c r="B1600" t="s">
        <v>1660</v>
      </c>
      <c r="C1600">
        <v>121</v>
      </c>
      <c r="D1600">
        <v>55</v>
      </c>
      <c r="E1600">
        <v>55.203060806554703</v>
      </c>
      <c r="F1600">
        <v>2.1915349189167301</v>
      </c>
      <c r="G1600">
        <v>2393.4050234404499</v>
      </c>
      <c r="H1600">
        <v>551.12513107102905</v>
      </c>
      <c r="I1600">
        <v>0.613459378997398</v>
      </c>
      <c r="J1600">
        <v>9.9020617888936097E-2</v>
      </c>
      <c r="K1600">
        <v>0.503769748162052</v>
      </c>
      <c r="L1600" t="s">
        <v>298</v>
      </c>
      <c r="M1600" t="s">
        <v>34</v>
      </c>
      <c r="N1600" t="s">
        <v>35</v>
      </c>
      <c r="O1600">
        <v>0.63052923387070703</v>
      </c>
      <c r="P1600" t="s">
        <v>36</v>
      </c>
    </row>
    <row r="1601" spans="1:16">
      <c r="A1601">
        <v>1600</v>
      </c>
      <c r="B1601" t="s">
        <v>1661</v>
      </c>
      <c r="C1601">
        <v>63</v>
      </c>
      <c r="D1601">
        <v>71</v>
      </c>
      <c r="E1601">
        <v>55.230478979627399</v>
      </c>
      <c r="F1601">
        <v>0.89249146898113796</v>
      </c>
      <c r="G1601">
        <v>2395.7831194707001</v>
      </c>
      <c r="H1601">
        <v>354.911069640802</v>
      </c>
      <c r="I1601">
        <v>0.74956005661121805</v>
      </c>
      <c r="J1601">
        <v>0.239011212070913</v>
      </c>
      <c r="K1601">
        <v>0.67675707448148503</v>
      </c>
      <c r="L1601" t="s">
        <v>188</v>
      </c>
      <c r="M1601" t="s">
        <v>34</v>
      </c>
      <c r="N1601" t="s">
        <v>35</v>
      </c>
      <c r="O1601">
        <v>0.66114745794545404</v>
      </c>
      <c r="P1601" t="s">
        <v>36</v>
      </c>
    </row>
    <row r="1602" spans="1:16">
      <c r="A1602">
        <v>1601</v>
      </c>
      <c r="B1602" t="s">
        <v>1662</v>
      </c>
      <c r="C1602">
        <v>58</v>
      </c>
      <c r="D1602">
        <v>63</v>
      </c>
      <c r="E1602">
        <v>55.271580737114697</v>
      </c>
      <c r="F1602">
        <v>0.92241379310344795</v>
      </c>
      <c r="G1602">
        <v>2399.3502635160698</v>
      </c>
      <c r="H1602">
        <v>316.66835756747599</v>
      </c>
      <c r="I1602">
        <v>0.51222943843498603</v>
      </c>
      <c r="J1602">
        <v>0.30067282423505498</v>
      </c>
      <c r="K1602">
        <v>0.83142768850432602</v>
      </c>
      <c r="L1602" t="s">
        <v>33</v>
      </c>
      <c r="M1602" t="s">
        <v>34</v>
      </c>
      <c r="N1602" t="s">
        <v>35</v>
      </c>
      <c r="O1602">
        <v>0.73957215309769797</v>
      </c>
      <c r="P1602" t="s">
        <v>36</v>
      </c>
    </row>
    <row r="1603" spans="1:16">
      <c r="A1603">
        <v>1602</v>
      </c>
      <c r="B1603" t="s">
        <v>1663</v>
      </c>
      <c r="C1603">
        <v>58</v>
      </c>
      <c r="D1603">
        <v>68</v>
      </c>
      <c r="E1603">
        <v>55.312651952692697</v>
      </c>
      <c r="F1603">
        <v>0.85599999999999998</v>
      </c>
      <c r="G1603">
        <v>2402.9174075614401</v>
      </c>
      <c r="H1603">
        <v>459.296125285833</v>
      </c>
      <c r="I1603">
        <v>0.67022391191155495</v>
      </c>
      <c r="J1603">
        <v>0.14314070251854</v>
      </c>
      <c r="K1603">
        <v>0.70604419599965096</v>
      </c>
      <c r="L1603" t="s">
        <v>33</v>
      </c>
      <c r="M1603" t="s">
        <v>34</v>
      </c>
      <c r="N1603" t="s">
        <v>35</v>
      </c>
      <c r="O1603">
        <v>0.73343662830364997</v>
      </c>
      <c r="P1603" t="s">
        <v>36</v>
      </c>
    </row>
    <row r="1604" spans="1:16">
      <c r="A1604">
        <v>1603</v>
      </c>
      <c r="B1604" t="s">
        <v>1664</v>
      </c>
      <c r="C1604">
        <v>51</v>
      </c>
      <c r="D1604">
        <v>99</v>
      </c>
      <c r="E1604">
        <v>55.862464256287502</v>
      </c>
      <c r="F1604">
        <v>0.51777686180560101</v>
      </c>
      <c r="G1604">
        <v>2450.92522117202</v>
      </c>
      <c r="H1604">
        <v>422.54072364371802</v>
      </c>
      <c r="I1604">
        <v>0.69802508811481001</v>
      </c>
      <c r="J1604">
        <v>0.172505434538647</v>
      </c>
      <c r="K1604">
        <v>0.62405389040266401</v>
      </c>
      <c r="L1604" t="s">
        <v>49</v>
      </c>
      <c r="M1604" t="s">
        <v>34</v>
      </c>
      <c r="N1604" t="s">
        <v>35</v>
      </c>
      <c r="O1604">
        <v>0.74656892807933095</v>
      </c>
      <c r="P1604" t="s">
        <v>36</v>
      </c>
    </row>
    <row r="1605" spans="1:16">
      <c r="A1605">
        <v>1604</v>
      </c>
      <c r="B1605" t="s">
        <v>1665</v>
      </c>
      <c r="C1605">
        <v>49</v>
      </c>
      <c r="D1605">
        <v>86</v>
      </c>
      <c r="E1605">
        <v>55.884479688768202</v>
      </c>
      <c r="F1605">
        <v>0.562336788222081</v>
      </c>
      <c r="G1605">
        <v>2452.8574241965998</v>
      </c>
      <c r="H1605">
        <v>344.00672181471498</v>
      </c>
      <c r="I1605">
        <v>0.82044720111103897</v>
      </c>
      <c r="J1605">
        <v>0.26046436333113698</v>
      </c>
      <c r="K1605">
        <v>0.73634660003569496</v>
      </c>
      <c r="L1605" t="s">
        <v>38</v>
      </c>
      <c r="M1605" t="s">
        <v>34</v>
      </c>
      <c r="N1605" t="s">
        <v>35</v>
      </c>
      <c r="O1605">
        <v>0.81971902754984005</v>
      </c>
      <c r="P1605" t="s">
        <v>36</v>
      </c>
    </row>
    <row r="1606" spans="1:16">
      <c r="A1606">
        <v>1605</v>
      </c>
      <c r="B1606" t="s">
        <v>1666</v>
      </c>
      <c r="C1606">
        <v>73</v>
      </c>
      <c r="D1606">
        <v>55</v>
      </c>
      <c r="E1606">
        <v>56.136154777643299</v>
      </c>
      <c r="F1606">
        <v>1.3214285528209</v>
      </c>
      <c r="G1606">
        <v>2475</v>
      </c>
      <c r="H1606">
        <v>228.99494767189</v>
      </c>
      <c r="I1606">
        <v>0.71777571183026301</v>
      </c>
      <c r="J1606">
        <v>0.59310729554505404</v>
      </c>
      <c r="K1606">
        <v>0.82157676348547704</v>
      </c>
      <c r="L1606" t="s">
        <v>38</v>
      </c>
      <c r="M1606" t="s">
        <v>34</v>
      </c>
      <c r="N1606" t="s">
        <v>35</v>
      </c>
      <c r="O1606">
        <v>0.65565261215023196</v>
      </c>
      <c r="P1606" t="s">
        <v>36</v>
      </c>
    </row>
    <row r="1607" spans="1:16">
      <c r="A1607">
        <v>1606</v>
      </c>
      <c r="B1607" t="s">
        <v>1667</v>
      </c>
      <c r="C1607">
        <v>54</v>
      </c>
      <c r="D1607">
        <v>85</v>
      </c>
      <c r="E1607">
        <v>56.166525878297598</v>
      </c>
      <c r="F1607">
        <v>0.64265133607601899</v>
      </c>
      <c r="G1607">
        <v>2477.6788015122902</v>
      </c>
      <c r="H1607">
        <v>361.02470296818302</v>
      </c>
      <c r="I1607">
        <v>0.84995639658653699</v>
      </c>
      <c r="J1607">
        <v>0.23888068209027699</v>
      </c>
      <c r="K1607">
        <v>0.73139698139698095</v>
      </c>
      <c r="L1607" t="s">
        <v>33</v>
      </c>
      <c r="M1607" t="s">
        <v>34</v>
      </c>
      <c r="N1607" t="s">
        <v>35</v>
      </c>
      <c r="O1607">
        <v>0.68501725146275205</v>
      </c>
      <c r="P1607" t="s">
        <v>36</v>
      </c>
    </row>
    <row r="1608" spans="1:16">
      <c r="A1608">
        <v>1607</v>
      </c>
      <c r="B1608" t="s">
        <v>1668</v>
      </c>
      <c r="C1608">
        <v>85</v>
      </c>
      <c r="D1608">
        <v>69</v>
      </c>
      <c r="E1608">
        <v>56.181685761999802</v>
      </c>
      <c r="F1608">
        <v>1.2204724409448799</v>
      </c>
      <c r="G1608">
        <v>2479.0164805293002</v>
      </c>
      <c r="H1608">
        <v>683.50839414752102</v>
      </c>
      <c r="I1608">
        <v>0.58751637406209301</v>
      </c>
      <c r="J1608">
        <v>6.6680918437592995E-2</v>
      </c>
      <c r="K1608">
        <v>0.48527785859761402</v>
      </c>
      <c r="L1608" t="s">
        <v>41</v>
      </c>
      <c r="M1608" t="s">
        <v>34</v>
      </c>
      <c r="N1608" t="s">
        <v>35</v>
      </c>
      <c r="O1608">
        <v>0.75307363905459002</v>
      </c>
      <c r="P1608" t="s">
        <v>36</v>
      </c>
    </row>
    <row r="1609" spans="1:16">
      <c r="A1609">
        <v>1608</v>
      </c>
      <c r="B1609" t="s">
        <v>1669</v>
      </c>
      <c r="C1609">
        <v>65</v>
      </c>
      <c r="D1609">
        <v>55</v>
      </c>
      <c r="E1609">
        <v>56.2777342074885</v>
      </c>
      <c r="F1609">
        <v>1.1818181818181801</v>
      </c>
      <c r="G1609">
        <v>2487.5</v>
      </c>
      <c r="H1609">
        <v>230.208150744438</v>
      </c>
      <c r="I1609">
        <v>0.62661260469784297</v>
      </c>
      <c r="J1609">
        <v>0.58983638754781298</v>
      </c>
      <c r="K1609">
        <v>0.89237668161435002</v>
      </c>
      <c r="L1609" t="s">
        <v>33</v>
      </c>
      <c r="M1609" t="s">
        <v>34</v>
      </c>
      <c r="N1609" t="s">
        <v>35</v>
      </c>
      <c r="O1609">
        <v>0.64518187889455003</v>
      </c>
      <c r="P1609" t="s">
        <v>36</v>
      </c>
    </row>
    <row r="1610" spans="1:16">
      <c r="A1610">
        <v>1609</v>
      </c>
      <c r="B1610" t="s">
        <v>1670</v>
      </c>
      <c r="C1610">
        <v>56</v>
      </c>
      <c r="D1610">
        <v>101</v>
      </c>
      <c r="E1610">
        <v>56.304498439381</v>
      </c>
      <c r="F1610">
        <v>0.557066063228703</v>
      </c>
      <c r="G1610">
        <v>2489.8665436673</v>
      </c>
      <c r="H1610">
        <v>471.08112132963902</v>
      </c>
      <c r="I1610">
        <v>0.60899750534261399</v>
      </c>
      <c r="J1610">
        <v>0.140992020197963</v>
      </c>
      <c r="K1610">
        <v>0.57458411936203102</v>
      </c>
      <c r="L1610" t="s">
        <v>38</v>
      </c>
      <c r="M1610" t="s">
        <v>34</v>
      </c>
      <c r="N1610" t="s">
        <v>35</v>
      </c>
      <c r="O1610">
        <v>0.70617223236952997</v>
      </c>
      <c r="P1610" t="s">
        <v>36</v>
      </c>
    </row>
    <row r="1611" spans="1:16">
      <c r="A1611">
        <v>1610</v>
      </c>
      <c r="B1611" t="s">
        <v>1671</v>
      </c>
      <c r="C1611">
        <v>85</v>
      </c>
      <c r="D1611">
        <v>68</v>
      </c>
      <c r="E1611">
        <v>56.307859400341499</v>
      </c>
      <c r="F1611">
        <v>1.26216499074373</v>
      </c>
      <c r="G1611">
        <v>2490.1638056710799</v>
      </c>
      <c r="H1611">
        <v>497.67112924202598</v>
      </c>
      <c r="I1611">
        <v>0.57102160962639403</v>
      </c>
      <c r="J1611">
        <v>0.12634349480613299</v>
      </c>
      <c r="K1611">
        <v>0.58771529799698297</v>
      </c>
      <c r="L1611" t="s">
        <v>38</v>
      </c>
      <c r="M1611" t="s">
        <v>34</v>
      </c>
      <c r="N1611" t="s">
        <v>35</v>
      </c>
      <c r="O1611">
        <v>0.76874804547933495</v>
      </c>
      <c r="P1611" t="s">
        <v>36</v>
      </c>
    </row>
    <row r="1612" spans="1:16">
      <c r="A1612">
        <v>1611</v>
      </c>
      <c r="B1612" t="s">
        <v>1672</v>
      </c>
      <c r="C1612">
        <v>66</v>
      </c>
      <c r="D1612">
        <v>60</v>
      </c>
      <c r="E1612">
        <v>56.465598907224802</v>
      </c>
      <c r="F1612">
        <v>1.0905263989820799</v>
      </c>
      <c r="G1612">
        <v>2504.13511984877</v>
      </c>
      <c r="H1612">
        <v>264.00810703567799</v>
      </c>
      <c r="I1612">
        <v>0.68324420137127495</v>
      </c>
      <c r="J1612">
        <v>0.45147436599025798</v>
      </c>
      <c r="K1612">
        <v>0.82378251515744205</v>
      </c>
      <c r="L1612" t="s">
        <v>38</v>
      </c>
      <c r="M1612" t="s">
        <v>34</v>
      </c>
      <c r="N1612" t="s">
        <v>35</v>
      </c>
      <c r="O1612">
        <v>0.66893011320815599</v>
      </c>
      <c r="P1612" t="s">
        <v>36</v>
      </c>
    </row>
    <row r="1613" spans="1:16">
      <c r="A1613">
        <v>1612</v>
      </c>
      <c r="B1613" t="s">
        <v>1673</v>
      </c>
      <c r="C1613">
        <v>60</v>
      </c>
      <c r="D1613">
        <v>62</v>
      </c>
      <c r="E1613">
        <v>56.530914832944397</v>
      </c>
      <c r="F1613">
        <v>0.95882978509300598</v>
      </c>
      <c r="G1613">
        <v>2509.9317289225</v>
      </c>
      <c r="H1613">
        <v>261.05618365443303</v>
      </c>
      <c r="I1613">
        <v>0.644242062846481</v>
      </c>
      <c r="J1613">
        <v>0.46281113896822501</v>
      </c>
      <c r="K1613">
        <v>0.82617416829745605</v>
      </c>
      <c r="L1613" t="s">
        <v>38</v>
      </c>
      <c r="M1613" t="s">
        <v>34</v>
      </c>
      <c r="N1613" t="s">
        <v>35</v>
      </c>
      <c r="O1613">
        <v>0.76729419630870399</v>
      </c>
      <c r="P1613" t="s">
        <v>36</v>
      </c>
    </row>
    <row r="1614" spans="1:16">
      <c r="A1614">
        <v>1613</v>
      </c>
      <c r="B1614" t="s">
        <v>1674</v>
      </c>
      <c r="C1614">
        <v>68</v>
      </c>
      <c r="D1614">
        <v>73</v>
      </c>
      <c r="E1614">
        <v>56.5811065456043</v>
      </c>
      <c r="F1614">
        <v>0.93283582089552197</v>
      </c>
      <c r="G1614">
        <v>2514.39065897921</v>
      </c>
      <c r="H1614">
        <v>509.90779813528098</v>
      </c>
      <c r="I1614">
        <v>0.74444573363044997</v>
      </c>
      <c r="J1614">
        <v>0.121523231906515</v>
      </c>
      <c r="K1614">
        <v>0.61523075244572101</v>
      </c>
      <c r="L1614" t="s">
        <v>38</v>
      </c>
      <c r="M1614" t="s">
        <v>34</v>
      </c>
      <c r="N1614" t="s">
        <v>35</v>
      </c>
      <c r="O1614">
        <v>0.68588938162009305</v>
      </c>
      <c r="P1614" t="s">
        <v>36</v>
      </c>
    </row>
    <row r="1615" spans="1:16">
      <c r="A1615">
        <v>1614</v>
      </c>
      <c r="B1615" t="s">
        <v>1675</v>
      </c>
      <c r="C1615">
        <v>54</v>
      </c>
      <c r="D1615">
        <v>106</v>
      </c>
      <c r="E1615">
        <v>56.597827225228698</v>
      </c>
      <c r="F1615">
        <v>0.50421176265442802</v>
      </c>
      <c r="G1615">
        <v>2515.87696899811</v>
      </c>
      <c r="H1615">
        <v>547.69883735915903</v>
      </c>
      <c r="I1615">
        <v>0.68639112123071899</v>
      </c>
      <c r="J1615">
        <v>0.10539393640583</v>
      </c>
      <c r="K1615">
        <v>0.57977120153445705</v>
      </c>
      <c r="L1615" t="s">
        <v>33</v>
      </c>
      <c r="M1615" t="s">
        <v>34</v>
      </c>
      <c r="N1615" t="s">
        <v>35</v>
      </c>
      <c r="O1615">
        <v>0.70997640292331898</v>
      </c>
      <c r="P1615" t="s">
        <v>36</v>
      </c>
    </row>
    <row r="1616" spans="1:16">
      <c r="A1616">
        <v>1615</v>
      </c>
      <c r="B1616" t="s">
        <v>1676</v>
      </c>
      <c r="C1616">
        <v>63</v>
      </c>
      <c r="D1616">
        <v>73</v>
      </c>
      <c r="E1616">
        <v>56.6162142692164</v>
      </c>
      <c r="F1616">
        <v>0.86567172507026402</v>
      </c>
      <c r="G1616">
        <v>2517.5119100188999</v>
      </c>
      <c r="H1616">
        <v>640.62768016545704</v>
      </c>
      <c r="I1616">
        <v>0.57790129410939295</v>
      </c>
      <c r="J1616">
        <v>7.7085021609250001E-2</v>
      </c>
      <c r="K1616">
        <v>0.56524060602015602</v>
      </c>
      <c r="L1616" t="s">
        <v>33</v>
      </c>
      <c r="M1616" t="s">
        <v>34</v>
      </c>
      <c r="N1616" t="s">
        <v>35</v>
      </c>
      <c r="O1616">
        <v>0.68121750371512102</v>
      </c>
      <c r="P1616" t="s">
        <v>36</v>
      </c>
    </row>
    <row r="1617" spans="1:16">
      <c r="A1617">
        <v>1616</v>
      </c>
      <c r="B1617" t="s">
        <v>1677</v>
      </c>
      <c r="C1617">
        <v>103</v>
      </c>
      <c r="D1617">
        <v>58</v>
      </c>
      <c r="E1617">
        <v>56.629582915038903</v>
      </c>
      <c r="F1617">
        <v>1.75700931114258</v>
      </c>
      <c r="G1617">
        <v>2518.70095803403</v>
      </c>
      <c r="H1617">
        <v>519.85400306162603</v>
      </c>
      <c r="I1617">
        <v>0.71925999573469801</v>
      </c>
      <c r="J1617">
        <v>0.117118010483771</v>
      </c>
      <c r="K1617">
        <v>0.50817164962365402</v>
      </c>
      <c r="L1617" t="s">
        <v>38</v>
      </c>
      <c r="M1617" t="s">
        <v>34</v>
      </c>
      <c r="N1617" t="s">
        <v>35</v>
      </c>
      <c r="O1617">
        <v>0.88156263375335797</v>
      </c>
      <c r="P1617" t="s">
        <v>36</v>
      </c>
    </row>
    <row r="1618" spans="1:16">
      <c r="A1618">
        <v>1617</v>
      </c>
      <c r="B1618" t="s">
        <v>1678</v>
      </c>
      <c r="C1618">
        <v>80</v>
      </c>
      <c r="D1618">
        <v>63</v>
      </c>
      <c r="E1618">
        <v>56.971084326289997</v>
      </c>
      <c r="F1618">
        <v>1.26203063092857</v>
      </c>
      <c r="G1618">
        <v>2549.17031342155</v>
      </c>
      <c r="H1618">
        <v>453.54726788738498</v>
      </c>
      <c r="I1618">
        <v>0.68323062875650498</v>
      </c>
      <c r="J1618">
        <v>0.15572688838401899</v>
      </c>
      <c r="K1618">
        <v>0.63524574984258697</v>
      </c>
      <c r="L1618" t="s">
        <v>38</v>
      </c>
      <c r="M1618" t="s">
        <v>34</v>
      </c>
      <c r="N1618" t="s">
        <v>35</v>
      </c>
      <c r="O1618">
        <v>0.70523249591720505</v>
      </c>
      <c r="P1618" t="s">
        <v>36</v>
      </c>
    </row>
    <row r="1619" spans="1:16">
      <c r="A1619">
        <v>1618</v>
      </c>
      <c r="B1619" t="s">
        <v>1679</v>
      </c>
      <c r="C1619">
        <v>97</v>
      </c>
      <c r="D1619">
        <v>58</v>
      </c>
      <c r="E1619">
        <v>57.024207325722799</v>
      </c>
      <c r="F1619">
        <v>1.6792452368459501</v>
      </c>
      <c r="G1619">
        <v>2553.9265054820398</v>
      </c>
      <c r="H1619">
        <v>502.19725997499802</v>
      </c>
      <c r="I1619">
        <v>0.80809741085931297</v>
      </c>
      <c r="J1619">
        <v>0.12725345477349501</v>
      </c>
      <c r="K1619">
        <v>0.52552221916383801</v>
      </c>
      <c r="L1619" t="s">
        <v>38</v>
      </c>
      <c r="M1619" t="s">
        <v>34</v>
      </c>
      <c r="N1619" t="s">
        <v>35</v>
      </c>
      <c r="O1619">
        <v>0.73860723622328595</v>
      </c>
      <c r="P1619" t="s">
        <v>36</v>
      </c>
    </row>
    <row r="1620" spans="1:16">
      <c r="A1620">
        <v>1619</v>
      </c>
      <c r="B1620" t="s">
        <v>1680</v>
      </c>
      <c r="C1620">
        <v>92</v>
      </c>
      <c r="D1620">
        <v>88</v>
      </c>
      <c r="E1620">
        <v>57.136929706025398</v>
      </c>
      <c r="F1620">
        <v>1.04968944099379</v>
      </c>
      <c r="G1620">
        <v>2564.0334136105898</v>
      </c>
      <c r="H1620">
        <v>683.70650169984197</v>
      </c>
      <c r="I1620">
        <v>0.58157453472797305</v>
      </c>
      <c r="J1620">
        <v>6.8927753603070893E-2</v>
      </c>
      <c r="K1620">
        <v>0.41862214564779499</v>
      </c>
      <c r="L1620" t="s">
        <v>33</v>
      </c>
      <c r="M1620" t="s">
        <v>34</v>
      </c>
      <c r="N1620" t="s">
        <v>35</v>
      </c>
      <c r="O1620">
        <v>0.69328029102684097</v>
      </c>
      <c r="P1620" t="s">
        <v>36</v>
      </c>
    </row>
    <row r="1621" spans="1:16">
      <c r="A1621">
        <v>1620</v>
      </c>
      <c r="B1621" t="s">
        <v>1681</v>
      </c>
      <c r="C1621">
        <v>65</v>
      </c>
      <c r="D1621">
        <v>94</v>
      </c>
      <c r="E1621">
        <v>57.171696113409801</v>
      </c>
      <c r="F1621">
        <v>0.69531248750499597</v>
      </c>
      <c r="G1621">
        <v>2567.1546646502802</v>
      </c>
      <c r="H1621">
        <v>441.52978779751299</v>
      </c>
      <c r="I1621">
        <v>0.79528560130524895</v>
      </c>
      <c r="J1621">
        <v>0.16547861658437499</v>
      </c>
      <c r="K1621">
        <v>0.58156840297653101</v>
      </c>
      <c r="L1621" t="s">
        <v>38</v>
      </c>
      <c r="M1621" t="s">
        <v>34</v>
      </c>
      <c r="N1621" t="s">
        <v>35</v>
      </c>
      <c r="O1621">
        <v>0.66209513240132301</v>
      </c>
      <c r="P1621" t="s">
        <v>36</v>
      </c>
    </row>
    <row r="1622" spans="1:16">
      <c r="A1622">
        <v>1621</v>
      </c>
      <c r="B1622" t="s">
        <v>1682</v>
      </c>
      <c r="C1622">
        <v>93</v>
      </c>
      <c r="D1622">
        <v>63</v>
      </c>
      <c r="E1622">
        <v>57.457304608311397</v>
      </c>
      <c r="F1622">
        <v>1.4655172413793101</v>
      </c>
      <c r="G1622">
        <v>2592.8678279773198</v>
      </c>
      <c r="H1622">
        <v>544.87920586078098</v>
      </c>
      <c r="I1622">
        <v>0.57752085876774994</v>
      </c>
      <c r="J1622">
        <v>0.109746271489106</v>
      </c>
      <c r="K1622">
        <v>0.54638561763968896</v>
      </c>
      <c r="L1622" t="s">
        <v>33</v>
      </c>
      <c r="M1622" t="s">
        <v>34</v>
      </c>
      <c r="N1622" t="s">
        <v>35</v>
      </c>
      <c r="O1622">
        <v>0.74509574669036904</v>
      </c>
      <c r="P1622" t="s">
        <v>36</v>
      </c>
    </row>
    <row r="1623" spans="1:16">
      <c r="A1623">
        <v>1622</v>
      </c>
      <c r="B1623" t="s">
        <v>1683</v>
      </c>
      <c r="C1623">
        <v>49</v>
      </c>
      <c r="D1623">
        <v>63</v>
      </c>
      <c r="E1623">
        <v>57.534652755567798</v>
      </c>
      <c r="F1623">
        <v>0.76724137931034497</v>
      </c>
      <c r="G1623">
        <v>2599.8534850661599</v>
      </c>
      <c r="H1623">
        <v>301.45706781180002</v>
      </c>
      <c r="I1623">
        <v>0.47076606200006799</v>
      </c>
      <c r="J1623">
        <v>0.35950736906810798</v>
      </c>
      <c r="K1623">
        <v>0.87582615661926699</v>
      </c>
      <c r="L1623" t="s">
        <v>43</v>
      </c>
      <c r="M1623" t="s">
        <v>34</v>
      </c>
      <c r="N1623" t="s">
        <v>35</v>
      </c>
      <c r="O1623">
        <v>0.73630782637845904</v>
      </c>
      <c r="P1623" t="s">
        <v>36</v>
      </c>
    </row>
    <row r="1624" spans="1:16">
      <c r="A1624">
        <v>1623</v>
      </c>
      <c r="B1624" t="s">
        <v>1684</v>
      </c>
      <c r="C1624">
        <v>75</v>
      </c>
      <c r="D1624">
        <v>50</v>
      </c>
      <c r="E1624">
        <v>57.536273917515899</v>
      </c>
      <c r="F1624">
        <v>1.5</v>
      </c>
      <c r="G1624">
        <v>2600</v>
      </c>
      <c r="H1624">
        <v>253.13708305358901</v>
      </c>
      <c r="I1624">
        <v>0.622257630806486</v>
      </c>
      <c r="J1624">
        <v>0.50988433479515405</v>
      </c>
      <c r="K1624">
        <v>0.81568627450980402</v>
      </c>
      <c r="L1624" t="s">
        <v>38</v>
      </c>
      <c r="M1624" t="s">
        <v>34</v>
      </c>
      <c r="N1624" t="s">
        <v>35</v>
      </c>
      <c r="O1624">
        <v>0.74397207040763103</v>
      </c>
      <c r="P1624" t="s">
        <v>36</v>
      </c>
    </row>
    <row r="1625" spans="1:16">
      <c r="A1625">
        <v>1624</v>
      </c>
      <c r="B1625" t="s">
        <v>1685</v>
      </c>
      <c r="C1625">
        <v>88</v>
      </c>
      <c r="D1625">
        <v>54</v>
      </c>
      <c r="E1625">
        <v>57.580683115440898</v>
      </c>
      <c r="F1625">
        <v>1.6262626262626301</v>
      </c>
      <c r="G1625">
        <v>2604.01515311909</v>
      </c>
      <c r="H1625">
        <v>460.70594103502202</v>
      </c>
      <c r="I1625">
        <v>0.72555164836550101</v>
      </c>
      <c r="J1625">
        <v>0.154172084963553</v>
      </c>
      <c r="K1625">
        <v>0.66155647018842301</v>
      </c>
      <c r="L1625" t="s">
        <v>49</v>
      </c>
      <c r="M1625" t="s">
        <v>34</v>
      </c>
      <c r="N1625" t="s">
        <v>35</v>
      </c>
      <c r="O1625">
        <v>0.68358466775356697</v>
      </c>
      <c r="P1625" t="s">
        <v>36</v>
      </c>
    </row>
    <row r="1626" spans="1:16">
      <c r="A1626">
        <v>1625</v>
      </c>
      <c r="B1626" t="s">
        <v>1686</v>
      </c>
      <c r="C1626">
        <v>55</v>
      </c>
      <c r="D1626">
        <v>78</v>
      </c>
      <c r="E1626">
        <v>57.690678105530203</v>
      </c>
      <c r="F1626">
        <v>0.70629370629370603</v>
      </c>
      <c r="G1626">
        <v>2613.97343024575</v>
      </c>
      <c r="H1626">
        <v>502.01017089128499</v>
      </c>
      <c r="I1626">
        <v>0.57621658996014302</v>
      </c>
      <c r="J1626">
        <v>0.130342486170928</v>
      </c>
      <c r="K1626">
        <v>0.68306987221812299</v>
      </c>
      <c r="L1626" t="s">
        <v>38</v>
      </c>
      <c r="M1626" t="s">
        <v>34</v>
      </c>
      <c r="N1626" t="s">
        <v>35</v>
      </c>
      <c r="O1626">
        <v>0.86541837602025995</v>
      </c>
      <c r="P1626" t="s">
        <v>36</v>
      </c>
    </row>
    <row r="1627" spans="1:16">
      <c r="A1627">
        <v>1626</v>
      </c>
      <c r="B1627" t="s">
        <v>1687</v>
      </c>
      <c r="C1627">
        <v>72</v>
      </c>
      <c r="D1627">
        <v>72</v>
      </c>
      <c r="E1627">
        <v>57.972097717565298</v>
      </c>
      <c r="F1627">
        <v>1.00537635094725</v>
      </c>
      <c r="G1627">
        <v>2639.5379625708902</v>
      </c>
      <c r="H1627">
        <v>445.41715659732398</v>
      </c>
      <c r="I1627">
        <v>0.63145711367463098</v>
      </c>
      <c r="J1627">
        <v>0.16718753482352</v>
      </c>
      <c r="K1627">
        <v>0.70455447115766101</v>
      </c>
      <c r="L1627" t="s">
        <v>33</v>
      </c>
      <c r="M1627" t="s">
        <v>34</v>
      </c>
      <c r="N1627" t="s">
        <v>35</v>
      </c>
      <c r="O1627">
        <v>0.816941216819704</v>
      </c>
      <c r="P1627" t="s">
        <v>36</v>
      </c>
    </row>
    <row r="1628" spans="1:16">
      <c r="A1628">
        <v>1627</v>
      </c>
      <c r="B1628" t="s">
        <v>1688</v>
      </c>
      <c r="C1628">
        <v>52</v>
      </c>
      <c r="D1628">
        <v>90</v>
      </c>
      <c r="E1628">
        <v>58.043869616169403</v>
      </c>
      <c r="F1628">
        <v>0.57510724068786301</v>
      </c>
      <c r="G1628">
        <v>2646.0777266540599</v>
      </c>
      <c r="H1628">
        <v>399.69639040978097</v>
      </c>
      <c r="I1628">
        <v>0.69306765631258505</v>
      </c>
      <c r="J1628">
        <v>0.20813830268393699</v>
      </c>
      <c r="K1628">
        <v>0.76266975110311397</v>
      </c>
      <c r="L1628" t="s">
        <v>49</v>
      </c>
      <c r="M1628" t="s">
        <v>34</v>
      </c>
      <c r="N1628" t="s">
        <v>35</v>
      </c>
      <c r="O1628">
        <v>0.66783045235678695</v>
      </c>
      <c r="P1628" t="s">
        <v>36</v>
      </c>
    </row>
    <row r="1629" spans="1:16">
      <c r="A1629">
        <v>1628</v>
      </c>
      <c r="B1629" t="s">
        <v>1689</v>
      </c>
      <c r="C1629">
        <v>59</v>
      </c>
      <c r="D1629">
        <v>61</v>
      </c>
      <c r="E1629">
        <v>58.086872816051802</v>
      </c>
      <c r="F1629">
        <v>0.98000000314568003</v>
      </c>
      <c r="G1629">
        <v>2650</v>
      </c>
      <c r="H1629">
        <v>217.27921843528699</v>
      </c>
      <c r="I1629">
        <v>0.67003089991760201</v>
      </c>
      <c r="J1629">
        <v>0.70537385305652101</v>
      </c>
      <c r="K1629">
        <v>0.90212765957446805</v>
      </c>
      <c r="L1629" t="s">
        <v>41</v>
      </c>
      <c r="M1629" t="s">
        <v>34</v>
      </c>
      <c r="N1629" t="s">
        <v>35</v>
      </c>
      <c r="O1629">
        <v>0.67678776662350004</v>
      </c>
      <c r="P1629" t="s">
        <v>36</v>
      </c>
    </row>
    <row r="1630" spans="1:16">
      <c r="A1630">
        <v>1629</v>
      </c>
      <c r="B1630" t="s">
        <v>1690</v>
      </c>
      <c r="C1630">
        <v>111</v>
      </c>
      <c r="D1630">
        <v>55</v>
      </c>
      <c r="E1630">
        <v>58.122065153773903</v>
      </c>
      <c r="F1630">
        <v>2.0064599694271701</v>
      </c>
      <c r="G1630">
        <v>2653.2120147447999</v>
      </c>
      <c r="H1630">
        <v>456.85067195488102</v>
      </c>
      <c r="I1630">
        <v>0.61401290554771004</v>
      </c>
      <c r="J1630">
        <v>0.15974721049516299</v>
      </c>
      <c r="K1630">
        <v>0.60816980103570495</v>
      </c>
      <c r="L1630" t="s">
        <v>38</v>
      </c>
      <c r="M1630" t="s">
        <v>34</v>
      </c>
      <c r="N1630" t="s">
        <v>35</v>
      </c>
      <c r="O1630">
        <v>0.71538562193743405</v>
      </c>
      <c r="P1630" t="s">
        <v>36</v>
      </c>
    </row>
    <row r="1631" spans="1:16">
      <c r="A1631">
        <v>1630</v>
      </c>
      <c r="B1631" t="s">
        <v>1691</v>
      </c>
      <c r="C1631">
        <v>83</v>
      </c>
      <c r="D1631">
        <v>64</v>
      </c>
      <c r="E1631">
        <v>58.128576700417</v>
      </c>
      <c r="F1631">
        <v>1.2991452991453001</v>
      </c>
      <c r="G1631">
        <v>2653.8065387523602</v>
      </c>
      <c r="H1631">
        <v>638.99867561288499</v>
      </c>
      <c r="I1631">
        <v>0.61018872645581101</v>
      </c>
      <c r="J1631">
        <v>8.1673131535860394E-2</v>
      </c>
      <c r="K1631">
        <v>0.56504952688376198</v>
      </c>
      <c r="L1631" t="s">
        <v>33</v>
      </c>
      <c r="M1631" t="s">
        <v>34</v>
      </c>
      <c r="N1631" t="s">
        <v>35</v>
      </c>
      <c r="O1631">
        <v>0.74653483988773395</v>
      </c>
      <c r="P1631" t="s">
        <v>36</v>
      </c>
    </row>
    <row r="1632" spans="1:16">
      <c r="A1632">
        <v>1631</v>
      </c>
      <c r="B1632" t="s">
        <v>1692</v>
      </c>
      <c r="C1632">
        <v>63</v>
      </c>
      <c r="D1632">
        <v>88</v>
      </c>
      <c r="E1632">
        <v>58.146479693763403</v>
      </c>
      <c r="F1632">
        <v>0.72049693620517097</v>
      </c>
      <c r="G1632">
        <v>2655.4414797731602</v>
      </c>
      <c r="H1632">
        <v>699.02738585720897</v>
      </c>
      <c r="I1632">
        <v>0.44612850828602402</v>
      </c>
      <c r="J1632">
        <v>6.8290173801930795E-2</v>
      </c>
      <c r="K1632">
        <v>0.58806490898917096</v>
      </c>
      <c r="L1632" t="s">
        <v>33</v>
      </c>
      <c r="M1632" t="s">
        <v>34</v>
      </c>
      <c r="N1632" t="s">
        <v>35</v>
      </c>
      <c r="O1632">
        <v>0.72922978210129796</v>
      </c>
      <c r="P1632" t="s">
        <v>36</v>
      </c>
    </row>
    <row r="1633" spans="1:16">
      <c r="A1633">
        <v>1632</v>
      </c>
      <c r="B1633" t="s">
        <v>1693</v>
      </c>
      <c r="C1633">
        <v>81</v>
      </c>
      <c r="D1633">
        <v>52</v>
      </c>
      <c r="E1633">
        <v>58.3024906519315</v>
      </c>
      <c r="F1633">
        <v>1.5573714148595299</v>
      </c>
      <c r="G1633">
        <v>2669.7100559546302</v>
      </c>
      <c r="H1633">
        <v>342.33232229979097</v>
      </c>
      <c r="I1633">
        <v>0.73128568024042395</v>
      </c>
      <c r="J1633">
        <v>0.28627152323467397</v>
      </c>
      <c r="K1633">
        <v>0.77586281370135202</v>
      </c>
      <c r="L1633" t="s">
        <v>49</v>
      </c>
      <c r="M1633" t="s">
        <v>34</v>
      </c>
      <c r="N1633" t="s">
        <v>35</v>
      </c>
      <c r="O1633">
        <v>0.82106904823257698</v>
      </c>
      <c r="P1633" t="s">
        <v>36</v>
      </c>
    </row>
    <row r="1634" spans="1:16">
      <c r="A1634">
        <v>1633</v>
      </c>
      <c r="B1634" t="s">
        <v>1694</v>
      </c>
      <c r="C1634">
        <v>79</v>
      </c>
      <c r="D1634">
        <v>49</v>
      </c>
      <c r="E1634">
        <v>58.336562432760402</v>
      </c>
      <c r="F1634">
        <v>1.61797752808989</v>
      </c>
      <c r="G1634">
        <v>2672.8313069943301</v>
      </c>
      <c r="H1634">
        <v>288.58163698538499</v>
      </c>
      <c r="I1634">
        <v>0.69554205487159304</v>
      </c>
      <c r="J1634">
        <v>0.403314678538503</v>
      </c>
      <c r="K1634">
        <v>0.85360991123558205</v>
      </c>
      <c r="L1634" t="s">
        <v>43</v>
      </c>
      <c r="M1634" t="s">
        <v>34</v>
      </c>
      <c r="N1634" t="s">
        <v>35</v>
      </c>
      <c r="O1634">
        <v>0.68286149337331103</v>
      </c>
      <c r="P1634" t="s">
        <v>36</v>
      </c>
    </row>
    <row r="1635" spans="1:16">
      <c r="A1635">
        <v>1634</v>
      </c>
      <c r="B1635" t="s">
        <v>1695</v>
      </c>
      <c r="C1635">
        <v>64</v>
      </c>
      <c r="D1635">
        <v>78</v>
      </c>
      <c r="E1635">
        <v>58.339806326467297</v>
      </c>
      <c r="F1635">
        <v>0.81818181818181801</v>
      </c>
      <c r="G1635">
        <v>2673.12856899811</v>
      </c>
      <c r="H1635">
        <v>408.41986867064998</v>
      </c>
      <c r="I1635">
        <v>0.59005080631079299</v>
      </c>
      <c r="J1635">
        <v>0.201379838758836</v>
      </c>
      <c r="K1635">
        <v>0.710897663939286</v>
      </c>
      <c r="L1635" t="s">
        <v>47</v>
      </c>
      <c r="M1635" t="s">
        <v>34</v>
      </c>
      <c r="N1635" t="s">
        <v>35</v>
      </c>
      <c r="O1635">
        <v>0.68581448066552197</v>
      </c>
      <c r="P1635" t="s">
        <v>36</v>
      </c>
    </row>
    <row r="1636" spans="1:16">
      <c r="A1636">
        <v>1635</v>
      </c>
      <c r="B1636" t="s">
        <v>1696</v>
      </c>
      <c r="C1636">
        <v>54</v>
      </c>
      <c r="D1636">
        <v>75</v>
      </c>
      <c r="E1636">
        <v>58.385201914070301</v>
      </c>
      <c r="F1636">
        <v>0.72672073637259604</v>
      </c>
      <c r="G1636">
        <v>2677.2902370510401</v>
      </c>
      <c r="H1636">
        <v>281.96153360771098</v>
      </c>
      <c r="I1636">
        <v>0.72500312683786605</v>
      </c>
      <c r="J1636">
        <v>0.423180444315088</v>
      </c>
      <c r="K1636">
        <v>0.83914096711078001</v>
      </c>
      <c r="L1636" t="s">
        <v>38</v>
      </c>
      <c r="M1636" t="s">
        <v>34</v>
      </c>
      <c r="N1636" t="s">
        <v>35</v>
      </c>
      <c r="O1636">
        <v>0.89340478239813703</v>
      </c>
      <c r="P1636" t="s">
        <v>36</v>
      </c>
    </row>
    <row r="1637" spans="1:16">
      <c r="A1637">
        <v>1636</v>
      </c>
      <c r="B1637" t="s">
        <v>1697</v>
      </c>
      <c r="C1637">
        <v>54</v>
      </c>
      <c r="D1637">
        <v>64</v>
      </c>
      <c r="E1637">
        <v>58.479123531044998</v>
      </c>
      <c r="F1637">
        <v>0.84615384615384603</v>
      </c>
      <c r="G1637">
        <v>2685.9108351606801</v>
      </c>
      <c r="H1637">
        <v>237.81497477189399</v>
      </c>
      <c r="I1637">
        <v>0.59693629192029596</v>
      </c>
      <c r="J1637">
        <v>0.59679209164583702</v>
      </c>
      <c r="K1637">
        <v>0.90704211213170705</v>
      </c>
      <c r="L1637" t="s">
        <v>38</v>
      </c>
      <c r="M1637" t="s">
        <v>34</v>
      </c>
      <c r="N1637" t="s">
        <v>35</v>
      </c>
      <c r="O1637">
        <v>0.709672709888724</v>
      </c>
      <c r="P1637" t="s">
        <v>36</v>
      </c>
    </row>
    <row r="1638" spans="1:16">
      <c r="A1638">
        <v>1637</v>
      </c>
      <c r="B1638" t="s">
        <v>1698</v>
      </c>
      <c r="C1638">
        <v>73</v>
      </c>
      <c r="D1638">
        <v>56</v>
      </c>
      <c r="E1638">
        <v>58.4964210569822</v>
      </c>
      <c r="F1638">
        <v>1.3086420546737001</v>
      </c>
      <c r="G1638">
        <v>2687.5</v>
      </c>
      <c r="H1638">
        <v>240.208150744438</v>
      </c>
      <c r="I1638">
        <v>0.57162171661445205</v>
      </c>
      <c r="J1638">
        <v>0.58530583993877205</v>
      </c>
      <c r="K1638">
        <v>0.86345381526104403</v>
      </c>
      <c r="L1638" t="s">
        <v>38</v>
      </c>
      <c r="M1638" t="s">
        <v>34</v>
      </c>
      <c r="N1638" t="s">
        <v>35</v>
      </c>
      <c r="O1638">
        <v>0.77214553725702895</v>
      </c>
      <c r="P1638" t="s">
        <v>36</v>
      </c>
    </row>
    <row r="1639" spans="1:16">
      <c r="A1639">
        <v>1638</v>
      </c>
      <c r="B1639" t="s">
        <v>1699</v>
      </c>
      <c r="C1639">
        <v>72</v>
      </c>
      <c r="D1639">
        <v>62</v>
      </c>
      <c r="E1639">
        <v>58.767867624188398</v>
      </c>
      <c r="F1639">
        <v>1.1447368330663501</v>
      </c>
      <c r="G1639">
        <v>2712.5</v>
      </c>
      <c r="H1639">
        <v>246.06601536273999</v>
      </c>
      <c r="I1639">
        <v>0.55826614855479695</v>
      </c>
      <c r="J1639">
        <v>0.56295844398777295</v>
      </c>
      <c r="K1639">
        <v>0.83783783783783805</v>
      </c>
      <c r="L1639" t="s">
        <v>38</v>
      </c>
      <c r="M1639" t="s">
        <v>34</v>
      </c>
      <c r="N1639" t="s">
        <v>35</v>
      </c>
      <c r="O1639">
        <v>0.82784722888932505</v>
      </c>
      <c r="P1639" t="s">
        <v>36</v>
      </c>
    </row>
    <row r="1640" spans="1:16">
      <c r="A1640">
        <v>1639</v>
      </c>
      <c r="B1640" t="s">
        <v>1700</v>
      </c>
      <c r="C1640">
        <v>96</v>
      </c>
      <c r="D1640">
        <v>53</v>
      </c>
      <c r="E1640">
        <v>58.880636574218101</v>
      </c>
      <c r="F1640">
        <v>1.7927092406992</v>
      </c>
      <c r="G1640">
        <v>2722.9199546313798</v>
      </c>
      <c r="H1640">
        <v>380.01376712197799</v>
      </c>
      <c r="I1640">
        <v>0.81673545870115805</v>
      </c>
      <c r="J1640">
        <v>0.236944197424345</v>
      </c>
      <c r="K1640">
        <v>0.69549371701909601</v>
      </c>
      <c r="L1640" t="s">
        <v>33</v>
      </c>
      <c r="M1640" t="s">
        <v>34</v>
      </c>
      <c r="N1640" t="s">
        <v>35</v>
      </c>
      <c r="O1640">
        <v>0.67539809476155199</v>
      </c>
      <c r="P1640" t="s">
        <v>36</v>
      </c>
    </row>
    <row r="1641" spans="1:16">
      <c r="A1641">
        <v>1640</v>
      </c>
      <c r="B1641" t="s">
        <v>1701</v>
      </c>
      <c r="C1641">
        <v>68</v>
      </c>
      <c r="D1641">
        <v>81</v>
      </c>
      <c r="E1641">
        <v>59.265062659111798</v>
      </c>
      <c r="F1641">
        <v>0.84255967058072501</v>
      </c>
      <c r="G1641">
        <v>2758.59139508507</v>
      </c>
      <c r="H1641">
        <v>513.84056189744399</v>
      </c>
      <c r="I1641">
        <v>0.55919903558983397</v>
      </c>
      <c r="J1641">
        <v>0.13129266789069699</v>
      </c>
      <c r="K1641">
        <v>0.60639722939196905</v>
      </c>
      <c r="L1641" t="s">
        <v>38</v>
      </c>
      <c r="M1641" t="s">
        <v>34</v>
      </c>
      <c r="N1641" t="s">
        <v>35</v>
      </c>
      <c r="O1641">
        <v>0.70829337742712395</v>
      </c>
      <c r="P1641" t="s">
        <v>36</v>
      </c>
    </row>
    <row r="1642" spans="1:16">
      <c r="A1642">
        <v>1641</v>
      </c>
      <c r="B1642" t="s">
        <v>1702</v>
      </c>
      <c r="C1642">
        <v>74</v>
      </c>
      <c r="D1642">
        <v>59</v>
      </c>
      <c r="E1642">
        <v>59.545397781559899</v>
      </c>
      <c r="F1642">
        <v>1.2565146255036499</v>
      </c>
      <c r="G1642">
        <v>2784.7504514177699</v>
      </c>
      <c r="H1642">
        <v>292.99817331666497</v>
      </c>
      <c r="I1642">
        <v>0.65566422340573705</v>
      </c>
      <c r="J1642">
        <v>0.40763017136887603</v>
      </c>
      <c r="K1642">
        <v>0.77520791096032104</v>
      </c>
      <c r="L1642" t="s">
        <v>33</v>
      </c>
      <c r="M1642" t="s">
        <v>34</v>
      </c>
      <c r="N1642" t="s">
        <v>35</v>
      </c>
      <c r="O1642">
        <v>0.72987553157413998</v>
      </c>
      <c r="P1642" t="s">
        <v>36</v>
      </c>
    </row>
    <row r="1643" spans="1:16">
      <c r="A1643">
        <v>1642</v>
      </c>
      <c r="B1643" t="s">
        <v>1703</v>
      </c>
      <c r="C1643">
        <v>93</v>
      </c>
      <c r="D1643">
        <v>58</v>
      </c>
      <c r="E1643">
        <v>59.734197059947697</v>
      </c>
      <c r="F1643">
        <v>1.60377358490566</v>
      </c>
      <c r="G1643">
        <v>2802.4375406427198</v>
      </c>
      <c r="H1643">
        <v>567.70084161354202</v>
      </c>
      <c r="I1643">
        <v>0.74516127789810704</v>
      </c>
      <c r="J1643">
        <v>0.109271456000477</v>
      </c>
      <c r="K1643">
        <v>0.589200337489453</v>
      </c>
      <c r="L1643" t="s">
        <v>49</v>
      </c>
      <c r="M1643" t="s">
        <v>34</v>
      </c>
      <c r="N1643" t="s">
        <v>35</v>
      </c>
      <c r="O1643">
        <v>0.67755283319175397</v>
      </c>
      <c r="P1643" t="s">
        <v>36</v>
      </c>
    </row>
    <row r="1644" spans="1:16">
      <c r="A1644">
        <v>1643</v>
      </c>
      <c r="B1644" t="s">
        <v>1704</v>
      </c>
      <c r="C1644">
        <v>58</v>
      </c>
      <c r="D1644">
        <v>79</v>
      </c>
      <c r="E1644">
        <v>59.9366113961389</v>
      </c>
      <c r="F1644">
        <v>0.73695198175879395</v>
      </c>
      <c r="G1644">
        <v>2821.4623088846902</v>
      </c>
      <c r="H1644">
        <v>323.02387717941502</v>
      </c>
      <c r="I1644">
        <v>0.56505707880272105</v>
      </c>
      <c r="J1644">
        <v>0.33979334277236301</v>
      </c>
      <c r="K1644">
        <v>0.77257742867608203</v>
      </c>
      <c r="L1644" t="s">
        <v>38</v>
      </c>
      <c r="M1644" t="s">
        <v>34</v>
      </c>
      <c r="N1644" t="s">
        <v>35</v>
      </c>
      <c r="O1644">
        <v>0.69415971276421995</v>
      </c>
      <c r="P1644" t="s">
        <v>36</v>
      </c>
    </row>
    <row r="1645" spans="1:16">
      <c r="A1645">
        <v>1644</v>
      </c>
      <c r="B1645" t="s">
        <v>1705</v>
      </c>
      <c r="C1645">
        <v>70</v>
      </c>
      <c r="D1645">
        <v>80</v>
      </c>
      <c r="E1645">
        <v>59.9760657044231</v>
      </c>
      <c r="F1645">
        <v>0.87463836122821303</v>
      </c>
      <c r="G1645">
        <v>2825.1780839319499</v>
      </c>
      <c r="H1645">
        <v>544.07605232508297</v>
      </c>
      <c r="I1645">
        <v>0.75489369686801</v>
      </c>
      <c r="J1645">
        <v>0.119932385258247</v>
      </c>
      <c r="K1645">
        <v>0.61415185783521797</v>
      </c>
      <c r="L1645" t="s">
        <v>33</v>
      </c>
      <c r="M1645" t="s">
        <v>34</v>
      </c>
      <c r="N1645" t="s">
        <v>35</v>
      </c>
      <c r="O1645">
        <v>0.76453232526560799</v>
      </c>
      <c r="P1645" t="s">
        <v>36</v>
      </c>
    </row>
    <row r="1646" spans="1:16">
      <c r="A1646">
        <v>1645</v>
      </c>
      <c r="B1646" t="s">
        <v>1706</v>
      </c>
      <c r="C1646">
        <v>69</v>
      </c>
      <c r="D1646">
        <v>102</v>
      </c>
      <c r="E1646">
        <v>59.977643336917197</v>
      </c>
      <c r="F1646">
        <v>0.67511574604667202</v>
      </c>
      <c r="G1646">
        <v>2825.3267149338399</v>
      </c>
      <c r="H1646">
        <v>710.85777686336803</v>
      </c>
      <c r="I1646">
        <v>0.65896056307157402</v>
      </c>
      <c r="J1646">
        <v>7.0260801868256798E-2</v>
      </c>
      <c r="K1646">
        <v>0.49860979960130097</v>
      </c>
      <c r="L1646" t="s">
        <v>188</v>
      </c>
      <c r="M1646" t="s">
        <v>34</v>
      </c>
      <c r="N1646" t="s">
        <v>35</v>
      </c>
      <c r="O1646">
        <v>0.65466219272731996</v>
      </c>
      <c r="P1646" t="s">
        <v>36</v>
      </c>
    </row>
    <row r="1647" spans="1:16">
      <c r="A1647">
        <v>1646</v>
      </c>
      <c r="B1647" t="s">
        <v>1707</v>
      </c>
      <c r="C1647">
        <v>49</v>
      </c>
      <c r="D1647">
        <v>92</v>
      </c>
      <c r="E1647">
        <v>60.183955636972598</v>
      </c>
      <c r="F1647">
        <v>0.52930978730652101</v>
      </c>
      <c r="G1647">
        <v>2844.7973761814701</v>
      </c>
      <c r="H1647">
        <v>334.24760597208302</v>
      </c>
      <c r="I1647">
        <v>0.88365462433775499</v>
      </c>
      <c r="J1647">
        <v>0.31998129527227998</v>
      </c>
      <c r="K1647">
        <v>0.78733031674208098</v>
      </c>
      <c r="L1647" t="s">
        <v>38</v>
      </c>
      <c r="M1647" t="s">
        <v>34</v>
      </c>
      <c r="N1647" t="s">
        <v>35</v>
      </c>
      <c r="O1647">
        <v>0.71843592982268001</v>
      </c>
      <c r="P1647" t="s">
        <v>36</v>
      </c>
    </row>
    <row r="1648" spans="1:16">
      <c r="A1648">
        <v>1647</v>
      </c>
      <c r="B1648" t="s">
        <v>1708</v>
      </c>
      <c r="C1648">
        <v>57</v>
      </c>
      <c r="D1648">
        <v>93</v>
      </c>
      <c r="E1648">
        <v>60.251522466140599</v>
      </c>
      <c r="F1648">
        <v>0.61520676081286296</v>
      </c>
      <c r="G1648">
        <v>2851.1885092627599</v>
      </c>
      <c r="H1648">
        <v>457.22485012230698</v>
      </c>
      <c r="I1648">
        <v>0.74171302823345797</v>
      </c>
      <c r="J1648">
        <v>0.17138631602705801</v>
      </c>
      <c r="K1648">
        <v>0.73560088963877601</v>
      </c>
      <c r="L1648" t="s">
        <v>49</v>
      </c>
      <c r="M1648" t="s">
        <v>34</v>
      </c>
      <c r="N1648" t="s">
        <v>35</v>
      </c>
      <c r="O1648">
        <v>0.77838442888770099</v>
      </c>
      <c r="P1648" t="s">
        <v>36</v>
      </c>
    </row>
    <row r="1649" spans="1:16">
      <c r="A1649">
        <v>1648</v>
      </c>
      <c r="B1649" t="s">
        <v>1709</v>
      </c>
      <c r="C1649">
        <v>78</v>
      </c>
      <c r="D1649">
        <v>88</v>
      </c>
      <c r="E1649">
        <v>60.259374157335401</v>
      </c>
      <c r="F1649">
        <v>0.88819875776397506</v>
      </c>
      <c r="G1649">
        <v>2851.9316642722101</v>
      </c>
      <c r="H1649">
        <v>642.21518275986602</v>
      </c>
      <c r="I1649">
        <v>0.68439038301545496</v>
      </c>
      <c r="J1649">
        <v>8.6893610300145904E-2</v>
      </c>
      <c r="K1649">
        <v>0.50988520408163296</v>
      </c>
      <c r="L1649" t="s">
        <v>38</v>
      </c>
      <c r="M1649" t="s">
        <v>34</v>
      </c>
      <c r="N1649" t="s">
        <v>35</v>
      </c>
      <c r="O1649">
        <v>0.87740005473321203</v>
      </c>
      <c r="P1649" t="s">
        <v>36</v>
      </c>
    </row>
    <row r="1650" spans="1:16">
      <c r="A1650">
        <v>1649</v>
      </c>
      <c r="B1650" t="s">
        <v>1710</v>
      </c>
      <c r="C1650">
        <v>72</v>
      </c>
      <c r="D1650">
        <v>65</v>
      </c>
      <c r="E1650">
        <v>60.480372174683097</v>
      </c>
      <c r="F1650">
        <v>1.1005917038875701</v>
      </c>
      <c r="G1650">
        <v>2872.8886355387499</v>
      </c>
      <c r="H1650">
        <v>307.38361205546801</v>
      </c>
      <c r="I1650">
        <v>0.60765022506256205</v>
      </c>
      <c r="J1650">
        <v>0.38209137642933899</v>
      </c>
      <c r="K1650">
        <v>0.822195754817304</v>
      </c>
      <c r="L1650" t="s">
        <v>33</v>
      </c>
      <c r="M1650" t="s">
        <v>34</v>
      </c>
      <c r="N1650" t="s">
        <v>35</v>
      </c>
      <c r="O1650">
        <v>0.72508421247475896</v>
      </c>
      <c r="P1650" t="s">
        <v>36</v>
      </c>
    </row>
    <row r="1651" spans="1:16">
      <c r="A1651">
        <v>1650</v>
      </c>
      <c r="B1651" t="s">
        <v>1711</v>
      </c>
      <c r="C1651">
        <v>47</v>
      </c>
      <c r="D1651">
        <v>96</v>
      </c>
      <c r="E1651">
        <v>60.633977153266002</v>
      </c>
      <c r="F1651">
        <v>0.49514562283845898</v>
      </c>
      <c r="G1651">
        <v>2887.5</v>
      </c>
      <c r="H1651">
        <v>266.06601536274002</v>
      </c>
      <c r="I1651">
        <v>0.81784585471079196</v>
      </c>
      <c r="J1651">
        <v>0.51256983681717905</v>
      </c>
      <c r="K1651">
        <v>0.81052631578947398</v>
      </c>
      <c r="L1651" t="s">
        <v>38</v>
      </c>
      <c r="M1651" t="s">
        <v>34</v>
      </c>
      <c r="N1651" t="s">
        <v>35</v>
      </c>
      <c r="O1651">
        <v>0.845303663172151</v>
      </c>
      <c r="P1651" t="s">
        <v>36</v>
      </c>
    </row>
    <row r="1652" spans="1:16">
      <c r="A1652">
        <v>1651</v>
      </c>
      <c r="B1652" t="s">
        <v>1712</v>
      </c>
      <c r="C1652">
        <v>83</v>
      </c>
      <c r="D1652">
        <v>53</v>
      </c>
      <c r="E1652">
        <v>60.773786107121097</v>
      </c>
      <c r="F1652">
        <v>1.5510203382562699</v>
      </c>
      <c r="G1652">
        <v>2900.8312638941402</v>
      </c>
      <c r="H1652">
        <v>491.10582306519802</v>
      </c>
      <c r="I1652">
        <v>0.65230421076077405</v>
      </c>
      <c r="J1652">
        <v>0.15114095576021699</v>
      </c>
      <c r="K1652">
        <v>0.73374938907477705</v>
      </c>
      <c r="L1652" t="s">
        <v>33</v>
      </c>
      <c r="M1652" t="s">
        <v>34</v>
      </c>
      <c r="N1652" t="s">
        <v>35</v>
      </c>
      <c r="O1652">
        <v>0.716063505700824</v>
      </c>
      <c r="P1652" t="s">
        <v>36</v>
      </c>
    </row>
    <row r="1653" spans="1:16">
      <c r="A1653">
        <v>1652</v>
      </c>
      <c r="B1653" t="s">
        <v>1713</v>
      </c>
      <c r="C1653">
        <v>82</v>
      </c>
      <c r="D1653">
        <v>54</v>
      </c>
      <c r="E1653">
        <v>60.985163015299399</v>
      </c>
      <c r="F1653">
        <v>1.52727276111044</v>
      </c>
      <c r="G1653">
        <v>2921.0450801512302</v>
      </c>
      <c r="H1653">
        <v>291.32377380174103</v>
      </c>
      <c r="I1653">
        <v>0.57188465498359797</v>
      </c>
      <c r="J1653">
        <v>0.43251011549215101</v>
      </c>
      <c r="K1653">
        <v>0.83740253099833795</v>
      </c>
      <c r="L1653" t="s">
        <v>38</v>
      </c>
      <c r="M1653" t="s">
        <v>34</v>
      </c>
      <c r="N1653" t="s">
        <v>35</v>
      </c>
      <c r="O1653">
        <v>0.74612361079971501</v>
      </c>
      <c r="P1653" t="s">
        <v>36</v>
      </c>
    </row>
    <row r="1654" spans="1:16">
      <c r="A1654">
        <v>1653</v>
      </c>
      <c r="B1654" t="s">
        <v>1714</v>
      </c>
      <c r="C1654">
        <v>68</v>
      </c>
      <c r="D1654">
        <v>73</v>
      </c>
      <c r="E1654">
        <v>61.728479415482099</v>
      </c>
      <c r="F1654">
        <v>0.93984972498607799</v>
      </c>
      <c r="G1654">
        <v>2992.6852230623799</v>
      </c>
      <c r="H1654">
        <v>478.175595037937</v>
      </c>
      <c r="I1654">
        <v>0.69437139464389097</v>
      </c>
      <c r="J1654">
        <v>0.16447355869828201</v>
      </c>
      <c r="K1654">
        <v>0.71990417962744502</v>
      </c>
      <c r="L1654" t="s">
        <v>38</v>
      </c>
      <c r="M1654" t="s">
        <v>34</v>
      </c>
      <c r="N1654" t="s">
        <v>35</v>
      </c>
      <c r="O1654">
        <v>0.76793945967838395</v>
      </c>
      <c r="P1654" t="s">
        <v>36</v>
      </c>
    </row>
    <row r="1655" spans="1:16">
      <c r="A1655">
        <v>1654</v>
      </c>
      <c r="B1655" t="s">
        <v>1715</v>
      </c>
      <c r="C1655">
        <v>57</v>
      </c>
      <c r="D1655">
        <v>97</v>
      </c>
      <c r="E1655">
        <v>61.8769886893189</v>
      </c>
      <c r="F1655">
        <v>0.59404809621133303</v>
      </c>
      <c r="G1655">
        <v>3007.1024302457499</v>
      </c>
      <c r="H1655">
        <v>492.85771726214398</v>
      </c>
      <c r="I1655">
        <v>0.56315398887242696</v>
      </c>
      <c r="J1655">
        <v>0.15556609965009999</v>
      </c>
      <c r="K1655">
        <v>0.65669122658963297</v>
      </c>
      <c r="L1655" t="s">
        <v>38</v>
      </c>
      <c r="M1655" t="s">
        <v>34</v>
      </c>
      <c r="N1655" t="s">
        <v>35</v>
      </c>
      <c r="O1655">
        <v>0.73468619228367704</v>
      </c>
      <c r="P1655" t="s">
        <v>36</v>
      </c>
    </row>
    <row r="1656" spans="1:16">
      <c r="A1656">
        <v>1655</v>
      </c>
      <c r="B1656" t="s">
        <v>1716</v>
      </c>
      <c r="C1656">
        <v>98</v>
      </c>
      <c r="D1656">
        <v>91</v>
      </c>
      <c r="E1656">
        <v>62.038870665021101</v>
      </c>
      <c r="F1656">
        <v>1.08037344482831</v>
      </c>
      <c r="G1656">
        <v>3022.85731644612</v>
      </c>
      <c r="H1656">
        <v>735.42028834446603</v>
      </c>
      <c r="I1656">
        <v>0.66009169554749003</v>
      </c>
      <c r="J1656">
        <v>7.0235438596900401E-2</v>
      </c>
      <c r="K1656">
        <v>0.480428979755746</v>
      </c>
      <c r="L1656" t="s">
        <v>893</v>
      </c>
      <c r="M1656" t="s">
        <v>34</v>
      </c>
      <c r="N1656" t="s">
        <v>35</v>
      </c>
      <c r="O1656">
        <v>0.64506726423870298</v>
      </c>
      <c r="P1656" t="s">
        <v>36</v>
      </c>
    </row>
    <row r="1657" spans="1:16">
      <c r="A1657">
        <v>1656</v>
      </c>
      <c r="B1657" t="s">
        <v>1717</v>
      </c>
      <c r="C1657">
        <v>78</v>
      </c>
      <c r="D1657">
        <v>79</v>
      </c>
      <c r="E1657">
        <v>62.095277272517997</v>
      </c>
      <c r="F1657">
        <v>0.99305555555555602</v>
      </c>
      <c r="G1657">
        <v>3028.3566635160701</v>
      </c>
      <c r="H1657">
        <v>438.764953499981</v>
      </c>
      <c r="I1657">
        <v>0.77058305544994699</v>
      </c>
      <c r="J1657">
        <v>0.19767558148039699</v>
      </c>
      <c r="K1657">
        <v>0.65131221430169695</v>
      </c>
      <c r="L1657" t="s">
        <v>38</v>
      </c>
      <c r="M1657" t="s">
        <v>34</v>
      </c>
      <c r="N1657" t="s">
        <v>35</v>
      </c>
      <c r="O1657">
        <v>0.82198119693522398</v>
      </c>
      <c r="P1657" t="s">
        <v>36</v>
      </c>
    </row>
    <row r="1658" spans="1:16">
      <c r="A1658">
        <v>1657</v>
      </c>
      <c r="B1658" t="s">
        <v>1718</v>
      </c>
      <c r="C1658">
        <v>79</v>
      </c>
      <c r="D1658">
        <v>73</v>
      </c>
      <c r="E1658">
        <v>62.334056421928899</v>
      </c>
      <c r="F1658">
        <v>1.08768451627794</v>
      </c>
      <c r="G1658">
        <v>3051.69173081285</v>
      </c>
      <c r="H1658">
        <v>447.775713007761</v>
      </c>
      <c r="I1658">
        <v>0.74314099060007999</v>
      </c>
      <c r="J1658">
        <v>0.1912623364104</v>
      </c>
      <c r="K1658">
        <v>0.640644013853786</v>
      </c>
      <c r="L1658" t="s">
        <v>38</v>
      </c>
      <c r="M1658" t="s">
        <v>34</v>
      </c>
      <c r="N1658" t="s">
        <v>35</v>
      </c>
      <c r="O1658">
        <v>0.87690104160269899</v>
      </c>
      <c r="P1658" t="s">
        <v>36</v>
      </c>
    </row>
    <row r="1659" spans="1:16">
      <c r="A1659">
        <v>1658</v>
      </c>
      <c r="B1659" t="s">
        <v>1719</v>
      </c>
      <c r="C1659">
        <v>69</v>
      </c>
      <c r="D1659">
        <v>73</v>
      </c>
      <c r="E1659">
        <v>62.671650288144299</v>
      </c>
      <c r="F1659">
        <v>0.94029850746268695</v>
      </c>
      <c r="G1659">
        <v>3084.83644423441</v>
      </c>
      <c r="H1659">
        <v>394.96047311192001</v>
      </c>
      <c r="I1659">
        <v>0.58413553013172304</v>
      </c>
      <c r="J1659">
        <v>0.24850477503485799</v>
      </c>
      <c r="K1659">
        <v>0.79716546320479298</v>
      </c>
      <c r="L1659" t="s">
        <v>1038</v>
      </c>
      <c r="M1659" t="s">
        <v>34</v>
      </c>
      <c r="N1659" t="s">
        <v>35</v>
      </c>
      <c r="O1659">
        <v>0.65293743006172</v>
      </c>
      <c r="P1659" t="s">
        <v>36</v>
      </c>
    </row>
    <row r="1660" spans="1:16">
      <c r="A1660">
        <v>1659</v>
      </c>
      <c r="B1660" t="s">
        <v>1720</v>
      </c>
      <c r="C1660">
        <v>51</v>
      </c>
      <c r="D1660">
        <v>86</v>
      </c>
      <c r="E1660">
        <v>62.837508428082202</v>
      </c>
      <c r="F1660">
        <v>0.58928567299900203</v>
      </c>
      <c r="G1660">
        <v>3101.1858544423399</v>
      </c>
      <c r="H1660">
        <v>301.40227061095402</v>
      </c>
      <c r="I1660">
        <v>0.86133752863803503</v>
      </c>
      <c r="J1660">
        <v>0.42898748137023801</v>
      </c>
      <c r="K1660">
        <v>0.83153993304638896</v>
      </c>
      <c r="L1660" t="s">
        <v>33</v>
      </c>
      <c r="M1660" t="s">
        <v>34</v>
      </c>
      <c r="N1660" t="s">
        <v>35</v>
      </c>
      <c r="O1660">
        <v>0.66680241319962497</v>
      </c>
      <c r="P1660" t="s">
        <v>36</v>
      </c>
    </row>
    <row r="1661" spans="1:16">
      <c r="A1661">
        <v>1660</v>
      </c>
      <c r="B1661" t="s">
        <v>1721</v>
      </c>
      <c r="C1661">
        <v>77</v>
      </c>
      <c r="D1661">
        <v>98</v>
      </c>
      <c r="E1661">
        <v>63.326500304391601</v>
      </c>
      <c r="F1661">
        <v>0.79329608938547502</v>
      </c>
      <c r="G1661">
        <v>3149.6395610586001</v>
      </c>
      <c r="H1661">
        <v>552.69933842275498</v>
      </c>
      <c r="I1661">
        <v>0.60086481322176</v>
      </c>
      <c r="J1661">
        <v>0.12956653104663701</v>
      </c>
      <c r="K1661">
        <v>0.62280675973548905</v>
      </c>
      <c r="L1661" t="s">
        <v>38</v>
      </c>
      <c r="M1661" t="s">
        <v>34</v>
      </c>
      <c r="N1661" t="s">
        <v>35</v>
      </c>
      <c r="O1661">
        <v>0.74549656825981803</v>
      </c>
      <c r="P1661" t="s">
        <v>36</v>
      </c>
    </row>
    <row r="1662" spans="1:16">
      <c r="A1662">
        <v>1661</v>
      </c>
      <c r="B1662" t="s">
        <v>1722</v>
      </c>
      <c r="C1662">
        <v>53</v>
      </c>
      <c r="D1662">
        <v>83</v>
      </c>
      <c r="E1662">
        <v>63.348909097472401</v>
      </c>
      <c r="F1662">
        <v>0.64473684210526305</v>
      </c>
      <c r="G1662">
        <v>3151.8690260869598</v>
      </c>
      <c r="H1662">
        <v>492.17356036663102</v>
      </c>
      <c r="I1662">
        <v>0.67067130660024199</v>
      </c>
      <c r="J1662">
        <v>0.16350892645664</v>
      </c>
      <c r="K1662">
        <v>0.77476160900222901</v>
      </c>
      <c r="L1662" t="s">
        <v>33</v>
      </c>
      <c r="M1662" t="s">
        <v>34</v>
      </c>
      <c r="N1662" t="s">
        <v>35</v>
      </c>
      <c r="O1662">
        <v>0.68794768077924295</v>
      </c>
      <c r="P1662" t="s">
        <v>36</v>
      </c>
    </row>
    <row r="1663" spans="1:16">
      <c r="A1663">
        <v>1662</v>
      </c>
      <c r="B1663" t="s">
        <v>1723</v>
      </c>
      <c r="C1663">
        <v>104</v>
      </c>
      <c r="D1663">
        <v>65</v>
      </c>
      <c r="E1663">
        <v>63.542787606724303</v>
      </c>
      <c r="F1663">
        <v>1.6106206380478201</v>
      </c>
      <c r="G1663">
        <v>3171.1910563327001</v>
      </c>
      <c r="H1663">
        <v>492.74812286045199</v>
      </c>
      <c r="I1663">
        <v>0.90386114869069301</v>
      </c>
      <c r="J1663">
        <v>0.164127863048497</v>
      </c>
      <c r="K1663">
        <v>0.66733391717752999</v>
      </c>
      <c r="L1663" t="s">
        <v>33</v>
      </c>
      <c r="M1663" t="s">
        <v>34</v>
      </c>
      <c r="N1663" t="s">
        <v>35</v>
      </c>
      <c r="O1663">
        <v>0.67938974536268704</v>
      </c>
      <c r="P1663" t="s">
        <v>36</v>
      </c>
    </row>
    <row r="1664" spans="1:16">
      <c r="A1664">
        <v>1663</v>
      </c>
      <c r="B1664" t="s">
        <v>1724</v>
      </c>
      <c r="C1664">
        <v>73</v>
      </c>
      <c r="D1664">
        <v>88</v>
      </c>
      <c r="E1664">
        <v>63.829536506111999</v>
      </c>
      <c r="F1664">
        <v>0.83229813664596297</v>
      </c>
      <c r="G1664">
        <v>3199.8768396975402</v>
      </c>
      <c r="H1664">
        <v>501.93267620926298</v>
      </c>
      <c r="I1664">
        <v>0.64241065952783805</v>
      </c>
      <c r="J1664">
        <v>0.15960709314329399</v>
      </c>
      <c r="K1664">
        <v>0.68930298082156705</v>
      </c>
      <c r="L1664" t="s">
        <v>33</v>
      </c>
      <c r="M1664" t="s">
        <v>34</v>
      </c>
      <c r="N1664" t="s">
        <v>35</v>
      </c>
      <c r="O1664">
        <v>0.68791773508592302</v>
      </c>
      <c r="P1664" t="s">
        <v>36</v>
      </c>
    </row>
    <row r="1665" spans="1:16">
      <c r="A1665">
        <v>1664</v>
      </c>
      <c r="B1665" t="s">
        <v>1725</v>
      </c>
      <c r="C1665">
        <v>75</v>
      </c>
      <c r="D1665">
        <v>66</v>
      </c>
      <c r="E1665">
        <v>63.934700861870802</v>
      </c>
      <c r="F1665">
        <v>1.1470588645970701</v>
      </c>
      <c r="G1665">
        <v>3210.42964083176</v>
      </c>
      <c r="H1665">
        <v>318.15566799868702</v>
      </c>
      <c r="I1665">
        <v>0.63571327154359403</v>
      </c>
      <c r="J1665">
        <v>0.39855998249424401</v>
      </c>
      <c r="K1665">
        <v>0.85133217720321597</v>
      </c>
      <c r="L1665" t="s">
        <v>74</v>
      </c>
      <c r="M1665" t="s">
        <v>34</v>
      </c>
      <c r="N1665" t="s">
        <v>35</v>
      </c>
      <c r="O1665">
        <v>0.66325896829478603</v>
      </c>
      <c r="P1665" t="s">
        <v>36</v>
      </c>
    </row>
    <row r="1666" spans="1:16">
      <c r="A1666">
        <v>1665</v>
      </c>
      <c r="B1666" t="s">
        <v>1726</v>
      </c>
      <c r="C1666">
        <v>98</v>
      </c>
      <c r="D1666">
        <v>67</v>
      </c>
      <c r="E1666">
        <v>63.937660733211501</v>
      </c>
      <c r="F1666">
        <v>1.46957412141855</v>
      </c>
      <c r="G1666">
        <v>3210.7269028355399</v>
      </c>
      <c r="H1666">
        <v>441.07811494806498</v>
      </c>
      <c r="I1666">
        <v>0.70650270261859105</v>
      </c>
      <c r="J1666">
        <v>0.207387325717176</v>
      </c>
      <c r="K1666">
        <v>0.67794376098418296</v>
      </c>
      <c r="L1666" t="s">
        <v>38</v>
      </c>
      <c r="M1666" t="s">
        <v>34</v>
      </c>
      <c r="N1666" t="s">
        <v>35</v>
      </c>
      <c r="O1666">
        <v>0.72063063895521695</v>
      </c>
      <c r="P1666" t="s">
        <v>36</v>
      </c>
    </row>
    <row r="1667" spans="1:16">
      <c r="A1667">
        <v>1666</v>
      </c>
      <c r="B1667" t="s">
        <v>1727</v>
      </c>
      <c r="C1667">
        <v>54</v>
      </c>
      <c r="D1667">
        <v>76</v>
      </c>
      <c r="E1667">
        <v>64.079618692458695</v>
      </c>
      <c r="F1667">
        <v>0.70833335689414001</v>
      </c>
      <c r="G1667">
        <v>3225</v>
      </c>
      <c r="H1667">
        <v>228.99494767189</v>
      </c>
      <c r="I1667">
        <v>0.74589848803636605</v>
      </c>
      <c r="J1667">
        <v>0.77283677904355597</v>
      </c>
      <c r="K1667">
        <v>0.94160583941605802</v>
      </c>
      <c r="L1667" t="s">
        <v>38</v>
      </c>
      <c r="M1667" t="s">
        <v>34</v>
      </c>
      <c r="N1667" t="s">
        <v>35</v>
      </c>
      <c r="O1667">
        <v>0.86105091640363896</v>
      </c>
      <c r="P1667" t="s">
        <v>36</v>
      </c>
    </row>
    <row r="1668" spans="1:16">
      <c r="A1668">
        <v>1667</v>
      </c>
      <c r="B1668" t="s">
        <v>1728</v>
      </c>
      <c r="C1668">
        <v>66</v>
      </c>
      <c r="D1668">
        <v>99</v>
      </c>
      <c r="E1668">
        <v>64.385979003709394</v>
      </c>
      <c r="F1668">
        <v>0.66748110132090299</v>
      </c>
      <c r="G1668">
        <v>3255.9107274102098</v>
      </c>
      <c r="H1668">
        <v>503.94915417194397</v>
      </c>
      <c r="I1668">
        <v>0.72417823432013295</v>
      </c>
      <c r="J1668">
        <v>0.161104959997071</v>
      </c>
      <c r="K1668">
        <v>0.65766009186706298</v>
      </c>
      <c r="L1668" t="s">
        <v>38</v>
      </c>
      <c r="M1668" t="s">
        <v>34</v>
      </c>
      <c r="N1668" t="s">
        <v>35</v>
      </c>
      <c r="O1668">
        <v>0.71415359726750605</v>
      </c>
      <c r="P1668" t="s">
        <v>36</v>
      </c>
    </row>
    <row r="1669" spans="1:16">
      <c r="A1669">
        <v>1668</v>
      </c>
      <c r="B1669" t="s">
        <v>1729</v>
      </c>
      <c r="C1669">
        <v>60</v>
      </c>
      <c r="D1669">
        <v>120</v>
      </c>
      <c r="E1669">
        <v>64.419770864675201</v>
      </c>
      <c r="F1669">
        <v>0.49642935075408701</v>
      </c>
      <c r="G1669">
        <v>3259.3292404536901</v>
      </c>
      <c r="H1669">
        <v>539.61412103145005</v>
      </c>
      <c r="I1669">
        <v>0.517715433342819</v>
      </c>
      <c r="J1669">
        <v>0.140660282295267</v>
      </c>
      <c r="K1669">
        <v>0.63658267533673896</v>
      </c>
      <c r="L1669" t="s">
        <v>38</v>
      </c>
      <c r="M1669" t="s">
        <v>34</v>
      </c>
      <c r="N1669" t="s">
        <v>35</v>
      </c>
      <c r="O1669">
        <v>0.81138887885829702</v>
      </c>
      <c r="P1669" t="s">
        <v>36</v>
      </c>
    </row>
    <row r="1670" spans="1:16">
      <c r="A1670">
        <v>1669</v>
      </c>
      <c r="B1670" t="s">
        <v>1730</v>
      </c>
      <c r="C1670">
        <v>73</v>
      </c>
      <c r="D1670">
        <v>93</v>
      </c>
      <c r="E1670">
        <v>64.475562093603401</v>
      </c>
      <c r="F1670">
        <v>0.78823529411764703</v>
      </c>
      <c r="G1670">
        <v>3264.9772185255201</v>
      </c>
      <c r="H1670">
        <v>670.93126303662405</v>
      </c>
      <c r="I1670">
        <v>0.744973187195758</v>
      </c>
      <c r="J1670">
        <v>9.1145233413414697E-2</v>
      </c>
      <c r="K1670">
        <v>0.61007581859083004</v>
      </c>
      <c r="L1670" t="s">
        <v>33</v>
      </c>
      <c r="M1670" t="s">
        <v>34</v>
      </c>
      <c r="N1670" t="s">
        <v>35</v>
      </c>
      <c r="O1670">
        <v>0.68178317935096799</v>
      </c>
      <c r="P1670" t="s">
        <v>36</v>
      </c>
    </row>
    <row r="1671" spans="1:16">
      <c r="A1671">
        <v>1670</v>
      </c>
      <c r="B1671" t="s">
        <v>1731</v>
      </c>
      <c r="C1671">
        <v>88</v>
      </c>
      <c r="D1671">
        <v>68</v>
      </c>
      <c r="E1671">
        <v>64.731874755739</v>
      </c>
      <c r="F1671">
        <v>1.29838709677419</v>
      </c>
      <c r="G1671">
        <v>3290.9876438563301</v>
      </c>
      <c r="H1671">
        <v>592.99062817843105</v>
      </c>
      <c r="I1671">
        <v>0.485618768378273</v>
      </c>
      <c r="J1671">
        <v>0.117608972671811</v>
      </c>
      <c r="K1671">
        <v>0.65106295392396096</v>
      </c>
      <c r="L1671" t="s">
        <v>33</v>
      </c>
      <c r="M1671" t="s">
        <v>34</v>
      </c>
      <c r="N1671" t="s">
        <v>35</v>
      </c>
      <c r="O1671">
        <v>0.70864182792031105</v>
      </c>
      <c r="P1671" t="s">
        <v>36</v>
      </c>
    </row>
    <row r="1672" spans="1:16">
      <c r="A1672">
        <v>1671</v>
      </c>
      <c r="B1672" t="s">
        <v>1732</v>
      </c>
      <c r="C1672">
        <v>89</v>
      </c>
      <c r="D1672">
        <v>66</v>
      </c>
      <c r="E1672">
        <v>64.931824881720402</v>
      </c>
      <c r="F1672">
        <v>1.3442795429969401</v>
      </c>
      <c r="G1672">
        <v>3311.3500911153101</v>
      </c>
      <c r="H1672">
        <v>415.22706113203702</v>
      </c>
      <c r="I1672">
        <v>0.69158724597421095</v>
      </c>
      <c r="J1672">
        <v>0.241347977456221</v>
      </c>
      <c r="K1672">
        <v>0.758382408006263</v>
      </c>
      <c r="L1672" t="s">
        <v>33</v>
      </c>
      <c r="M1672" t="s">
        <v>34</v>
      </c>
      <c r="N1672" t="s">
        <v>35</v>
      </c>
      <c r="O1672">
        <v>0.71057298729790597</v>
      </c>
      <c r="P1672" t="s">
        <v>36</v>
      </c>
    </row>
    <row r="1673" spans="1:16">
      <c r="A1673">
        <v>1672</v>
      </c>
      <c r="B1673" t="s">
        <v>1733</v>
      </c>
      <c r="C1673">
        <v>76</v>
      </c>
      <c r="D1673">
        <v>59</v>
      </c>
      <c r="E1673">
        <v>64.944938742699705</v>
      </c>
      <c r="F1673">
        <v>1.2933558344331599</v>
      </c>
      <c r="G1673">
        <v>3312.6877701323301</v>
      </c>
      <c r="H1673">
        <v>230.6053974276</v>
      </c>
      <c r="I1673">
        <v>0.60500476828517702</v>
      </c>
      <c r="J1673">
        <v>0.78280110945040304</v>
      </c>
      <c r="K1673">
        <v>0.95990352728368999</v>
      </c>
      <c r="L1673" t="s">
        <v>38</v>
      </c>
      <c r="M1673" t="s">
        <v>34</v>
      </c>
      <c r="N1673" t="s">
        <v>35</v>
      </c>
      <c r="O1673">
        <v>0.85441593032643404</v>
      </c>
      <c r="P1673" t="s">
        <v>36</v>
      </c>
    </row>
    <row r="1674" spans="1:16">
      <c r="A1674">
        <v>1673</v>
      </c>
      <c r="B1674" t="s">
        <v>1734</v>
      </c>
      <c r="C1674">
        <v>63</v>
      </c>
      <c r="D1674">
        <v>88</v>
      </c>
      <c r="E1674">
        <v>64.9609631998634</v>
      </c>
      <c r="F1674">
        <v>0.72049689440993803</v>
      </c>
      <c r="G1674">
        <v>3314.3227111531201</v>
      </c>
      <c r="H1674">
        <v>536.79448953307201</v>
      </c>
      <c r="I1674">
        <v>0.77372505215452902</v>
      </c>
      <c r="J1674">
        <v>0.14454016926692001</v>
      </c>
      <c r="K1674">
        <v>0.67358405074762095</v>
      </c>
      <c r="L1674" t="s">
        <v>331</v>
      </c>
      <c r="M1674" t="s">
        <v>34</v>
      </c>
      <c r="N1674" t="s">
        <v>35</v>
      </c>
      <c r="O1674">
        <v>0.64315689909141305</v>
      </c>
      <c r="P1674" t="s">
        <v>36</v>
      </c>
    </row>
    <row r="1675" spans="1:16">
      <c r="A1675">
        <v>1674</v>
      </c>
      <c r="B1675" t="s">
        <v>1735</v>
      </c>
      <c r="C1675">
        <v>104</v>
      </c>
      <c r="D1675">
        <v>73</v>
      </c>
      <c r="E1675">
        <v>65.186343543544197</v>
      </c>
      <c r="F1675">
        <v>1.4236479008212199</v>
      </c>
      <c r="G1675">
        <v>3337.3605164461301</v>
      </c>
      <c r="H1675">
        <v>576.976184887057</v>
      </c>
      <c r="I1675">
        <v>0.57462488018563995</v>
      </c>
      <c r="J1675">
        <v>0.12597872603455601</v>
      </c>
      <c r="K1675">
        <v>0.58493760908640902</v>
      </c>
      <c r="L1675" t="s">
        <v>33</v>
      </c>
      <c r="M1675" t="s">
        <v>34</v>
      </c>
      <c r="N1675" t="s">
        <v>35</v>
      </c>
      <c r="O1675">
        <v>0.72320229580975703</v>
      </c>
      <c r="P1675" t="s">
        <v>36</v>
      </c>
    </row>
    <row r="1676" spans="1:16">
      <c r="A1676">
        <v>1675</v>
      </c>
      <c r="B1676" t="s">
        <v>1736</v>
      </c>
      <c r="C1676">
        <v>65</v>
      </c>
      <c r="D1676">
        <v>100</v>
      </c>
      <c r="E1676">
        <v>65.187705746970494</v>
      </c>
      <c r="F1676">
        <v>0.65</v>
      </c>
      <c r="G1676">
        <v>3337.5</v>
      </c>
      <c r="H1676">
        <v>376.776692271233</v>
      </c>
      <c r="I1676">
        <v>0.76648817531078295</v>
      </c>
      <c r="J1676">
        <v>0.29543577246020503</v>
      </c>
      <c r="K1676">
        <v>0.64337349397590404</v>
      </c>
      <c r="L1676" t="s">
        <v>38</v>
      </c>
      <c r="M1676" t="s">
        <v>34</v>
      </c>
      <c r="N1676" t="s">
        <v>35</v>
      </c>
      <c r="O1676">
        <v>0.73223287245404001</v>
      </c>
      <c r="P1676" t="s">
        <v>36</v>
      </c>
    </row>
    <row r="1677" spans="1:16">
      <c r="A1677">
        <v>1676</v>
      </c>
      <c r="B1677" t="s">
        <v>1737</v>
      </c>
      <c r="C1677">
        <v>85</v>
      </c>
      <c r="D1677">
        <v>50</v>
      </c>
      <c r="E1677">
        <v>65.187705746970494</v>
      </c>
      <c r="F1677">
        <v>1.7</v>
      </c>
      <c r="G1677">
        <v>3337.5</v>
      </c>
      <c r="H1677">
        <v>241.92387998104101</v>
      </c>
      <c r="I1677">
        <v>0.677981227098432</v>
      </c>
      <c r="J1677">
        <v>0.71659481291048199</v>
      </c>
      <c r="K1677">
        <v>0.94680851063829796</v>
      </c>
      <c r="L1677" t="s">
        <v>331</v>
      </c>
      <c r="M1677" t="s">
        <v>34</v>
      </c>
      <c r="N1677" t="s">
        <v>35</v>
      </c>
      <c r="O1677">
        <v>0.65783091048223796</v>
      </c>
      <c r="P1677" t="s">
        <v>36</v>
      </c>
    </row>
    <row r="1678" spans="1:16">
      <c r="A1678">
        <v>1677</v>
      </c>
      <c r="B1678" t="s">
        <v>1738</v>
      </c>
      <c r="C1678">
        <v>62</v>
      </c>
      <c r="D1678">
        <v>97</v>
      </c>
      <c r="E1678">
        <v>65.715464501873598</v>
      </c>
      <c r="F1678">
        <v>0.64038229607243002</v>
      </c>
      <c r="G1678">
        <v>3391.7594631379998</v>
      </c>
      <c r="H1678">
        <v>410.46844635299999</v>
      </c>
      <c r="I1678">
        <v>0.84704250159043504</v>
      </c>
      <c r="J1678">
        <v>0.25297368924304497</v>
      </c>
      <c r="K1678">
        <v>0.72041924485414799</v>
      </c>
      <c r="L1678" t="s">
        <v>33</v>
      </c>
      <c r="M1678" t="s">
        <v>34</v>
      </c>
      <c r="N1678" t="s">
        <v>35</v>
      </c>
      <c r="O1678">
        <v>0.67237848228584396</v>
      </c>
      <c r="P1678" t="s">
        <v>36</v>
      </c>
    </row>
    <row r="1679" spans="1:16">
      <c r="A1679">
        <v>1678</v>
      </c>
      <c r="B1679" t="s">
        <v>1739</v>
      </c>
      <c r="C1679">
        <v>68</v>
      </c>
      <c r="D1679">
        <v>64</v>
      </c>
      <c r="E1679">
        <v>65.735619529031098</v>
      </c>
      <c r="F1679">
        <v>1.0683760772934701</v>
      </c>
      <c r="G1679">
        <v>3393.84029716446</v>
      </c>
      <c r="H1679">
        <v>318.15566799868702</v>
      </c>
      <c r="I1679">
        <v>0.60856782866631698</v>
      </c>
      <c r="J1679">
        <v>0.42132956667933102</v>
      </c>
      <c r="K1679">
        <v>0.88658512910114495</v>
      </c>
      <c r="L1679" t="s">
        <v>33</v>
      </c>
      <c r="M1679" t="s">
        <v>34</v>
      </c>
      <c r="N1679" t="s">
        <v>35</v>
      </c>
      <c r="O1679">
        <v>0.67766762054989105</v>
      </c>
      <c r="P1679" t="s">
        <v>36</v>
      </c>
    </row>
    <row r="1680" spans="1:16">
      <c r="A1680">
        <v>1679</v>
      </c>
      <c r="B1680" t="s">
        <v>1740</v>
      </c>
      <c r="C1680">
        <v>91</v>
      </c>
      <c r="D1680">
        <v>62</v>
      </c>
      <c r="E1680">
        <v>66.028609103769099</v>
      </c>
      <c r="F1680">
        <v>1.4609376504606799</v>
      </c>
      <c r="G1680">
        <v>3424.1610215501</v>
      </c>
      <c r="H1680">
        <v>418.28857891497398</v>
      </c>
      <c r="I1680">
        <v>0.67909282485664901</v>
      </c>
      <c r="J1680">
        <v>0.24593029458312099</v>
      </c>
      <c r="K1680">
        <v>0.74186900238294595</v>
      </c>
      <c r="L1680" t="s">
        <v>33</v>
      </c>
      <c r="M1680" t="s">
        <v>34</v>
      </c>
      <c r="N1680" t="s">
        <v>35</v>
      </c>
      <c r="O1680">
        <v>0.68476421162544099</v>
      </c>
      <c r="P1680" t="s">
        <v>36</v>
      </c>
    </row>
    <row r="1681" spans="1:16">
      <c r="A1681">
        <v>1680</v>
      </c>
      <c r="B1681" t="s">
        <v>1741</v>
      </c>
      <c r="C1681">
        <v>103</v>
      </c>
      <c r="D1681">
        <v>103</v>
      </c>
      <c r="E1681">
        <v>66.040072404047095</v>
      </c>
      <c r="F1681">
        <v>1.0053191489361699</v>
      </c>
      <c r="G1681">
        <v>3425.3500695652201</v>
      </c>
      <c r="H1681">
        <v>860.050850758553</v>
      </c>
      <c r="I1681">
        <v>0.451427127172776</v>
      </c>
      <c r="J1681">
        <v>5.8192439973626602E-2</v>
      </c>
      <c r="K1681">
        <v>0.41147693186687601</v>
      </c>
      <c r="L1681" t="s">
        <v>33</v>
      </c>
      <c r="M1681" t="s">
        <v>34</v>
      </c>
      <c r="N1681" t="s">
        <v>35</v>
      </c>
      <c r="O1681">
        <v>0.71315778865187696</v>
      </c>
      <c r="P1681" t="s">
        <v>36</v>
      </c>
    </row>
    <row r="1682" spans="1:16">
      <c r="A1682">
        <v>1681</v>
      </c>
      <c r="B1682" t="s">
        <v>1742</v>
      </c>
      <c r="C1682">
        <v>98</v>
      </c>
      <c r="D1682">
        <v>63</v>
      </c>
      <c r="E1682">
        <v>66.640546299206804</v>
      </c>
      <c r="F1682">
        <v>1.5517240789642399</v>
      </c>
      <c r="G1682">
        <v>3487.92372136106</v>
      </c>
      <c r="H1682">
        <v>637.34697357913706</v>
      </c>
      <c r="I1682">
        <v>0.53291459726115598</v>
      </c>
      <c r="J1682">
        <v>0.107900880041834</v>
      </c>
      <c r="K1682">
        <v>0.65638285970015697</v>
      </c>
      <c r="L1682" t="s">
        <v>74</v>
      </c>
      <c r="M1682" t="s">
        <v>34</v>
      </c>
      <c r="N1682" t="s">
        <v>35</v>
      </c>
      <c r="O1682">
        <v>0.72241408585337497</v>
      </c>
      <c r="P1682" t="s">
        <v>36</v>
      </c>
    </row>
    <row r="1683" spans="1:16">
      <c r="A1683">
        <v>1682</v>
      </c>
      <c r="B1683" t="s">
        <v>1743</v>
      </c>
      <c r="C1683">
        <v>156</v>
      </c>
      <c r="D1683">
        <v>78</v>
      </c>
      <c r="E1683">
        <v>66.755457330920507</v>
      </c>
      <c r="F1683">
        <v>2.00699300848538</v>
      </c>
      <c r="G1683">
        <v>3499.9628325141798</v>
      </c>
      <c r="H1683">
        <v>990.74480284732294</v>
      </c>
      <c r="I1683">
        <v>0.62190792632865</v>
      </c>
      <c r="J1683">
        <v>4.4807394487604298E-2</v>
      </c>
      <c r="K1683">
        <v>0.40798364461693098</v>
      </c>
      <c r="L1683" t="s">
        <v>33</v>
      </c>
      <c r="M1683" t="s">
        <v>34</v>
      </c>
      <c r="N1683" t="s">
        <v>35</v>
      </c>
      <c r="O1683">
        <v>0.78894419500945401</v>
      </c>
      <c r="P1683" t="s">
        <v>36</v>
      </c>
    </row>
    <row r="1684" spans="1:16">
      <c r="A1684">
        <v>1683</v>
      </c>
      <c r="B1684" t="s">
        <v>1744</v>
      </c>
      <c r="C1684">
        <v>70</v>
      </c>
      <c r="D1684">
        <v>70</v>
      </c>
      <c r="E1684">
        <v>66.755811781245498</v>
      </c>
      <c r="F1684">
        <v>1</v>
      </c>
      <c r="G1684">
        <v>3500</v>
      </c>
      <c r="H1684">
        <v>291.42135381698603</v>
      </c>
      <c r="I1684">
        <v>0.62746209074577897</v>
      </c>
      <c r="J1684">
        <v>0.51788718610845597</v>
      </c>
      <c r="K1684">
        <v>0.83832335329341301</v>
      </c>
      <c r="L1684" t="s">
        <v>33</v>
      </c>
      <c r="M1684" t="s">
        <v>34</v>
      </c>
      <c r="N1684" t="s">
        <v>35</v>
      </c>
      <c r="O1684">
        <v>0.68831139632060401</v>
      </c>
      <c r="P1684" t="s">
        <v>36</v>
      </c>
    </row>
    <row r="1685" spans="1:16">
      <c r="A1685">
        <v>1684</v>
      </c>
      <c r="B1685" t="s">
        <v>1745</v>
      </c>
      <c r="C1685">
        <v>85</v>
      </c>
      <c r="D1685">
        <v>60</v>
      </c>
      <c r="E1685">
        <v>66.755811781245498</v>
      </c>
      <c r="F1685">
        <v>1.4166666666666701</v>
      </c>
      <c r="G1685">
        <v>3500</v>
      </c>
      <c r="H1685">
        <v>267.27921843528702</v>
      </c>
      <c r="I1685">
        <v>0.76164216874733803</v>
      </c>
      <c r="J1685">
        <v>0.615669335029434</v>
      </c>
      <c r="K1685">
        <v>0.88888888888888895</v>
      </c>
      <c r="L1685" t="s">
        <v>38</v>
      </c>
      <c r="M1685" t="s">
        <v>34</v>
      </c>
      <c r="N1685" t="s">
        <v>35</v>
      </c>
      <c r="O1685">
        <v>0.75454890562132904</v>
      </c>
      <c r="P1685" t="s">
        <v>36</v>
      </c>
    </row>
    <row r="1686" spans="1:16">
      <c r="A1686">
        <v>1685</v>
      </c>
      <c r="B1686" t="s">
        <v>1746</v>
      </c>
      <c r="C1686">
        <v>61</v>
      </c>
      <c r="D1686">
        <v>109</v>
      </c>
      <c r="E1686">
        <v>66.766795837555307</v>
      </c>
      <c r="F1686">
        <v>0.55718094740436797</v>
      </c>
      <c r="G1686">
        <v>3501.1518805292999</v>
      </c>
      <c r="H1686">
        <v>575.20159320893504</v>
      </c>
      <c r="I1686">
        <v>0.76751581841064698</v>
      </c>
      <c r="J1686">
        <v>0.132978262568797</v>
      </c>
      <c r="K1686">
        <v>0.62938520319555402</v>
      </c>
      <c r="L1686" t="s">
        <v>38</v>
      </c>
      <c r="M1686" t="s">
        <v>34</v>
      </c>
      <c r="N1686" t="s">
        <v>35</v>
      </c>
      <c r="O1686">
        <v>0.77260370976193904</v>
      </c>
      <c r="P1686" t="s">
        <v>36</v>
      </c>
    </row>
    <row r="1687" spans="1:16">
      <c r="A1687">
        <v>1686</v>
      </c>
      <c r="B1687" t="s">
        <v>1747</v>
      </c>
      <c r="C1687">
        <v>64</v>
      </c>
      <c r="D1687">
        <v>107</v>
      </c>
      <c r="E1687">
        <v>66.923919377848804</v>
      </c>
      <c r="F1687">
        <v>0.60196592824870998</v>
      </c>
      <c r="G1687">
        <v>3517.6499217391301</v>
      </c>
      <c r="H1687">
        <v>610.83446034877204</v>
      </c>
      <c r="I1687">
        <v>0.81838584748877896</v>
      </c>
      <c r="J1687">
        <v>0.11847191821848201</v>
      </c>
      <c r="K1687">
        <v>0.62685736988478302</v>
      </c>
      <c r="L1687" t="s">
        <v>38</v>
      </c>
      <c r="M1687" t="s">
        <v>34</v>
      </c>
      <c r="N1687" t="s">
        <v>35</v>
      </c>
      <c r="O1687">
        <v>0.73806625141530502</v>
      </c>
      <c r="P1687" t="s">
        <v>36</v>
      </c>
    </row>
    <row r="1688" spans="1:16">
      <c r="A1688">
        <v>1687</v>
      </c>
      <c r="B1688" t="s">
        <v>1748</v>
      </c>
      <c r="C1688">
        <v>115</v>
      </c>
      <c r="D1688">
        <v>60</v>
      </c>
      <c r="E1688">
        <v>67.112479387224496</v>
      </c>
      <c r="F1688">
        <v>1.9166666666666701</v>
      </c>
      <c r="G1688">
        <v>3537.5</v>
      </c>
      <c r="H1688">
        <v>409.20309841632798</v>
      </c>
      <c r="I1688">
        <v>0.80242841107769902</v>
      </c>
      <c r="J1688">
        <v>0.26547796848917699</v>
      </c>
      <c r="K1688">
        <v>0.65813953488372101</v>
      </c>
      <c r="L1688" t="s">
        <v>38</v>
      </c>
      <c r="M1688" t="s">
        <v>34</v>
      </c>
      <c r="N1688" t="s">
        <v>35</v>
      </c>
      <c r="O1688">
        <v>0.74989955513939299</v>
      </c>
      <c r="P1688" t="s">
        <v>36</v>
      </c>
    </row>
    <row r="1689" spans="1:16">
      <c r="A1689">
        <v>1688</v>
      </c>
      <c r="B1689" t="s">
        <v>1749</v>
      </c>
      <c r="C1689">
        <v>83</v>
      </c>
      <c r="D1689">
        <v>59</v>
      </c>
      <c r="E1689">
        <v>67.194833252084607</v>
      </c>
      <c r="F1689">
        <v>1.4074073236828999</v>
      </c>
      <c r="G1689">
        <v>3546.1870741020798</v>
      </c>
      <c r="H1689">
        <v>306.66735544028501</v>
      </c>
      <c r="I1689">
        <v>0.74047280365190904</v>
      </c>
      <c r="J1689">
        <v>0.47384511790358802</v>
      </c>
      <c r="K1689">
        <v>0.90289498580889305</v>
      </c>
      <c r="L1689" t="s">
        <v>830</v>
      </c>
      <c r="M1689" t="s">
        <v>34</v>
      </c>
      <c r="N1689" t="s">
        <v>35</v>
      </c>
      <c r="O1689">
        <v>0.81499588695096803</v>
      </c>
      <c r="P1689" t="s">
        <v>36</v>
      </c>
    </row>
    <row r="1690" spans="1:16">
      <c r="A1690">
        <v>1689</v>
      </c>
      <c r="B1690" t="s">
        <v>1750</v>
      </c>
      <c r="C1690">
        <v>103</v>
      </c>
      <c r="D1690">
        <v>69</v>
      </c>
      <c r="E1690">
        <v>67.225805751195097</v>
      </c>
      <c r="F1690">
        <v>1.4920634920634901</v>
      </c>
      <c r="G1690">
        <v>3549.4569561436701</v>
      </c>
      <c r="H1690">
        <v>558.49359078355496</v>
      </c>
      <c r="I1690">
        <v>0.66147827417702498</v>
      </c>
      <c r="J1690">
        <v>0.142999787074407</v>
      </c>
      <c r="K1690">
        <v>0.64482246523558795</v>
      </c>
      <c r="L1690" t="s">
        <v>33</v>
      </c>
      <c r="M1690" t="s">
        <v>34</v>
      </c>
      <c r="N1690" t="s">
        <v>35</v>
      </c>
      <c r="O1690">
        <v>0.69665636793846397</v>
      </c>
      <c r="P1690" t="s">
        <v>36</v>
      </c>
    </row>
    <row r="1691" spans="1:16">
      <c r="A1691">
        <v>1690</v>
      </c>
      <c r="B1691" t="s">
        <v>1751</v>
      </c>
      <c r="C1691">
        <v>68</v>
      </c>
      <c r="D1691">
        <v>82</v>
      </c>
      <c r="E1691">
        <v>67.407130846978603</v>
      </c>
      <c r="F1691">
        <v>0.82781463578879999</v>
      </c>
      <c r="G1691">
        <v>3568.63035538752</v>
      </c>
      <c r="H1691">
        <v>367.03814413236501</v>
      </c>
      <c r="I1691">
        <v>0.75112068302894597</v>
      </c>
      <c r="J1691">
        <v>0.33288101636567602</v>
      </c>
      <c r="K1691">
        <v>0.78920553528580395</v>
      </c>
      <c r="L1691" t="s">
        <v>33</v>
      </c>
      <c r="M1691" t="s">
        <v>34</v>
      </c>
      <c r="N1691" t="s">
        <v>35</v>
      </c>
      <c r="O1691">
        <v>0.70056219203238201</v>
      </c>
      <c r="P1691" t="s">
        <v>36</v>
      </c>
    </row>
    <row r="1692" spans="1:16">
      <c r="A1692">
        <v>1691</v>
      </c>
      <c r="B1692" t="s">
        <v>1752</v>
      </c>
      <c r="C1692">
        <v>74</v>
      </c>
      <c r="D1692">
        <v>69</v>
      </c>
      <c r="E1692">
        <v>67.5739682899722</v>
      </c>
      <c r="F1692">
        <v>1.07816374328695</v>
      </c>
      <c r="G1692">
        <v>3586.3174446124799</v>
      </c>
      <c r="H1692">
        <v>340.81291214891098</v>
      </c>
      <c r="I1692">
        <v>0.72356641609189398</v>
      </c>
      <c r="J1692">
        <v>0.387995342435209</v>
      </c>
      <c r="K1692">
        <v>0.85676241877640902</v>
      </c>
      <c r="L1692" t="s">
        <v>38</v>
      </c>
      <c r="M1692" t="s">
        <v>34</v>
      </c>
      <c r="N1692" t="s">
        <v>35</v>
      </c>
      <c r="O1692">
        <v>0.73592541484067997</v>
      </c>
      <c r="P1692" t="s">
        <v>36</v>
      </c>
    </row>
    <row r="1693" spans="1:16">
      <c r="A1693">
        <v>1692</v>
      </c>
      <c r="B1693" t="s">
        <v>1753</v>
      </c>
      <c r="C1693">
        <v>68</v>
      </c>
      <c r="D1693">
        <v>74</v>
      </c>
      <c r="E1693">
        <v>67.606166704268304</v>
      </c>
      <c r="F1693">
        <v>0.92592602220911602</v>
      </c>
      <c r="G1693">
        <v>3589.7359576559602</v>
      </c>
      <c r="H1693">
        <v>276.37706781179998</v>
      </c>
      <c r="I1693">
        <v>0.77644925695479505</v>
      </c>
      <c r="J1693">
        <v>0.59056589023717498</v>
      </c>
      <c r="K1693">
        <v>0.91253258775078405</v>
      </c>
      <c r="L1693" t="s">
        <v>61</v>
      </c>
      <c r="M1693" t="s">
        <v>34</v>
      </c>
      <c r="N1693" t="s">
        <v>35</v>
      </c>
      <c r="O1693">
        <v>0.76736057172935801</v>
      </c>
      <c r="P1693" t="s">
        <v>36</v>
      </c>
    </row>
    <row r="1694" spans="1:16">
      <c r="A1694">
        <v>1693</v>
      </c>
      <c r="B1694" t="s">
        <v>1754</v>
      </c>
      <c r="C1694">
        <v>77</v>
      </c>
      <c r="D1694">
        <v>87</v>
      </c>
      <c r="E1694">
        <v>67.740394831198302</v>
      </c>
      <c r="F1694">
        <v>0.88749999999999996</v>
      </c>
      <c r="G1694">
        <v>3604.0045338374298</v>
      </c>
      <c r="H1694">
        <v>536.81718701424802</v>
      </c>
      <c r="I1694">
        <v>0.72786967204559305</v>
      </c>
      <c r="J1694">
        <v>0.15716012614056901</v>
      </c>
      <c r="K1694">
        <v>0.68068382786402004</v>
      </c>
      <c r="L1694" t="s">
        <v>33</v>
      </c>
      <c r="M1694" t="s">
        <v>34</v>
      </c>
      <c r="N1694" t="s">
        <v>35</v>
      </c>
      <c r="O1694">
        <v>0.65735740430796696</v>
      </c>
      <c r="P1694" t="s">
        <v>36</v>
      </c>
    </row>
    <row r="1695" spans="1:16">
      <c r="A1695">
        <v>1694</v>
      </c>
      <c r="B1695" t="s">
        <v>1755</v>
      </c>
      <c r="C1695">
        <v>82</v>
      </c>
      <c r="D1695">
        <v>73</v>
      </c>
      <c r="E1695">
        <v>67.785078473808696</v>
      </c>
      <c r="F1695">
        <v>1.12686567164179</v>
      </c>
      <c r="G1695">
        <v>3608.7607258979201</v>
      </c>
      <c r="H1695">
        <v>583.17671513495202</v>
      </c>
      <c r="I1695">
        <v>0.70001939063042395</v>
      </c>
      <c r="J1695">
        <v>0.13334219535535499</v>
      </c>
      <c r="K1695">
        <v>0.70197756447322801</v>
      </c>
      <c r="L1695" t="s">
        <v>38</v>
      </c>
      <c r="M1695" t="s">
        <v>34</v>
      </c>
      <c r="N1695" t="s">
        <v>35</v>
      </c>
      <c r="O1695">
        <v>0.682013600757992</v>
      </c>
      <c r="P1695" t="s">
        <v>36</v>
      </c>
    </row>
    <row r="1696" spans="1:16">
      <c r="A1696">
        <v>1695</v>
      </c>
      <c r="B1696" t="s">
        <v>1756</v>
      </c>
      <c r="C1696">
        <v>65</v>
      </c>
      <c r="D1696">
        <v>75</v>
      </c>
      <c r="E1696">
        <v>67.820187668243605</v>
      </c>
      <c r="F1696">
        <v>0.86666666666666703</v>
      </c>
      <c r="G1696">
        <v>3612.5</v>
      </c>
      <c r="H1696">
        <v>236.06601536273999</v>
      </c>
      <c r="I1696">
        <v>0.61659820832073498</v>
      </c>
      <c r="J1696">
        <v>0.81461195769246997</v>
      </c>
      <c r="K1696">
        <v>0.94136807817589596</v>
      </c>
      <c r="L1696" t="s">
        <v>33</v>
      </c>
      <c r="M1696" t="s">
        <v>34</v>
      </c>
      <c r="N1696" t="s">
        <v>35</v>
      </c>
      <c r="O1696">
        <v>0.73391825159820301</v>
      </c>
      <c r="P1696" t="s">
        <v>36</v>
      </c>
    </row>
    <row r="1697" spans="1:16">
      <c r="A1697">
        <v>1696</v>
      </c>
      <c r="B1697" t="s">
        <v>1757</v>
      </c>
      <c r="C1697">
        <v>95</v>
      </c>
      <c r="D1697">
        <v>66</v>
      </c>
      <c r="E1697">
        <v>68.049783312253695</v>
      </c>
      <c r="F1697">
        <v>1.4421992311466401</v>
      </c>
      <c r="G1697">
        <v>3637.0006162570899</v>
      </c>
      <c r="H1697">
        <v>351.772057175844</v>
      </c>
      <c r="I1697">
        <v>0.58474856222877702</v>
      </c>
      <c r="J1697">
        <v>0.36934358607597001</v>
      </c>
      <c r="K1697">
        <v>0.79293583927414102</v>
      </c>
      <c r="L1697" t="s">
        <v>38</v>
      </c>
      <c r="M1697" t="s">
        <v>34</v>
      </c>
      <c r="N1697" t="s">
        <v>35</v>
      </c>
      <c r="O1697">
        <v>0.72541970307853998</v>
      </c>
      <c r="P1697" t="s">
        <v>36</v>
      </c>
    </row>
    <row r="1698" spans="1:16">
      <c r="A1698">
        <v>1697</v>
      </c>
      <c r="B1698" t="s">
        <v>1758</v>
      </c>
      <c r="C1698">
        <v>71</v>
      </c>
      <c r="D1698">
        <v>85</v>
      </c>
      <c r="E1698">
        <v>68.098432502268295</v>
      </c>
      <c r="F1698">
        <v>0.83784373740598606</v>
      </c>
      <c r="G1698">
        <v>3642.20270132325</v>
      </c>
      <c r="H1698">
        <v>321.63124967709803</v>
      </c>
      <c r="I1698">
        <v>0.67808625932198796</v>
      </c>
      <c r="J1698">
        <v>0.44244317464937799</v>
      </c>
      <c r="K1698">
        <v>0.82500084166582499</v>
      </c>
      <c r="L1698" t="s">
        <v>33</v>
      </c>
      <c r="M1698" t="s">
        <v>34</v>
      </c>
      <c r="N1698" t="s">
        <v>35</v>
      </c>
      <c r="O1698">
        <v>0.68645526564415005</v>
      </c>
      <c r="P1698" t="s">
        <v>36</v>
      </c>
    </row>
    <row r="1699" spans="1:16">
      <c r="A1699">
        <v>1698</v>
      </c>
      <c r="B1699" t="s">
        <v>1759</v>
      </c>
      <c r="C1699">
        <v>71</v>
      </c>
      <c r="D1699">
        <v>111</v>
      </c>
      <c r="E1699">
        <v>68.147046962339502</v>
      </c>
      <c r="F1699">
        <v>0.64031830935544998</v>
      </c>
      <c r="G1699">
        <v>3647.4047863894102</v>
      </c>
      <c r="H1699">
        <v>729.41786564889196</v>
      </c>
      <c r="I1699">
        <v>0.790906742201123</v>
      </c>
      <c r="J1699">
        <v>8.6147173967771704E-2</v>
      </c>
      <c r="K1699">
        <v>0.57647583922572798</v>
      </c>
      <c r="L1699" t="s">
        <v>298</v>
      </c>
      <c r="M1699" t="s">
        <v>34</v>
      </c>
      <c r="N1699" t="s">
        <v>35</v>
      </c>
      <c r="O1699">
        <v>0.738897745833069</v>
      </c>
      <c r="P1699" t="s">
        <v>36</v>
      </c>
    </row>
    <row r="1700" spans="1:16">
      <c r="A1700">
        <v>1699</v>
      </c>
      <c r="B1700" t="s">
        <v>1760</v>
      </c>
      <c r="C1700">
        <v>72</v>
      </c>
      <c r="D1700">
        <v>70</v>
      </c>
      <c r="E1700">
        <v>68.569228410325096</v>
      </c>
      <c r="F1700">
        <v>1.0307121407355999</v>
      </c>
      <c r="G1700">
        <v>3692.73724196597</v>
      </c>
      <c r="H1700">
        <v>266.27036428710699</v>
      </c>
      <c r="I1700">
        <v>0.68056575409458597</v>
      </c>
      <c r="J1700">
        <v>0.65450445274941804</v>
      </c>
      <c r="K1700">
        <v>0.90243725255166896</v>
      </c>
      <c r="L1700" t="s">
        <v>33</v>
      </c>
      <c r="M1700" t="s">
        <v>34</v>
      </c>
      <c r="N1700" t="s">
        <v>35</v>
      </c>
      <c r="O1700">
        <v>0.74260192563737004</v>
      </c>
      <c r="P1700" t="s">
        <v>36</v>
      </c>
    </row>
    <row r="1701" spans="1:16">
      <c r="A1701">
        <v>1700</v>
      </c>
      <c r="B1701" t="s">
        <v>1761</v>
      </c>
      <c r="C1701">
        <v>127</v>
      </c>
      <c r="D1701">
        <v>63</v>
      </c>
      <c r="E1701">
        <v>68.667134267414596</v>
      </c>
      <c r="F1701">
        <v>2.0086206896551699</v>
      </c>
      <c r="G1701">
        <v>3703.2900431001899</v>
      </c>
      <c r="H1701">
        <v>589.65512439126599</v>
      </c>
      <c r="I1701">
        <v>0.81088939143598604</v>
      </c>
      <c r="J1701">
        <v>0.13384477971425501</v>
      </c>
      <c r="K1701">
        <v>0.62985995247484705</v>
      </c>
      <c r="L1701" t="s">
        <v>38</v>
      </c>
      <c r="M1701" t="s">
        <v>34</v>
      </c>
      <c r="N1701" t="s">
        <v>35</v>
      </c>
      <c r="O1701">
        <v>0.79724835612342504</v>
      </c>
      <c r="P1701" t="s">
        <v>36</v>
      </c>
    </row>
    <row r="1702" spans="1:16">
      <c r="A1702">
        <v>1701</v>
      </c>
      <c r="B1702" t="s">
        <v>1762</v>
      </c>
      <c r="C1702">
        <v>97</v>
      </c>
      <c r="D1702">
        <v>67</v>
      </c>
      <c r="E1702">
        <v>68.682290294224501</v>
      </c>
      <c r="F1702">
        <v>1.43810709205761</v>
      </c>
      <c r="G1702">
        <v>3704.9249841209798</v>
      </c>
      <c r="H1702">
        <v>393.79254364728899</v>
      </c>
      <c r="I1702">
        <v>0.75729723517016201</v>
      </c>
      <c r="J1702">
        <v>0.30023015172698397</v>
      </c>
      <c r="K1702">
        <v>0.74573685155268399</v>
      </c>
      <c r="L1702" t="s">
        <v>33</v>
      </c>
      <c r="M1702" t="s">
        <v>34</v>
      </c>
      <c r="N1702" t="s">
        <v>35</v>
      </c>
      <c r="O1702">
        <v>0.67257247955229604</v>
      </c>
      <c r="P1702" t="s">
        <v>36</v>
      </c>
    </row>
    <row r="1703" spans="1:16">
      <c r="A1703">
        <v>1702</v>
      </c>
      <c r="B1703" t="s">
        <v>1763</v>
      </c>
      <c r="C1703">
        <v>85</v>
      </c>
      <c r="D1703">
        <v>78</v>
      </c>
      <c r="E1703">
        <v>68.687800747562505</v>
      </c>
      <c r="F1703">
        <v>1.0885639241367699</v>
      </c>
      <c r="G1703">
        <v>3705.5195081285501</v>
      </c>
      <c r="H1703">
        <v>421.50508606195501</v>
      </c>
      <c r="I1703">
        <v>0.82046199286111898</v>
      </c>
      <c r="J1703">
        <v>0.26209173710011202</v>
      </c>
      <c r="K1703">
        <v>0.73647051872858305</v>
      </c>
      <c r="L1703" t="s">
        <v>38</v>
      </c>
      <c r="M1703" t="s">
        <v>34</v>
      </c>
      <c r="N1703" t="s">
        <v>35</v>
      </c>
      <c r="O1703">
        <v>0.874922570295668</v>
      </c>
      <c r="P1703" t="s">
        <v>36</v>
      </c>
    </row>
    <row r="1704" spans="1:16">
      <c r="A1704">
        <v>1703</v>
      </c>
      <c r="B1704" t="s">
        <v>1764</v>
      </c>
      <c r="C1704">
        <v>99</v>
      </c>
      <c r="D1704">
        <v>61</v>
      </c>
      <c r="E1704">
        <v>68.724984750851107</v>
      </c>
      <c r="F1704">
        <v>1.6312778377000501</v>
      </c>
      <c r="G1704">
        <v>3709.5325451795802</v>
      </c>
      <c r="H1704">
        <v>451.79537369043902</v>
      </c>
      <c r="I1704">
        <v>0.65970637392619702</v>
      </c>
      <c r="J1704">
        <v>0.22837338580722</v>
      </c>
      <c r="K1704">
        <v>0.74063742655350495</v>
      </c>
      <c r="L1704" t="s">
        <v>38</v>
      </c>
      <c r="M1704" t="s">
        <v>34</v>
      </c>
      <c r="N1704" t="s">
        <v>35</v>
      </c>
      <c r="O1704">
        <v>0.75096654101137295</v>
      </c>
      <c r="P1704" t="s">
        <v>36</v>
      </c>
    </row>
    <row r="1705" spans="1:16">
      <c r="A1705">
        <v>1704</v>
      </c>
      <c r="B1705" t="s">
        <v>1765</v>
      </c>
      <c r="C1705">
        <v>83</v>
      </c>
      <c r="D1705">
        <v>93</v>
      </c>
      <c r="E1705">
        <v>68.808919073218505</v>
      </c>
      <c r="F1705">
        <v>0.89411764705882402</v>
      </c>
      <c r="G1705">
        <v>3718.5990362949001</v>
      </c>
      <c r="H1705">
        <v>673.51841048893698</v>
      </c>
      <c r="I1705">
        <v>0.58231690967976601</v>
      </c>
      <c r="J1705">
        <v>0.103012582101823</v>
      </c>
      <c r="K1705">
        <v>0.61429483402082097</v>
      </c>
      <c r="L1705" t="s">
        <v>38</v>
      </c>
      <c r="M1705" t="s">
        <v>34</v>
      </c>
      <c r="N1705" t="s">
        <v>35</v>
      </c>
      <c r="O1705">
        <v>0.79086421835257703</v>
      </c>
      <c r="P1705" t="s">
        <v>36</v>
      </c>
    </row>
    <row r="1706" spans="1:16">
      <c r="A1706">
        <v>1705</v>
      </c>
      <c r="B1706" t="s">
        <v>1766</v>
      </c>
      <c r="C1706">
        <v>84</v>
      </c>
      <c r="D1706">
        <v>86</v>
      </c>
      <c r="E1706">
        <v>68.931197286727794</v>
      </c>
      <c r="F1706">
        <v>0.97784636102929801</v>
      </c>
      <c r="G1706">
        <v>3731.82719546314</v>
      </c>
      <c r="H1706">
        <v>639.39555126148696</v>
      </c>
      <c r="I1706">
        <v>0.54088865293618005</v>
      </c>
      <c r="J1706">
        <v>0.114707593551385</v>
      </c>
      <c r="K1706">
        <v>0.65479201982005497</v>
      </c>
      <c r="L1706" t="s">
        <v>33</v>
      </c>
      <c r="M1706" t="s">
        <v>34</v>
      </c>
      <c r="N1706" t="s">
        <v>35</v>
      </c>
      <c r="O1706">
        <v>0.75744093496632803</v>
      </c>
      <c r="P1706" t="s">
        <v>36</v>
      </c>
    </row>
    <row r="1707" spans="1:16">
      <c r="A1707">
        <v>1706</v>
      </c>
      <c r="B1707" t="s">
        <v>1767</v>
      </c>
      <c r="C1707">
        <v>89</v>
      </c>
      <c r="D1707">
        <v>71</v>
      </c>
      <c r="E1707">
        <v>69.017622823016396</v>
      </c>
      <c r="F1707">
        <v>1.2486110469012</v>
      </c>
      <c r="G1707">
        <v>3741.1909485822298</v>
      </c>
      <c r="H1707">
        <v>389.16622075112002</v>
      </c>
      <c r="I1707">
        <v>0.76349844696926406</v>
      </c>
      <c r="J1707">
        <v>0.310419836033545</v>
      </c>
      <c r="K1707">
        <v>0.74978403979625297</v>
      </c>
      <c r="L1707" t="s">
        <v>33</v>
      </c>
      <c r="M1707" t="s">
        <v>34</v>
      </c>
      <c r="N1707" t="s">
        <v>35</v>
      </c>
      <c r="O1707">
        <v>0.66805210173197005</v>
      </c>
      <c r="P1707" t="s">
        <v>36</v>
      </c>
    </row>
    <row r="1708" spans="1:16">
      <c r="A1708">
        <v>1707</v>
      </c>
      <c r="B1708" t="s">
        <v>1768</v>
      </c>
      <c r="C1708">
        <v>92</v>
      </c>
      <c r="D1708">
        <v>59</v>
      </c>
      <c r="E1708">
        <v>69.098829894267098</v>
      </c>
      <c r="F1708">
        <v>1.5593218273992899</v>
      </c>
      <c r="G1708">
        <v>3750</v>
      </c>
      <c r="H1708">
        <v>271.42135381698603</v>
      </c>
      <c r="I1708">
        <v>0.72852056285018796</v>
      </c>
      <c r="J1708">
        <v>0.63966576376892303</v>
      </c>
      <c r="K1708">
        <v>0.89020771513353103</v>
      </c>
      <c r="L1708" t="s">
        <v>38</v>
      </c>
      <c r="M1708" t="s">
        <v>34</v>
      </c>
      <c r="N1708" t="s">
        <v>35</v>
      </c>
      <c r="O1708">
        <v>0.77649271323981095</v>
      </c>
      <c r="P1708" t="s">
        <v>36</v>
      </c>
    </row>
    <row r="1709" spans="1:16">
      <c r="A1709">
        <v>1708</v>
      </c>
      <c r="B1709" t="s">
        <v>1769</v>
      </c>
      <c r="C1709">
        <v>107</v>
      </c>
      <c r="D1709">
        <v>100</v>
      </c>
      <c r="E1709">
        <v>69.138163358799403</v>
      </c>
      <c r="F1709">
        <v>1.0765027322404399</v>
      </c>
      <c r="G1709">
        <v>3754.2704767485802</v>
      </c>
      <c r="H1709">
        <v>778.99617769065105</v>
      </c>
      <c r="I1709">
        <v>0.31821247899743299</v>
      </c>
      <c r="J1709">
        <v>7.7743621758882706E-2</v>
      </c>
      <c r="K1709">
        <v>0.462814005899921</v>
      </c>
      <c r="L1709" t="s">
        <v>33</v>
      </c>
      <c r="M1709" t="s">
        <v>34</v>
      </c>
      <c r="N1709" t="s">
        <v>35</v>
      </c>
      <c r="O1709">
        <v>0.73677316266641302</v>
      </c>
      <c r="P1709" t="s">
        <v>36</v>
      </c>
    </row>
    <row r="1710" spans="1:16">
      <c r="A1710">
        <v>1709</v>
      </c>
      <c r="B1710" t="s">
        <v>1770</v>
      </c>
      <c r="C1710">
        <v>84</v>
      </c>
      <c r="D1710">
        <v>118</v>
      </c>
      <c r="E1710">
        <v>69.232531302859897</v>
      </c>
      <c r="F1710">
        <v>0.70967737852560697</v>
      </c>
      <c r="G1710">
        <v>3764.5260158790202</v>
      </c>
      <c r="H1710">
        <v>581.42320470789195</v>
      </c>
      <c r="I1710">
        <v>0.82098103248185506</v>
      </c>
      <c r="J1710">
        <v>0.139937930097357</v>
      </c>
      <c r="K1710">
        <v>0.59198317167231496</v>
      </c>
      <c r="L1710" t="s">
        <v>33</v>
      </c>
      <c r="M1710" t="s">
        <v>34</v>
      </c>
      <c r="N1710" t="s">
        <v>35</v>
      </c>
      <c r="O1710">
        <v>0.72438527519252405</v>
      </c>
      <c r="P1710" t="s">
        <v>36</v>
      </c>
    </row>
    <row r="1711" spans="1:16">
      <c r="A1711">
        <v>1710</v>
      </c>
      <c r="B1711" t="s">
        <v>1771</v>
      </c>
      <c r="C1711">
        <v>82</v>
      </c>
      <c r="D1711">
        <v>105</v>
      </c>
      <c r="E1711">
        <v>69.300833574066701</v>
      </c>
      <c r="F1711">
        <v>0.77720203730956405</v>
      </c>
      <c r="G1711">
        <v>3771.9575659735401</v>
      </c>
      <c r="H1711">
        <v>665.27708856707</v>
      </c>
      <c r="I1711">
        <v>0.66532167895422101</v>
      </c>
      <c r="J1711">
        <v>0.10709557532234699</v>
      </c>
      <c r="K1711">
        <v>0.54789611174679897</v>
      </c>
      <c r="L1711" t="s">
        <v>38</v>
      </c>
      <c r="M1711" t="s">
        <v>34</v>
      </c>
      <c r="N1711" t="s">
        <v>35</v>
      </c>
      <c r="O1711">
        <v>0.77156898448530398</v>
      </c>
      <c r="P1711" t="s">
        <v>36</v>
      </c>
    </row>
    <row r="1712" spans="1:16">
      <c r="A1712">
        <v>1711</v>
      </c>
      <c r="B1712" t="s">
        <v>1772</v>
      </c>
      <c r="C1712">
        <v>103</v>
      </c>
      <c r="D1712">
        <v>78</v>
      </c>
      <c r="E1712">
        <v>69.375888404152505</v>
      </c>
      <c r="F1712">
        <v>1.3146853146853099</v>
      </c>
      <c r="G1712">
        <v>3780.1322710775098</v>
      </c>
      <c r="H1712">
        <v>657.34897783352005</v>
      </c>
      <c r="I1712">
        <v>0.69244784350045296</v>
      </c>
      <c r="J1712">
        <v>0.109932189210576</v>
      </c>
      <c r="K1712">
        <v>0.62122618466047896</v>
      </c>
      <c r="L1712" t="s">
        <v>38</v>
      </c>
      <c r="M1712" t="s">
        <v>34</v>
      </c>
      <c r="N1712" t="s">
        <v>35</v>
      </c>
      <c r="O1712">
        <v>0.69121319435399697</v>
      </c>
      <c r="P1712" t="s">
        <v>36</v>
      </c>
    </row>
    <row r="1713" spans="1:16">
      <c r="A1713">
        <v>1712</v>
      </c>
      <c r="B1713" t="s">
        <v>1773</v>
      </c>
      <c r="C1713">
        <v>126</v>
      </c>
      <c r="D1713">
        <v>69</v>
      </c>
      <c r="E1713">
        <v>69.488999489180998</v>
      </c>
      <c r="F1713">
        <v>1.84126982204738</v>
      </c>
      <c r="G1713">
        <v>3792.46864423441</v>
      </c>
      <c r="H1713">
        <v>843.242656169974</v>
      </c>
      <c r="I1713">
        <v>0.690241575833624</v>
      </c>
      <c r="J1713">
        <v>6.7023442041668102E-2</v>
      </c>
      <c r="K1713">
        <v>0.54869578306775901</v>
      </c>
      <c r="L1713" t="s">
        <v>33</v>
      </c>
      <c r="M1713" t="s">
        <v>34</v>
      </c>
      <c r="N1713" t="s">
        <v>35</v>
      </c>
      <c r="O1713">
        <v>0.71575406664235497</v>
      </c>
      <c r="P1713" t="s">
        <v>36</v>
      </c>
    </row>
    <row r="1714" spans="1:16">
      <c r="A1714">
        <v>1713</v>
      </c>
      <c r="B1714" t="s">
        <v>1774</v>
      </c>
      <c r="C1714">
        <v>77</v>
      </c>
      <c r="D1714">
        <v>112</v>
      </c>
      <c r="E1714">
        <v>69.503976300413001</v>
      </c>
      <c r="F1714">
        <v>0.68932038834951503</v>
      </c>
      <c r="G1714">
        <v>3794.1035852552</v>
      </c>
      <c r="H1714">
        <v>611.62821164597597</v>
      </c>
      <c r="I1714">
        <v>0.60585276380865805</v>
      </c>
      <c r="J1714">
        <v>0.12745122944434201</v>
      </c>
      <c r="K1714">
        <v>0.58583100013769696</v>
      </c>
      <c r="L1714" t="s">
        <v>33</v>
      </c>
      <c r="M1714" t="s">
        <v>34</v>
      </c>
      <c r="N1714" t="s">
        <v>35</v>
      </c>
      <c r="O1714">
        <v>0.67853516714300499</v>
      </c>
      <c r="P1714" t="s">
        <v>36</v>
      </c>
    </row>
    <row r="1715" spans="1:16">
      <c r="A1715">
        <v>1714</v>
      </c>
      <c r="B1715" t="s">
        <v>1775</v>
      </c>
      <c r="C1715">
        <v>66</v>
      </c>
      <c r="D1715">
        <v>74</v>
      </c>
      <c r="E1715">
        <v>69.509421613512899</v>
      </c>
      <c r="F1715">
        <v>0.89789088531623995</v>
      </c>
      <c r="G1715">
        <v>3794.6981092627602</v>
      </c>
      <c r="H1715">
        <v>242.65497723714199</v>
      </c>
      <c r="I1715">
        <v>0.68387035477757896</v>
      </c>
      <c r="J1715">
        <v>0.80985764696261198</v>
      </c>
      <c r="K1715">
        <v>0.95869475423378803</v>
      </c>
      <c r="L1715" t="s">
        <v>38</v>
      </c>
      <c r="M1715" t="s">
        <v>34</v>
      </c>
      <c r="N1715" t="s">
        <v>35</v>
      </c>
      <c r="O1715">
        <v>0.81369491586904896</v>
      </c>
      <c r="P1715" t="s">
        <v>36</v>
      </c>
    </row>
    <row r="1716" spans="1:16">
      <c r="A1716">
        <v>1715</v>
      </c>
      <c r="B1716" t="s">
        <v>1776</v>
      </c>
      <c r="C1716">
        <v>93</v>
      </c>
      <c r="D1716">
        <v>74</v>
      </c>
      <c r="E1716">
        <v>69.531198601433502</v>
      </c>
      <c r="F1716">
        <v>1.2666667269483201</v>
      </c>
      <c r="G1716">
        <v>3797.0762052930099</v>
      </c>
      <c r="H1716">
        <v>604.66602982054599</v>
      </c>
      <c r="I1716">
        <v>0.67218186072972697</v>
      </c>
      <c r="J1716">
        <v>0.13050526597860801</v>
      </c>
      <c r="K1716">
        <v>0.66021449799715703</v>
      </c>
      <c r="L1716" t="s">
        <v>38</v>
      </c>
      <c r="M1716" t="s">
        <v>34</v>
      </c>
      <c r="N1716" t="s">
        <v>35</v>
      </c>
      <c r="O1716">
        <v>0.78072333728821597</v>
      </c>
      <c r="P1716" t="s">
        <v>36</v>
      </c>
    </row>
    <row r="1717" spans="1:16">
      <c r="A1717">
        <v>1716</v>
      </c>
      <c r="B1717" t="s">
        <v>1777</v>
      </c>
      <c r="C1717">
        <v>82</v>
      </c>
      <c r="D1717">
        <v>82</v>
      </c>
      <c r="E1717">
        <v>69.8814155494902</v>
      </c>
      <c r="F1717">
        <v>1.0013262396829901</v>
      </c>
      <c r="G1717">
        <v>3835.4230037807201</v>
      </c>
      <c r="H1717">
        <v>405.14856432282397</v>
      </c>
      <c r="I1717">
        <v>0.57661867148205304</v>
      </c>
      <c r="J1717">
        <v>0.29362601033146002</v>
      </c>
      <c r="K1717">
        <v>0.76876098549170302</v>
      </c>
      <c r="L1717" t="s">
        <v>38</v>
      </c>
      <c r="M1717" t="s">
        <v>34</v>
      </c>
      <c r="N1717" t="s">
        <v>35</v>
      </c>
      <c r="O1717">
        <v>0.76790951856131295</v>
      </c>
      <c r="P1717" t="s">
        <v>36</v>
      </c>
    </row>
    <row r="1718" spans="1:16">
      <c r="A1718">
        <v>1717</v>
      </c>
      <c r="B1718" t="s">
        <v>1778</v>
      </c>
      <c r="C1718">
        <v>96</v>
      </c>
      <c r="D1718">
        <v>68</v>
      </c>
      <c r="E1718">
        <v>70.220454280535805</v>
      </c>
      <c r="F1718">
        <v>1.4027565379370699</v>
      </c>
      <c r="G1718">
        <v>3872.7293852552002</v>
      </c>
      <c r="H1718">
        <v>452.62122470731299</v>
      </c>
      <c r="I1718">
        <v>0.60336129598408195</v>
      </c>
      <c r="J1718">
        <v>0.237551175621735</v>
      </c>
      <c r="K1718">
        <v>0.77589184682270296</v>
      </c>
      <c r="L1718" t="s">
        <v>38</v>
      </c>
      <c r="M1718" t="s">
        <v>34</v>
      </c>
      <c r="N1718" t="s">
        <v>35</v>
      </c>
      <c r="O1718">
        <v>0.82249982951324996</v>
      </c>
      <c r="P1718" t="s">
        <v>36</v>
      </c>
    </row>
    <row r="1719" spans="1:16">
      <c r="A1719">
        <v>1718</v>
      </c>
      <c r="B1719" t="s">
        <v>1779</v>
      </c>
      <c r="C1719">
        <v>142</v>
      </c>
      <c r="D1719">
        <v>76</v>
      </c>
      <c r="E1719">
        <v>70.548475954090193</v>
      </c>
      <c r="F1719">
        <v>1.86666679834316</v>
      </c>
      <c r="G1719">
        <v>3908.9953497164502</v>
      </c>
      <c r="H1719">
        <v>687.45217637829205</v>
      </c>
      <c r="I1719">
        <v>0.72899524825677597</v>
      </c>
      <c r="J1719">
        <v>0.10394175260418299</v>
      </c>
      <c r="K1719">
        <v>0.55756959019695096</v>
      </c>
      <c r="L1719" t="s">
        <v>38</v>
      </c>
      <c r="M1719" t="s">
        <v>34</v>
      </c>
      <c r="N1719" t="s">
        <v>35</v>
      </c>
      <c r="O1719">
        <v>0.68223580005228501</v>
      </c>
      <c r="P1719" t="s">
        <v>36</v>
      </c>
    </row>
    <row r="1720" spans="1:16">
      <c r="A1720">
        <v>1719</v>
      </c>
      <c r="B1720" t="s">
        <v>1780</v>
      </c>
      <c r="C1720">
        <v>101</v>
      </c>
      <c r="D1720">
        <v>54</v>
      </c>
      <c r="E1720">
        <v>70.726634028814303</v>
      </c>
      <c r="F1720">
        <v>1.8584904667628099</v>
      </c>
      <c r="G1720">
        <v>3928.7632729678598</v>
      </c>
      <c r="H1720">
        <v>372.89497970239</v>
      </c>
      <c r="I1720">
        <v>0.55456207046065598</v>
      </c>
      <c r="J1720">
        <v>0.35505256324504503</v>
      </c>
      <c r="K1720">
        <v>0.88092381523695296</v>
      </c>
      <c r="L1720" t="s">
        <v>47</v>
      </c>
      <c r="M1720" t="s">
        <v>34</v>
      </c>
      <c r="N1720" t="s">
        <v>35</v>
      </c>
      <c r="O1720">
        <v>0.87293343524337896</v>
      </c>
      <c r="P1720" t="s">
        <v>36</v>
      </c>
    </row>
    <row r="1721" spans="1:16">
      <c r="A1721">
        <v>1720</v>
      </c>
      <c r="B1721" t="s">
        <v>1781</v>
      </c>
      <c r="C1721">
        <v>59</v>
      </c>
      <c r="D1721">
        <v>97</v>
      </c>
      <c r="E1721">
        <v>70.911016612319997</v>
      </c>
      <c r="F1721">
        <v>0.61396372297046298</v>
      </c>
      <c r="G1721">
        <v>3949.2743512287302</v>
      </c>
      <c r="H1721">
        <v>365.97040683093297</v>
      </c>
      <c r="I1721">
        <v>0.70732009409742402</v>
      </c>
      <c r="J1721">
        <v>0.37054011425239303</v>
      </c>
      <c r="K1721">
        <v>0.87488064271838295</v>
      </c>
      <c r="L1721" t="s">
        <v>298</v>
      </c>
      <c r="M1721" t="s">
        <v>34</v>
      </c>
      <c r="N1721" t="s">
        <v>35</v>
      </c>
      <c r="O1721">
        <v>0.66846068713923101</v>
      </c>
      <c r="P1721" t="s">
        <v>36</v>
      </c>
    </row>
    <row r="1722" spans="1:16">
      <c r="A1722">
        <v>1721</v>
      </c>
      <c r="B1722" t="s">
        <v>1782</v>
      </c>
      <c r="C1722">
        <v>113</v>
      </c>
      <c r="D1722">
        <v>92</v>
      </c>
      <c r="E1722">
        <v>71.218588723544698</v>
      </c>
      <c r="F1722">
        <v>1.2308194230943099</v>
      </c>
      <c r="G1722">
        <v>3983.6081126654099</v>
      </c>
      <c r="H1722">
        <v>697.26608942176995</v>
      </c>
      <c r="I1722">
        <v>0.63458877809173797</v>
      </c>
      <c r="J1722">
        <v>0.102964942988146</v>
      </c>
      <c r="K1722">
        <v>0.50905982905982905</v>
      </c>
      <c r="L1722" t="s">
        <v>33</v>
      </c>
      <c r="M1722" t="s">
        <v>34</v>
      </c>
      <c r="N1722" t="s">
        <v>35</v>
      </c>
      <c r="O1722">
        <v>0.68938739788627901</v>
      </c>
      <c r="P1722" t="s">
        <v>36</v>
      </c>
    </row>
    <row r="1723" spans="1:16">
      <c r="A1723">
        <v>1722</v>
      </c>
      <c r="B1723" t="s">
        <v>1783</v>
      </c>
      <c r="C1723">
        <v>181</v>
      </c>
      <c r="D1723">
        <v>58</v>
      </c>
      <c r="E1723">
        <v>71.361933897876497</v>
      </c>
      <c r="F1723">
        <v>3.10280361037261</v>
      </c>
      <c r="G1723">
        <v>3999.6602608695698</v>
      </c>
      <c r="H1723">
        <v>1066.49839836204</v>
      </c>
      <c r="I1723">
        <v>0.85925270567743095</v>
      </c>
      <c r="J1723">
        <v>4.4188835000845299E-2</v>
      </c>
      <c r="K1723">
        <v>0.436687600408938</v>
      </c>
      <c r="L1723" t="s">
        <v>33</v>
      </c>
      <c r="M1723" t="s">
        <v>34</v>
      </c>
      <c r="N1723" t="s">
        <v>35</v>
      </c>
      <c r="O1723">
        <v>0.714252453121061</v>
      </c>
      <c r="P1723" t="s">
        <v>36</v>
      </c>
    </row>
    <row r="1724" spans="1:16">
      <c r="A1724">
        <v>1723</v>
      </c>
      <c r="B1724" t="s">
        <v>1784</v>
      </c>
      <c r="C1724">
        <v>106</v>
      </c>
      <c r="D1724">
        <v>68</v>
      </c>
      <c r="E1724">
        <v>71.387122257164293</v>
      </c>
      <c r="F1724">
        <v>1.55730938115281</v>
      </c>
      <c r="G1724">
        <v>4002.4842499054798</v>
      </c>
      <c r="H1724">
        <v>331.367668038555</v>
      </c>
      <c r="I1724">
        <v>0.73954116891244204</v>
      </c>
      <c r="J1724">
        <v>0.45805669230046497</v>
      </c>
      <c r="K1724">
        <v>0.78583518151044696</v>
      </c>
      <c r="L1724" t="s">
        <v>49</v>
      </c>
      <c r="M1724" t="s">
        <v>34</v>
      </c>
      <c r="N1724" t="s">
        <v>35</v>
      </c>
      <c r="O1724">
        <v>0.73678823995466602</v>
      </c>
      <c r="P1724" t="s">
        <v>36</v>
      </c>
    </row>
    <row r="1725" spans="1:16">
      <c r="A1725">
        <v>1724</v>
      </c>
      <c r="B1725" t="s">
        <v>1785</v>
      </c>
      <c r="C1725">
        <v>71</v>
      </c>
      <c r="D1725">
        <v>131</v>
      </c>
      <c r="E1725">
        <v>71.498374982725807</v>
      </c>
      <c r="F1725">
        <v>0.53867758563657298</v>
      </c>
      <c r="G1725">
        <v>4014.96925406427</v>
      </c>
      <c r="H1725">
        <v>657.878145364989</v>
      </c>
      <c r="I1725">
        <v>0.68574125347630899</v>
      </c>
      <c r="J1725">
        <v>0.116573857841028</v>
      </c>
      <c r="K1725">
        <v>0.57369494117147302</v>
      </c>
      <c r="L1725" t="s">
        <v>38</v>
      </c>
      <c r="M1725" t="s">
        <v>34</v>
      </c>
      <c r="N1725" t="s">
        <v>35</v>
      </c>
      <c r="O1725">
        <v>0.71255923085607598</v>
      </c>
      <c r="P1725" t="s">
        <v>36</v>
      </c>
    </row>
    <row r="1726" spans="1:16">
      <c r="A1726">
        <v>1725</v>
      </c>
      <c r="B1726" t="s">
        <v>1786</v>
      </c>
      <c r="C1726">
        <v>60</v>
      </c>
      <c r="D1726">
        <v>94</v>
      </c>
      <c r="E1726">
        <v>71.506314982563296</v>
      </c>
      <c r="F1726">
        <v>0.64220836056022201</v>
      </c>
      <c r="G1726">
        <v>4015.8610400756102</v>
      </c>
      <c r="H1726">
        <v>296.50585471474602</v>
      </c>
      <c r="I1726">
        <v>0.71622804819594499</v>
      </c>
      <c r="J1726">
        <v>0.57401335149323596</v>
      </c>
      <c r="K1726">
        <v>0.86880607093475704</v>
      </c>
      <c r="L1726" t="s">
        <v>43</v>
      </c>
      <c r="M1726" t="s">
        <v>34</v>
      </c>
      <c r="N1726" t="s">
        <v>35</v>
      </c>
      <c r="O1726">
        <v>0.69231965571552001</v>
      </c>
      <c r="P1726" t="s">
        <v>36</v>
      </c>
    </row>
    <row r="1727" spans="1:16">
      <c r="A1727">
        <v>1726</v>
      </c>
      <c r="B1727" t="s">
        <v>1787</v>
      </c>
      <c r="C1727">
        <v>154</v>
      </c>
      <c r="D1727">
        <v>83</v>
      </c>
      <c r="E1727">
        <v>71.512930975673598</v>
      </c>
      <c r="F1727">
        <v>1.85422643698296</v>
      </c>
      <c r="G1727">
        <v>4016.6041950850699</v>
      </c>
      <c r="H1727">
        <v>829.76996536856097</v>
      </c>
      <c r="I1727">
        <v>0.53087617196236703</v>
      </c>
      <c r="J1727">
        <v>7.3308355918279805E-2</v>
      </c>
      <c r="K1727">
        <v>0.46589087147659702</v>
      </c>
      <c r="L1727" t="s">
        <v>33</v>
      </c>
      <c r="M1727" t="s">
        <v>34</v>
      </c>
      <c r="N1727" t="s">
        <v>35</v>
      </c>
      <c r="O1727">
        <v>0.67938287835201205</v>
      </c>
      <c r="P1727" t="s">
        <v>36</v>
      </c>
    </row>
    <row r="1728" spans="1:16">
      <c r="A1728">
        <v>1727</v>
      </c>
      <c r="B1728" t="s">
        <v>1788</v>
      </c>
      <c r="C1728">
        <v>70</v>
      </c>
      <c r="D1728">
        <v>105</v>
      </c>
      <c r="E1728">
        <v>71.526161126005206</v>
      </c>
      <c r="F1728">
        <v>0.66812488418962301</v>
      </c>
      <c r="G1728">
        <v>4018.0905051039699</v>
      </c>
      <c r="H1728">
        <v>475.78493890783102</v>
      </c>
      <c r="I1728">
        <v>0.81610010781652498</v>
      </c>
      <c r="J1728">
        <v>0.22305306655187301</v>
      </c>
      <c r="K1728">
        <v>0.71232082630691396</v>
      </c>
      <c r="L1728" t="s">
        <v>43</v>
      </c>
      <c r="M1728" t="s">
        <v>34</v>
      </c>
      <c r="N1728" t="s">
        <v>35</v>
      </c>
      <c r="O1728">
        <v>0.69740942354759095</v>
      </c>
      <c r="P1728" t="s">
        <v>36</v>
      </c>
    </row>
    <row r="1729" spans="1:16">
      <c r="A1729">
        <v>1728</v>
      </c>
      <c r="B1729" t="s">
        <v>1789</v>
      </c>
      <c r="C1729">
        <v>102</v>
      </c>
      <c r="D1729">
        <v>83</v>
      </c>
      <c r="E1729">
        <v>71.642481098236203</v>
      </c>
      <c r="F1729">
        <v>1.2302632041254999</v>
      </c>
      <c r="G1729">
        <v>4031.1700332703199</v>
      </c>
      <c r="H1729">
        <v>687.26508729457896</v>
      </c>
      <c r="I1729">
        <v>0.67923780579828297</v>
      </c>
      <c r="J1729">
        <v>0.107248793647663</v>
      </c>
      <c r="K1729">
        <v>0.64906906619441895</v>
      </c>
      <c r="L1729" t="s">
        <v>33</v>
      </c>
      <c r="M1729" t="s">
        <v>34</v>
      </c>
      <c r="N1729" t="s">
        <v>35</v>
      </c>
      <c r="O1729">
        <v>0.72144519560669695</v>
      </c>
      <c r="P1729" t="s">
        <v>36</v>
      </c>
    </row>
    <row r="1730" spans="1:16">
      <c r="A1730">
        <v>1729</v>
      </c>
      <c r="B1730" t="s">
        <v>1790</v>
      </c>
      <c r="C1730">
        <v>117</v>
      </c>
      <c r="D1730">
        <v>73</v>
      </c>
      <c r="E1730">
        <v>71.647763882677197</v>
      </c>
      <c r="F1730">
        <v>1.6044776119402999</v>
      </c>
      <c r="G1730">
        <v>4031.7645572778802</v>
      </c>
      <c r="H1730">
        <v>934.57459414336995</v>
      </c>
      <c r="I1730">
        <v>0.734333101559007</v>
      </c>
      <c r="J1730">
        <v>5.8006556543379398E-2</v>
      </c>
      <c r="K1730">
        <v>0.55957587259674901</v>
      </c>
      <c r="L1730" t="s">
        <v>873</v>
      </c>
      <c r="M1730" t="s">
        <v>34</v>
      </c>
      <c r="N1730" t="s">
        <v>35</v>
      </c>
      <c r="O1730">
        <v>0.71571093222422</v>
      </c>
      <c r="P1730" t="s">
        <v>36</v>
      </c>
    </row>
    <row r="1731" spans="1:16">
      <c r="A1731">
        <v>1730</v>
      </c>
      <c r="B1731" t="s">
        <v>1791</v>
      </c>
      <c r="C1731">
        <v>83</v>
      </c>
      <c r="D1731">
        <v>139</v>
      </c>
      <c r="E1731">
        <v>72.033674278476994</v>
      </c>
      <c r="F1731">
        <v>0.60038558595465497</v>
      </c>
      <c r="G1731">
        <v>4075.3134408317601</v>
      </c>
      <c r="H1731">
        <v>589.00145098530697</v>
      </c>
      <c r="I1731">
        <v>0.77408638553805298</v>
      </c>
      <c r="J1731">
        <v>0.14761760386339401</v>
      </c>
      <c r="K1731">
        <v>0.54113955278375303</v>
      </c>
      <c r="L1731" t="s">
        <v>38</v>
      </c>
      <c r="M1731" t="s">
        <v>34</v>
      </c>
      <c r="N1731" t="s">
        <v>35</v>
      </c>
      <c r="O1731">
        <v>0.737647492921227</v>
      </c>
      <c r="P1731" t="s">
        <v>36</v>
      </c>
    </row>
    <row r="1732" spans="1:16">
      <c r="A1732">
        <v>1731</v>
      </c>
      <c r="B1732" t="s">
        <v>1792</v>
      </c>
      <c r="C1732">
        <v>117</v>
      </c>
      <c r="D1732">
        <v>63</v>
      </c>
      <c r="E1732">
        <v>72.145241519715299</v>
      </c>
      <c r="F1732">
        <v>1.8755012102383399</v>
      </c>
      <c r="G1732">
        <v>4087.9470759924402</v>
      </c>
      <c r="H1732">
        <v>530.91334025175695</v>
      </c>
      <c r="I1732">
        <v>0.80796831720897999</v>
      </c>
      <c r="J1732">
        <v>0.182250132476687</v>
      </c>
      <c r="K1732">
        <v>0.74508316627837701</v>
      </c>
      <c r="L1732" t="s">
        <v>38</v>
      </c>
      <c r="M1732" t="s">
        <v>34</v>
      </c>
      <c r="N1732" t="s">
        <v>35</v>
      </c>
      <c r="O1732">
        <v>0.77028668031731296</v>
      </c>
      <c r="P1732" t="s">
        <v>36</v>
      </c>
    </row>
    <row r="1733" spans="1:16">
      <c r="A1733">
        <v>1732</v>
      </c>
      <c r="B1733" t="s">
        <v>1793</v>
      </c>
      <c r="C1733">
        <v>132</v>
      </c>
      <c r="D1733">
        <v>79</v>
      </c>
      <c r="E1733">
        <v>72.425367433950001</v>
      </c>
      <c r="F1733">
        <v>1.67332160188602</v>
      </c>
      <c r="G1733">
        <v>4119.7541103969797</v>
      </c>
      <c r="H1733">
        <v>767.05391550872605</v>
      </c>
      <c r="I1733">
        <v>0.538676594683137</v>
      </c>
      <c r="J1733">
        <v>8.7989201678494597E-2</v>
      </c>
      <c r="K1733">
        <v>0.53640128497890605</v>
      </c>
      <c r="L1733" t="s">
        <v>38</v>
      </c>
      <c r="M1733" t="s">
        <v>34</v>
      </c>
      <c r="N1733" t="s">
        <v>35</v>
      </c>
      <c r="O1733">
        <v>0.64853636974192397</v>
      </c>
      <c r="P1733" t="s">
        <v>36</v>
      </c>
    </row>
    <row r="1734" spans="1:16">
      <c r="A1734">
        <v>1733</v>
      </c>
      <c r="B1734" t="s">
        <v>1794</v>
      </c>
      <c r="C1734">
        <v>93</v>
      </c>
      <c r="D1734">
        <v>68</v>
      </c>
      <c r="E1734">
        <v>72.524591043317002</v>
      </c>
      <c r="F1734">
        <v>1.37096774193548</v>
      </c>
      <c r="G1734">
        <v>4131.0500665406398</v>
      </c>
      <c r="H1734">
        <v>439.08433446656102</v>
      </c>
      <c r="I1734">
        <v>0.69439258522254599</v>
      </c>
      <c r="J1734">
        <v>0.26926160923585202</v>
      </c>
      <c r="K1734">
        <v>0.78857175282301495</v>
      </c>
      <c r="L1734" t="s">
        <v>38</v>
      </c>
      <c r="M1734" t="s">
        <v>34</v>
      </c>
      <c r="N1734" t="s">
        <v>35</v>
      </c>
      <c r="O1734">
        <v>0.705421591754119</v>
      </c>
      <c r="P1734" t="s">
        <v>36</v>
      </c>
    </row>
    <row r="1735" spans="1:16">
      <c r="A1735">
        <v>1734</v>
      </c>
      <c r="B1735" t="s">
        <v>1795</v>
      </c>
      <c r="C1735">
        <v>88</v>
      </c>
      <c r="D1735">
        <v>72</v>
      </c>
      <c r="E1735">
        <v>72.674474445682193</v>
      </c>
      <c r="F1735">
        <v>1.2251154046039601</v>
      </c>
      <c r="G1735">
        <v>4148.1426317580299</v>
      </c>
      <c r="H1735">
        <v>379.69438615539798</v>
      </c>
      <c r="I1735">
        <v>0.72249092718464403</v>
      </c>
      <c r="J1735">
        <v>0.36157233413827999</v>
      </c>
      <c r="K1735">
        <v>0.84796281104730697</v>
      </c>
      <c r="L1735" t="s">
        <v>43</v>
      </c>
      <c r="M1735" t="s">
        <v>34</v>
      </c>
      <c r="N1735" t="s">
        <v>35</v>
      </c>
      <c r="O1735">
        <v>0.73005704247825098</v>
      </c>
      <c r="P1735" t="s">
        <v>36</v>
      </c>
    </row>
    <row r="1736" spans="1:16">
      <c r="A1736">
        <v>1735</v>
      </c>
      <c r="B1736" t="s">
        <v>1796</v>
      </c>
      <c r="C1736">
        <v>68</v>
      </c>
      <c r="D1736">
        <v>135</v>
      </c>
      <c r="E1736">
        <v>72.691398344339603</v>
      </c>
      <c r="F1736">
        <v>0.50804021119432796</v>
      </c>
      <c r="G1736">
        <v>4150.0748347826102</v>
      </c>
      <c r="H1736">
        <v>586.33842508108705</v>
      </c>
      <c r="I1736">
        <v>0.67083733312967497</v>
      </c>
      <c r="J1736">
        <v>0.15169423626407399</v>
      </c>
      <c r="K1736">
        <v>0.58097001726971997</v>
      </c>
      <c r="L1736" t="s">
        <v>33</v>
      </c>
      <c r="M1736" t="s">
        <v>34</v>
      </c>
      <c r="N1736" t="s">
        <v>35</v>
      </c>
      <c r="O1736">
        <v>0.76411593754794904</v>
      </c>
      <c r="P1736" t="s">
        <v>36</v>
      </c>
    </row>
    <row r="1737" spans="1:16">
      <c r="A1737">
        <v>1736</v>
      </c>
      <c r="B1737" t="s">
        <v>1797</v>
      </c>
      <c r="C1737">
        <v>83</v>
      </c>
      <c r="D1737">
        <v>117</v>
      </c>
      <c r="E1737">
        <v>72.731739441594996</v>
      </c>
      <c r="F1737">
        <v>0.710280373831776</v>
      </c>
      <c r="G1737">
        <v>4154.6823958412097</v>
      </c>
      <c r="H1737">
        <v>703.70850595422405</v>
      </c>
      <c r="I1737">
        <v>0.75584936414646098</v>
      </c>
      <c r="J1737">
        <v>0.105429486869191</v>
      </c>
      <c r="K1737">
        <v>0.49897359918602002</v>
      </c>
      <c r="L1737" t="s">
        <v>1038</v>
      </c>
      <c r="M1737" t="s">
        <v>34</v>
      </c>
      <c r="N1737" t="s">
        <v>35</v>
      </c>
      <c r="O1737">
        <v>0.65314555270140995</v>
      </c>
      <c r="P1737" t="s">
        <v>36</v>
      </c>
    </row>
    <row r="1738" spans="1:16">
      <c r="A1738">
        <v>1737</v>
      </c>
      <c r="B1738" t="s">
        <v>1798</v>
      </c>
      <c r="C1738">
        <v>93</v>
      </c>
      <c r="D1738">
        <v>117</v>
      </c>
      <c r="E1738">
        <v>72.8837933829886</v>
      </c>
      <c r="F1738">
        <v>0.79069767441860495</v>
      </c>
      <c r="G1738">
        <v>4172.0722230623796</v>
      </c>
      <c r="H1738">
        <v>700.38240440555296</v>
      </c>
      <c r="I1738">
        <v>0.72876731721783505</v>
      </c>
      <c r="J1738">
        <v>0.106878716136717</v>
      </c>
      <c r="K1738">
        <v>0.53239511417950103</v>
      </c>
      <c r="L1738" t="s">
        <v>873</v>
      </c>
      <c r="M1738" t="s">
        <v>34</v>
      </c>
      <c r="N1738" t="s">
        <v>35</v>
      </c>
      <c r="O1738">
        <v>0.635089704641841</v>
      </c>
      <c r="P1738" t="s">
        <v>36</v>
      </c>
    </row>
    <row r="1739" spans="1:16">
      <c r="A1739">
        <v>1738</v>
      </c>
      <c r="B1739" t="s">
        <v>1799</v>
      </c>
      <c r="C1739">
        <v>63</v>
      </c>
      <c r="D1739">
        <v>98</v>
      </c>
      <c r="E1739">
        <v>73.359993959600104</v>
      </c>
      <c r="F1739">
        <v>0.64722759355612303</v>
      </c>
      <c r="G1739">
        <v>4226.7684317580297</v>
      </c>
      <c r="H1739">
        <v>379.48459959050899</v>
      </c>
      <c r="I1739">
        <v>0.636803339885195</v>
      </c>
      <c r="J1739">
        <v>0.36883320078567799</v>
      </c>
      <c r="K1739">
        <v>0.85220257716511805</v>
      </c>
      <c r="L1739" t="s">
        <v>43</v>
      </c>
      <c r="M1739" t="s">
        <v>34</v>
      </c>
      <c r="N1739" t="s">
        <v>35</v>
      </c>
      <c r="O1739">
        <v>0.72322404296443099</v>
      </c>
      <c r="P1739" t="s">
        <v>36</v>
      </c>
    </row>
    <row r="1740" spans="1:16">
      <c r="A1740">
        <v>1739</v>
      </c>
      <c r="B1740" t="s">
        <v>1800</v>
      </c>
      <c r="C1740">
        <v>62</v>
      </c>
      <c r="D1740">
        <v>107</v>
      </c>
      <c r="E1740">
        <v>73.4669712993161</v>
      </c>
      <c r="F1740">
        <v>0.58106844499239796</v>
      </c>
      <c r="G1740">
        <v>4239.1048049149304</v>
      </c>
      <c r="H1740">
        <v>336.97483131564201</v>
      </c>
      <c r="I1740">
        <v>0.73127378741585203</v>
      </c>
      <c r="J1740">
        <v>0.46912555236435799</v>
      </c>
      <c r="K1740">
        <v>0.87541436464088396</v>
      </c>
      <c r="L1740" t="s">
        <v>72</v>
      </c>
      <c r="M1740" t="s">
        <v>34</v>
      </c>
      <c r="N1740" t="s">
        <v>35</v>
      </c>
      <c r="O1740">
        <v>0.69605387934770802</v>
      </c>
      <c r="P1740" t="s">
        <v>36</v>
      </c>
    </row>
    <row r="1741" spans="1:16">
      <c r="A1741">
        <v>1740</v>
      </c>
      <c r="B1741" t="s">
        <v>1801</v>
      </c>
      <c r="C1741">
        <v>83</v>
      </c>
      <c r="D1741">
        <v>83</v>
      </c>
      <c r="E1741">
        <v>73.804923592460796</v>
      </c>
      <c r="F1741">
        <v>0.99346405228758194</v>
      </c>
      <c r="G1741">
        <v>4278.1947584120999</v>
      </c>
      <c r="H1741">
        <v>386.47888113560902</v>
      </c>
      <c r="I1741">
        <v>0.60224418097992505</v>
      </c>
      <c r="J1741">
        <v>0.359930691633147</v>
      </c>
      <c r="K1741">
        <v>0.82700761384858501</v>
      </c>
      <c r="L1741" t="s">
        <v>33</v>
      </c>
      <c r="M1741" t="s">
        <v>34</v>
      </c>
      <c r="N1741" t="s">
        <v>35</v>
      </c>
      <c r="O1741">
        <v>0.71500164454427295</v>
      </c>
      <c r="P1741" t="s">
        <v>36</v>
      </c>
    </row>
    <row r="1742" spans="1:16">
      <c r="A1742">
        <v>1741</v>
      </c>
      <c r="B1742" t="s">
        <v>1802</v>
      </c>
      <c r="C1742">
        <v>111</v>
      </c>
      <c r="D1742">
        <v>107</v>
      </c>
      <c r="E1742">
        <v>74.1668556598366</v>
      </c>
      <c r="F1742">
        <v>1.03571428571429</v>
      </c>
      <c r="G1742">
        <v>4320.2573319470703</v>
      </c>
      <c r="H1742">
        <v>591.66609311964203</v>
      </c>
      <c r="I1742">
        <v>0.52704747811713004</v>
      </c>
      <c r="J1742">
        <v>0.155083686677189</v>
      </c>
      <c r="K1742">
        <v>0.50752549238720501</v>
      </c>
      <c r="L1742" t="s">
        <v>33</v>
      </c>
      <c r="M1742" t="s">
        <v>34</v>
      </c>
      <c r="N1742" t="s">
        <v>35</v>
      </c>
      <c r="O1742">
        <v>0.69818176112598995</v>
      </c>
      <c r="P1742" t="s">
        <v>36</v>
      </c>
    </row>
    <row r="1743" spans="1:16">
      <c r="A1743">
        <v>1742</v>
      </c>
      <c r="B1743" t="s">
        <v>1803</v>
      </c>
      <c r="C1743">
        <v>81</v>
      </c>
      <c r="D1743">
        <v>95</v>
      </c>
      <c r="E1743">
        <v>74.189816350441802</v>
      </c>
      <c r="F1743">
        <v>0.85065676671536095</v>
      </c>
      <c r="G1743">
        <v>4322.9326899811003</v>
      </c>
      <c r="H1743">
        <v>582.483156000946</v>
      </c>
      <c r="I1743">
        <v>0.67302893483347503</v>
      </c>
      <c r="J1743">
        <v>0.16011115675141799</v>
      </c>
      <c r="K1743">
        <v>0.65166248431618601</v>
      </c>
      <c r="L1743" t="s">
        <v>38</v>
      </c>
      <c r="M1743" t="s">
        <v>34</v>
      </c>
      <c r="N1743" t="s">
        <v>35</v>
      </c>
      <c r="O1743">
        <v>0.71295896915788903</v>
      </c>
      <c r="P1743" t="s">
        <v>36</v>
      </c>
    </row>
    <row r="1744" spans="1:16">
      <c r="A1744">
        <v>1743</v>
      </c>
      <c r="B1744" t="s">
        <v>1804</v>
      </c>
      <c r="C1744">
        <v>76</v>
      </c>
      <c r="D1744">
        <v>115</v>
      </c>
      <c r="E1744">
        <v>74.208944832479503</v>
      </c>
      <c r="F1744">
        <v>0.66295815677985204</v>
      </c>
      <c r="G1744">
        <v>4325.1621550094496</v>
      </c>
      <c r="H1744">
        <v>662.217187014248</v>
      </c>
      <c r="I1744">
        <v>0.65971320271894496</v>
      </c>
      <c r="J1744">
        <v>0.123939962964721</v>
      </c>
      <c r="K1744">
        <v>0.59091093692888796</v>
      </c>
      <c r="L1744" t="s">
        <v>38</v>
      </c>
      <c r="M1744" t="s">
        <v>34</v>
      </c>
      <c r="N1744" t="s">
        <v>35</v>
      </c>
      <c r="O1744">
        <v>0.68116314018274504</v>
      </c>
      <c r="P1744" t="s">
        <v>36</v>
      </c>
    </row>
    <row r="1745" spans="1:16">
      <c r="A1745">
        <v>1744</v>
      </c>
      <c r="B1745" t="s">
        <v>1805</v>
      </c>
      <c r="C1745">
        <v>121</v>
      </c>
      <c r="D1745">
        <v>90</v>
      </c>
      <c r="E1745">
        <v>74.6361380109837</v>
      </c>
      <c r="F1745">
        <v>1.3472222453727201</v>
      </c>
      <c r="G1745">
        <v>4375.1021716446103</v>
      </c>
      <c r="H1745">
        <v>705.24121134778704</v>
      </c>
      <c r="I1745">
        <v>0.56246375683764305</v>
      </c>
      <c r="J1745">
        <v>0.110540824132248</v>
      </c>
      <c r="K1745">
        <v>0.53406390042999397</v>
      </c>
      <c r="L1745" t="s">
        <v>33</v>
      </c>
      <c r="M1745" t="s">
        <v>34</v>
      </c>
      <c r="N1745" t="s">
        <v>35</v>
      </c>
      <c r="O1745">
        <v>0.70170488195851</v>
      </c>
      <c r="P1745" t="s">
        <v>36</v>
      </c>
    </row>
    <row r="1746" spans="1:16">
      <c r="A1746">
        <v>1745</v>
      </c>
      <c r="B1746" t="s">
        <v>1806</v>
      </c>
      <c r="C1746">
        <v>88</v>
      </c>
      <c r="D1746">
        <v>92</v>
      </c>
      <c r="E1746">
        <v>74.874099370880799</v>
      </c>
      <c r="F1746">
        <v>0.95650263327130902</v>
      </c>
      <c r="G1746">
        <v>4403.0447999999997</v>
      </c>
      <c r="H1746">
        <v>537.83012711483502</v>
      </c>
      <c r="I1746">
        <v>0.79219593948593903</v>
      </c>
      <c r="J1746">
        <v>0.191281388792572</v>
      </c>
      <c r="K1746">
        <v>0.65016240891932198</v>
      </c>
      <c r="L1746" t="s">
        <v>38</v>
      </c>
      <c r="M1746" t="s">
        <v>34</v>
      </c>
      <c r="N1746" t="s">
        <v>35</v>
      </c>
      <c r="O1746">
        <v>0.70899980828536402</v>
      </c>
      <c r="P1746" t="s">
        <v>36</v>
      </c>
    </row>
    <row r="1747" spans="1:16">
      <c r="A1747">
        <v>1746</v>
      </c>
      <c r="B1747" t="s">
        <v>1807</v>
      </c>
      <c r="C1747">
        <v>82</v>
      </c>
      <c r="D1747">
        <v>99</v>
      </c>
      <c r="E1747">
        <v>75.098708293249899</v>
      </c>
      <c r="F1747">
        <v>0.82366499008731897</v>
      </c>
      <c r="G1747">
        <v>4429.5011183364804</v>
      </c>
      <c r="H1747">
        <v>559.63882276700895</v>
      </c>
      <c r="I1747">
        <v>0.71394616447490999</v>
      </c>
      <c r="J1747">
        <v>0.177725199735457</v>
      </c>
      <c r="K1747">
        <v>0.71243814396022098</v>
      </c>
      <c r="L1747" t="s">
        <v>33</v>
      </c>
      <c r="M1747" t="s">
        <v>34</v>
      </c>
      <c r="N1747" t="s">
        <v>35</v>
      </c>
      <c r="O1747">
        <v>0.74360162216875403</v>
      </c>
      <c r="P1747" t="s">
        <v>36</v>
      </c>
    </row>
    <row r="1748" spans="1:16">
      <c r="A1748">
        <v>1747</v>
      </c>
      <c r="B1748" t="s">
        <v>1808</v>
      </c>
      <c r="C1748">
        <v>106</v>
      </c>
      <c r="D1748">
        <v>83</v>
      </c>
      <c r="E1748">
        <v>75.130200712124804</v>
      </c>
      <c r="F1748">
        <v>1.2710315754281301</v>
      </c>
      <c r="G1748">
        <v>4433.2168933837402</v>
      </c>
      <c r="H1748">
        <v>458.47806027733799</v>
      </c>
      <c r="I1748">
        <v>0.63486000193598902</v>
      </c>
      <c r="J1748">
        <v>0.265027980595613</v>
      </c>
      <c r="K1748">
        <v>0.65309831399167895</v>
      </c>
      <c r="L1748" t="s">
        <v>33</v>
      </c>
      <c r="M1748" t="s">
        <v>34</v>
      </c>
      <c r="N1748" t="s">
        <v>35</v>
      </c>
      <c r="O1748">
        <v>0.70529848782322802</v>
      </c>
      <c r="P1748" t="s">
        <v>36</v>
      </c>
    </row>
    <row r="1749" spans="1:16">
      <c r="A1749">
        <v>1748</v>
      </c>
      <c r="B1749" t="s">
        <v>1809</v>
      </c>
      <c r="C1749">
        <v>81</v>
      </c>
      <c r="D1749">
        <v>97</v>
      </c>
      <c r="E1749">
        <v>75.133978915346205</v>
      </c>
      <c r="F1749">
        <v>0.83901765863732902</v>
      </c>
      <c r="G1749">
        <v>4433.66278638941</v>
      </c>
      <c r="H1749">
        <v>506.20751841918297</v>
      </c>
      <c r="I1749">
        <v>0.63223899374492698</v>
      </c>
      <c r="J1749">
        <v>0.217427934527542</v>
      </c>
      <c r="K1749">
        <v>0.69564609034304203</v>
      </c>
      <c r="L1749" t="s">
        <v>38</v>
      </c>
      <c r="M1749" t="s">
        <v>34</v>
      </c>
      <c r="N1749" t="s">
        <v>35</v>
      </c>
      <c r="O1749">
        <v>0.82876593939088905</v>
      </c>
      <c r="P1749" t="s">
        <v>36</v>
      </c>
    </row>
    <row r="1750" spans="1:16">
      <c r="A1750">
        <v>1749</v>
      </c>
      <c r="B1750" t="s">
        <v>1810</v>
      </c>
      <c r="C1750">
        <v>147</v>
      </c>
      <c r="D1750">
        <v>78</v>
      </c>
      <c r="E1750">
        <v>75.186853825368104</v>
      </c>
      <c r="F1750">
        <v>1.8811188811188799</v>
      </c>
      <c r="G1750">
        <v>4439.9052884688099</v>
      </c>
      <c r="H1750">
        <v>702.03410643929999</v>
      </c>
      <c r="I1750">
        <v>0.76995770706192102</v>
      </c>
      <c r="J1750">
        <v>0.11320540077871</v>
      </c>
      <c r="K1750">
        <v>0.59671201134615803</v>
      </c>
      <c r="L1750" t="s">
        <v>33</v>
      </c>
      <c r="M1750" t="s">
        <v>34</v>
      </c>
      <c r="N1750" t="s">
        <v>35</v>
      </c>
      <c r="O1750">
        <v>0.75684663690515097</v>
      </c>
      <c r="P1750" t="s">
        <v>36</v>
      </c>
    </row>
    <row r="1751" spans="1:16">
      <c r="A1751">
        <v>1750</v>
      </c>
      <c r="B1751" t="s">
        <v>1811</v>
      </c>
      <c r="C1751">
        <v>69</v>
      </c>
      <c r="D1751">
        <v>107</v>
      </c>
      <c r="E1751">
        <v>75.222083117222397</v>
      </c>
      <c r="F1751">
        <v>0.64308125224599799</v>
      </c>
      <c r="G1751">
        <v>4444.0669565217404</v>
      </c>
      <c r="H1751">
        <v>641.73141019074797</v>
      </c>
      <c r="I1751">
        <v>0.70187596475054703</v>
      </c>
      <c r="J1751">
        <v>0.135607548233625</v>
      </c>
      <c r="K1751">
        <v>0.71423452690920397</v>
      </c>
      <c r="L1751" t="s">
        <v>38</v>
      </c>
      <c r="M1751" t="s">
        <v>34</v>
      </c>
      <c r="N1751" t="s">
        <v>35</v>
      </c>
      <c r="O1751">
        <v>0.69370405682738201</v>
      </c>
      <c r="P1751" t="s">
        <v>36</v>
      </c>
    </row>
    <row r="1752" spans="1:16">
      <c r="A1752">
        <v>1751</v>
      </c>
      <c r="B1752" t="s">
        <v>1812</v>
      </c>
      <c r="C1752">
        <v>60</v>
      </c>
      <c r="D1752">
        <v>108</v>
      </c>
      <c r="E1752">
        <v>75.335208546340098</v>
      </c>
      <c r="F1752">
        <v>0.55656930448131103</v>
      </c>
      <c r="G1752">
        <v>4457.4437466918698</v>
      </c>
      <c r="H1752">
        <v>398.36406934261299</v>
      </c>
      <c r="I1752">
        <v>0.83264528748635602</v>
      </c>
      <c r="J1752">
        <v>0.35296806562350302</v>
      </c>
      <c r="K1752">
        <v>0.81973486401530704</v>
      </c>
      <c r="L1752" t="s">
        <v>38</v>
      </c>
      <c r="M1752" t="s">
        <v>34</v>
      </c>
      <c r="N1752" t="s">
        <v>35</v>
      </c>
      <c r="O1752">
        <v>0.87740232815098795</v>
      </c>
      <c r="P1752" t="s">
        <v>36</v>
      </c>
    </row>
    <row r="1753" spans="1:16">
      <c r="A1753">
        <v>1752</v>
      </c>
      <c r="B1753" t="s">
        <v>1813</v>
      </c>
      <c r="C1753">
        <v>111</v>
      </c>
      <c r="D1753">
        <v>85</v>
      </c>
      <c r="E1753">
        <v>75.3452559201573</v>
      </c>
      <c r="F1753">
        <v>1.3112391446281599</v>
      </c>
      <c r="G1753">
        <v>4458.6327947069904</v>
      </c>
      <c r="H1753">
        <v>618.44480634585705</v>
      </c>
      <c r="I1753">
        <v>0.38968890606950302</v>
      </c>
      <c r="J1753">
        <v>0.14649057264476401</v>
      </c>
      <c r="K1753">
        <v>0.63984813258537199</v>
      </c>
      <c r="L1753" t="s">
        <v>33</v>
      </c>
      <c r="M1753" t="s">
        <v>34</v>
      </c>
      <c r="N1753" t="s">
        <v>35</v>
      </c>
      <c r="O1753">
        <v>0.71899279695872198</v>
      </c>
      <c r="P1753" t="s">
        <v>36</v>
      </c>
    </row>
    <row r="1754" spans="1:16">
      <c r="A1754">
        <v>1753</v>
      </c>
      <c r="B1754" t="s">
        <v>1814</v>
      </c>
      <c r="C1754">
        <v>60</v>
      </c>
      <c r="D1754">
        <v>109</v>
      </c>
      <c r="E1754">
        <v>75.495806068785399</v>
      </c>
      <c r="F1754">
        <v>0.55269480326119003</v>
      </c>
      <c r="G1754">
        <v>4476.4685149338402</v>
      </c>
      <c r="H1754">
        <v>343.52684224978702</v>
      </c>
      <c r="I1754">
        <v>0.80211431445203796</v>
      </c>
      <c r="J1754">
        <v>0.47667683123036603</v>
      </c>
      <c r="K1754">
        <v>0.80413306989907596</v>
      </c>
      <c r="L1754" t="s">
        <v>38</v>
      </c>
      <c r="M1754" t="s">
        <v>34</v>
      </c>
      <c r="N1754" t="s">
        <v>35</v>
      </c>
      <c r="O1754">
        <v>0.813253656507128</v>
      </c>
      <c r="P1754" t="s">
        <v>36</v>
      </c>
    </row>
    <row r="1755" spans="1:16">
      <c r="A1755">
        <v>1754</v>
      </c>
      <c r="B1755" t="s">
        <v>1815</v>
      </c>
      <c r="C1755">
        <v>76</v>
      </c>
      <c r="D1755">
        <v>108</v>
      </c>
      <c r="E1755">
        <v>75.983033980988196</v>
      </c>
      <c r="F1755">
        <v>0.70035879225235698</v>
      </c>
      <c r="G1755">
        <v>4534.4346056710801</v>
      </c>
      <c r="H1755">
        <v>518.38939011159198</v>
      </c>
      <c r="I1755">
        <v>0.78063327915606995</v>
      </c>
      <c r="J1755">
        <v>0.21204146618988601</v>
      </c>
      <c r="K1755">
        <v>0.67251565117714496</v>
      </c>
      <c r="L1755" t="s">
        <v>38</v>
      </c>
      <c r="M1755" t="s">
        <v>34</v>
      </c>
      <c r="N1755" t="s">
        <v>35</v>
      </c>
      <c r="O1755">
        <v>0.68993824642246004</v>
      </c>
      <c r="P1755" t="s">
        <v>36</v>
      </c>
    </row>
    <row r="1756" spans="1:16">
      <c r="A1756">
        <v>1755</v>
      </c>
      <c r="B1756" t="s">
        <v>1816</v>
      </c>
      <c r="C1756">
        <v>146</v>
      </c>
      <c r="D1756">
        <v>105</v>
      </c>
      <c r="E1756">
        <v>76.113336075519598</v>
      </c>
      <c r="F1756">
        <v>1.3927855232697599</v>
      </c>
      <c r="G1756">
        <v>4550</v>
      </c>
      <c r="H1756">
        <v>599.41124916076706</v>
      </c>
      <c r="I1756">
        <v>0.48258409422911502</v>
      </c>
      <c r="J1756">
        <v>0.15913711574044501</v>
      </c>
      <c r="K1756">
        <v>0.41316685584563001</v>
      </c>
      <c r="L1756" t="s">
        <v>38</v>
      </c>
      <c r="M1756" t="s">
        <v>34</v>
      </c>
      <c r="N1756" t="s">
        <v>35</v>
      </c>
      <c r="O1756">
        <v>0.65964847210605204</v>
      </c>
      <c r="P1756" t="s">
        <v>36</v>
      </c>
    </row>
    <row r="1757" spans="1:16">
      <c r="A1757">
        <v>1756</v>
      </c>
      <c r="B1757" t="s">
        <v>1817</v>
      </c>
      <c r="C1757">
        <v>121</v>
      </c>
      <c r="D1757">
        <v>64</v>
      </c>
      <c r="E1757">
        <v>76.134808616007007</v>
      </c>
      <c r="F1757">
        <v>1.8943794754521801</v>
      </c>
      <c r="G1757">
        <v>4552.5675879016999</v>
      </c>
      <c r="H1757">
        <v>519.74440865993495</v>
      </c>
      <c r="I1757">
        <v>0.56667857218192597</v>
      </c>
      <c r="J1757">
        <v>0.211780814487288</v>
      </c>
      <c r="K1757">
        <v>0.74135927969793802</v>
      </c>
      <c r="L1757" t="s">
        <v>74</v>
      </c>
      <c r="M1757" t="s">
        <v>34</v>
      </c>
      <c r="N1757" t="s">
        <v>35</v>
      </c>
      <c r="O1757">
        <v>0.67262146274796597</v>
      </c>
      <c r="P1757" t="s">
        <v>36</v>
      </c>
    </row>
    <row r="1758" spans="1:16">
      <c r="A1758">
        <v>1757</v>
      </c>
      <c r="B1758" t="s">
        <v>1818</v>
      </c>
      <c r="C1758">
        <v>66</v>
      </c>
      <c r="D1758">
        <v>129</v>
      </c>
      <c r="E1758">
        <v>76.437453797703398</v>
      </c>
      <c r="F1758">
        <v>0.51442626405121195</v>
      </c>
      <c r="G1758">
        <v>4588.8335523629503</v>
      </c>
      <c r="H1758">
        <v>566.44601522839605</v>
      </c>
      <c r="I1758">
        <v>0.88905997800177305</v>
      </c>
      <c r="J1758">
        <v>0.17971946500531499</v>
      </c>
      <c r="K1758">
        <v>0.66823947015280705</v>
      </c>
      <c r="L1758" t="s">
        <v>33</v>
      </c>
      <c r="M1758" t="s">
        <v>34</v>
      </c>
      <c r="N1758" t="s">
        <v>35</v>
      </c>
      <c r="O1758">
        <v>0.729580292604878</v>
      </c>
      <c r="P1758" t="s">
        <v>36</v>
      </c>
    </row>
    <row r="1759" spans="1:16">
      <c r="A1759">
        <v>1758</v>
      </c>
      <c r="B1759" t="s">
        <v>1819</v>
      </c>
      <c r="C1759">
        <v>113</v>
      </c>
      <c r="D1759">
        <v>83</v>
      </c>
      <c r="E1759">
        <v>76.478293376349598</v>
      </c>
      <c r="F1759">
        <v>1.36184210526316</v>
      </c>
      <c r="G1759">
        <v>4593.7383754253297</v>
      </c>
      <c r="H1759">
        <v>822.45630285688105</v>
      </c>
      <c r="I1759">
        <v>0.51315660951500897</v>
      </c>
      <c r="J1759">
        <v>8.5339570964875905E-2</v>
      </c>
      <c r="K1759">
        <v>0.61050864197530896</v>
      </c>
      <c r="L1759" t="s">
        <v>38</v>
      </c>
      <c r="M1759" t="s">
        <v>34</v>
      </c>
      <c r="N1759" t="s">
        <v>35</v>
      </c>
      <c r="O1759">
        <v>0.74823441265174195</v>
      </c>
      <c r="P1759" t="s">
        <v>36</v>
      </c>
    </row>
    <row r="1760" spans="1:16">
      <c r="A1760">
        <v>1759</v>
      </c>
      <c r="B1760" t="s">
        <v>1820</v>
      </c>
      <c r="C1760">
        <v>67</v>
      </c>
      <c r="D1760">
        <v>123</v>
      </c>
      <c r="E1760">
        <v>76.668590437106502</v>
      </c>
      <c r="F1760">
        <v>0.54683626749501602</v>
      </c>
      <c r="G1760">
        <v>4616.6275497164497</v>
      </c>
      <c r="H1760">
        <v>406.310984553151</v>
      </c>
      <c r="I1760">
        <v>0.78445568402331201</v>
      </c>
      <c r="J1760">
        <v>0.35141279952923499</v>
      </c>
      <c r="K1760">
        <v>0.722147307728076</v>
      </c>
      <c r="L1760" t="s">
        <v>33</v>
      </c>
      <c r="M1760" t="s">
        <v>34</v>
      </c>
      <c r="N1760" t="s">
        <v>35</v>
      </c>
      <c r="O1760">
        <v>0.67203674645676903</v>
      </c>
      <c r="P1760" t="s">
        <v>36</v>
      </c>
    </row>
    <row r="1761" spans="1:16">
      <c r="A1761">
        <v>1760</v>
      </c>
      <c r="B1761" t="s">
        <v>1821</v>
      </c>
      <c r="C1761">
        <v>99</v>
      </c>
      <c r="D1761">
        <v>74</v>
      </c>
      <c r="E1761">
        <v>76.996177585739701</v>
      </c>
      <c r="F1761">
        <v>1.3294290867358201</v>
      </c>
      <c r="G1761">
        <v>4656.16339621928</v>
      </c>
      <c r="H1761">
        <v>492.77082034162902</v>
      </c>
      <c r="I1761">
        <v>0.68388722750434905</v>
      </c>
      <c r="J1761">
        <v>0.24096175102193201</v>
      </c>
      <c r="K1761">
        <v>0.76732964287463901</v>
      </c>
      <c r="L1761" t="s">
        <v>74</v>
      </c>
      <c r="M1761" t="s">
        <v>34</v>
      </c>
      <c r="N1761" t="s">
        <v>35</v>
      </c>
      <c r="O1761">
        <v>0.70485968499102503</v>
      </c>
      <c r="P1761" t="s">
        <v>36</v>
      </c>
    </row>
    <row r="1762" spans="1:16">
      <c r="A1762">
        <v>1761</v>
      </c>
      <c r="B1762" t="s">
        <v>1822</v>
      </c>
      <c r="C1762">
        <v>132</v>
      </c>
      <c r="D1762">
        <v>109</v>
      </c>
      <c r="E1762">
        <v>77.114062778821904</v>
      </c>
      <c r="F1762">
        <v>1.2150000000000001</v>
      </c>
      <c r="G1762">
        <v>4670.4319724007601</v>
      </c>
      <c r="H1762">
        <v>765.11720900214198</v>
      </c>
      <c r="I1762">
        <v>0.63315190889232797</v>
      </c>
      <c r="J1762">
        <v>0.100256138760977</v>
      </c>
      <c r="K1762">
        <v>0.437670622318792</v>
      </c>
      <c r="L1762" t="s">
        <v>43</v>
      </c>
      <c r="M1762" t="s">
        <v>34</v>
      </c>
      <c r="N1762" t="s">
        <v>35</v>
      </c>
      <c r="O1762">
        <v>0.71149114841449801</v>
      </c>
      <c r="P1762" t="s">
        <v>36</v>
      </c>
    </row>
    <row r="1763" spans="1:16">
      <c r="A1763">
        <v>1762</v>
      </c>
      <c r="B1763" t="s">
        <v>1823</v>
      </c>
      <c r="C1763">
        <v>107</v>
      </c>
      <c r="D1763">
        <v>88</v>
      </c>
      <c r="E1763">
        <v>77.370087488090604</v>
      </c>
      <c r="F1763">
        <v>1.2236024844720499</v>
      </c>
      <c r="G1763">
        <v>4701.4958517958403</v>
      </c>
      <c r="H1763">
        <v>667.66936092729202</v>
      </c>
      <c r="I1763">
        <v>0.58735034075373005</v>
      </c>
      <c r="J1763">
        <v>0.13253269433651699</v>
      </c>
      <c r="K1763">
        <v>0.67833247555326803</v>
      </c>
      <c r="L1763" t="s">
        <v>38</v>
      </c>
      <c r="M1763" t="s">
        <v>34</v>
      </c>
      <c r="N1763" t="s">
        <v>35</v>
      </c>
      <c r="O1763">
        <v>0.67614268172164704</v>
      </c>
      <c r="P1763" t="s">
        <v>36</v>
      </c>
    </row>
    <row r="1764" spans="1:16">
      <c r="A1764">
        <v>1763</v>
      </c>
      <c r="B1764" t="s">
        <v>1824</v>
      </c>
      <c r="C1764">
        <v>107</v>
      </c>
      <c r="D1764">
        <v>93</v>
      </c>
      <c r="E1764">
        <v>77.461756067774004</v>
      </c>
      <c r="F1764">
        <v>1.1529411764705899</v>
      </c>
      <c r="G1764">
        <v>4712.6431769376204</v>
      </c>
      <c r="H1764">
        <v>721.23295715798497</v>
      </c>
      <c r="I1764">
        <v>0.66324635415893596</v>
      </c>
      <c r="J1764">
        <v>0.113847446510305</v>
      </c>
      <c r="K1764">
        <v>0.59444309042164301</v>
      </c>
      <c r="L1764" t="s">
        <v>33</v>
      </c>
      <c r="M1764" t="s">
        <v>34</v>
      </c>
      <c r="N1764" t="s">
        <v>35</v>
      </c>
      <c r="O1764">
        <v>0.81355440699882897</v>
      </c>
      <c r="P1764" t="s">
        <v>36</v>
      </c>
    </row>
    <row r="1765" spans="1:16">
      <c r="A1765">
        <v>1764</v>
      </c>
      <c r="B1765" t="s">
        <v>1825</v>
      </c>
      <c r="C1765">
        <v>89</v>
      </c>
      <c r="D1765">
        <v>74</v>
      </c>
      <c r="E1765">
        <v>77.500834994966993</v>
      </c>
      <c r="F1765">
        <v>1.20860925655906</v>
      </c>
      <c r="G1765">
        <v>4717.3993689981098</v>
      </c>
      <c r="H1765">
        <v>347.729699011989</v>
      </c>
      <c r="I1765">
        <v>0.72286878252001396</v>
      </c>
      <c r="J1765">
        <v>0.490262797891661</v>
      </c>
      <c r="K1765">
        <v>0.87447306791569102</v>
      </c>
      <c r="L1765" t="s">
        <v>74</v>
      </c>
      <c r="M1765" t="s">
        <v>34</v>
      </c>
      <c r="N1765" t="s">
        <v>35</v>
      </c>
      <c r="O1765">
        <v>0.651579125897082</v>
      </c>
      <c r="P1765" t="s">
        <v>36</v>
      </c>
    </row>
    <row r="1766" spans="1:16">
      <c r="A1766">
        <v>1765</v>
      </c>
      <c r="B1766" t="s">
        <v>1826</v>
      </c>
      <c r="C1766">
        <v>85</v>
      </c>
      <c r="D1766">
        <v>111</v>
      </c>
      <c r="E1766">
        <v>77.5606364434108</v>
      </c>
      <c r="F1766">
        <v>0.76480712196532596</v>
      </c>
      <c r="G1766">
        <v>4724.6822880907403</v>
      </c>
      <c r="H1766">
        <v>431.83325516410503</v>
      </c>
      <c r="I1766">
        <v>0.65160765909292695</v>
      </c>
      <c r="J1766">
        <v>0.31838331895113797</v>
      </c>
      <c r="K1766">
        <v>0.68799238161198195</v>
      </c>
      <c r="L1766" t="s">
        <v>49</v>
      </c>
      <c r="M1766" t="s">
        <v>34</v>
      </c>
      <c r="N1766" t="s">
        <v>35</v>
      </c>
      <c r="O1766">
        <v>0.74657322471317999</v>
      </c>
      <c r="P1766" t="s">
        <v>36</v>
      </c>
    </row>
    <row r="1767" spans="1:16">
      <c r="A1767">
        <v>1766</v>
      </c>
      <c r="B1767" t="s">
        <v>1827</v>
      </c>
      <c r="C1767">
        <v>198</v>
      </c>
      <c r="D1767">
        <v>64</v>
      </c>
      <c r="E1767">
        <v>77.756803094295094</v>
      </c>
      <c r="F1767">
        <v>3.0885827774529</v>
      </c>
      <c r="G1767">
        <v>4748.61187939509</v>
      </c>
      <c r="H1767">
        <v>875.29424023389799</v>
      </c>
      <c r="I1767">
        <v>0.48606639570306498</v>
      </c>
      <c r="J1767">
        <v>7.7887613538067196E-2</v>
      </c>
      <c r="K1767">
        <v>0.50039155494299004</v>
      </c>
      <c r="L1767" t="s">
        <v>33</v>
      </c>
      <c r="M1767" t="s">
        <v>34</v>
      </c>
      <c r="N1767" t="s">
        <v>35</v>
      </c>
      <c r="O1767">
        <v>0.68871910151161098</v>
      </c>
      <c r="P1767" t="s">
        <v>36</v>
      </c>
    </row>
    <row r="1768" spans="1:16">
      <c r="A1768">
        <v>1767</v>
      </c>
      <c r="B1768" t="s">
        <v>1828</v>
      </c>
      <c r="C1768">
        <v>99</v>
      </c>
      <c r="D1768">
        <v>69</v>
      </c>
      <c r="E1768">
        <v>77.822487382380203</v>
      </c>
      <c r="F1768">
        <v>1.4278660281153099</v>
      </c>
      <c r="G1768">
        <v>4756.6379534971602</v>
      </c>
      <c r="H1768">
        <v>328.03216425138999</v>
      </c>
      <c r="I1768">
        <v>0.65705890254339905</v>
      </c>
      <c r="J1768">
        <v>0.55549109630280002</v>
      </c>
      <c r="K1768">
        <v>0.86214978448275903</v>
      </c>
      <c r="L1768" t="s">
        <v>38</v>
      </c>
      <c r="M1768" t="s">
        <v>34</v>
      </c>
      <c r="N1768" t="s">
        <v>35</v>
      </c>
      <c r="O1768">
        <v>0.85758264169116305</v>
      </c>
      <c r="P1768" t="s">
        <v>36</v>
      </c>
    </row>
    <row r="1769" spans="1:16">
      <c r="A1769">
        <v>1768</v>
      </c>
      <c r="B1769" t="s">
        <v>1829</v>
      </c>
      <c r="C1769">
        <v>83</v>
      </c>
      <c r="D1769">
        <v>132</v>
      </c>
      <c r="E1769">
        <v>77.885686564208399</v>
      </c>
      <c r="F1769">
        <v>0.63223140495867802</v>
      </c>
      <c r="G1769">
        <v>4764.3667655954596</v>
      </c>
      <c r="H1769">
        <v>886.60486594708095</v>
      </c>
      <c r="I1769">
        <v>0.62590133720413499</v>
      </c>
      <c r="J1769">
        <v>7.6164891810576896E-2</v>
      </c>
      <c r="K1769">
        <v>0.55942408376963304</v>
      </c>
      <c r="L1769" t="s">
        <v>33</v>
      </c>
      <c r="M1769" t="s">
        <v>34</v>
      </c>
      <c r="N1769" t="s">
        <v>35</v>
      </c>
      <c r="O1769">
        <v>0.67450519650996399</v>
      </c>
      <c r="P1769" t="s">
        <v>36</v>
      </c>
    </row>
    <row r="1770" spans="1:16">
      <c r="A1770">
        <v>1769</v>
      </c>
      <c r="B1770" t="s">
        <v>1830</v>
      </c>
      <c r="C1770">
        <v>95</v>
      </c>
      <c r="D1770">
        <v>129</v>
      </c>
      <c r="E1770">
        <v>78.315779956131195</v>
      </c>
      <c r="F1770">
        <v>0.73728810162147895</v>
      </c>
      <c r="G1770">
        <v>4817.1307712665403</v>
      </c>
      <c r="H1770">
        <v>710.34028834446599</v>
      </c>
      <c r="I1770">
        <v>0.63824445080297698</v>
      </c>
      <c r="J1770">
        <v>0.119967996445664</v>
      </c>
      <c r="K1770">
        <v>0.51978252850704898</v>
      </c>
      <c r="L1770" t="s">
        <v>33</v>
      </c>
      <c r="M1770" t="s">
        <v>34</v>
      </c>
      <c r="N1770" t="s">
        <v>35</v>
      </c>
      <c r="O1770">
        <v>0.78663144210034397</v>
      </c>
      <c r="P1770" t="s">
        <v>36</v>
      </c>
    </row>
    <row r="1771" spans="1:16">
      <c r="A1771">
        <v>1770</v>
      </c>
      <c r="B1771" t="s">
        <v>1831</v>
      </c>
      <c r="C1771">
        <v>88</v>
      </c>
      <c r="D1771">
        <v>89</v>
      </c>
      <c r="E1771">
        <v>78.472689281880804</v>
      </c>
      <c r="F1771">
        <v>0.99514869569998798</v>
      </c>
      <c r="G1771">
        <v>4836.4528015122896</v>
      </c>
      <c r="H1771">
        <v>479.58541078712602</v>
      </c>
      <c r="I1771">
        <v>0.68650234324623505</v>
      </c>
      <c r="J1771">
        <v>0.26424385194389199</v>
      </c>
      <c r="K1771">
        <v>0.81933778169457405</v>
      </c>
      <c r="L1771" t="s">
        <v>38</v>
      </c>
      <c r="M1771" t="s">
        <v>34</v>
      </c>
      <c r="N1771" t="s">
        <v>35</v>
      </c>
      <c r="O1771">
        <v>0.81181478555011299</v>
      </c>
      <c r="P1771" t="s">
        <v>36</v>
      </c>
    </row>
    <row r="1772" spans="1:16">
      <c r="A1772">
        <v>1771</v>
      </c>
      <c r="B1772" t="s">
        <v>1832</v>
      </c>
      <c r="C1772">
        <v>139</v>
      </c>
      <c r="D1772">
        <v>83</v>
      </c>
      <c r="E1772">
        <v>78.910375537772495</v>
      </c>
      <c r="F1772">
        <v>1.6776315789473699</v>
      </c>
      <c r="G1772">
        <v>4890.5544862003799</v>
      </c>
      <c r="H1772">
        <v>907.57830834388699</v>
      </c>
      <c r="I1772">
        <v>0.64620262331803302</v>
      </c>
      <c r="J1772">
        <v>7.4610465729378406E-2</v>
      </c>
      <c r="K1772">
        <v>0.56990439240681701</v>
      </c>
      <c r="L1772" t="s">
        <v>33</v>
      </c>
      <c r="M1772" t="s">
        <v>34</v>
      </c>
      <c r="N1772" t="s">
        <v>35</v>
      </c>
      <c r="O1772">
        <v>0.72050358320110697</v>
      </c>
      <c r="P1772" t="s">
        <v>36</v>
      </c>
    </row>
    <row r="1773" spans="1:16">
      <c r="A1773">
        <v>1772</v>
      </c>
      <c r="B1773" t="s">
        <v>1833</v>
      </c>
      <c r="C1773">
        <v>79</v>
      </c>
      <c r="D1773">
        <v>100</v>
      </c>
      <c r="E1773">
        <v>78.996663563047207</v>
      </c>
      <c r="F1773">
        <v>0.78646346951284596</v>
      </c>
      <c r="G1773">
        <v>4901.2559183364801</v>
      </c>
      <c r="H1773">
        <v>493.30939011159199</v>
      </c>
      <c r="I1773">
        <v>0.80452386366264605</v>
      </c>
      <c r="J1773">
        <v>0.25309203578016098</v>
      </c>
      <c r="K1773">
        <v>0.77861730260672501</v>
      </c>
      <c r="L1773" t="s">
        <v>38</v>
      </c>
      <c r="M1773" t="s">
        <v>34</v>
      </c>
      <c r="N1773" t="s">
        <v>35</v>
      </c>
      <c r="O1773">
        <v>0.678288134101941</v>
      </c>
      <c r="P1773" t="s">
        <v>36</v>
      </c>
    </row>
    <row r="1774" spans="1:16">
      <c r="A1774">
        <v>1773</v>
      </c>
      <c r="B1774" t="s">
        <v>1834</v>
      </c>
      <c r="C1774">
        <v>98</v>
      </c>
      <c r="D1774">
        <v>132</v>
      </c>
      <c r="E1774">
        <v>79.017023373886602</v>
      </c>
      <c r="F1774">
        <v>0.73662551440329205</v>
      </c>
      <c r="G1774">
        <v>4903.7826453686203</v>
      </c>
      <c r="H1774">
        <v>961.63897238638106</v>
      </c>
      <c r="I1774">
        <v>0.68208793208209495</v>
      </c>
      <c r="J1774">
        <v>6.6637234465691794E-2</v>
      </c>
      <c r="K1774">
        <v>0.53971863242270601</v>
      </c>
      <c r="L1774" t="s">
        <v>38</v>
      </c>
      <c r="M1774" t="s">
        <v>34</v>
      </c>
      <c r="N1774" t="s">
        <v>35</v>
      </c>
      <c r="O1774">
        <v>0.77941863904364805</v>
      </c>
      <c r="P1774" t="s">
        <v>36</v>
      </c>
    </row>
    <row r="1775" spans="1:16">
      <c r="A1775">
        <v>1774</v>
      </c>
      <c r="B1775" t="s">
        <v>1835</v>
      </c>
      <c r="C1775">
        <v>92</v>
      </c>
      <c r="D1775">
        <v>90</v>
      </c>
      <c r="E1775">
        <v>79.363533281549707</v>
      </c>
      <c r="F1775">
        <v>1.02515734819259</v>
      </c>
      <c r="G1775">
        <v>4946.8856359168203</v>
      </c>
      <c r="H1775">
        <v>474.11053939290701</v>
      </c>
      <c r="I1775">
        <v>0.68222064767425905</v>
      </c>
      <c r="J1775">
        <v>0.27655563687954299</v>
      </c>
      <c r="K1775">
        <v>0.79326453273589603</v>
      </c>
      <c r="L1775" t="s">
        <v>33</v>
      </c>
      <c r="M1775" t="s">
        <v>34</v>
      </c>
      <c r="N1775" t="s">
        <v>35</v>
      </c>
      <c r="O1775">
        <v>0.66941748480126795</v>
      </c>
      <c r="P1775" t="s">
        <v>36</v>
      </c>
    </row>
    <row r="1776" spans="1:16">
      <c r="A1776">
        <v>1775</v>
      </c>
      <c r="B1776" t="s">
        <v>1836</v>
      </c>
      <c r="C1776">
        <v>123</v>
      </c>
      <c r="D1776">
        <v>82</v>
      </c>
      <c r="E1776">
        <v>79.562390449789703</v>
      </c>
      <c r="F1776">
        <v>1.4986732392147699</v>
      </c>
      <c r="G1776">
        <v>4971.7070132325198</v>
      </c>
      <c r="H1776">
        <v>605.51457831859602</v>
      </c>
      <c r="I1776">
        <v>0.57368931309537496</v>
      </c>
      <c r="J1776">
        <v>0.170398663507668</v>
      </c>
      <c r="K1776">
        <v>0.70017164147862898</v>
      </c>
      <c r="L1776" t="s">
        <v>38</v>
      </c>
      <c r="M1776" t="s">
        <v>34</v>
      </c>
      <c r="N1776" t="s">
        <v>35</v>
      </c>
      <c r="O1776">
        <v>0.73110381400949997</v>
      </c>
      <c r="P1776" t="s">
        <v>36</v>
      </c>
    </row>
    <row r="1777" spans="1:16">
      <c r="A1777">
        <v>1776</v>
      </c>
      <c r="B1777" t="s">
        <v>1837</v>
      </c>
      <c r="C1777">
        <v>73</v>
      </c>
      <c r="D1777">
        <v>186</v>
      </c>
      <c r="E1777">
        <v>79.584983436570596</v>
      </c>
      <c r="F1777">
        <v>0.392961876832845</v>
      </c>
      <c r="G1777">
        <v>4974.5310022684298</v>
      </c>
      <c r="H1777">
        <v>905.82641414694206</v>
      </c>
      <c r="I1777">
        <v>0.831440654087789</v>
      </c>
      <c r="J1777">
        <v>7.6185451293432294E-2</v>
      </c>
      <c r="K1777">
        <v>0.48967797626885501</v>
      </c>
      <c r="L1777" t="s">
        <v>33</v>
      </c>
      <c r="M1777" t="s">
        <v>34</v>
      </c>
      <c r="N1777" t="s">
        <v>35</v>
      </c>
      <c r="O1777">
        <v>0.69591570402918801</v>
      </c>
      <c r="P1777" t="s">
        <v>36</v>
      </c>
    </row>
    <row r="1778" spans="1:16">
      <c r="A1778">
        <v>1777</v>
      </c>
      <c r="B1778" t="s">
        <v>1838</v>
      </c>
      <c r="C1778">
        <v>119</v>
      </c>
      <c r="D1778">
        <v>72</v>
      </c>
      <c r="E1778">
        <v>79.598060655773494</v>
      </c>
      <c r="F1778">
        <v>1.66248135208549</v>
      </c>
      <c r="G1778">
        <v>4976.1659432892302</v>
      </c>
      <c r="H1778">
        <v>555.27708363657405</v>
      </c>
      <c r="I1778">
        <v>0.78849454407605901</v>
      </c>
      <c r="J1778">
        <v>0.20280806326773099</v>
      </c>
      <c r="K1778">
        <v>0.73247571541086898</v>
      </c>
      <c r="L1778" t="s">
        <v>33</v>
      </c>
      <c r="M1778" t="s">
        <v>34</v>
      </c>
      <c r="N1778" t="s">
        <v>35</v>
      </c>
      <c r="O1778">
        <v>0.714582102913768</v>
      </c>
      <c r="P1778" t="s">
        <v>36</v>
      </c>
    </row>
    <row r="1779" spans="1:16">
      <c r="A1779">
        <v>1778</v>
      </c>
      <c r="B1779" t="s">
        <v>1839</v>
      </c>
      <c r="C1779">
        <v>113</v>
      </c>
      <c r="D1779">
        <v>76</v>
      </c>
      <c r="E1779">
        <v>79.611135726864106</v>
      </c>
      <c r="F1779">
        <v>1.4986671669512901</v>
      </c>
      <c r="G1779">
        <v>4977.8008843100197</v>
      </c>
      <c r="H1779">
        <v>828.96681183286296</v>
      </c>
      <c r="I1779">
        <v>0.73263416739746401</v>
      </c>
      <c r="J1779">
        <v>9.1027601000981007E-2</v>
      </c>
      <c r="K1779">
        <v>0.63556314640857803</v>
      </c>
      <c r="L1779" t="s">
        <v>33</v>
      </c>
      <c r="M1779" t="s">
        <v>34</v>
      </c>
      <c r="N1779" t="s">
        <v>35</v>
      </c>
      <c r="O1779">
        <v>0.67727766521030597</v>
      </c>
      <c r="P1779" t="s">
        <v>36</v>
      </c>
    </row>
    <row r="1780" spans="1:16">
      <c r="A1780">
        <v>1779</v>
      </c>
      <c r="B1780" t="s">
        <v>1840</v>
      </c>
      <c r="C1780">
        <v>116</v>
      </c>
      <c r="D1780">
        <v>86</v>
      </c>
      <c r="E1780">
        <v>79.820045581902093</v>
      </c>
      <c r="F1780">
        <v>1.3492957607000899</v>
      </c>
      <c r="G1780">
        <v>5003.9599406427196</v>
      </c>
      <c r="H1780">
        <v>531.07773185429403</v>
      </c>
      <c r="I1780">
        <v>0.67457245804861898</v>
      </c>
      <c r="J1780">
        <v>0.22295001439438</v>
      </c>
      <c r="K1780">
        <v>0.67198259515778103</v>
      </c>
      <c r="L1780" t="s">
        <v>33</v>
      </c>
      <c r="M1780" t="s">
        <v>34</v>
      </c>
      <c r="N1780" t="s">
        <v>35</v>
      </c>
      <c r="O1780">
        <v>0.72460689379706</v>
      </c>
      <c r="P1780" t="s">
        <v>36</v>
      </c>
    </row>
    <row r="1781" spans="1:16">
      <c r="A1781">
        <v>1780</v>
      </c>
      <c r="B1781" t="s">
        <v>1841</v>
      </c>
      <c r="C1781">
        <v>69</v>
      </c>
      <c r="D1781">
        <v>126</v>
      </c>
      <c r="E1781">
        <v>79.852045898428898</v>
      </c>
      <c r="F1781">
        <v>0.55099521832694998</v>
      </c>
      <c r="G1781">
        <v>5007.9729776937602</v>
      </c>
      <c r="H1781">
        <v>687.00050352884398</v>
      </c>
      <c r="I1781">
        <v>0.78424873256410199</v>
      </c>
      <c r="J1781">
        <v>0.133339164677857</v>
      </c>
      <c r="K1781">
        <v>0.68806796136331105</v>
      </c>
      <c r="L1781" t="s">
        <v>288</v>
      </c>
      <c r="M1781" t="s">
        <v>34</v>
      </c>
      <c r="N1781" t="s">
        <v>35</v>
      </c>
      <c r="O1781">
        <v>0.73945581113436398</v>
      </c>
      <c r="P1781" t="s">
        <v>36</v>
      </c>
    </row>
    <row r="1782" spans="1:16">
      <c r="A1782">
        <v>1781</v>
      </c>
      <c r="B1782" t="s">
        <v>1842</v>
      </c>
      <c r="C1782">
        <v>96</v>
      </c>
      <c r="D1782">
        <v>92</v>
      </c>
      <c r="E1782">
        <v>80.166625458271596</v>
      </c>
      <c r="F1782">
        <v>1.0442042125404101</v>
      </c>
      <c r="G1782">
        <v>5047.5088241965996</v>
      </c>
      <c r="H1782">
        <v>605.32748923488305</v>
      </c>
      <c r="I1782">
        <v>0.66063662668294798</v>
      </c>
      <c r="J1782">
        <v>0.17310362301885901</v>
      </c>
      <c r="K1782">
        <v>0.67288830767401797</v>
      </c>
      <c r="L1782" t="s">
        <v>38</v>
      </c>
      <c r="M1782" t="s">
        <v>34</v>
      </c>
      <c r="N1782" t="s">
        <v>35</v>
      </c>
      <c r="O1782">
        <v>0.74783521237135797</v>
      </c>
      <c r="P1782" t="s">
        <v>36</v>
      </c>
    </row>
    <row r="1783" spans="1:16">
      <c r="A1783">
        <v>1782</v>
      </c>
      <c r="B1783" t="s">
        <v>1843</v>
      </c>
      <c r="C1783">
        <v>91</v>
      </c>
      <c r="D1783">
        <v>145</v>
      </c>
      <c r="E1783">
        <v>80.476448181820501</v>
      </c>
      <c r="F1783">
        <v>0.62471810335355005</v>
      </c>
      <c r="G1783">
        <v>5086.59877769376</v>
      </c>
      <c r="H1783">
        <v>806.14517608010306</v>
      </c>
      <c r="I1783">
        <v>0.64137344681404695</v>
      </c>
      <c r="J1783">
        <v>9.8358257788583398E-2</v>
      </c>
      <c r="K1783">
        <v>0.51544544016868699</v>
      </c>
      <c r="L1783" t="s">
        <v>38</v>
      </c>
      <c r="M1783" t="s">
        <v>34</v>
      </c>
      <c r="N1783" t="s">
        <v>35</v>
      </c>
      <c r="O1783">
        <v>0.68606922208385401</v>
      </c>
      <c r="P1783" t="s">
        <v>36</v>
      </c>
    </row>
    <row r="1784" spans="1:16">
      <c r="A1784">
        <v>1783</v>
      </c>
      <c r="B1784" t="s">
        <v>1844</v>
      </c>
      <c r="C1784">
        <v>77</v>
      </c>
      <c r="D1784">
        <v>129</v>
      </c>
      <c r="E1784">
        <v>80.626805711353398</v>
      </c>
      <c r="F1784">
        <v>0.59311429312309505</v>
      </c>
      <c r="G1784">
        <v>5105.6235459357304</v>
      </c>
      <c r="H1784">
        <v>682.80315600094605</v>
      </c>
      <c r="I1784">
        <v>0.60476995047413495</v>
      </c>
      <c r="J1784">
        <v>0.13761558293217899</v>
      </c>
      <c r="K1784">
        <v>0.66303151962014295</v>
      </c>
      <c r="L1784" t="s">
        <v>74</v>
      </c>
      <c r="M1784" t="s">
        <v>34</v>
      </c>
      <c r="N1784" t="s">
        <v>35</v>
      </c>
      <c r="O1784">
        <v>0.778458418469126</v>
      </c>
      <c r="P1784" t="s">
        <v>36</v>
      </c>
    </row>
    <row r="1785" spans="1:16">
      <c r="A1785">
        <v>1784</v>
      </c>
      <c r="B1785" t="s">
        <v>1845</v>
      </c>
      <c r="C1785">
        <v>103</v>
      </c>
      <c r="D1785">
        <v>93</v>
      </c>
      <c r="E1785">
        <v>80.829578840821299</v>
      </c>
      <c r="F1785">
        <v>1.0994152046783601</v>
      </c>
      <c r="G1785">
        <v>5131.3367092627605</v>
      </c>
      <c r="H1785">
        <v>642.402271843579</v>
      </c>
      <c r="I1785">
        <v>0.67222135235133096</v>
      </c>
      <c r="J1785">
        <v>0.15625223602001401</v>
      </c>
      <c r="K1785">
        <v>0.66978368415947198</v>
      </c>
      <c r="L1785" t="s">
        <v>38</v>
      </c>
      <c r="M1785" t="s">
        <v>34</v>
      </c>
      <c r="N1785" t="s">
        <v>35</v>
      </c>
      <c r="O1785">
        <v>0.74090185928045904</v>
      </c>
      <c r="P1785" t="s">
        <v>36</v>
      </c>
    </row>
    <row r="1786" spans="1:16">
      <c r="A1786">
        <v>1785</v>
      </c>
      <c r="B1786" t="s">
        <v>1846</v>
      </c>
      <c r="C1786">
        <v>74</v>
      </c>
      <c r="D1786">
        <v>105</v>
      </c>
      <c r="E1786">
        <v>80.892768097774294</v>
      </c>
      <c r="F1786">
        <v>0.70577807180901497</v>
      </c>
      <c r="G1786">
        <v>5139.3627833648397</v>
      </c>
      <c r="H1786">
        <v>440.06517484747798</v>
      </c>
      <c r="I1786">
        <v>0.74146412374322301</v>
      </c>
      <c r="J1786">
        <v>0.33349178201399299</v>
      </c>
      <c r="K1786">
        <v>0.82222856327578797</v>
      </c>
      <c r="L1786" t="s">
        <v>38</v>
      </c>
      <c r="M1786" t="s">
        <v>34</v>
      </c>
      <c r="N1786" t="s">
        <v>35</v>
      </c>
      <c r="O1786">
        <v>0.76721744920072898</v>
      </c>
      <c r="P1786" t="s">
        <v>36</v>
      </c>
    </row>
    <row r="1787" spans="1:16">
      <c r="A1787">
        <v>1786</v>
      </c>
      <c r="B1787" t="s">
        <v>1847</v>
      </c>
      <c r="C1787">
        <v>103</v>
      </c>
      <c r="D1787">
        <v>91</v>
      </c>
      <c r="E1787">
        <v>80.910311911140198</v>
      </c>
      <c r="F1787">
        <v>1.12323056055325</v>
      </c>
      <c r="G1787">
        <v>5141.5922483932</v>
      </c>
      <c r="H1787">
        <v>583.19941261612905</v>
      </c>
      <c r="I1787">
        <v>0.64982951521729104</v>
      </c>
      <c r="J1787">
        <v>0.18996488994888699</v>
      </c>
      <c r="K1787">
        <v>0.73058078141499505</v>
      </c>
      <c r="L1787" t="s">
        <v>33</v>
      </c>
      <c r="M1787" t="s">
        <v>34</v>
      </c>
      <c r="N1787" t="s">
        <v>35</v>
      </c>
      <c r="O1787">
        <v>0.69515593272637299</v>
      </c>
      <c r="P1787" t="s">
        <v>36</v>
      </c>
    </row>
    <row r="1788" spans="1:16">
      <c r="A1788">
        <v>1787</v>
      </c>
      <c r="B1788" t="s">
        <v>1848</v>
      </c>
      <c r="C1788">
        <v>82</v>
      </c>
      <c r="D1788">
        <v>114</v>
      </c>
      <c r="E1788">
        <v>81.085541275464493</v>
      </c>
      <c r="F1788">
        <v>0.71770334928229695</v>
      </c>
      <c r="G1788">
        <v>5163.8868986767502</v>
      </c>
      <c r="H1788">
        <v>495.42995324165901</v>
      </c>
      <c r="I1788">
        <v>0.63690984620447999</v>
      </c>
      <c r="J1788">
        <v>0.26437602314874598</v>
      </c>
      <c r="K1788">
        <v>0.75886245986501499</v>
      </c>
      <c r="L1788" t="s">
        <v>47</v>
      </c>
      <c r="M1788" t="s">
        <v>34</v>
      </c>
      <c r="N1788" t="s">
        <v>35</v>
      </c>
      <c r="O1788">
        <v>0.75226612437336104</v>
      </c>
      <c r="P1788" t="s">
        <v>36</v>
      </c>
    </row>
    <row r="1789" spans="1:16">
      <c r="A1789">
        <v>1788</v>
      </c>
      <c r="B1789" t="s">
        <v>1849</v>
      </c>
      <c r="C1789">
        <v>106</v>
      </c>
      <c r="D1789">
        <v>132</v>
      </c>
      <c r="E1789">
        <v>81.273200416084904</v>
      </c>
      <c r="F1789">
        <v>0.80578509947533705</v>
      </c>
      <c r="G1789">
        <v>5187.8164899810999</v>
      </c>
      <c r="H1789">
        <v>775.46969181558404</v>
      </c>
      <c r="I1789">
        <v>0.55941968350786697</v>
      </c>
      <c r="J1789">
        <v>0.108408868596665</v>
      </c>
      <c r="K1789">
        <v>0.480658798903838</v>
      </c>
      <c r="L1789" t="s">
        <v>49</v>
      </c>
      <c r="M1789" t="s">
        <v>34</v>
      </c>
      <c r="N1789" t="s">
        <v>35</v>
      </c>
      <c r="O1789">
        <v>0.64391454181854901</v>
      </c>
      <c r="P1789" t="s">
        <v>36</v>
      </c>
    </row>
    <row r="1790" spans="1:16">
      <c r="A1790">
        <v>1789</v>
      </c>
      <c r="B1790" t="s">
        <v>1850</v>
      </c>
      <c r="C1790">
        <v>118</v>
      </c>
      <c r="D1790">
        <v>97</v>
      </c>
      <c r="E1790">
        <v>81.280185550281502</v>
      </c>
      <c r="F1790">
        <v>1.21396275275649</v>
      </c>
      <c r="G1790">
        <v>5188.7082759924397</v>
      </c>
      <c r="H1790">
        <v>754.12368748146605</v>
      </c>
      <c r="I1790">
        <v>0.77017422429248905</v>
      </c>
      <c r="J1790">
        <v>0.11465261200021599</v>
      </c>
      <c r="K1790">
        <v>0.62854467870582098</v>
      </c>
      <c r="L1790" t="s">
        <v>33</v>
      </c>
      <c r="M1790" t="s">
        <v>34</v>
      </c>
      <c r="N1790" t="s">
        <v>35</v>
      </c>
      <c r="O1790">
        <v>0.67489698539700105</v>
      </c>
      <c r="P1790" t="s">
        <v>36</v>
      </c>
    </row>
    <row r="1791" spans="1:16">
      <c r="A1791">
        <v>1790</v>
      </c>
      <c r="B1791" t="s">
        <v>1851</v>
      </c>
      <c r="C1791">
        <v>112</v>
      </c>
      <c r="D1791">
        <v>79</v>
      </c>
      <c r="E1791">
        <v>81.299973504695899</v>
      </c>
      <c r="F1791">
        <v>1.4204776312775</v>
      </c>
      <c r="G1791">
        <v>5191.2350030245798</v>
      </c>
      <c r="H1791">
        <v>387.70939380946402</v>
      </c>
      <c r="I1791">
        <v>0.59868229204800505</v>
      </c>
      <c r="J1791">
        <v>0.43397819203211502</v>
      </c>
      <c r="K1791">
        <v>0.79352493468135898</v>
      </c>
      <c r="L1791" t="s">
        <v>38</v>
      </c>
      <c r="M1791" t="s">
        <v>34</v>
      </c>
      <c r="N1791" t="s">
        <v>35</v>
      </c>
      <c r="O1791">
        <v>0.72850200694413803</v>
      </c>
      <c r="P1791" t="s">
        <v>36</v>
      </c>
    </row>
    <row r="1792" spans="1:16">
      <c r="A1792">
        <v>1791</v>
      </c>
      <c r="B1792" t="s">
        <v>1852</v>
      </c>
      <c r="C1792">
        <v>135</v>
      </c>
      <c r="D1792">
        <v>85</v>
      </c>
      <c r="E1792">
        <v>81.487138824493599</v>
      </c>
      <c r="F1792">
        <v>1.58084904647089</v>
      </c>
      <c r="G1792">
        <v>5215.1645943289204</v>
      </c>
      <c r="H1792">
        <v>713.09344362943102</v>
      </c>
      <c r="I1792">
        <v>0.60474627175030105</v>
      </c>
      <c r="J1792">
        <v>0.12887984252290999</v>
      </c>
      <c r="K1792">
        <v>0.63001400509929295</v>
      </c>
      <c r="L1792" t="s">
        <v>38</v>
      </c>
      <c r="M1792" t="s">
        <v>34</v>
      </c>
      <c r="N1792" t="s">
        <v>35</v>
      </c>
      <c r="O1792">
        <v>0.73149685314597501</v>
      </c>
      <c r="P1792" t="s">
        <v>36</v>
      </c>
    </row>
    <row r="1793" spans="1:16">
      <c r="A1793">
        <v>1792</v>
      </c>
      <c r="B1793" t="s">
        <v>1853</v>
      </c>
      <c r="C1793">
        <v>107</v>
      </c>
      <c r="D1793">
        <v>73</v>
      </c>
      <c r="E1793">
        <v>81.855561974747104</v>
      </c>
      <c r="F1793">
        <v>1.47112878113727</v>
      </c>
      <c r="G1793">
        <v>5262.4292529300601</v>
      </c>
      <c r="H1793">
        <v>379.22780183315302</v>
      </c>
      <c r="I1793">
        <v>0.65677243879238401</v>
      </c>
      <c r="J1793">
        <v>0.45982840657251101</v>
      </c>
      <c r="K1793">
        <v>0.83994021777809402</v>
      </c>
      <c r="L1793" t="s">
        <v>38</v>
      </c>
      <c r="M1793" t="s">
        <v>34</v>
      </c>
      <c r="N1793" t="s">
        <v>35</v>
      </c>
      <c r="O1793">
        <v>0.73951743016629401</v>
      </c>
      <c r="P1793" t="s">
        <v>36</v>
      </c>
    </row>
    <row r="1794" spans="1:16">
      <c r="A1794">
        <v>1793</v>
      </c>
      <c r="B1794" t="s">
        <v>1854</v>
      </c>
      <c r="C1794">
        <v>78</v>
      </c>
      <c r="D1794">
        <v>108</v>
      </c>
      <c r="E1794">
        <v>81.863653267405098</v>
      </c>
      <c r="F1794">
        <v>0.72222222222222199</v>
      </c>
      <c r="G1794">
        <v>5263.4696699432898</v>
      </c>
      <c r="H1794">
        <v>617.90623657589401</v>
      </c>
      <c r="I1794">
        <v>0.64602235753512305</v>
      </c>
      <c r="J1794">
        <v>0.17323547512586199</v>
      </c>
      <c r="K1794">
        <v>0.68922364298086802</v>
      </c>
      <c r="L1794" t="s">
        <v>288</v>
      </c>
      <c r="M1794" t="s">
        <v>34</v>
      </c>
      <c r="N1794" t="s">
        <v>35</v>
      </c>
      <c r="O1794">
        <v>0.64477992251897398</v>
      </c>
      <c r="P1794" t="s">
        <v>36</v>
      </c>
    </row>
    <row r="1795" spans="1:16">
      <c r="A1795">
        <v>1794</v>
      </c>
      <c r="B1795" t="s">
        <v>1855</v>
      </c>
      <c r="C1795">
        <v>139</v>
      </c>
      <c r="D1795">
        <v>82</v>
      </c>
      <c r="E1795">
        <v>82.025311507919298</v>
      </c>
      <c r="F1795">
        <v>1.69211816614912</v>
      </c>
      <c r="G1795">
        <v>5284.2780102079396</v>
      </c>
      <c r="H1795">
        <v>868.29995868879803</v>
      </c>
      <c r="I1795">
        <v>0.66573287289625005</v>
      </c>
      <c r="J1795">
        <v>8.8075671186286397E-2</v>
      </c>
      <c r="K1795">
        <v>0.55487405187751704</v>
      </c>
      <c r="L1795" t="s">
        <v>33</v>
      </c>
      <c r="M1795" t="s">
        <v>34</v>
      </c>
      <c r="N1795" t="s">
        <v>35</v>
      </c>
      <c r="O1795">
        <v>0.67513704425893994</v>
      </c>
      <c r="P1795" t="s">
        <v>36</v>
      </c>
    </row>
    <row r="1796" spans="1:16">
      <c r="A1796">
        <v>1795</v>
      </c>
      <c r="B1796" t="s">
        <v>1856</v>
      </c>
      <c r="C1796">
        <v>75</v>
      </c>
      <c r="D1796">
        <v>173</v>
      </c>
      <c r="E1796">
        <v>82.103716377978003</v>
      </c>
      <c r="F1796">
        <v>0.432760889543987</v>
      </c>
      <c r="G1796">
        <v>5294.38491833648</v>
      </c>
      <c r="H1796">
        <v>999.43001161025904</v>
      </c>
      <c r="I1796">
        <v>0.59482392174117604</v>
      </c>
      <c r="J1796">
        <v>6.6607111980126504E-2</v>
      </c>
      <c r="K1796">
        <v>0.50364788055312004</v>
      </c>
      <c r="L1796" t="s">
        <v>33</v>
      </c>
      <c r="M1796" t="s">
        <v>34</v>
      </c>
      <c r="N1796" t="s">
        <v>35</v>
      </c>
      <c r="O1796">
        <v>0.68955362288346</v>
      </c>
      <c r="P1796" t="s">
        <v>36</v>
      </c>
    </row>
    <row r="1797" spans="1:16">
      <c r="A1797">
        <v>1796</v>
      </c>
      <c r="B1797" t="s">
        <v>1857</v>
      </c>
      <c r="C1797">
        <v>152</v>
      </c>
      <c r="D1797">
        <v>71</v>
      </c>
      <c r="E1797">
        <v>82.398218534053498</v>
      </c>
      <c r="F1797">
        <v>2.13307222129129</v>
      </c>
      <c r="G1797">
        <v>5332.4344548204199</v>
      </c>
      <c r="H1797">
        <v>658.43941261612895</v>
      </c>
      <c r="I1797">
        <v>0.65977997440915803</v>
      </c>
      <c r="J1797">
        <v>0.15456236425543499</v>
      </c>
      <c r="K1797">
        <v>0.66135157056481297</v>
      </c>
      <c r="L1797" t="s">
        <v>33</v>
      </c>
      <c r="M1797" t="s">
        <v>34</v>
      </c>
      <c r="N1797" t="s">
        <v>35</v>
      </c>
      <c r="O1797">
        <v>0.71626749741116003</v>
      </c>
      <c r="P1797" t="s">
        <v>36</v>
      </c>
    </row>
    <row r="1798" spans="1:16">
      <c r="A1798">
        <v>1797</v>
      </c>
      <c r="B1798" t="s">
        <v>1858</v>
      </c>
      <c r="C1798">
        <v>124</v>
      </c>
      <c r="D1798">
        <v>91</v>
      </c>
      <c r="E1798">
        <v>82.742004316669593</v>
      </c>
      <c r="F1798">
        <v>1.36827947620042</v>
      </c>
      <c r="G1798">
        <v>5377.0237553875204</v>
      </c>
      <c r="H1798">
        <v>548.22800489062899</v>
      </c>
      <c r="I1798">
        <v>0.79774462170684202</v>
      </c>
      <c r="J1798">
        <v>0.22481712304440199</v>
      </c>
      <c r="K1798">
        <v>0.67030442274554902</v>
      </c>
      <c r="L1798" t="s">
        <v>33</v>
      </c>
      <c r="M1798" t="s">
        <v>34</v>
      </c>
      <c r="N1798" t="s">
        <v>35</v>
      </c>
      <c r="O1798">
        <v>0.73971312459190697</v>
      </c>
      <c r="P1798" t="s">
        <v>36</v>
      </c>
    </row>
    <row r="1799" spans="1:16">
      <c r="A1799">
        <v>1798</v>
      </c>
      <c r="B1799" t="s">
        <v>1859</v>
      </c>
      <c r="C1799">
        <v>92</v>
      </c>
      <c r="D1799">
        <v>98</v>
      </c>
      <c r="E1799">
        <v>82.7763043655319</v>
      </c>
      <c r="F1799">
        <v>0.94440405935969995</v>
      </c>
      <c r="G1799">
        <v>5381.4826854442399</v>
      </c>
      <c r="H1799">
        <v>439.67608520725503</v>
      </c>
      <c r="I1799">
        <v>0.60278567580020004</v>
      </c>
      <c r="J1799">
        <v>0.34982119817214302</v>
      </c>
      <c r="K1799">
        <v>0.77854470390917296</v>
      </c>
      <c r="L1799" t="s">
        <v>33</v>
      </c>
      <c r="M1799" t="s">
        <v>34</v>
      </c>
      <c r="N1799" t="s">
        <v>35</v>
      </c>
      <c r="O1799">
        <v>0.64742266092546497</v>
      </c>
      <c r="P1799" t="s">
        <v>36</v>
      </c>
    </row>
    <row r="1800" spans="1:16">
      <c r="A1800">
        <v>1799</v>
      </c>
      <c r="B1800" t="s">
        <v>1860</v>
      </c>
      <c r="C1800">
        <v>78</v>
      </c>
      <c r="D1800">
        <v>117</v>
      </c>
      <c r="E1800">
        <v>83.041079653777601</v>
      </c>
      <c r="F1800">
        <v>0.665116279069767</v>
      </c>
      <c r="G1800">
        <v>5415.9650778828</v>
      </c>
      <c r="H1800">
        <v>859.42149106388501</v>
      </c>
      <c r="I1800">
        <v>0.744892091787693</v>
      </c>
      <c r="J1800">
        <v>9.21453237167075E-2</v>
      </c>
      <c r="K1800">
        <v>0.65627476406598995</v>
      </c>
      <c r="L1800" t="s">
        <v>38</v>
      </c>
      <c r="M1800" t="s">
        <v>34</v>
      </c>
      <c r="N1800" t="s">
        <v>35</v>
      </c>
      <c r="O1800">
        <v>0.833432822112392</v>
      </c>
      <c r="P1800" t="s">
        <v>36</v>
      </c>
    </row>
    <row r="1801" spans="1:16">
      <c r="A1801">
        <v>1800</v>
      </c>
      <c r="B1801" t="s">
        <v>1861</v>
      </c>
      <c r="C1801">
        <v>147</v>
      </c>
      <c r="D1801">
        <v>84</v>
      </c>
      <c r="E1801">
        <v>83.574906871499607</v>
      </c>
      <c r="F1801">
        <v>1.7580240507468301</v>
      </c>
      <c r="G1801">
        <v>5485.8216487712698</v>
      </c>
      <c r="H1801">
        <v>819.04330438769398</v>
      </c>
      <c r="I1801">
        <v>0.66469659077156396</v>
      </c>
      <c r="J1801">
        <v>0.102763247277411</v>
      </c>
      <c r="K1801">
        <v>0.57731652380654397</v>
      </c>
      <c r="L1801" t="s">
        <v>33</v>
      </c>
      <c r="M1801" t="s">
        <v>34</v>
      </c>
      <c r="N1801" t="s">
        <v>35</v>
      </c>
      <c r="O1801">
        <v>0.70630420126609095</v>
      </c>
      <c r="P1801" t="s">
        <v>36</v>
      </c>
    </row>
    <row r="1802" spans="1:16">
      <c r="A1802">
        <v>1801</v>
      </c>
      <c r="B1802" t="s">
        <v>1862</v>
      </c>
      <c r="C1802">
        <v>130</v>
      </c>
      <c r="D1802">
        <v>81</v>
      </c>
      <c r="E1802">
        <v>83.588491869455297</v>
      </c>
      <c r="F1802">
        <v>1.61966825219741</v>
      </c>
      <c r="G1802">
        <v>5487.6052207939501</v>
      </c>
      <c r="H1802">
        <v>597.11048102430698</v>
      </c>
      <c r="I1802">
        <v>0.74081559492792703</v>
      </c>
      <c r="J1802">
        <v>0.19341196439140501</v>
      </c>
      <c r="K1802">
        <v>0.66587912781575198</v>
      </c>
      <c r="L1802" t="s">
        <v>38</v>
      </c>
      <c r="M1802" t="s">
        <v>34</v>
      </c>
      <c r="N1802" t="s">
        <v>35</v>
      </c>
      <c r="O1802">
        <v>0.72876360079718905</v>
      </c>
      <c r="P1802" t="s">
        <v>36</v>
      </c>
    </row>
    <row r="1803" spans="1:16">
      <c r="A1803">
        <v>1802</v>
      </c>
      <c r="B1803" t="s">
        <v>1863</v>
      </c>
      <c r="C1803">
        <v>108</v>
      </c>
      <c r="D1803">
        <v>116</v>
      </c>
      <c r="E1803">
        <v>83.872811355419401</v>
      </c>
      <c r="F1803">
        <v>0.93069316600938101</v>
      </c>
      <c r="G1803">
        <v>5525</v>
      </c>
      <c r="H1803">
        <v>748.40619683265697</v>
      </c>
      <c r="I1803">
        <v>0.54126527107662303</v>
      </c>
      <c r="J1803">
        <v>0.123955955309571</v>
      </c>
      <c r="K1803">
        <v>0.54299754299754299</v>
      </c>
      <c r="L1803" t="s">
        <v>38</v>
      </c>
      <c r="M1803" t="s">
        <v>34</v>
      </c>
      <c r="N1803" t="s">
        <v>35</v>
      </c>
      <c r="O1803">
        <v>0.77332871850763996</v>
      </c>
      <c r="P1803" t="s">
        <v>36</v>
      </c>
    </row>
    <row r="1804" spans="1:16">
      <c r="A1804">
        <v>1803</v>
      </c>
      <c r="B1804" t="s">
        <v>1864</v>
      </c>
      <c r="C1804">
        <v>127</v>
      </c>
      <c r="D1804">
        <v>136</v>
      </c>
      <c r="E1804">
        <v>84.196424386658094</v>
      </c>
      <c r="F1804">
        <v>0.93199999169921799</v>
      </c>
      <c r="G1804">
        <v>5567.7173308128504</v>
      </c>
      <c r="H1804">
        <v>1042.5886046007399</v>
      </c>
      <c r="I1804">
        <v>0.58978032082796905</v>
      </c>
      <c r="J1804">
        <v>6.4366677879746301E-2</v>
      </c>
      <c r="K1804">
        <v>0.38548612826212197</v>
      </c>
      <c r="L1804" t="s">
        <v>74</v>
      </c>
      <c r="M1804" t="s">
        <v>34</v>
      </c>
      <c r="N1804" t="s">
        <v>35</v>
      </c>
      <c r="O1804">
        <v>0.71711587073091698</v>
      </c>
      <c r="P1804" t="s">
        <v>36</v>
      </c>
    </row>
    <row r="1805" spans="1:16">
      <c r="A1805">
        <v>1804</v>
      </c>
      <c r="B1805" t="s">
        <v>1865</v>
      </c>
      <c r="C1805">
        <v>127</v>
      </c>
      <c r="D1805">
        <v>83</v>
      </c>
      <c r="E1805">
        <v>84.345871008649397</v>
      </c>
      <c r="F1805">
        <v>1.5271740854105</v>
      </c>
      <c r="G1805">
        <v>5587.5</v>
      </c>
      <c r="H1805">
        <v>489.91377532482102</v>
      </c>
      <c r="I1805">
        <v>0.66679580830996099</v>
      </c>
      <c r="J1805">
        <v>0.29254191369273902</v>
      </c>
      <c r="K1805">
        <v>0.69302325581395396</v>
      </c>
      <c r="L1805" t="s">
        <v>38</v>
      </c>
      <c r="M1805" t="s">
        <v>34</v>
      </c>
      <c r="N1805" t="s">
        <v>35</v>
      </c>
      <c r="O1805">
        <v>0.70792759282967999</v>
      </c>
      <c r="P1805" t="s">
        <v>36</v>
      </c>
    </row>
    <row r="1806" spans="1:16">
      <c r="A1806">
        <v>1805</v>
      </c>
      <c r="B1806" t="s">
        <v>1866</v>
      </c>
      <c r="C1806">
        <v>132</v>
      </c>
      <c r="D1806">
        <v>150</v>
      </c>
      <c r="E1806">
        <v>84.610096904718205</v>
      </c>
      <c r="F1806">
        <v>0.88</v>
      </c>
      <c r="G1806">
        <v>5622.5621705104004</v>
      </c>
      <c r="H1806">
        <v>1562.1897029091999</v>
      </c>
      <c r="I1806">
        <v>0.60780012223256197</v>
      </c>
      <c r="J1806">
        <v>2.8951867904204499E-2</v>
      </c>
      <c r="K1806">
        <v>0.35245504518773901</v>
      </c>
      <c r="L1806" t="s">
        <v>144</v>
      </c>
      <c r="M1806" t="s">
        <v>34</v>
      </c>
      <c r="N1806" t="s">
        <v>35</v>
      </c>
      <c r="O1806">
        <v>0.76703862604394102</v>
      </c>
      <c r="P1806" t="s">
        <v>36</v>
      </c>
    </row>
    <row r="1807" spans="1:16">
      <c r="A1807">
        <v>1806</v>
      </c>
      <c r="B1807" t="s">
        <v>1867</v>
      </c>
      <c r="C1807">
        <v>72</v>
      </c>
      <c r="D1807">
        <v>121</v>
      </c>
      <c r="E1807">
        <v>84.664877008211903</v>
      </c>
      <c r="F1807">
        <v>0.59544160719130401</v>
      </c>
      <c r="G1807">
        <v>5629.8450896030299</v>
      </c>
      <c r="H1807">
        <v>422.727812727431</v>
      </c>
      <c r="I1807">
        <v>0.697999930356762</v>
      </c>
      <c r="J1807">
        <v>0.39589923631852098</v>
      </c>
      <c r="K1807">
        <v>0.86717032967033003</v>
      </c>
      <c r="L1807" t="s">
        <v>67</v>
      </c>
      <c r="M1807" t="s">
        <v>34</v>
      </c>
      <c r="N1807" t="s">
        <v>35</v>
      </c>
      <c r="O1807">
        <v>0.65030397016028696</v>
      </c>
      <c r="P1807" t="s">
        <v>36</v>
      </c>
    </row>
    <row r="1808" spans="1:16">
      <c r="A1808">
        <v>1807</v>
      </c>
      <c r="B1808" t="s">
        <v>1868</v>
      </c>
      <c r="C1808">
        <v>115</v>
      </c>
      <c r="D1808">
        <v>84</v>
      </c>
      <c r="E1808">
        <v>84.745305978541595</v>
      </c>
      <c r="F1808">
        <v>1.3658058827703099</v>
      </c>
      <c r="G1808">
        <v>5640.5465217391302</v>
      </c>
      <c r="H1808">
        <v>503.89274074098302</v>
      </c>
      <c r="I1808">
        <v>0.53225897053312798</v>
      </c>
      <c r="J1808">
        <v>0.27916106464907098</v>
      </c>
      <c r="K1808">
        <v>0.706164753167972</v>
      </c>
      <c r="L1808" t="s">
        <v>33</v>
      </c>
      <c r="M1808" t="s">
        <v>34</v>
      </c>
      <c r="N1808" t="s">
        <v>35</v>
      </c>
      <c r="O1808">
        <v>0.69364327208485999</v>
      </c>
      <c r="P1808" t="s">
        <v>36</v>
      </c>
    </row>
    <row r="1809" spans="1:16">
      <c r="A1809">
        <v>1808</v>
      </c>
      <c r="B1809" t="s">
        <v>1869</v>
      </c>
      <c r="C1809">
        <v>81</v>
      </c>
      <c r="D1809">
        <v>118</v>
      </c>
      <c r="E1809">
        <v>84.768750053598296</v>
      </c>
      <c r="F1809">
        <v>0.68831168923082597</v>
      </c>
      <c r="G1809">
        <v>5643.6677727788301</v>
      </c>
      <c r="H1809">
        <v>497.91301552658501</v>
      </c>
      <c r="I1809">
        <v>0.87403967261785698</v>
      </c>
      <c r="J1809">
        <v>0.28606475037301599</v>
      </c>
      <c r="K1809">
        <v>0.75808576904647795</v>
      </c>
      <c r="L1809" t="s">
        <v>72</v>
      </c>
      <c r="M1809" t="s">
        <v>34</v>
      </c>
      <c r="N1809" t="s">
        <v>35</v>
      </c>
      <c r="O1809">
        <v>0.84560049653095204</v>
      </c>
      <c r="P1809" t="s">
        <v>36</v>
      </c>
    </row>
    <row r="1810" spans="1:16">
      <c r="A1810">
        <v>1809</v>
      </c>
      <c r="B1810" t="s">
        <v>1870</v>
      </c>
      <c r="C1810">
        <v>128</v>
      </c>
      <c r="D1810">
        <v>91</v>
      </c>
      <c r="E1810">
        <v>84.861346582477694</v>
      </c>
      <c r="F1810">
        <v>1.4052908015713901</v>
      </c>
      <c r="G1810">
        <v>5656.0041459357299</v>
      </c>
      <c r="H1810">
        <v>580.036086439879</v>
      </c>
      <c r="I1810">
        <v>0.55004809783993103</v>
      </c>
      <c r="J1810">
        <v>0.21125624487387501</v>
      </c>
      <c r="K1810">
        <v>0.63929441411171795</v>
      </c>
      <c r="L1810" t="s">
        <v>41</v>
      </c>
      <c r="M1810" t="s">
        <v>34</v>
      </c>
      <c r="N1810" t="s">
        <v>35</v>
      </c>
      <c r="O1810">
        <v>0.66786382710832204</v>
      </c>
      <c r="P1810" t="s">
        <v>36</v>
      </c>
    </row>
    <row r="1811" spans="1:16">
      <c r="A1811">
        <v>1810</v>
      </c>
      <c r="B1811" t="s">
        <v>1871</v>
      </c>
      <c r="C1811">
        <v>68</v>
      </c>
      <c r="D1811">
        <v>143</v>
      </c>
      <c r="E1811">
        <v>84.909278569342206</v>
      </c>
      <c r="F1811">
        <v>0.47672477648853701</v>
      </c>
      <c r="G1811">
        <v>5662.3952790170097</v>
      </c>
      <c r="H1811">
        <v>546.34381881081504</v>
      </c>
      <c r="I1811">
        <v>0.62747016248605403</v>
      </c>
      <c r="J1811">
        <v>0.23838448112218399</v>
      </c>
      <c r="K1811">
        <v>0.75025108804820895</v>
      </c>
      <c r="L1811" t="s">
        <v>33</v>
      </c>
      <c r="M1811" t="s">
        <v>34</v>
      </c>
      <c r="N1811" t="s">
        <v>35</v>
      </c>
      <c r="O1811">
        <v>0.64154227134524699</v>
      </c>
      <c r="P1811" t="s">
        <v>36</v>
      </c>
    </row>
    <row r="1812" spans="1:16">
      <c r="A1812">
        <v>1811</v>
      </c>
      <c r="B1812" t="s">
        <v>1872</v>
      </c>
      <c r="C1812">
        <v>103</v>
      </c>
      <c r="D1812">
        <v>122</v>
      </c>
      <c r="E1812">
        <v>85.116301381308304</v>
      </c>
      <c r="F1812">
        <v>0.84375</v>
      </c>
      <c r="G1812">
        <v>5690.0406453686201</v>
      </c>
      <c r="H1812">
        <v>992.687018588211</v>
      </c>
      <c r="I1812">
        <v>0.68241086790667205</v>
      </c>
      <c r="J1812">
        <v>7.2560546905901593E-2</v>
      </c>
      <c r="K1812">
        <v>0.601725818113231</v>
      </c>
      <c r="L1812" t="s">
        <v>74</v>
      </c>
      <c r="M1812" t="s">
        <v>34</v>
      </c>
      <c r="N1812" t="s">
        <v>35</v>
      </c>
      <c r="O1812">
        <v>0.63994231480427999</v>
      </c>
      <c r="P1812" t="s">
        <v>36</v>
      </c>
    </row>
    <row r="1813" spans="1:16">
      <c r="A1813">
        <v>1812</v>
      </c>
      <c r="B1813" t="s">
        <v>1873</v>
      </c>
      <c r="C1813">
        <v>103</v>
      </c>
      <c r="D1813">
        <v>91</v>
      </c>
      <c r="E1813">
        <v>85.313949571847999</v>
      </c>
      <c r="F1813">
        <v>1.13855421686747</v>
      </c>
      <c r="G1813">
        <v>5716.4969637050999</v>
      </c>
      <c r="H1813">
        <v>418.11867807813297</v>
      </c>
      <c r="I1813">
        <v>0.62131797888732598</v>
      </c>
      <c r="J1813">
        <v>0.41090431683489398</v>
      </c>
      <c r="K1813">
        <v>0.79198154973951396</v>
      </c>
      <c r="L1813" t="s">
        <v>38</v>
      </c>
      <c r="M1813" t="s">
        <v>34</v>
      </c>
      <c r="N1813" t="s">
        <v>35</v>
      </c>
      <c r="O1813">
        <v>0.83672239629223499</v>
      </c>
      <c r="P1813" t="s">
        <v>36</v>
      </c>
    </row>
    <row r="1814" spans="1:16">
      <c r="A1814">
        <v>1813</v>
      </c>
      <c r="B1814" t="s">
        <v>1874</v>
      </c>
      <c r="C1814">
        <v>119</v>
      </c>
      <c r="D1814">
        <v>88</v>
      </c>
      <c r="E1814">
        <v>85.326148765245506</v>
      </c>
      <c r="F1814">
        <v>1.35801503658231</v>
      </c>
      <c r="G1814">
        <v>5718.1319047259003</v>
      </c>
      <c r="H1814">
        <v>572.80153484033497</v>
      </c>
      <c r="I1814">
        <v>0.67120285999453599</v>
      </c>
      <c r="J1814">
        <v>0.21900583570913701</v>
      </c>
      <c r="K1814">
        <v>0.76031620553359702</v>
      </c>
      <c r="L1814" t="s">
        <v>38</v>
      </c>
      <c r="M1814" t="s">
        <v>34</v>
      </c>
      <c r="N1814" t="s">
        <v>35</v>
      </c>
      <c r="O1814">
        <v>0.72005183062094602</v>
      </c>
      <c r="P1814" t="s">
        <v>36</v>
      </c>
    </row>
    <row r="1815" spans="1:16">
      <c r="A1815">
        <v>1814</v>
      </c>
      <c r="B1815" t="s">
        <v>1875</v>
      </c>
      <c r="C1815">
        <v>93</v>
      </c>
      <c r="D1815">
        <v>107</v>
      </c>
      <c r="E1815">
        <v>85.498968126527501</v>
      </c>
      <c r="F1815">
        <v>0.86294416243654803</v>
      </c>
      <c r="G1815">
        <v>5741.3183410207903</v>
      </c>
      <c r="H1815">
        <v>680.11581638543498</v>
      </c>
      <c r="I1815">
        <v>0.69147513201545197</v>
      </c>
      <c r="J1815">
        <v>0.15597526878721299</v>
      </c>
      <c r="K1815">
        <v>0.69885839379082004</v>
      </c>
      <c r="L1815" t="s">
        <v>43</v>
      </c>
      <c r="M1815" t="s">
        <v>34</v>
      </c>
      <c r="N1815" t="s">
        <v>35</v>
      </c>
      <c r="O1815">
        <v>0.68279327067215301</v>
      </c>
      <c r="P1815" t="s">
        <v>36</v>
      </c>
    </row>
    <row r="1816" spans="1:16">
      <c r="A1816">
        <v>1815</v>
      </c>
      <c r="B1816" t="s">
        <v>1876</v>
      </c>
      <c r="C1816">
        <v>68</v>
      </c>
      <c r="D1816">
        <v>181</v>
      </c>
      <c r="E1816">
        <v>85.964725565170596</v>
      </c>
      <c r="F1816">
        <v>0.37349399860685401</v>
      </c>
      <c r="G1816">
        <v>5804.0406238185296</v>
      </c>
      <c r="H1816">
        <v>1000.77562792011</v>
      </c>
      <c r="I1816">
        <v>0.75591969275161397</v>
      </c>
      <c r="J1816">
        <v>7.2822715067602198E-2</v>
      </c>
      <c r="K1816">
        <v>0.54273046934719504</v>
      </c>
      <c r="L1816" t="s">
        <v>74</v>
      </c>
      <c r="M1816" t="s">
        <v>34</v>
      </c>
      <c r="N1816" t="s">
        <v>35</v>
      </c>
      <c r="O1816">
        <v>0.66056056197033797</v>
      </c>
      <c r="P1816" t="s">
        <v>36</v>
      </c>
    </row>
    <row r="1817" spans="1:16">
      <c r="A1817">
        <v>1816</v>
      </c>
      <c r="B1817" t="s">
        <v>1877</v>
      </c>
      <c r="C1817">
        <v>125</v>
      </c>
      <c r="D1817">
        <v>77</v>
      </c>
      <c r="E1817">
        <v>86.130771009792596</v>
      </c>
      <c r="F1817">
        <v>1.6248578671206699</v>
      </c>
      <c r="G1817">
        <v>5826.4839051039698</v>
      </c>
      <c r="H1817">
        <v>521.98007542599805</v>
      </c>
      <c r="I1817">
        <v>0.66517533666180995</v>
      </c>
      <c r="J1817">
        <v>0.26872530441092202</v>
      </c>
      <c r="K1817">
        <v>0.76852650564617297</v>
      </c>
      <c r="L1817" t="s">
        <v>33</v>
      </c>
      <c r="M1817" t="s">
        <v>34</v>
      </c>
      <c r="N1817" t="s">
        <v>35</v>
      </c>
      <c r="O1817">
        <v>0.69310027067530799</v>
      </c>
      <c r="P1817" t="s">
        <v>36</v>
      </c>
    </row>
    <row r="1818" spans="1:16">
      <c r="A1818">
        <v>1817</v>
      </c>
      <c r="B1818" t="s">
        <v>1878</v>
      </c>
      <c r="C1818">
        <v>97</v>
      </c>
      <c r="D1818">
        <v>135</v>
      </c>
      <c r="E1818">
        <v>86.311846163525601</v>
      </c>
      <c r="F1818">
        <v>0.72084643830060502</v>
      </c>
      <c r="G1818">
        <v>5851.0080204158803</v>
      </c>
      <c r="H1818">
        <v>977.89530196231397</v>
      </c>
      <c r="I1818">
        <v>0.63599186527345697</v>
      </c>
      <c r="J1818">
        <v>7.6887517360375801E-2</v>
      </c>
      <c r="K1818">
        <v>0.57806167400881103</v>
      </c>
      <c r="L1818" t="s">
        <v>33</v>
      </c>
      <c r="M1818" t="s">
        <v>34</v>
      </c>
      <c r="N1818" t="s">
        <v>35</v>
      </c>
      <c r="O1818">
        <v>0.71753035524762998</v>
      </c>
      <c r="P1818" t="s">
        <v>36</v>
      </c>
    </row>
    <row r="1819" spans="1:16">
      <c r="A1819">
        <v>1818</v>
      </c>
      <c r="B1819" t="s">
        <v>1879</v>
      </c>
      <c r="C1819">
        <v>148</v>
      </c>
      <c r="D1819">
        <v>77</v>
      </c>
      <c r="E1819">
        <v>86.339248664124995</v>
      </c>
      <c r="F1819">
        <v>1.9140973019615</v>
      </c>
      <c r="G1819">
        <v>5854.72379546314</v>
      </c>
      <c r="H1819">
        <v>695.21751173942005</v>
      </c>
      <c r="I1819">
        <v>0.62689384964677897</v>
      </c>
      <c r="J1819">
        <v>0.15222110476124601</v>
      </c>
      <c r="K1819">
        <v>0.69100956056486296</v>
      </c>
      <c r="L1819" t="s">
        <v>38</v>
      </c>
      <c r="M1819" t="s">
        <v>34</v>
      </c>
      <c r="N1819" t="s">
        <v>35</v>
      </c>
      <c r="O1819">
        <v>0.75122750619420697</v>
      </c>
      <c r="P1819" t="s">
        <v>36</v>
      </c>
    </row>
    <row r="1820" spans="1:16">
      <c r="A1820">
        <v>1819</v>
      </c>
      <c r="B1820" t="s">
        <v>1880</v>
      </c>
      <c r="C1820">
        <v>118</v>
      </c>
      <c r="D1820">
        <v>147</v>
      </c>
      <c r="E1820">
        <v>86.671769868374398</v>
      </c>
      <c r="F1820">
        <v>0.80000006781685595</v>
      </c>
      <c r="G1820">
        <v>5899.9076200378104</v>
      </c>
      <c r="H1820">
        <v>1025.3225673844499</v>
      </c>
      <c r="I1820">
        <v>0.58105133372418205</v>
      </c>
      <c r="J1820">
        <v>7.05235300845765E-2</v>
      </c>
      <c r="K1820">
        <v>0.46017853002550402</v>
      </c>
      <c r="L1820" t="s">
        <v>331</v>
      </c>
      <c r="M1820" t="s">
        <v>34</v>
      </c>
      <c r="N1820" t="s">
        <v>35</v>
      </c>
      <c r="O1820">
        <v>0.750525611515652</v>
      </c>
      <c r="P1820" t="s">
        <v>36</v>
      </c>
    </row>
    <row r="1821" spans="1:16">
      <c r="A1821">
        <v>1820</v>
      </c>
      <c r="B1821" t="s">
        <v>1881</v>
      </c>
      <c r="C1821">
        <v>151</v>
      </c>
      <c r="D1821">
        <v>93</v>
      </c>
      <c r="E1821">
        <v>86.914882798883696</v>
      </c>
      <c r="F1821">
        <v>1.6162043428061601</v>
      </c>
      <c r="G1821">
        <v>5933.0523334593599</v>
      </c>
      <c r="H1821">
        <v>780.43581638543503</v>
      </c>
      <c r="I1821">
        <v>0.60671780352447302</v>
      </c>
      <c r="J1821">
        <v>0.122409087023058</v>
      </c>
      <c r="K1821">
        <v>0.57491394581827104</v>
      </c>
      <c r="L1821" t="s">
        <v>33</v>
      </c>
      <c r="M1821" t="s">
        <v>34</v>
      </c>
      <c r="N1821" t="s">
        <v>35</v>
      </c>
      <c r="O1821">
        <v>0.68236880081297702</v>
      </c>
      <c r="P1821" t="s">
        <v>36</v>
      </c>
    </row>
    <row r="1822" spans="1:16">
      <c r="A1822">
        <v>1821</v>
      </c>
      <c r="B1822" t="s">
        <v>1882</v>
      </c>
      <c r="C1822">
        <v>103</v>
      </c>
      <c r="D1822">
        <v>115</v>
      </c>
      <c r="E1822">
        <v>86.975826829170103</v>
      </c>
      <c r="F1822">
        <v>0.89182433123407001</v>
      </c>
      <c r="G1822">
        <v>5941.3756695652201</v>
      </c>
      <c r="H1822">
        <v>567.65383042107499</v>
      </c>
      <c r="I1822">
        <v>0.633481654090716</v>
      </c>
      <c r="J1822">
        <v>0.23170197301943601</v>
      </c>
      <c r="K1822">
        <v>0.640989047993201</v>
      </c>
      <c r="L1822" t="s">
        <v>33</v>
      </c>
      <c r="M1822" t="s">
        <v>34</v>
      </c>
      <c r="N1822" t="s">
        <v>35</v>
      </c>
      <c r="O1822">
        <v>0.77530086973412404</v>
      </c>
      <c r="P1822" t="s">
        <v>36</v>
      </c>
    </row>
    <row r="1823" spans="1:16">
      <c r="A1823">
        <v>1822</v>
      </c>
      <c r="B1823" t="s">
        <v>1883</v>
      </c>
      <c r="C1823">
        <v>94</v>
      </c>
      <c r="D1823">
        <v>109</v>
      </c>
      <c r="E1823">
        <v>87.014982594426101</v>
      </c>
      <c r="F1823">
        <v>0.85774111030068301</v>
      </c>
      <c r="G1823">
        <v>5946.7263856332702</v>
      </c>
      <c r="H1823">
        <v>523.38989117518702</v>
      </c>
      <c r="I1823">
        <v>0.74447759541909597</v>
      </c>
      <c r="J1823">
        <v>0.27279547361349599</v>
      </c>
      <c r="K1823">
        <v>0.76656320649883103</v>
      </c>
      <c r="L1823" t="s">
        <v>298</v>
      </c>
      <c r="M1823" t="s">
        <v>34</v>
      </c>
      <c r="N1823" t="s">
        <v>35</v>
      </c>
      <c r="O1823">
        <v>0.662438639265859</v>
      </c>
      <c r="P1823" t="s">
        <v>36</v>
      </c>
    </row>
    <row r="1824" spans="1:16">
      <c r="A1824">
        <v>1823</v>
      </c>
      <c r="B1824" t="s">
        <v>1884</v>
      </c>
      <c r="C1824">
        <v>230</v>
      </c>
      <c r="D1824">
        <v>111</v>
      </c>
      <c r="E1824">
        <v>87.057381466515096</v>
      </c>
      <c r="F1824">
        <v>2.0755789559066402</v>
      </c>
      <c r="G1824">
        <v>5952.5229947069902</v>
      </c>
      <c r="H1824">
        <v>1012.06583292619</v>
      </c>
      <c r="I1824">
        <v>0.61653541093017705</v>
      </c>
      <c r="J1824">
        <v>7.3028674637738503E-2</v>
      </c>
      <c r="K1824">
        <v>0.32295497064705497</v>
      </c>
      <c r="L1824" t="s">
        <v>38</v>
      </c>
      <c r="M1824" t="s">
        <v>34</v>
      </c>
      <c r="N1824" t="s">
        <v>35</v>
      </c>
      <c r="O1824">
        <v>0.81156224190694004</v>
      </c>
      <c r="P1824" t="s">
        <v>36</v>
      </c>
    </row>
    <row r="1825" spans="1:16">
      <c r="A1825">
        <v>1824</v>
      </c>
      <c r="B1825" t="s">
        <v>1885</v>
      </c>
      <c r="C1825">
        <v>136</v>
      </c>
      <c r="D1825">
        <v>78</v>
      </c>
      <c r="E1825">
        <v>87.078029848640597</v>
      </c>
      <c r="F1825">
        <v>1.74590760554667</v>
      </c>
      <c r="G1825">
        <v>5955.3469837429102</v>
      </c>
      <c r="H1825">
        <v>705.91207300061797</v>
      </c>
      <c r="I1825">
        <v>0.66408637731600495</v>
      </c>
      <c r="J1825">
        <v>0.15018125018047199</v>
      </c>
      <c r="K1825">
        <v>0.709343908225047</v>
      </c>
      <c r="L1825" t="s">
        <v>33</v>
      </c>
      <c r="M1825" t="s">
        <v>34</v>
      </c>
      <c r="N1825" t="s">
        <v>35</v>
      </c>
      <c r="O1825">
        <v>0.69877826983852698</v>
      </c>
      <c r="P1825" t="s">
        <v>36</v>
      </c>
    </row>
    <row r="1826" spans="1:16">
      <c r="A1826">
        <v>1825</v>
      </c>
      <c r="B1826" t="s">
        <v>1886</v>
      </c>
      <c r="C1826">
        <v>93</v>
      </c>
      <c r="D1826">
        <v>107</v>
      </c>
      <c r="E1826">
        <v>87.335181011528803</v>
      </c>
      <c r="F1826">
        <v>0.87244897959183698</v>
      </c>
      <c r="G1826">
        <v>5990.57253119093</v>
      </c>
      <c r="H1826">
        <v>554.58352450256803</v>
      </c>
      <c r="I1826">
        <v>0.75529721436310304</v>
      </c>
      <c r="J1826">
        <v>0.24476215477080501</v>
      </c>
      <c r="K1826">
        <v>0.76654621529098499</v>
      </c>
      <c r="L1826" t="s">
        <v>33</v>
      </c>
      <c r="M1826" t="s">
        <v>34</v>
      </c>
      <c r="N1826" t="s">
        <v>35</v>
      </c>
      <c r="O1826">
        <v>0.73851522776460299</v>
      </c>
      <c r="P1826" t="s">
        <v>36</v>
      </c>
    </row>
    <row r="1827" spans="1:16">
      <c r="A1827">
        <v>1826</v>
      </c>
      <c r="B1827" t="s">
        <v>1887</v>
      </c>
      <c r="C1827">
        <v>120</v>
      </c>
      <c r="D1827">
        <v>142</v>
      </c>
      <c r="E1827">
        <v>87.374175736352498</v>
      </c>
      <c r="F1827">
        <v>0.84632067117216603</v>
      </c>
      <c r="G1827">
        <v>5995.9232472589802</v>
      </c>
      <c r="H1827">
        <v>965.47154398534599</v>
      </c>
      <c r="I1827">
        <v>0.54734857235508205</v>
      </c>
      <c r="J1827">
        <v>8.0832679031469706E-2</v>
      </c>
      <c r="K1827">
        <v>0.51731832112950604</v>
      </c>
      <c r="L1827" t="s">
        <v>33</v>
      </c>
      <c r="M1827" t="s">
        <v>34</v>
      </c>
      <c r="N1827" t="s">
        <v>35</v>
      </c>
      <c r="O1827">
        <v>0.67610187918781095</v>
      </c>
      <c r="P1827" t="s">
        <v>36</v>
      </c>
    </row>
    <row r="1828" spans="1:16">
      <c r="A1828">
        <v>1827</v>
      </c>
      <c r="B1828" t="s">
        <v>1888</v>
      </c>
      <c r="C1828">
        <v>95</v>
      </c>
      <c r="D1828">
        <v>90</v>
      </c>
      <c r="E1828">
        <v>87.585776568055607</v>
      </c>
      <c r="F1828">
        <v>1.05555555555556</v>
      </c>
      <c r="G1828">
        <v>6025</v>
      </c>
      <c r="H1828">
        <v>357.98989534378097</v>
      </c>
      <c r="I1828">
        <v>0.60726480485010403</v>
      </c>
      <c r="J1828">
        <v>0.59077944774990898</v>
      </c>
      <c r="K1828">
        <v>0.86225402504472304</v>
      </c>
      <c r="L1828" t="s">
        <v>33</v>
      </c>
      <c r="M1828" t="s">
        <v>34</v>
      </c>
      <c r="N1828" t="s">
        <v>35</v>
      </c>
      <c r="O1828">
        <v>0.73123472185798999</v>
      </c>
      <c r="P1828" t="s">
        <v>36</v>
      </c>
    </row>
    <row r="1829" spans="1:16">
      <c r="A1829">
        <v>1828</v>
      </c>
      <c r="B1829" t="s">
        <v>1889</v>
      </c>
      <c r="C1829">
        <v>152</v>
      </c>
      <c r="D1829">
        <v>135</v>
      </c>
      <c r="E1829">
        <v>87.609939682026507</v>
      </c>
      <c r="F1829">
        <v>1.1255060728744899</v>
      </c>
      <c r="G1829">
        <v>6028.32480567108</v>
      </c>
      <c r="H1829">
        <v>1382.98972962825</v>
      </c>
      <c r="I1829">
        <v>0.58723413857390006</v>
      </c>
      <c r="J1829">
        <v>3.9606694464487398E-2</v>
      </c>
      <c r="K1829">
        <v>0.35749605563537301</v>
      </c>
      <c r="L1829" t="s">
        <v>49</v>
      </c>
      <c r="M1829" t="s">
        <v>34</v>
      </c>
      <c r="N1829" t="s">
        <v>35</v>
      </c>
      <c r="O1829">
        <v>0.81955621663917799</v>
      </c>
      <c r="P1829" t="s">
        <v>36</v>
      </c>
    </row>
    <row r="1830" spans="1:16">
      <c r="A1830">
        <v>1829</v>
      </c>
      <c r="B1830" t="s">
        <v>1890</v>
      </c>
      <c r="C1830">
        <v>79</v>
      </c>
      <c r="D1830">
        <v>124</v>
      </c>
      <c r="E1830">
        <v>87.634776870141494</v>
      </c>
      <c r="F1830">
        <v>0.63974632758265204</v>
      </c>
      <c r="G1830">
        <v>6031.7433187145598</v>
      </c>
      <c r="H1830">
        <v>571.446516291992</v>
      </c>
      <c r="I1830">
        <v>0.73957604031254598</v>
      </c>
      <c r="J1830">
        <v>0.23211410748080399</v>
      </c>
      <c r="K1830">
        <v>0.75509824352485899</v>
      </c>
      <c r="L1830" t="s">
        <v>38</v>
      </c>
      <c r="M1830" t="s">
        <v>34</v>
      </c>
      <c r="N1830" t="s">
        <v>35</v>
      </c>
      <c r="O1830">
        <v>0.708895571005136</v>
      </c>
      <c r="P1830" t="s">
        <v>36</v>
      </c>
    </row>
    <row r="1831" spans="1:16">
      <c r="A1831">
        <v>1830</v>
      </c>
      <c r="B1831" t="s">
        <v>1891</v>
      </c>
      <c r="C1831">
        <v>101</v>
      </c>
      <c r="D1831">
        <v>147</v>
      </c>
      <c r="E1831">
        <v>87.672559090634493</v>
      </c>
      <c r="F1831">
        <v>0.69144981412639395</v>
      </c>
      <c r="G1831">
        <v>6036.94540378072</v>
      </c>
      <c r="H1831">
        <v>1022.03473533371</v>
      </c>
      <c r="I1831">
        <v>0.69346542169192604</v>
      </c>
      <c r="J1831">
        <v>7.2626614497038999E-2</v>
      </c>
      <c r="K1831">
        <v>0.503939254829464</v>
      </c>
      <c r="L1831" t="s">
        <v>33</v>
      </c>
      <c r="M1831" t="s">
        <v>34</v>
      </c>
      <c r="N1831" t="s">
        <v>35</v>
      </c>
      <c r="O1831">
        <v>0.69910478304954904</v>
      </c>
      <c r="P1831" t="s">
        <v>36</v>
      </c>
    </row>
    <row r="1832" spans="1:16">
      <c r="A1832">
        <v>1831</v>
      </c>
      <c r="B1832" t="s">
        <v>1892</v>
      </c>
      <c r="C1832">
        <v>142</v>
      </c>
      <c r="D1832">
        <v>147</v>
      </c>
      <c r="E1832">
        <v>87.807362881186407</v>
      </c>
      <c r="F1832">
        <v>0.96654275092936803</v>
      </c>
      <c r="G1832">
        <v>6055.5242790170096</v>
      </c>
      <c r="H1832">
        <v>1102.6079126065699</v>
      </c>
      <c r="I1832">
        <v>0.50115269413683905</v>
      </c>
      <c r="J1832">
        <v>6.2592082935407606E-2</v>
      </c>
      <c r="K1832">
        <v>0.44682064442543501</v>
      </c>
      <c r="L1832" t="s">
        <v>43</v>
      </c>
      <c r="M1832" t="s">
        <v>34</v>
      </c>
      <c r="N1832" t="s">
        <v>35</v>
      </c>
      <c r="O1832">
        <v>0.77920910727165804</v>
      </c>
      <c r="P1832" t="s">
        <v>36</v>
      </c>
    </row>
    <row r="1833" spans="1:16">
      <c r="A1833">
        <v>1832</v>
      </c>
      <c r="B1833" t="s">
        <v>1893</v>
      </c>
      <c r="C1833">
        <v>117</v>
      </c>
      <c r="D1833">
        <v>81</v>
      </c>
      <c r="E1833">
        <v>88.035518198137495</v>
      </c>
      <c r="F1833">
        <v>1.4527027027027</v>
      </c>
      <c r="G1833">
        <v>6087.0340514177697</v>
      </c>
      <c r="H1833">
        <v>473.64395507066098</v>
      </c>
      <c r="I1833">
        <v>0.73647683331103797</v>
      </c>
      <c r="J1833">
        <v>0.34096641031255298</v>
      </c>
      <c r="K1833">
        <v>0.77542364858468205</v>
      </c>
      <c r="L1833" t="s">
        <v>49</v>
      </c>
      <c r="M1833" t="s">
        <v>34</v>
      </c>
      <c r="N1833" t="s">
        <v>35</v>
      </c>
      <c r="O1833">
        <v>0.74432777558069096</v>
      </c>
      <c r="P1833" t="s">
        <v>36</v>
      </c>
    </row>
    <row r="1834" spans="1:16">
      <c r="A1834">
        <v>1833</v>
      </c>
      <c r="B1834" t="s">
        <v>1894</v>
      </c>
      <c r="C1834">
        <v>88</v>
      </c>
      <c r="D1834">
        <v>97</v>
      </c>
      <c r="E1834">
        <v>88.253434872860396</v>
      </c>
      <c r="F1834">
        <v>0.90707337129140597</v>
      </c>
      <c r="G1834">
        <v>6117.2061448015102</v>
      </c>
      <c r="H1834">
        <v>440.11997204832397</v>
      </c>
      <c r="I1834">
        <v>0.68918283455928997</v>
      </c>
      <c r="J1834">
        <v>0.39684492131094301</v>
      </c>
      <c r="K1834">
        <v>0.83886024091474198</v>
      </c>
      <c r="L1834" t="s">
        <v>49</v>
      </c>
      <c r="M1834" t="s">
        <v>34</v>
      </c>
      <c r="N1834" t="s">
        <v>35</v>
      </c>
      <c r="O1834">
        <v>0.64402875059949305</v>
      </c>
      <c r="P1834" t="s">
        <v>36</v>
      </c>
    </row>
    <row r="1835" spans="1:16">
      <c r="A1835">
        <v>1834</v>
      </c>
      <c r="B1835" t="s">
        <v>1895</v>
      </c>
      <c r="C1835">
        <v>78</v>
      </c>
      <c r="D1835">
        <v>128</v>
      </c>
      <c r="E1835">
        <v>88.283450131920404</v>
      </c>
      <c r="F1835">
        <v>0.60992240006105403</v>
      </c>
      <c r="G1835">
        <v>6121.3678128544398</v>
      </c>
      <c r="H1835">
        <v>520.96713532541105</v>
      </c>
      <c r="I1835">
        <v>0.65450237867862004</v>
      </c>
      <c r="J1835">
        <v>0.28342469329638398</v>
      </c>
      <c r="K1835">
        <v>0.76071296638344998</v>
      </c>
      <c r="L1835" t="s">
        <v>33</v>
      </c>
      <c r="M1835" t="s">
        <v>34</v>
      </c>
      <c r="N1835" t="s">
        <v>35</v>
      </c>
      <c r="O1835">
        <v>0.66377484817321897</v>
      </c>
      <c r="P1835" t="s">
        <v>36</v>
      </c>
    </row>
    <row r="1836" spans="1:16">
      <c r="A1836">
        <v>1835</v>
      </c>
      <c r="B1836" t="s">
        <v>1896</v>
      </c>
      <c r="C1836">
        <v>73</v>
      </c>
      <c r="D1836">
        <v>156</v>
      </c>
      <c r="E1836">
        <v>88.536031559596395</v>
      </c>
      <c r="F1836">
        <v>0.46341463414634099</v>
      </c>
      <c r="G1836">
        <v>6156.4447293005696</v>
      </c>
      <c r="H1836">
        <v>784.22688602623703</v>
      </c>
      <c r="I1836">
        <v>0.71760944818373495</v>
      </c>
      <c r="J1836">
        <v>0.125792976707856</v>
      </c>
      <c r="K1836">
        <v>0.694342469197888</v>
      </c>
      <c r="L1836" t="s">
        <v>38</v>
      </c>
      <c r="M1836" t="s">
        <v>34</v>
      </c>
      <c r="N1836" t="s">
        <v>35</v>
      </c>
      <c r="O1836">
        <v>0.64814512239893296</v>
      </c>
      <c r="P1836" t="s">
        <v>36</v>
      </c>
    </row>
    <row r="1837" spans="1:16">
      <c r="A1837">
        <v>1836</v>
      </c>
      <c r="B1837" t="s">
        <v>1897</v>
      </c>
      <c r="C1837">
        <v>114</v>
      </c>
      <c r="D1837">
        <v>98</v>
      </c>
      <c r="E1837">
        <v>88.596928433581297</v>
      </c>
      <c r="F1837">
        <v>1.1666666949236899</v>
      </c>
      <c r="G1837">
        <v>6164.9166964083197</v>
      </c>
      <c r="H1837">
        <v>496.77556955150902</v>
      </c>
      <c r="I1837">
        <v>0.44509637585672601</v>
      </c>
      <c r="J1837">
        <v>0.31391828762153201</v>
      </c>
      <c r="K1837">
        <v>0.73116042941000203</v>
      </c>
      <c r="L1837" t="s">
        <v>43</v>
      </c>
      <c r="M1837" t="s">
        <v>34</v>
      </c>
      <c r="N1837" t="s">
        <v>35</v>
      </c>
      <c r="O1837">
        <v>0.70015398048261202</v>
      </c>
      <c r="P1837" t="s">
        <v>36</v>
      </c>
    </row>
    <row r="1838" spans="1:16">
      <c r="A1838">
        <v>1837</v>
      </c>
      <c r="B1838" t="s">
        <v>1898</v>
      </c>
      <c r="C1838">
        <v>112</v>
      </c>
      <c r="D1838">
        <v>113</v>
      </c>
      <c r="E1838">
        <v>88.602268267866805</v>
      </c>
      <c r="F1838">
        <v>0.99516908212560395</v>
      </c>
      <c r="G1838">
        <v>6165.6598514177704</v>
      </c>
      <c r="H1838">
        <v>564.66980732015998</v>
      </c>
      <c r="I1838">
        <v>0.61315097292310605</v>
      </c>
      <c r="J1838">
        <v>0.24299665327270201</v>
      </c>
      <c r="K1838">
        <v>0.66414242487312103</v>
      </c>
      <c r="L1838" t="s">
        <v>41</v>
      </c>
      <c r="M1838" t="s">
        <v>34</v>
      </c>
      <c r="N1838" t="s">
        <v>35</v>
      </c>
      <c r="O1838">
        <v>0.761546263995315</v>
      </c>
      <c r="P1838" t="s">
        <v>36</v>
      </c>
    </row>
    <row r="1839" spans="1:16">
      <c r="A1839">
        <v>1838</v>
      </c>
      <c r="B1839" t="s">
        <v>1899</v>
      </c>
      <c r="C1839">
        <v>132</v>
      </c>
      <c r="D1839">
        <v>127</v>
      </c>
      <c r="E1839">
        <v>88.635368060135093</v>
      </c>
      <c r="F1839">
        <v>1.0386266145012499</v>
      </c>
      <c r="G1839">
        <v>6170.2674124763698</v>
      </c>
      <c r="H1839">
        <v>1457.3711183477501</v>
      </c>
      <c r="I1839">
        <v>0.62415957035912495</v>
      </c>
      <c r="J1839">
        <v>3.6506780376605798E-2</v>
      </c>
      <c r="K1839">
        <v>0.46627131208302403</v>
      </c>
      <c r="L1839" t="s">
        <v>38</v>
      </c>
      <c r="M1839" t="s">
        <v>34</v>
      </c>
      <c r="N1839" t="s">
        <v>35</v>
      </c>
      <c r="O1839">
        <v>0.75442012395383096</v>
      </c>
      <c r="P1839" t="s">
        <v>36</v>
      </c>
    </row>
    <row r="1840" spans="1:16">
      <c r="A1840">
        <v>1839</v>
      </c>
      <c r="B1840" t="s">
        <v>1900</v>
      </c>
      <c r="C1840">
        <v>132</v>
      </c>
      <c r="D1840">
        <v>103</v>
      </c>
      <c r="E1840">
        <v>88.766577854870704</v>
      </c>
      <c r="F1840">
        <v>1.2872340425531901</v>
      </c>
      <c r="G1840">
        <v>6188.5490257088904</v>
      </c>
      <c r="H1840">
        <v>1048.4541818652999</v>
      </c>
      <c r="I1840">
        <v>0.51292310362185001</v>
      </c>
      <c r="J1840">
        <v>7.0745657509599699E-2</v>
      </c>
      <c r="K1840">
        <v>0.516363861846593</v>
      </c>
      <c r="L1840" t="s">
        <v>33</v>
      </c>
      <c r="M1840" t="s">
        <v>34</v>
      </c>
      <c r="N1840" t="s">
        <v>35</v>
      </c>
      <c r="O1840">
        <v>0.70137748118429399</v>
      </c>
      <c r="P1840" t="s">
        <v>36</v>
      </c>
    </row>
    <row r="1841" spans="1:16">
      <c r="A1841">
        <v>1840</v>
      </c>
      <c r="B1841" t="s">
        <v>1901</v>
      </c>
      <c r="C1841">
        <v>104</v>
      </c>
      <c r="D1841">
        <v>96</v>
      </c>
      <c r="E1841">
        <v>88.888013990365295</v>
      </c>
      <c r="F1841">
        <v>1.08798493296049</v>
      </c>
      <c r="G1841">
        <v>6205.4929599243897</v>
      </c>
      <c r="H1841">
        <v>966.03281123648503</v>
      </c>
      <c r="I1841">
        <v>0.56388552659506597</v>
      </c>
      <c r="J1841">
        <v>8.3560762898288093E-2</v>
      </c>
      <c r="K1841">
        <v>0.684633422429202</v>
      </c>
      <c r="L1841" t="s">
        <v>38</v>
      </c>
      <c r="M1841" t="s">
        <v>34</v>
      </c>
      <c r="N1841" t="s">
        <v>35</v>
      </c>
      <c r="O1841">
        <v>0.78482950607938395</v>
      </c>
      <c r="P1841" t="s">
        <v>36</v>
      </c>
    </row>
    <row r="1842" spans="1:16">
      <c r="A1842">
        <v>1841</v>
      </c>
      <c r="B1842" t="s">
        <v>1902</v>
      </c>
      <c r="C1842">
        <v>191</v>
      </c>
      <c r="D1842">
        <v>74</v>
      </c>
      <c r="E1842">
        <v>89.178149422589101</v>
      </c>
      <c r="F1842">
        <v>2.5925925925925899</v>
      </c>
      <c r="G1842">
        <v>6246.0692234404496</v>
      </c>
      <c r="H1842">
        <v>942.55199284346202</v>
      </c>
      <c r="I1842">
        <v>0.85506357140477895</v>
      </c>
      <c r="J1842">
        <v>8.8349892439969394E-2</v>
      </c>
      <c r="K1842">
        <v>0.56698777624868502</v>
      </c>
      <c r="L1842" t="s">
        <v>38</v>
      </c>
      <c r="M1842" t="s">
        <v>34</v>
      </c>
      <c r="N1842" t="s">
        <v>35</v>
      </c>
      <c r="O1842">
        <v>0.73804898186447299</v>
      </c>
      <c r="P1842" t="s">
        <v>36</v>
      </c>
    </row>
    <row r="1843" spans="1:16">
      <c r="A1843">
        <v>1842</v>
      </c>
      <c r="B1843" t="s">
        <v>1903</v>
      </c>
      <c r="C1843">
        <v>88</v>
      </c>
      <c r="D1843">
        <v>112</v>
      </c>
      <c r="E1843">
        <v>89.304323724387004</v>
      </c>
      <c r="F1843">
        <v>0.78155339805825197</v>
      </c>
      <c r="G1843">
        <v>6263.7563126654104</v>
      </c>
      <c r="H1843">
        <v>508.89485803469398</v>
      </c>
      <c r="I1843">
        <v>0.596926699344554</v>
      </c>
      <c r="J1843">
        <v>0.30394051292874003</v>
      </c>
      <c r="K1843">
        <v>0.78267248583898197</v>
      </c>
      <c r="L1843" t="s">
        <v>33</v>
      </c>
      <c r="M1843" t="s">
        <v>34</v>
      </c>
      <c r="N1843" t="s">
        <v>35</v>
      </c>
      <c r="O1843">
        <v>0.670815891327601</v>
      </c>
      <c r="P1843" t="s">
        <v>36</v>
      </c>
    </row>
    <row r="1844" spans="1:16">
      <c r="A1844">
        <v>1843</v>
      </c>
      <c r="B1844" t="s">
        <v>1904</v>
      </c>
      <c r="C1844">
        <v>111</v>
      </c>
      <c r="D1844">
        <v>84</v>
      </c>
      <c r="E1844">
        <v>89.605783594512005</v>
      </c>
      <c r="F1844">
        <v>1.32352958394151</v>
      </c>
      <c r="G1844">
        <v>6306.1161482041598</v>
      </c>
      <c r="H1844">
        <v>415.65603650030903</v>
      </c>
      <c r="I1844">
        <v>0.71879898889003802</v>
      </c>
      <c r="J1844">
        <v>0.45867349577144201</v>
      </c>
      <c r="K1844">
        <v>0.86344580569009699</v>
      </c>
      <c r="L1844" t="s">
        <v>38</v>
      </c>
      <c r="M1844" t="s">
        <v>34</v>
      </c>
      <c r="N1844" t="s">
        <v>35</v>
      </c>
      <c r="O1844">
        <v>0.78561272639615998</v>
      </c>
      <c r="P1844" t="s">
        <v>36</v>
      </c>
    </row>
    <row r="1845" spans="1:16">
      <c r="A1845">
        <v>1844</v>
      </c>
      <c r="B1845" t="s">
        <v>1905</v>
      </c>
      <c r="C1845">
        <v>117</v>
      </c>
      <c r="D1845">
        <v>122</v>
      </c>
      <c r="E1845">
        <v>90.078668406279903</v>
      </c>
      <c r="F1845">
        <v>0.96412555562869395</v>
      </c>
      <c r="G1845">
        <v>6372.8514680529297</v>
      </c>
      <c r="H1845">
        <v>688.41031927803294</v>
      </c>
      <c r="I1845">
        <v>0.59650935593381904</v>
      </c>
      <c r="J1845">
        <v>0.168985296069597</v>
      </c>
      <c r="K1845">
        <v>0.63238547535470901</v>
      </c>
      <c r="L1845" t="s">
        <v>33</v>
      </c>
      <c r="M1845" t="s">
        <v>34</v>
      </c>
      <c r="N1845" t="s">
        <v>35</v>
      </c>
      <c r="O1845">
        <v>0.654609111750036</v>
      </c>
      <c r="P1845" t="s">
        <v>36</v>
      </c>
    </row>
    <row r="1846" spans="1:16">
      <c r="A1846">
        <v>1845</v>
      </c>
      <c r="B1846" t="s">
        <v>1906</v>
      </c>
      <c r="C1846">
        <v>157</v>
      </c>
      <c r="D1846">
        <v>79</v>
      </c>
      <c r="E1846">
        <v>90.107025582450504</v>
      </c>
      <c r="F1846">
        <v>1.99333848773495</v>
      </c>
      <c r="G1846">
        <v>6376.8645051039703</v>
      </c>
      <c r="H1846">
        <v>626.12324478646997</v>
      </c>
      <c r="I1846">
        <v>0.74010772009819004</v>
      </c>
      <c r="J1846">
        <v>0.20440776929347401</v>
      </c>
      <c r="K1846">
        <v>0.68320647154367997</v>
      </c>
      <c r="L1846" t="s">
        <v>38</v>
      </c>
      <c r="M1846" t="s">
        <v>34</v>
      </c>
      <c r="N1846" t="s">
        <v>35</v>
      </c>
      <c r="O1846">
        <v>0.75252642172352402</v>
      </c>
      <c r="P1846" t="s">
        <v>36</v>
      </c>
    </row>
    <row r="1847" spans="1:16">
      <c r="A1847">
        <v>1846</v>
      </c>
      <c r="B1847" t="s">
        <v>1907</v>
      </c>
      <c r="C1847">
        <v>113</v>
      </c>
      <c r="D1847">
        <v>88</v>
      </c>
      <c r="E1847">
        <v>90.3398471123039</v>
      </c>
      <c r="F1847">
        <v>1.2839506172839501</v>
      </c>
      <c r="G1847">
        <v>6409.8605875236299</v>
      </c>
      <c r="H1847">
        <v>437.27764306876998</v>
      </c>
      <c r="I1847">
        <v>0.67753247724718701</v>
      </c>
      <c r="J1847">
        <v>0.42125386725276598</v>
      </c>
      <c r="K1847">
        <v>0.83713797655097399</v>
      </c>
      <c r="L1847" t="s">
        <v>38</v>
      </c>
      <c r="M1847" t="s">
        <v>34</v>
      </c>
      <c r="N1847" t="s">
        <v>35</v>
      </c>
      <c r="O1847">
        <v>0.69603179247285596</v>
      </c>
      <c r="P1847" t="s">
        <v>36</v>
      </c>
    </row>
    <row r="1848" spans="1:16">
      <c r="A1848">
        <v>1847</v>
      </c>
      <c r="B1848" t="s">
        <v>1908</v>
      </c>
      <c r="C1848">
        <v>124</v>
      </c>
      <c r="D1848">
        <v>85</v>
      </c>
      <c r="E1848">
        <v>90.701521536360502</v>
      </c>
      <c r="F1848">
        <v>1.4608240774127701</v>
      </c>
      <c r="G1848">
        <v>6461.2869141776901</v>
      </c>
      <c r="H1848">
        <v>497.93571300776102</v>
      </c>
      <c r="I1848">
        <v>0.62987849128874396</v>
      </c>
      <c r="J1848">
        <v>0.32747815773657002</v>
      </c>
      <c r="K1848">
        <v>0.81298623578695395</v>
      </c>
      <c r="L1848" t="s">
        <v>1038</v>
      </c>
      <c r="M1848" t="s">
        <v>34</v>
      </c>
      <c r="N1848" t="s">
        <v>35</v>
      </c>
      <c r="O1848">
        <v>0.64091082504029995</v>
      </c>
      <c r="P1848" t="s">
        <v>36</v>
      </c>
    </row>
    <row r="1849" spans="1:16">
      <c r="A1849">
        <v>1848</v>
      </c>
      <c r="B1849" t="s">
        <v>1909</v>
      </c>
      <c r="C1849">
        <v>94</v>
      </c>
      <c r="D1849">
        <v>149</v>
      </c>
      <c r="E1849">
        <v>90.919292609817305</v>
      </c>
      <c r="F1849">
        <v>0.63130799101121204</v>
      </c>
      <c r="G1849">
        <v>6492.3507935727803</v>
      </c>
      <c r="H1849">
        <v>902.74219888282903</v>
      </c>
      <c r="I1849">
        <v>0.66946506082227197</v>
      </c>
      <c r="J1849">
        <v>0.100111588678944</v>
      </c>
      <c r="K1849">
        <v>0.58956674315022295</v>
      </c>
      <c r="L1849" t="s">
        <v>38</v>
      </c>
      <c r="M1849" t="s">
        <v>34</v>
      </c>
      <c r="N1849" t="s">
        <v>35</v>
      </c>
      <c r="O1849">
        <v>0.68302727850301803</v>
      </c>
      <c r="P1849" t="s">
        <v>36</v>
      </c>
    </row>
    <row r="1850" spans="1:16">
      <c r="A1850">
        <v>1849</v>
      </c>
      <c r="B1850" t="s">
        <v>1910</v>
      </c>
      <c r="C1850">
        <v>132</v>
      </c>
      <c r="D1850">
        <v>147</v>
      </c>
      <c r="E1850">
        <v>90.985874245935193</v>
      </c>
      <c r="F1850">
        <v>0.89962825278810399</v>
      </c>
      <c r="G1850">
        <v>6501.86317769376</v>
      </c>
      <c r="H1850">
        <v>1057.6293329756199</v>
      </c>
      <c r="I1850">
        <v>0.69843271209765601</v>
      </c>
      <c r="J1850">
        <v>7.3043355457208706E-2</v>
      </c>
      <c r="K1850">
        <v>0.49318481606331499</v>
      </c>
      <c r="L1850" t="s">
        <v>74</v>
      </c>
      <c r="M1850" t="s">
        <v>34</v>
      </c>
      <c r="N1850" t="s">
        <v>35</v>
      </c>
      <c r="O1850">
        <v>0.70523964289062302</v>
      </c>
      <c r="P1850" t="s">
        <v>36</v>
      </c>
    </row>
    <row r="1851" spans="1:16">
      <c r="A1851">
        <v>1850</v>
      </c>
      <c r="B1851" t="s">
        <v>1911</v>
      </c>
      <c r="C1851">
        <v>91</v>
      </c>
      <c r="D1851">
        <v>120</v>
      </c>
      <c r="E1851">
        <v>91.647997827030593</v>
      </c>
      <c r="F1851">
        <v>0.757356176059091</v>
      </c>
      <c r="G1851">
        <v>6596.8383879017001</v>
      </c>
      <c r="H1851">
        <v>791.19847009016098</v>
      </c>
      <c r="I1851">
        <v>0.62281888952023901</v>
      </c>
      <c r="J1851">
        <v>0.13242647870930699</v>
      </c>
      <c r="K1851">
        <v>0.73208306530093803</v>
      </c>
      <c r="L1851" t="s">
        <v>38</v>
      </c>
      <c r="M1851" t="s">
        <v>34</v>
      </c>
      <c r="N1851" t="s">
        <v>35</v>
      </c>
      <c r="O1851">
        <v>0.65607978574525705</v>
      </c>
      <c r="P1851" t="s">
        <v>36</v>
      </c>
    </row>
    <row r="1852" spans="1:16">
      <c r="A1852">
        <v>1851</v>
      </c>
      <c r="B1852" t="s">
        <v>1912</v>
      </c>
      <c r="C1852">
        <v>95</v>
      </c>
      <c r="D1852">
        <v>95</v>
      </c>
      <c r="E1852">
        <v>91.669956884750803</v>
      </c>
      <c r="F1852">
        <v>1</v>
      </c>
      <c r="G1852">
        <v>6600</v>
      </c>
      <c r="H1852">
        <v>397.98989534378097</v>
      </c>
      <c r="I1852">
        <v>0.68182296981750201</v>
      </c>
      <c r="J1852">
        <v>0.52361214094445996</v>
      </c>
      <c r="K1852">
        <v>0.84615384615384603</v>
      </c>
      <c r="L1852" t="s">
        <v>33</v>
      </c>
      <c r="M1852" t="s">
        <v>34</v>
      </c>
      <c r="N1852" t="s">
        <v>35</v>
      </c>
      <c r="O1852">
        <v>0.68054693133053801</v>
      </c>
      <c r="P1852" t="s">
        <v>36</v>
      </c>
    </row>
    <row r="1853" spans="1:16">
      <c r="A1853">
        <v>1852</v>
      </c>
      <c r="B1853" t="s">
        <v>1913</v>
      </c>
      <c r="C1853">
        <v>122</v>
      </c>
      <c r="D1853">
        <v>98</v>
      </c>
      <c r="E1853">
        <v>91.694446041276294</v>
      </c>
      <c r="F1853">
        <v>1.2513966909051299</v>
      </c>
      <c r="G1853">
        <v>6603.5267829867698</v>
      </c>
      <c r="H1853">
        <v>552.85432778679797</v>
      </c>
      <c r="I1853">
        <v>0.63503027167612403</v>
      </c>
      <c r="J1853">
        <v>0.27149659072434701</v>
      </c>
      <c r="K1853">
        <v>0.758873364533871</v>
      </c>
      <c r="L1853" t="s">
        <v>38</v>
      </c>
      <c r="M1853" t="s">
        <v>34</v>
      </c>
      <c r="N1853" t="s">
        <v>35</v>
      </c>
      <c r="O1853">
        <v>0.72610976627365997</v>
      </c>
      <c r="P1853" t="s">
        <v>36</v>
      </c>
    </row>
    <row r="1854" spans="1:16">
      <c r="A1854">
        <v>1853</v>
      </c>
      <c r="B1854" t="s">
        <v>1914</v>
      </c>
      <c r="C1854">
        <v>123</v>
      </c>
      <c r="D1854">
        <v>139</v>
      </c>
      <c r="E1854">
        <v>91.813040276271593</v>
      </c>
      <c r="F1854">
        <v>0.89054724606507896</v>
      </c>
      <c r="G1854">
        <v>6620.6193482041599</v>
      </c>
      <c r="H1854">
        <v>1038.5533719012999</v>
      </c>
      <c r="I1854">
        <v>0.58295930922124695</v>
      </c>
      <c r="J1854">
        <v>7.7134886122616098E-2</v>
      </c>
      <c r="K1854">
        <v>0.525977706404685</v>
      </c>
      <c r="L1854" t="s">
        <v>33</v>
      </c>
      <c r="M1854" t="s">
        <v>34</v>
      </c>
      <c r="N1854" t="s">
        <v>35</v>
      </c>
      <c r="O1854">
        <v>0.68221184338979102</v>
      </c>
      <c r="P1854" t="s">
        <v>36</v>
      </c>
    </row>
    <row r="1855" spans="1:16">
      <c r="A1855">
        <v>1854</v>
      </c>
      <c r="B1855" t="s">
        <v>1915</v>
      </c>
      <c r="C1855">
        <v>132</v>
      </c>
      <c r="D1855">
        <v>74</v>
      </c>
      <c r="E1855">
        <v>91.982930145690901</v>
      </c>
      <c r="F1855">
        <v>1.8</v>
      </c>
      <c r="G1855">
        <v>6645.1434635160704</v>
      </c>
      <c r="H1855">
        <v>491.89957436240201</v>
      </c>
      <c r="I1855">
        <v>0.79657164934878999</v>
      </c>
      <c r="J1855">
        <v>0.34511301032188701</v>
      </c>
      <c r="K1855">
        <v>0.84562425526280904</v>
      </c>
      <c r="L1855" t="s">
        <v>74</v>
      </c>
      <c r="M1855" t="s">
        <v>34</v>
      </c>
      <c r="N1855" t="s">
        <v>35</v>
      </c>
      <c r="O1855">
        <v>0.69084362101158703</v>
      </c>
      <c r="P1855" t="s">
        <v>36</v>
      </c>
    </row>
    <row r="1856" spans="1:16">
      <c r="A1856">
        <v>1855</v>
      </c>
      <c r="B1856" t="s">
        <v>1916</v>
      </c>
      <c r="C1856">
        <v>126</v>
      </c>
      <c r="D1856">
        <v>161</v>
      </c>
      <c r="E1856">
        <v>92.019955343814104</v>
      </c>
      <c r="F1856">
        <v>0.78378378378378399</v>
      </c>
      <c r="G1856">
        <v>6650.4941795841196</v>
      </c>
      <c r="H1856">
        <v>1431.94970044395</v>
      </c>
      <c r="I1856">
        <v>0.64478259781547498</v>
      </c>
      <c r="J1856">
        <v>4.0757567441379497E-2</v>
      </c>
      <c r="K1856">
        <v>0.35025988665184599</v>
      </c>
      <c r="L1856" t="s">
        <v>38</v>
      </c>
      <c r="M1856" t="s">
        <v>34</v>
      </c>
      <c r="N1856" t="s">
        <v>35</v>
      </c>
      <c r="O1856">
        <v>0.72724992075313699</v>
      </c>
      <c r="P1856" t="s">
        <v>36</v>
      </c>
    </row>
    <row r="1857" spans="1:16">
      <c r="A1857">
        <v>1856</v>
      </c>
      <c r="B1857" t="s">
        <v>1917</v>
      </c>
      <c r="C1857">
        <v>107</v>
      </c>
      <c r="D1857">
        <v>87</v>
      </c>
      <c r="E1857">
        <v>92.271537780762799</v>
      </c>
      <c r="F1857">
        <v>1.23125</v>
      </c>
      <c r="G1857">
        <v>6686.90877504726</v>
      </c>
      <c r="H1857">
        <v>582.58334816414401</v>
      </c>
      <c r="I1857">
        <v>0.63152346265060399</v>
      </c>
      <c r="J1857">
        <v>0.24758203494571801</v>
      </c>
      <c r="K1857">
        <v>0.821150230885762</v>
      </c>
      <c r="L1857" t="s">
        <v>288</v>
      </c>
      <c r="M1857" t="s">
        <v>34</v>
      </c>
      <c r="N1857" t="s">
        <v>35</v>
      </c>
      <c r="O1857">
        <v>0.68665099116407702</v>
      </c>
      <c r="P1857" t="s">
        <v>36</v>
      </c>
    </row>
    <row r="1858" spans="1:16">
      <c r="A1858">
        <v>1857</v>
      </c>
      <c r="B1858" t="s">
        <v>1918</v>
      </c>
      <c r="C1858">
        <v>127</v>
      </c>
      <c r="D1858">
        <v>117</v>
      </c>
      <c r="E1858">
        <v>92.378124806804195</v>
      </c>
      <c r="F1858">
        <v>1.08372094211609</v>
      </c>
      <c r="G1858">
        <v>6702.3663992438596</v>
      </c>
      <c r="H1858">
        <v>897.31272245096102</v>
      </c>
      <c r="I1858">
        <v>0.68163663721486201</v>
      </c>
      <c r="J1858">
        <v>0.104604502673633</v>
      </c>
      <c r="K1858">
        <v>0.609205495737696</v>
      </c>
      <c r="L1858" t="s">
        <v>33</v>
      </c>
      <c r="M1858" t="s">
        <v>34</v>
      </c>
      <c r="N1858" t="s">
        <v>35</v>
      </c>
      <c r="O1858">
        <v>0.74656182987637298</v>
      </c>
      <c r="P1858" t="s">
        <v>36</v>
      </c>
    </row>
    <row r="1859" spans="1:16">
      <c r="A1859">
        <v>1858</v>
      </c>
      <c r="B1859" t="s">
        <v>1919</v>
      </c>
      <c r="C1859">
        <v>139</v>
      </c>
      <c r="D1859">
        <v>82</v>
      </c>
      <c r="E1859">
        <v>92.443655739315304</v>
      </c>
      <c r="F1859">
        <v>1.6982888445819699</v>
      </c>
      <c r="G1859">
        <v>6711.8787833648403</v>
      </c>
      <c r="H1859">
        <v>628.67829251911303</v>
      </c>
      <c r="I1859">
        <v>0.71935524786918204</v>
      </c>
      <c r="J1859">
        <v>0.21340128913727899</v>
      </c>
      <c r="K1859">
        <v>0.73997968079179399</v>
      </c>
      <c r="L1859" t="s">
        <v>288</v>
      </c>
      <c r="M1859" t="s">
        <v>34</v>
      </c>
      <c r="N1859" t="s">
        <v>35</v>
      </c>
      <c r="O1859">
        <v>0.65906304865061005</v>
      </c>
      <c r="P1859" t="s">
        <v>36</v>
      </c>
    </row>
    <row r="1860" spans="1:16">
      <c r="A1860">
        <v>1859</v>
      </c>
      <c r="B1860" t="s">
        <v>1920</v>
      </c>
      <c r="C1860">
        <v>142</v>
      </c>
      <c r="D1860">
        <v>156</v>
      </c>
      <c r="E1860">
        <v>93.0232198762412</v>
      </c>
      <c r="F1860">
        <v>0.90592334494773497</v>
      </c>
      <c r="G1860">
        <v>6796.3011924385601</v>
      </c>
      <c r="H1860">
        <v>1010.76561157869</v>
      </c>
      <c r="I1860">
        <v>0.63299323460856205</v>
      </c>
      <c r="J1860">
        <v>8.3595243200428604E-2</v>
      </c>
      <c r="K1860">
        <v>0.41908550165430902</v>
      </c>
      <c r="L1860" t="s">
        <v>41</v>
      </c>
      <c r="M1860" t="s">
        <v>34</v>
      </c>
      <c r="N1860" t="s">
        <v>35</v>
      </c>
      <c r="O1860">
        <v>0.73003082051287704</v>
      </c>
      <c r="P1860" t="s">
        <v>36</v>
      </c>
    </row>
    <row r="1861" spans="1:16">
      <c r="A1861">
        <v>1860</v>
      </c>
      <c r="B1861" t="s">
        <v>1921</v>
      </c>
      <c r="C1861">
        <v>101</v>
      </c>
      <c r="D1861">
        <v>104</v>
      </c>
      <c r="E1861">
        <v>93.075081640961898</v>
      </c>
      <c r="F1861">
        <v>0.96463413487803695</v>
      </c>
      <c r="G1861">
        <v>6803.8813735349704</v>
      </c>
      <c r="H1861">
        <v>512.03225426953804</v>
      </c>
      <c r="I1861">
        <v>0.66348447345961803</v>
      </c>
      <c r="J1861">
        <v>0.32611588874746</v>
      </c>
      <c r="K1861">
        <v>0.76591152456163802</v>
      </c>
      <c r="L1861" t="s">
        <v>38</v>
      </c>
      <c r="M1861" t="s">
        <v>34</v>
      </c>
      <c r="N1861" t="s">
        <v>35</v>
      </c>
      <c r="O1861">
        <v>0.71952809162739295</v>
      </c>
      <c r="P1861" t="s">
        <v>36</v>
      </c>
    </row>
    <row r="1862" spans="1:16">
      <c r="A1862">
        <v>1861</v>
      </c>
      <c r="B1862" t="s">
        <v>1922</v>
      </c>
      <c r="C1862">
        <v>142</v>
      </c>
      <c r="D1862">
        <v>107</v>
      </c>
      <c r="E1862">
        <v>93.214253714490695</v>
      </c>
      <c r="F1862">
        <v>1.3197969543147201</v>
      </c>
      <c r="G1862">
        <v>6824.2438207939504</v>
      </c>
      <c r="H1862">
        <v>1291.6892308305701</v>
      </c>
      <c r="I1862">
        <v>0.61236720549245904</v>
      </c>
      <c r="J1862">
        <v>5.1398248725096997E-2</v>
      </c>
      <c r="K1862">
        <v>0.55800104517336502</v>
      </c>
      <c r="L1862" t="s">
        <v>33</v>
      </c>
      <c r="M1862" t="s">
        <v>34</v>
      </c>
      <c r="N1862" t="s">
        <v>35</v>
      </c>
      <c r="O1862">
        <v>0.66993842432005501</v>
      </c>
      <c r="P1862" t="s">
        <v>36</v>
      </c>
    </row>
    <row r="1863" spans="1:16">
      <c r="A1863">
        <v>1862</v>
      </c>
      <c r="B1863" t="s">
        <v>1923</v>
      </c>
      <c r="C1863">
        <v>145</v>
      </c>
      <c r="D1863">
        <v>95</v>
      </c>
      <c r="E1863">
        <v>93.233538547369704</v>
      </c>
      <c r="F1863">
        <v>1.53693406159081</v>
      </c>
      <c r="G1863">
        <v>6827.0678098298704</v>
      </c>
      <c r="H1863">
        <v>656.78771058238101</v>
      </c>
      <c r="I1863">
        <v>0.63905474765848802</v>
      </c>
      <c r="J1863">
        <v>0.198881343305119</v>
      </c>
      <c r="K1863">
        <v>0.65317179301224304</v>
      </c>
      <c r="L1863" t="s">
        <v>33</v>
      </c>
      <c r="M1863" t="s">
        <v>34</v>
      </c>
      <c r="N1863" t="s">
        <v>35</v>
      </c>
      <c r="O1863">
        <v>0.71166028423521099</v>
      </c>
      <c r="P1863" t="s">
        <v>36</v>
      </c>
    </row>
    <row r="1864" spans="1:16">
      <c r="A1864">
        <v>1863</v>
      </c>
      <c r="B1864" t="s">
        <v>1924</v>
      </c>
      <c r="C1864">
        <v>154</v>
      </c>
      <c r="D1864">
        <v>82</v>
      </c>
      <c r="E1864">
        <v>93.369434262685999</v>
      </c>
      <c r="F1864">
        <v>1.8786602617738699</v>
      </c>
      <c r="G1864">
        <v>6846.9843640831796</v>
      </c>
      <c r="H1864">
        <v>793.43413685622397</v>
      </c>
      <c r="I1864">
        <v>0.70439465173626603</v>
      </c>
      <c r="J1864">
        <v>0.136674482042872</v>
      </c>
      <c r="K1864">
        <v>0.74278850029829602</v>
      </c>
      <c r="L1864" t="s">
        <v>33</v>
      </c>
      <c r="M1864" t="s">
        <v>34</v>
      </c>
      <c r="N1864" t="s">
        <v>35</v>
      </c>
      <c r="O1864">
        <v>0.67800256181758201</v>
      </c>
      <c r="P1864" t="s">
        <v>36</v>
      </c>
    </row>
    <row r="1865" spans="1:16">
      <c r="A1865">
        <v>1864</v>
      </c>
      <c r="B1865" t="s">
        <v>1925</v>
      </c>
      <c r="C1865">
        <v>97</v>
      </c>
      <c r="D1865">
        <v>140</v>
      </c>
      <c r="E1865">
        <v>93.376527856942204</v>
      </c>
      <c r="F1865">
        <v>0.69766924493598204</v>
      </c>
      <c r="G1865">
        <v>6848.0247810964102</v>
      </c>
      <c r="H1865">
        <v>816.38806449185302</v>
      </c>
      <c r="I1865">
        <v>0.77609428368177902</v>
      </c>
      <c r="J1865">
        <v>0.12911654423795299</v>
      </c>
      <c r="K1865">
        <v>0.64395930005031599</v>
      </c>
      <c r="L1865" t="s">
        <v>38</v>
      </c>
      <c r="M1865" t="s">
        <v>34</v>
      </c>
      <c r="N1865" t="s">
        <v>35</v>
      </c>
      <c r="O1865">
        <v>0.75990308039991405</v>
      </c>
      <c r="P1865" t="s">
        <v>36</v>
      </c>
    </row>
    <row r="1866" spans="1:16">
      <c r="A1866">
        <v>1865</v>
      </c>
      <c r="B1866" t="s">
        <v>1926</v>
      </c>
      <c r="C1866">
        <v>130</v>
      </c>
      <c r="D1866">
        <v>121</v>
      </c>
      <c r="E1866">
        <v>93.692154046123804</v>
      </c>
      <c r="F1866">
        <v>1.0757169527066699</v>
      </c>
      <c r="G1866">
        <v>6894.3976536862001</v>
      </c>
      <c r="H1866">
        <v>770.40271453857395</v>
      </c>
      <c r="I1866">
        <v>0.64402749490386302</v>
      </c>
      <c r="J1866">
        <v>0.14597234477941101</v>
      </c>
      <c r="K1866">
        <v>0.59718056002574804</v>
      </c>
      <c r="L1866" t="s">
        <v>33</v>
      </c>
      <c r="M1866" t="s">
        <v>34</v>
      </c>
      <c r="N1866" t="s">
        <v>35</v>
      </c>
      <c r="O1866">
        <v>0.74860312057357403</v>
      </c>
      <c r="P1866" t="s">
        <v>36</v>
      </c>
    </row>
    <row r="1867" spans="1:16">
      <c r="A1867">
        <v>1866</v>
      </c>
      <c r="B1867" t="s">
        <v>1927</v>
      </c>
      <c r="C1867">
        <v>171</v>
      </c>
      <c r="D1867">
        <v>85</v>
      </c>
      <c r="E1867">
        <v>93.8193174741712</v>
      </c>
      <c r="F1867">
        <v>2.0047819305897598</v>
      </c>
      <c r="G1867">
        <v>6913.1251599243897</v>
      </c>
      <c r="H1867">
        <v>845.00395260541302</v>
      </c>
      <c r="I1867">
        <v>0.60159627385001901</v>
      </c>
      <c r="J1867">
        <v>0.12166532004986599</v>
      </c>
      <c r="K1867">
        <v>0.57717221353585002</v>
      </c>
      <c r="L1867" t="s">
        <v>33</v>
      </c>
      <c r="M1867" t="s">
        <v>34</v>
      </c>
      <c r="N1867" t="s">
        <v>35</v>
      </c>
      <c r="O1867">
        <v>0.70227159645800497</v>
      </c>
      <c r="P1867" t="s">
        <v>36</v>
      </c>
    </row>
    <row r="1868" spans="1:16">
      <c r="A1868">
        <v>1867</v>
      </c>
      <c r="B1868" t="s">
        <v>1928</v>
      </c>
      <c r="C1868">
        <v>107</v>
      </c>
      <c r="D1868">
        <v>107</v>
      </c>
      <c r="E1868">
        <v>93.917095832600296</v>
      </c>
      <c r="F1868">
        <v>1</v>
      </c>
      <c r="G1868">
        <v>6927.5423671077497</v>
      </c>
      <c r="H1868">
        <v>947.030451840007</v>
      </c>
      <c r="I1868">
        <v>0.58361800234387495</v>
      </c>
      <c r="J1868">
        <v>9.7064666457306395E-2</v>
      </c>
      <c r="K1868">
        <v>0.65593819046680801</v>
      </c>
      <c r="L1868" t="s">
        <v>38</v>
      </c>
      <c r="M1868" t="s">
        <v>34</v>
      </c>
      <c r="N1868" t="s">
        <v>35</v>
      </c>
      <c r="O1868">
        <v>0.89042244228702205</v>
      </c>
      <c r="P1868" t="s">
        <v>36</v>
      </c>
    </row>
    <row r="1869" spans="1:16">
      <c r="A1869">
        <v>1868</v>
      </c>
      <c r="B1869" t="s">
        <v>1929</v>
      </c>
      <c r="C1869">
        <v>139</v>
      </c>
      <c r="D1869">
        <v>77</v>
      </c>
      <c r="E1869">
        <v>94.025842827923199</v>
      </c>
      <c r="F1869">
        <v>1.8146481777735399</v>
      </c>
      <c r="G1869">
        <v>6943.5945153119101</v>
      </c>
      <c r="H1869">
        <v>463.52395630328601</v>
      </c>
      <c r="I1869">
        <v>0.71751974328142398</v>
      </c>
      <c r="J1869">
        <v>0.40611576255034498</v>
      </c>
      <c r="K1869">
        <v>0.80145822611082496</v>
      </c>
      <c r="L1869" t="s">
        <v>58</v>
      </c>
      <c r="M1869" t="s">
        <v>34</v>
      </c>
      <c r="N1869" t="s">
        <v>35</v>
      </c>
      <c r="O1869">
        <v>0.67499631978825203</v>
      </c>
      <c r="P1869" t="s">
        <v>36</v>
      </c>
    </row>
    <row r="1870" spans="1:16">
      <c r="A1870">
        <v>1869</v>
      </c>
      <c r="B1870" t="s">
        <v>1930</v>
      </c>
      <c r="C1870">
        <v>100</v>
      </c>
      <c r="D1870">
        <v>154</v>
      </c>
      <c r="E1870">
        <v>94.049991750991893</v>
      </c>
      <c r="F1870">
        <v>0.65351795062684903</v>
      </c>
      <c r="G1870">
        <v>6947.1616593572799</v>
      </c>
      <c r="H1870">
        <v>1053.37718824687</v>
      </c>
      <c r="I1870">
        <v>0.66163060666251505</v>
      </c>
      <c r="J1870">
        <v>7.8677300560776903E-2</v>
      </c>
      <c r="K1870">
        <v>0.54764554944990596</v>
      </c>
      <c r="L1870" t="s">
        <v>33</v>
      </c>
      <c r="M1870" t="s">
        <v>34</v>
      </c>
      <c r="N1870" t="s">
        <v>35</v>
      </c>
      <c r="O1870">
        <v>0.67045259250101896</v>
      </c>
      <c r="P1870" t="s">
        <v>36</v>
      </c>
    </row>
    <row r="1871" spans="1:16">
      <c r="A1871">
        <v>1870</v>
      </c>
      <c r="B1871" t="s">
        <v>1931</v>
      </c>
      <c r="C1871">
        <v>91</v>
      </c>
      <c r="D1871">
        <v>133</v>
      </c>
      <c r="E1871">
        <v>94.212835076590594</v>
      </c>
      <c r="F1871">
        <v>0.68013366538281805</v>
      </c>
      <c r="G1871">
        <v>6971.2398816635196</v>
      </c>
      <c r="H1871">
        <v>545.67295715798502</v>
      </c>
      <c r="I1871">
        <v>0.62911188585404898</v>
      </c>
      <c r="J1871">
        <v>0.29420837322978999</v>
      </c>
      <c r="K1871">
        <v>0.80758634939219698</v>
      </c>
      <c r="L1871" t="s">
        <v>38</v>
      </c>
      <c r="M1871" t="s">
        <v>34</v>
      </c>
      <c r="N1871" t="s">
        <v>35</v>
      </c>
      <c r="O1871">
        <v>0.71264585270480396</v>
      </c>
      <c r="P1871" t="s">
        <v>36</v>
      </c>
    </row>
    <row r="1872" spans="1:16">
      <c r="A1872">
        <v>1871</v>
      </c>
      <c r="B1872" t="s">
        <v>1932</v>
      </c>
      <c r="C1872">
        <v>87</v>
      </c>
      <c r="D1872">
        <v>161</v>
      </c>
      <c r="E1872">
        <v>95.365789500597302</v>
      </c>
      <c r="F1872">
        <v>0.53716216982499598</v>
      </c>
      <c r="G1872">
        <v>7142.9086888468801</v>
      </c>
      <c r="H1872">
        <v>892.72077604853598</v>
      </c>
      <c r="I1872">
        <v>0.68861787594427504</v>
      </c>
      <c r="J1872">
        <v>0.112629894723595</v>
      </c>
      <c r="K1872">
        <v>0.57753689371725203</v>
      </c>
      <c r="L1872" t="s">
        <v>49</v>
      </c>
      <c r="M1872" t="s">
        <v>34</v>
      </c>
      <c r="N1872" t="s">
        <v>35</v>
      </c>
      <c r="O1872">
        <v>0.74764259715249104</v>
      </c>
      <c r="P1872" t="s">
        <v>36</v>
      </c>
    </row>
    <row r="1873" spans="1:16">
      <c r="A1873">
        <v>1872</v>
      </c>
      <c r="B1873" t="s">
        <v>1933</v>
      </c>
      <c r="C1873">
        <v>95</v>
      </c>
      <c r="D1873">
        <v>132</v>
      </c>
      <c r="E1873">
        <v>95.402493642629295</v>
      </c>
      <c r="F1873">
        <v>0.71903609791796996</v>
      </c>
      <c r="G1873">
        <v>7148.4080359168202</v>
      </c>
      <c r="H1873">
        <v>673.67339985298099</v>
      </c>
      <c r="I1873">
        <v>0.48098467181722998</v>
      </c>
      <c r="J1873">
        <v>0.19793399914840701</v>
      </c>
      <c r="K1873">
        <v>0.74382529887563997</v>
      </c>
      <c r="L1873" t="s">
        <v>38</v>
      </c>
      <c r="M1873" t="s">
        <v>34</v>
      </c>
      <c r="N1873" t="s">
        <v>35</v>
      </c>
      <c r="O1873">
        <v>0.69471746701344195</v>
      </c>
      <c r="P1873" t="s">
        <v>36</v>
      </c>
    </row>
    <row r="1874" spans="1:16">
      <c r="A1874">
        <v>1873</v>
      </c>
      <c r="B1874" t="s">
        <v>1934</v>
      </c>
      <c r="C1874">
        <v>137</v>
      </c>
      <c r="D1874">
        <v>113</v>
      </c>
      <c r="E1874">
        <v>95.610547513126406</v>
      </c>
      <c r="F1874">
        <v>1.2067307692307701</v>
      </c>
      <c r="G1874">
        <v>7179.6205463138003</v>
      </c>
      <c r="H1874">
        <v>1064.93587002288</v>
      </c>
      <c r="I1874">
        <v>0.59888548213012405</v>
      </c>
      <c r="J1874">
        <v>7.95544439725967E-2</v>
      </c>
      <c r="K1874">
        <v>0.53295011970828698</v>
      </c>
      <c r="L1874" t="s">
        <v>298</v>
      </c>
      <c r="M1874" t="s">
        <v>34</v>
      </c>
      <c r="N1874" t="s">
        <v>35</v>
      </c>
      <c r="O1874">
        <v>0.73266459135269002</v>
      </c>
      <c r="P1874" t="s">
        <v>36</v>
      </c>
    </row>
    <row r="1875" spans="1:16">
      <c r="A1875">
        <v>1874</v>
      </c>
      <c r="B1875" t="s">
        <v>1935</v>
      </c>
      <c r="C1875">
        <v>137</v>
      </c>
      <c r="D1875">
        <v>117</v>
      </c>
      <c r="E1875">
        <v>95.849744757622901</v>
      </c>
      <c r="F1875">
        <v>1.1674418842321901</v>
      </c>
      <c r="G1875">
        <v>7215.5892487712699</v>
      </c>
      <c r="H1875">
        <v>1356.4350538957599</v>
      </c>
      <c r="I1875">
        <v>0.74114942353548297</v>
      </c>
      <c r="J1875">
        <v>4.9281470441595303E-2</v>
      </c>
      <c r="K1875">
        <v>0.55356389468523004</v>
      </c>
      <c r="L1875" t="s">
        <v>38</v>
      </c>
      <c r="M1875" t="s">
        <v>34</v>
      </c>
      <c r="N1875" t="s">
        <v>35</v>
      </c>
      <c r="O1875">
        <v>0.77795595375900395</v>
      </c>
      <c r="P1875" t="s">
        <v>36</v>
      </c>
    </row>
    <row r="1876" spans="1:16">
      <c r="A1876">
        <v>1875</v>
      </c>
      <c r="B1876" t="s">
        <v>1936</v>
      </c>
      <c r="C1876">
        <v>138</v>
      </c>
      <c r="D1876">
        <v>99</v>
      </c>
      <c r="E1876">
        <v>96.257571743433004</v>
      </c>
      <c r="F1876">
        <v>1.38653686405465</v>
      </c>
      <c r="G1876">
        <v>7277.1224835538796</v>
      </c>
      <c r="H1876">
        <v>699.20507270242899</v>
      </c>
      <c r="I1876">
        <v>0.65534098697566701</v>
      </c>
      <c r="J1876">
        <v>0.18705116089470999</v>
      </c>
      <c r="K1876">
        <v>0.698953589630116</v>
      </c>
      <c r="L1876" t="s">
        <v>38</v>
      </c>
      <c r="M1876" t="s">
        <v>34</v>
      </c>
      <c r="N1876" t="s">
        <v>35</v>
      </c>
      <c r="O1876">
        <v>0.77413480796351897</v>
      </c>
      <c r="P1876" t="s">
        <v>36</v>
      </c>
    </row>
    <row r="1877" spans="1:16">
      <c r="A1877">
        <v>1876</v>
      </c>
      <c r="B1877" t="s">
        <v>1937</v>
      </c>
      <c r="C1877">
        <v>126</v>
      </c>
      <c r="D1877">
        <v>88</v>
      </c>
      <c r="E1877">
        <v>96.571620241559003</v>
      </c>
      <c r="F1877">
        <v>1.43080257878706</v>
      </c>
      <c r="G1877">
        <v>7324.6844041587901</v>
      </c>
      <c r="H1877">
        <v>390.63861970953297</v>
      </c>
      <c r="I1877">
        <v>0.535073430123572</v>
      </c>
      <c r="J1877">
        <v>0.60318207604548102</v>
      </c>
      <c r="K1877">
        <v>0.89353253676137301</v>
      </c>
      <c r="L1877" t="s">
        <v>47</v>
      </c>
      <c r="M1877" t="s">
        <v>34</v>
      </c>
      <c r="N1877" t="s">
        <v>35</v>
      </c>
      <c r="O1877">
        <v>0.87601378864534396</v>
      </c>
      <c r="P1877" t="s">
        <v>36</v>
      </c>
    </row>
    <row r="1878" spans="1:16">
      <c r="A1878">
        <v>1877</v>
      </c>
      <c r="B1878" t="s">
        <v>1938</v>
      </c>
      <c r="C1878">
        <v>112</v>
      </c>
      <c r="D1878">
        <v>110</v>
      </c>
      <c r="E1878">
        <v>96.947135583498095</v>
      </c>
      <c r="F1878">
        <v>1.0199004975124399</v>
      </c>
      <c r="G1878">
        <v>7381.7587088846903</v>
      </c>
      <c r="H1878">
        <v>478.80884773679401</v>
      </c>
      <c r="I1878">
        <v>0.57544491270812304</v>
      </c>
      <c r="J1878">
        <v>0.40461816406190099</v>
      </c>
      <c r="K1878">
        <v>0.84309431656141798</v>
      </c>
      <c r="L1878" t="s">
        <v>74</v>
      </c>
      <c r="M1878" t="s">
        <v>34</v>
      </c>
      <c r="N1878" t="s">
        <v>35</v>
      </c>
      <c r="O1878">
        <v>0.69094551000495597</v>
      </c>
      <c r="P1878" t="s">
        <v>36</v>
      </c>
    </row>
    <row r="1879" spans="1:16">
      <c r="A1879">
        <v>1878</v>
      </c>
      <c r="B1879" t="s">
        <v>1939</v>
      </c>
      <c r="C1879">
        <v>117</v>
      </c>
      <c r="D1879">
        <v>118</v>
      </c>
      <c r="E1879">
        <v>97.255065906646607</v>
      </c>
      <c r="F1879">
        <v>0.99537037037037002</v>
      </c>
      <c r="G1879">
        <v>7428.7261054820401</v>
      </c>
      <c r="H1879">
        <v>867.20952390619004</v>
      </c>
      <c r="I1879">
        <v>0.63950987261592895</v>
      </c>
      <c r="J1879">
        <v>0.12412982207571301</v>
      </c>
      <c r="K1879">
        <v>0.69707535459756498</v>
      </c>
      <c r="L1879" t="s">
        <v>1072</v>
      </c>
      <c r="M1879" t="s">
        <v>34</v>
      </c>
      <c r="N1879" t="s">
        <v>35</v>
      </c>
      <c r="O1879">
        <v>0.76282254114135095</v>
      </c>
      <c r="P1879" t="s">
        <v>36</v>
      </c>
    </row>
    <row r="1880" spans="1:16">
      <c r="A1880">
        <v>1879</v>
      </c>
      <c r="B1880" t="s">
        <v>1940</v>
      </c>
      <c r="C1880">
        <v>106</v>
      </c>
      <c r="D1880">
        <v>109</v>
      </c>
      <c r="E1880">
        <v>97.532924210708302</v>
      </c>
      <c r="F1880">
        <v>0.96497740128151199</v>
      </c>
      <c r="G1880">
        <v>7471.2345720226804</v>
      </c>
      <c r="H1880">
        <v>457.72970394248603</v>
      </c>
      <c r="I1880">
        <v>0.59807294868394101</v>
      </c>
      <c r="J1880">
        <v>0.44810938853265397</v>
      </c>
      <c r="K1880">
        <v>0.78660177766649997</v>
      </c>
      <c r="L1880" t="s">
        <v>43</v>
      </c>
      <c r="M1880" t="s">
        <v>34</v>
      </c>
      <c r="N1880" t="s">
        <v>35</v>
      </c>
      <c r="O1880">
        <v>0.66922834466903003</v>
      </c>
      <c r="P1880" t="s">
        <v>36</v>
      </c>
    </row>
    <row r="1881" spans="1:16">
      <c r="A1881">
        <v>1880</v>
      </c>
      <c r="B1881" t="s">
        <v>1941</v>
      </c>
      <c r="C1881">
        <v>108</v>
      </c>
      <c r="D1881">
        <v>163</v>
      </c>
      <c r="E1881">
        <v>97.741283611202704</v>
      </c>
      <c r="F1881">
        <v>0.66245595996117201</v>
      </c>
      <c r="G1881">
        <v>7503.1902374291103</v>
      </c>
      <c r="H1881">
        <v>733.78188155340104</v>
      </c>
      <c r="I1881">
        <v>0.63840891427291302</v>
      </c>
      <c r="J1881">
        <v>0.17511439731734399</v>
      </c>
      <c r="K1881">
        <v>0.62290389052725104</v>
      </c>
      <c r="L1881" t="s">
        <v>47</v>
      </c>
      <c r="M1881" t="s">
        <v>34</v>
      </c>
      <c r="N1881" t="s">
        <v>35</v>
      </c>
      <c r="O1881">
        <v>0.90269434947787197</v>
      </c>
      <c r="P1881" t="s">
        <v>36</v>
      </c>
    </row>
    <row r="1882" spans="1:16">
      <c r="A1882">
        <v>1881</v>
      </c>
      <c r="B1882" t="s">
        <v>1942</v>
      </c>
      <c r="C1882">
        <v>88</v>
      </c>
      <c r="D1882">
        <v>185</v>
      </c>
      <c r="E1882">
        <v>97.964499021029496</v>
      </c>
      <c r="F1882">
        <v>0.47681148972367199</v>
      </c>
      <c r="G1882">
        <v>7537.5</v>
      </c>
      <c r="H1882">
        <v>704.76658761501301</v>
      </c>
      <c r="I1882">
        <v>0.86795107922722403</v>
      </c>
      <c r="J1882">
        <v>0.19069819239937399</v>
      </c>
      <c r="K1882">
        <v>0.59643916913946604</v>
      </c>
      <c r="L1882" t="s">
        <v>33</v>
      </c>
      <c r="M1882" t="s">
        <v>34</v>
      </c>
      <c r="N1882" t="s">
        <v>35</v>
      </c>
      <c r="O1882">
        <v>0.65972915385089403</v>
      </c>
      <c r="P1882" t="s">
        <v>36</v>
      </c>
    </row>
    <row r="1883" spans="1:16">
      <c r="A1883">
        <v>1882</v>
      </c>
      <c r="B1883" t="s">
        <v>1943</v>
      </c>
      <c r="C1883">
        <v>91</v>
      </c>
      <c r="D1883">
        <v>145</v>
      </c>
      <c r="E1883">
        <v>98.047684885956102</v>
      </c>
      <c r="F1883">
        <v>0.62903861312641396</v>
      </c>
      <c r="G1883">
        <v>7550.30626502836</v>
      </c>
      <c r="H1883">
        <v>881.05639287502902</v>
      </c>
      <c r="I1883">
        <v>0.73092404639613895</v>
      </c>
      <c r="J1883">
        <v>0.122226962446739</v>
      </c>
      <c r="K1883">
        <v>0.72700861550791396</v>
      </c>
      <c r="L1883" t="s">
        <v>38</v>
      </c>
      <c r="M1883" t="s">
        <v>34</v>
      </c>
      <c r="N1883" t="s">
        <v>35</v>
      </c>
      <c r="O1883">
        <v>0.79364765110603497</v>
      </c>
      <c r="P1883" t="s">
        <v>36</v>
      </c>
    </row>
    <row r="1884" spans="1:16">
      <c r="A1884">
        <v>1883</v>
      </c>
      <c r="B1884" t="s">
        <v>1944</v>
      </c>
      <c r="C1884">
        <v>140</v>
      </c>
      <c r="D1884">
        <v>103</v>
      </c>
      <c r="E1884">
        <v>98.138358154183095</v>
      </c>
      <c r="F1884">
        <v>1.3610191414008399</v>
      </c>
      <c r="G1884">
        <v>7564.2775792060502</v>
      </c>
      <c r="H1884">
        <v>683.22272913072402</v>
      </c>
      <c r="I1884">
        <v>0.77509692780366701</v>
      </c>
      <c r="J1884">
        <v>0.20363513353500401</v>
      </c>
      <c r="K1884">
        <v>0.714929901947012</v>
      </c>
      <c r="L1884" t="s">
        <v>33</v>
      </c>
      <c r="M1884" t="s">
        <v>34</v>
      </c>
      <c r="N1884" t="s">
        <v>35</v>
      </c>
      <c r="O1884">
        <v>0.74200264344672295</v>
      </c>
      <c r="P1884" t="s">
        <v>36</v>
      </c>
    </row>
    <row r="1885" spans="1:16">
      <c r="A1885">
        <v>1884</v>
      </c>
      <c r="B1885" t="s">
        <v>1945</v>
      </c>
      <c r="C1885">
        <v>123</v>
      </c>
      <c r="D1885">
        <v>120</v>
      </c>
      <c r="E1885">
        <v>98.418529841337303</v>
      </c>
      <c r="F1885">
        <v>1.02727272727273</v>
      </c>
      <c r="G1885">
        <v>7607.5292007561402</v>
      </c>
      <c r="H1885">
        <v>620.41427311607004</v>
      </c>
      <c r="I1885">
        <v>0.66876346012538201</v>
      </c>
      <c r="J1885">
        <v>0.24836473501252099</v>
      </c>
      <c r="K1885">
        <v>0.68004145298009699</v>
      </c>
      <c r="L1885" t="s">
        <v>188</v>
      </c>
      <c r="M1885" t="s">
        <v>34</v>
      </c>
      <c r="N1885" t="s">
        <v>35</v>
      </c>
      <c r="O1885">
        <v>0.67037227185017501</v>
      </c>
      <c r="P1885" t="s">
        <v>36</v>
      </c>
    </row>
    <row r="1886" spans="1:16">
      <c r="A1886">
        <v>1885</v>
      </c>
      <c r="B1886" t="s">
        <v>1946</v>
      </c>
      <c r="C1886">
        <v>107</v>
      </c>
      <c r="D1886">
        <v>117</v>
      </c>
      <c r="E1886">
        <v>98.439678784787702</v>
      </c>
      <c r="F1886">
        <v>0.91588785046729004</v>
      </c>
      <c r="G1886">
        <v>7610.7990827977301</v>
      </c>
      <c r="H1886">
        <v>469.96637283574</v>
      </c>
      <c r="I1886">
        <v>0.65298439719212498</v>
      </c>
      <c r="J1886">
        <v>0.43301860105286299</v>
      </c>
      <c r="K1886">
        <v>0.77817120799963502</v>
      </c>
      <c r="L1886" t="s">
        <v>38</v>
      </c>
      <c r="M1886" t="s">
        <v>34</v>
      </c>
      <c r="N1886" t="s">
        <v>35</v>
      </c>
      <c r="O1886">
        <v>0.86553942195803701</v>
      </c>
      <c r="P1886" t="s">
        <v>36</v>
      </c>
    </row>
    <row r="1887" spans="1:16">
      <c r="A1887">
        <v>1886</v>
      </c>
      <c r="B1887" t="s">
        <v>1947</v>
      </c>
      <c r="C1887">
        <v>147</v>
      </c>
      <c r="D1887">
        <v>152</v>
      </c>
      <c r="E1887">
        <v>98.677771513187906</v>
      </c>
      <c r="F1887">
        <v>0.96762589928057596</v>
      </c>
      <c r="G1887">
        <v>7647.6595712665403</v>
      </c>
      <c r="H1887">
        <v>1265.0959904579499</v>
      </c>
      <c r="I1887">
        <v>0.50574081217273104</v>
      </c>
      <c r="J1887">
        <v>6.0047019126257997E-2</v>
      </c>
      <c r="K1887">
        <v>0.40722420520288399</v>
      </c>
      <c r="L1887" t="s">
        <v>33</v>
      </c>
      <c r="M1887" t="s">
        <v>34</v>
      </c>
      <c r="N1887" t="s">
        <v>35</v>
      </c>
      <c r="O1887">
        <v>0.71037505273476598</v>
      </c>
      <c r="P1887" t="s">
        <v>36</v>
      </c>
    </row>
    <row r="1888" spans="1:16">
      <c r="A1888">
        <v>1887</v>
      </c>
      <c r="B1888" t="s">
        <v>1948</v>
      </c>
      <c r="C1888">
        <v>122</v>
      </c>
      <c r="D1888">
        <v>112</v>
      </c>
      <c r="E1888">
        <v>98.885632391268402</v>
      </c>
      <c r="F1888">
        <v>1.08801194926784</v>
      </c>
      <c r="G1888">
        <v>7679.9124986767501</v>
      </c>
      <c r="H1888">
        <v>823.03086535070304</v>
      </c>
      <c r="I1888">
        <v>0.56128796709456896</v>
      </c>
      <c r="J1888">
        <v>0.14247343364279999</v>
      </c>
      <c r="K1888">
        <v>0.68794685057716098</v>
      </c>
      <c r="L1888" t="s">
        <v>38</v>
      </c>
      <c r="M1888" t="s">
        <v>34</v>
      </c>
      <c r="N1888" t="s">
        <v>35</v>
      </c>
      <c r="O1888">
        <v>0.73815596913803405</v>
      </c>
      <c r="P1888" t="s">
        <v>36</v>
      </c>
    </row>
    <row r="1889" spans="1:16">
      <c r="A1889">
        <v>1888</v>
      </c>
      <c r="B1889" t="s">
        <v>1949</v>
      </c>
      <c r="C1889">
        <v>95</v>
      </c>
      <c r="D1889">
        <v>141</v>
      </c>
      <c r="E1889">
        <v>99.102605539536796</v>
      </c>
      <c r="F1889">
        <v>0.676570116952672</v>
      </c>
      <c r="G1889">
        <v>7713.6517361058604</v>
      </c>
      <c r="H1889">
        <v>625.594077255</v>
      </c>
      <c r="I1889">
        <v>0.62778855660454103</v>
      </c>
      <c r="J1889">
        <v>0.247676404341995</v>
      </c>
      <c r="K1889">
        <v>0.73353026812341904</v>
      </c>
      <c r="L1889" t="s">
        <v>33</v>
      </c>
      <c r="M1889" t="s">
        <v>34</v>
      </c>
      <c r="N1889" t="s">
        <v>35</v>
      </c>
      <c r="O1889">
        <v>0.70450188617186005</v>
      </c>
      <c r="P1889" t="s">
        <v>36</v>
      </c>
    </row>
    <row r="1890" spans="1:16">
      <c r="A1890">
        <v>1889</v>
      </c>
      <c r="B1890" t="s">
        <v>1950</v>
      </c>
      <c r="C1890">
        <v>172</v>
      </c>
      <c r="D1890">
        <v>86</v>
      </c>
      <c r="E1890">
        <v>99.670980820024695</v>
      </c>
      <c r="F1890">
        <v>1.9950346031214099</v>
      </c>
      <c r="G1890">
        <v>7802.3844442344098</v>
      </c>
      <c r="H1890">
        <v>843.40704777251096</v>
      </c>
      <c r="I1890">
        <v>0.78076699632997504</v>
      </c>
      <c r="J1890">
        <v>0.13783603058951599</v>
      </c>
      <c r="K1890">
        <v>0.65359761943299699</v>
      </c>
      <c r="L1890" t="s">
        <v>38</v>
      </c>
      <c r="M1890" t="s">
        <v>34</v>
      </c>
      <c r="N1890" t="s">
        <v>35</v>
      </c>
      <c r="O1890">
        <v>0.72367580829558797</v>
      </c>
      <c r="P1890" t="s">
        <v>36</v>
      </c>
    </row>
    <row r="1891" spans="1:16">
      <c r="A1891">
        <v>1890</v>
      </c>
      <c r="B1891" t="s">
        <v>1951</v>
      </c>
      <c r="C1891">
        <v>87</v>
      </c>
      <c r="D1891">
        <v>183</v>
      </c>
      <c r="E1891">
        <v>99.8474015249936</v>
      </c>
      <c r="F1891">
        <v>0.47588309781723198</v>
      </c>
      <c r="G1891">
        <v>7830.0298105860102</v>
      </c>
      <c r="H1891">
        <v>907.29102709697599</v>
      </c>
      <c r="I1891">
        <v>0.71067155810913596</v>
      </c>
      <c r="J1891">
        <v>0.119530861021269</v>
      </c>
      <c r="K1891">
        <v>0.67274956261892305</v>
      </c>
      <c r="L1891" t="s">
        <v>38</v>
      </c>
      <c r="M1891" t="s">
        <v>34</v>
      </c>
      <c r="N1891" t="s">
        <v>35</v>
      </c>
      <c r="O1891">
        <v>0.70565526839411097</v>
      </c>
      <c r="P1891" t="s">
        <v>36</v>
      </c>
    </row>
    <row r="1892" spans="1:16">
      <c r="A1892">
        <v>1891</v>
      </c>
      <c r="B1892" t="s">
        <v>1952</v>
      </c>
      <c r="C1892">
        <v>97</v>
      </c>
      <c r="D1892">
        <v>153</v>
      </c>
      <c r="E1892">
        <v>100.340860914213</v>
      </c>
      <c r="F1892">
        <v>0.63481924989881799</v>
      </c>
      <c r="G1892">
        <v>7907.6151935727803</v>
      </c>
      <c r="H1892">
        <v>641.38771551287698</v>
      </c>
      <c r="I1892">
        <v>0.61676800408935595</v>
      </c>
      <c r="J1892">
        <v>0.24155393457667801</v>
      </c>
      <c r="K1892">
        <v>0.65926072787202095</v>
      </c>
      <c r="L1892" t="s">
        <v>38</v>
      </c>
      <c r="M1892" t="s">
        <v>34</v>
      </c>
      <c r="N1892" t="s">
        <v>35</v>
      </c>
      <c r="O1892">
        <v>0.69271766673156798</v>
      </c>
      <c r="P1892" t="s">
        <v>36</v>
      </c>
    </row>
    <row r="1893" spans="1:16">
      <c r="A1893">
        <v>1892</v>
      </c>
      <c r="B1893" t="s">
        <v>1953</v>
      </c>
      <c r="C1893">
        <v>160</v>
      </c>
      <c r="D1893">
        <v>120</v>
      </c>
      <c r="E1893">
        <v>100.43040596143</v>
      </c>
      <c r="F1893">
        <v>1.3380738758311099</v>
      </c>
      <c r="G1893">
        <v>7921.7351387523604</v>
      </c>
      <c r="H1893">
        <v>1048.58647374817</v>
      </c>
      <c r="I1893">
        <v>0.53177711714413101</v>
      </c>
      <c r="J1893">
        <v>9.0536078481512905E-2</v>
      </c>
      <c r="K1893">
        <v>0.54765158598863595</v>
      </c>
      <c r="L1893" t="s">
        <v>47</v>
      </c>
      <c r="M1893" t="s">
        <v>34</v>
      </c>
      <c r="N1893" t="s">
        <v>35</v>
      </c>
      <c r="O1893">
        <v>0.85068027359265896</v>
      </c>
      <c r="P1893" t="s">
        <v>36</v>
      </c>
    </row>
    <row r="1894" spans="1:16">
      <c r="A1894">
        <v>1893</v>
      </c>
      <c r="B1894" t="s">
        <v>1954</v>
      </c>
      <c r="C1894">
        <v>122</v>
      </c>
      <c r="D1894">
        <v>135</v>
      </c>
      <c r="E1894">
        <v>100.475619427293</v>
      </c>
      <c r="F1894">
        <v>0.90767818088584296</v>
      </c>
      <c r="G1894">
        <v>7928.8694268431</v>
      </c>
      <c r="H1894">
        <v>535.88952760406198</v>
      </c>
      <c r="I1894">
        <v>0.61878482290774095</v>
      </c>
      <c r="J1894">
        <v>0.34695295419557198</v>
      </c>
      <c r="K1894">
        <v>0.73956080519048395</v>
      </c>
      <c r="L1894" t="s">
        <v>38</v>
      </c>
      <c r="M1894" t="s">
        <v>34</v>
      </c>
      <c r="N1894" t="s">
        <v>35</v>
      </c>
      <c r="O1894">
        <v>0.748359314084873</v>
      </c>
      <c r="P1894" t="s">
        <v>36</v>
      </c>
    </row>
    <row r="1895" spans="1:16">
      <c r="A1895">
        <v>1894</v>
      </c>
      <c r="B1895" t="s">
        <v>1955</v>
      </c>
      <c r="C1895">
        <v>142</v>
      </c>
      <c r="D1895">
        <v>137</v>
      </c>
      <c r="E1895">
        <v>100.97444262204699</v>
      </c>
      <c r="F1895">
        <v>1.0398406374502001</v>
      </c>
      <c r="G1895">
        <v>8007.7924888468797</v>
      </c>
      <c r="H1895">
        <v>920.19143217864303</v>
      </c>
      <c r="I1895">
        <v>0.57804439220610904</v>
      </c>
      <c r="J1895">
        <v>0.118841001745745</v>
      </c>
      <c r="K1895">
        <v>0.492986357023251</v>
      </c>
      <c r="L1895" t="s">
        <v>38</v>
      </c>
      <c r="M1895" t="s">
        <v>34</v>
      </c>
      <c r="N1895" t="s">
        <v>35</v>
      </c>
      <c r="O1895">
        <v>0.71595368755586097</v>
      </c>
      <c r="P1895" t="s">
        <v>36</v>
      </c>
    </row>
    <row r="1896" spans="1:16">
      <c r="A1896">
        <v>1895</v>
      </c>
      <c r="B1896" t="s">
        <v>1956</v>
      </c>
      <c r="C1896">
        <v>63</v>
      </c>
      <c r="D1896">
        <v>245</v>
      </c>
      <c r="E1896">
        <v>101.218725795621</v>
      </c>
      <c r="F1896">
        <v>0.25777777777777799</v>
      </c>
      <c r="G1896">
        <v>8046.5851803402702</v>
      </c>
      <c r="H1896">
        <v>1526.6751718655901</v>
      </c>
      <c r="I1896">
        <v>0.92204520749052499</v>
      </c>
      <c r="J1896">
        <v>4.33838601560372E-2</v>
      </c>
      <c r="K1896">
        <v>0.54894445458416996</v>
      </c>
      <c r="L1896" t="s">
        <v>58</v>
      </c>
      <c r="M1896" t="s">
        <v>34</v>
      </c>
      <c r="N1896" t="s">
        <v>35</v>
      </c>
      <c r="O1896">
        <v>0.79228740772094797</v>
      </c>
      <c r="P1896" t="s">
        <v>36</v>
      </c>
    </row>
    <row r="1897" spans="1:16">
      <c r="A1897">
        <v>1896</v>
      </c>
      <c r="B1897" t="s">
        <v>1957</v>
      </c>
      <c r="C1897">
        <v>98</v>
      </c>
      <c r="D1897">
        <v>147</v>
      </c>
      <c r="E1897">
        <v>101.218725795621</v>
      </c>
      <c r="F1897">
        <v>0.66669064868933403</v>
      </c>
      <c r="G1897">
        <v>8046.5851803402702</v>
      </c>
      <c r="H1897">
        <v>544.767995228975</v>
      </c>
      <c r="I1897">
        <v>0.63696594510965499</v>
      </c>
      <c r="J1897">
        <v>0.34072053327771701</v>
      </c>
      <c r="K1897">
        <v>0.71915515409139197</v>
      </c>
      <c r="L1897" t="s">
        <v>38</v>
      </c>
      <c r="M1897" t="s">
        <v>34</v>
      </c>
      <c r="N1897" t="s">
        <v>35</v>
      </c>
      <c r="O1897">
        <v>0.66390211807100996</v>
      </c>
      <c r="P1897" t="s">
        <v>36</v>
      </c>
    </row>
    <row r="1898" spans="1:16">
      <c r="A1898">
        <v>1897</v>
      </c>
      <c r="B1898" t="s">
        <v>1958</v>
      </c>
      <c r="C1898">
        <v>134</v>
      </c>
      <c r="D1898">
        <v>90</v>
      </c>
      <c r="E1898">
        <v>101.234616512659</v>
      </c>
      <c r="F1898">
        <v>1.4922362339894799</v>
      </c>
      <c r="G1898">
        <v>8049.1119073724003</v>
      </c>
      <c r="H1898">
        <v>602.11098208790202</v>
      </c>
      <c r="I1898">
        <v>0.56884250386368795</v>
      </c>
      <c r="J1898">
        <v>0.279000339961956</v>
      </c>
      <c r="K1898">
        <v>0.79455089644649202</v>
      </c>
      <c r="L1898" t="s">
        <v>38</v>
      </c>
      <c r="M1898" t="s">
        <v>34</v>
      </c>
      <c r="N1898" t="s">
        <v>35</v>
      </c>
      <c r="O1898">
        <v>0.73407050560399101</v>
      </c>
      <c r="P1898" t="s">
        <v>36</v>
      </c>
    </row>
    <row r="1899" spans="1:16">
      <c r="A1899">
        <v>1898</v>
      </c>
      <c r="B1899" t="s">
        <v>1959</v>
      </c>
      <c r="C1899">
        <v>194</v>
      </c>
      <c r="D1899">
        <v>98</v>
      </c>
      <c r="E1899">
        <v>101.368186877136</v>
      </c>
      <c r="F1899">
        <v>1.98504732826404</v>
      </c>
      <c r="G1899">
        <v>8070.36614064272</v>
      </c>
      <c r="H1899">
        <v>1020.15767471832</v>
      </c>
      <c r="I1899">
        <v>0.59510392508906895</v>
      </c>
      <c r="J1899">
        <v>9.7447005996366201E-2</v>
      </c>
      <c r="K1899">
        <v>0.54805498919999196</v>
      </c>
      <c r="L1899" t="s">
        <v>33</v>
      </c>
      <c r="M1899" t="s">
        <v>34</v>
      </c>
      <c r="N1899" t="s">
        <v>35</v>
      </c>
      <c r="O1899">
        <v>0.75492485121916197</v>
      </c>
      <c r="P1899" t="s">
        <v>36</v>
      </c>
    </row>
    <row r="1900" spans="1:16">
      <c r="A1900">
        <v>1899</v>
      </c>
      <c r="B1900" t="s">
        <v>1960</v>
      </c>
      <c r="C1900">
        <v>109</v>
      </c>
      <c r="D1900">
        <v>105</v>
      </c>
      <c r="E1900">
        <v>101.401785260658</v>
      </c>
      <c r="F1900">
        <v>1.0444810396980799</v>
      </c>
      <c r="G1900">
        <v>8075.7168567107801</v>
      </c>
      <c r="H1900">
        <v>450.62744422580897</v>
      </c>
      <c r="I1900">
        <v>0.65425991070307099</v>
      </c>
      <c r="J1900">
        <v>0.49975330202829998</v>
      </c>
      <c r="K1900">
        <v>0.89086735530414796</v>
      </c>
      <c r="L1900" t="s">
        <v>33</v>
      </c>
      <c r="M1900" t="s">
        <v>34</v>
      </c>
      <c r="N1900" t="s">
        <v>35</v>
      </c>
      <c r="O1900">
        <v>0.77154189138660001</v>
      </c>
      <c r="P1900" t="s">
        <v>36</v>
      </c>
    </row>
    <row r="1901" spans="1:16">
      <c r="A1901">
        <v>1900</v>
      </c>
      <c r="B1901" t="s">
        <v>1961</v>
      </c>
      <c r="C1901">
        <v>126</v>
      </c>
      <c r="D1901">
        <v>122</v>
      </c>
      <c r="E1901">
        <v>101.572405204901</v>
      </c>
      <c r="F1901">
        <v>1.0357142905799701</v>
      </c>
      <c r="G1901">
        <v>8102.9163300567097</v>
      </c>
      <c r="H1901">
        <v>918.91163153824596</v>
      </c>
      <c r="I1901">
        <v>0.65733298670631601</v>
      </c>
      <c r="J1901">
        <v>0.120587896852711</v>
      </c>
      <c r="K1901">
        <v>0.70932108563844998</v>
      </c>
      <c r="L1901" t="s">
        <v>38</v>
      </c>
      <c r="M1901" t="s">
        <v>34</v>
      </c>
      <c r="N1901" t="s">
        <v>35</v>
      </c>
      <c r="O1901">
        <v>0.67943294510119601</v>
      </c>
      <c r="P1901" t="s">
        <v>36</v>
      </c>
    </row>
    <row r="1902" spans="1:16">
      <c r="A1902">
        <v>1901</v>
      </c>
      <c r="B1902" t="s">
        <v>1962</v>
      </c>
      <c r="C1902">
        <v>122</v>
      </c>
      <c r="D1902">
        <v>117</v>
      </c>
      <c r="E1902">
        <v>101.686923308839</v>
      </c>
      <c r="F1902">
        <v>1.03720930760715</v>
      </c>
      <c r="G1902">
        <v>8121.1979432892304</v>
      </c>
      <c r="H1902">
        <v>850.53362120047905</v>
      </c>
      <c r="I1902">
        <v>0.59117427570300196</v>
      </c>
      <c r="J1902">
        <v>0.14107400260654901</v>
      </c>
      <c r="K1902">
        <v>0.72106311941618195</v>
      </c>
      <c r="L1902" t="s">
        <v>33</v>
      </c>
      <c r="M1902" t="s">
        <v>34</v>
      </c>
      <c r="N1902" t="s">
        <v>35</v>
      </c>
      <c r="O1902">
        <v>0.712198698554382</v>
      </c>
      <c r="P1902" t="s">
        <v>36</v>
      </c>
    </row>
    <row r="1903" spans="1:16">
      <c r="A1903">
        <v>1902</v>
      </c>
      <c r="B1903" t="s">
        <v>1963</v>
      </c>
      <c r="C1903">
        <v>98</v>
      </c>
      <c r="D1903">
        <v>152</v>
      </c>
      <c r="E1903">
        <v>102.25203802051399</v>
      </c>
      <c r="F1903">
        <v>0.64516499533352301</v>
      </c>
      <c r="G1903">
        <v>8211.7142234404491</v>
      </c>
      <c r="H1903">
        <v>745.75168990684597</v>
      </c>
      <c r="I1903">
        <v>0.82165802103019503</v>
      </c>
      <c r="J1903">
        <v>0.18554753910750499</v>
      </c>
      <c r="K1903">
        <v>0.70050716368707999</v>
      </c>
      <c r="L1903" t="s">
        <v>33</v>
      </c>
      <c r="M1903" t="s">
        <v>34</v>
      </c>
      <c r="N1903" t="s">
        <v>35</v>
      </c>
      <c r="O1903">
        <v>0.71338823137715401</v>
      </c>
      <c r="P1903" t="s">
        <v>36</v>
      </c>
    </row>
    <row r="1904" spans="1:16">
      <c r="A1904">
        <v>1903</v>
      </c>
      <c r="B1904" t="s">
        <v>1964</v>
      </c>
      <c r="C1904">
        <v>107</v>
      </c>
      <c r="D1904">
        <v>113</v>
      </c>
      <c r="E1904">
        <v>102.399066868543</v>
      </c>
      <c r="F1904">
        <v>0.95169082125603899</v>
      </c>
      <c r="G1904">
        <v>8235.3465527410208</v>
      </c>
      <c r="H1904">
        <v>618.818984513283</v>
      </c>
      <c r="I1904">
        <v>0.536271678284159</v>
      </c>
      <c r="J1904">
        <v>0.27024924289135799</v>
      </c>
      <c r="K1904">
        <v>0.79539484072867195</v>
      </c>
      <c r="L1904" t="s">
        <v>74</v>
      </c>
      <c r="M1904" t="s">
        <v>34</v>
      </c>
      <c r="N1904" t="s">
        <v>35</v>
      </c>
      <c r="O1904">
        <v>0.68114497342133096</v>
      </c>
      <c r="P1904" t="s">
        <v>36</v>
      </c>
    </row>
    <row r="1905" spans="1:16">
      <c r="A1905">
        <v>1904</v>
      </c>
      <c r="B1905" t="s">
        <v>1965</v>
      </c>
      <c r="C1905">
        <v>126</v>
      </c>
      <c r="D1905">
        <v>119</v>
      </c>
      <c r="E1905">
        <v>102.516353524373</v>
      </c>
      <c r="F1905">
        <v>1.0593607305936099</v>
      </c>
      <c r="G1905">
        <v>8254.2226899810994</v>
      </c>
      <c r="H1905">
        <v>960.79982612682397</v>
      </c>
      <c r="I1905">
        <v>0.58174576892275698</v>
      </c>
      <c r="J1905">
        <v>0.11236219482915601</v>
      </c>
      <c r="K1905">
        <v>0.66715119771269304</v>
      </c>
      <c r="L1905" t="s">
        <v>38</v>
      </c>
      <c r="M1905" t="s">
        <v>34</v>
      </c>
      <c r="N1905" t="s">
        <v>35</v>
      </c>
      <c r="O1905">
        <v>0.84508816823598198</v>
      </c>
      <c r="P1905" t="s">
        <v>36</v>
      </c>
    </row>
    <row r="1906" spans="1:16">
      <c r="A1906">
        <v>1905</v>
      </c>
      <c r="B1906" t="s">
        <v>1966</v>
      </c>
      <c r="C1906">
        <v>104</v>
      </c>
      <c r="D1906">
        <v>120</v>
      </c>
      <c r="E1906">
        <v>102.582787184377</v>
      </c>
      <c r="F1906">
        <v>0.87408757917323099</v>
      </c>
      <c r="G1906">
        <v>8264.9241221171997</v>
      </c>
      <c r="H1906">
        <v>626.55222015474203</v>
      </c>
      <c r="I1906">
        <v>0.77309240557353598</v>
      </c>
      <c r="J1906">
        <v>0.26456609572685202</v>
      </c>
      <c r="K1906">
        <v>0.79125460677035198</v>
      </c>
      <c r="L1906" t="s">
        <v>38</v>
      </c>
      <c r="M1906" t="s">
        <v>34</v>
      </c>
      <c r="N1906" t="s">
        <v>35</v>
      </c>
      <c r="O1906">
        <v>0.70350460212360999</v>
      </c>
      <c r="P1906" t="s">
        <v>36</v>
      </c>
    </row>
    <row r="1907" spans="1:16">
      <c r="A1907">
        <v>1906</v>
      </c>
      <c r="B1907" t="s">
        <v>1967</v>
      </c>
      <c r="C1907">
        <v>118</v>
      </c>
      <c r="D1907">
        <v>128</v>
      </c>
      <c r="E1907">
        <v>102.622442330564</v>
      </c>
      <c r="F1907">
        <v>0.91930484388571798</v>
      </c>
      <c r="G1907">
        <v>8271.3152551984895</v>
      </c>
      <c r="H1907">
        <v>628.97725277859195</v>
      </c>
      <c r="I1907">
        <v>0.73106382174787299</v>
      </c>
      <c r="J1907">
        <v>0.26273296042792699</v>
      </c>
      <c r="K1907">
        <v>0.67151752099623496</v>
      </c>
      <c r="L1907" t="s">
        <v>38</v>
      </c>
      <c r="M1907" t="s">
        <v>34</v>
      </c>
      <c r="N1907" t="s">
        <v>35</v>
      </c>
      <c r="O1907">
        <v>0.90508987108210404</v>
      </c>
      <c r="P1907" t="s">
        <v>36</v>
      </c>
    </row>
    <row r="1908" spans="1:16">
      <c r="A1908">
        <v>1907</v>
      </c>
      <c r="B1908" t="s">
        <v>1968</v>
      </c>
      <c r="C1908">
        <v>88</v>
      </c>
      <c r="D1908">
        <v>155</v>
      </c>
      <c r="E1908">
        <v>102.76986196818</v>
      </c>
      <c r="F1908">
        <v>0.56982942620125498</v>
      </c>
      <c r="G1908">
        <v>8295.0962155009493</v>
      </c>
      <c r="H1908">
        <v>579.26664885396599</v>
      </c>
      <c r="I1908">
        <v>0.64765909338341499</v>
      </c>
      <c r="J1908">
        <v>0.310652063108798</v>
      </c>
      <c r="K1908">
        <v>0.816986766600304</v>
      </c>
      <c r="L1908" t="s">
        <v>38</v>
      </c>
      <c r="M1908" t="s">
        <v>34</v>
      </c>
      <c r="N1908" t="s">
        <v>35</v>
      </c>
      <c r="O1908">
        <v>0.65528211765954003</v>
      </c>
      <c r="P1908" t="s">
        <v>36</v>
      </c>
    </row>
    <row r="1909" spans="1:16">
      <c r="A1909">
        <v>1908</v>
      </c>
      <c r="B1909" t="s">
        <v>1969</v>
      </c>
      <c r="C1909">
        <v>151</v>
      </c>
      <c r="D1909">
        <v>98</v>
      </c>
      <c r="E1909">
        <v>102.778148041213</v>
      </c>
      <c r="F1909">
        <v>1.5388888888888901</v>
      </c>
      <c r="G1909">
        <v>8296.4338945179607</v>
      </c>
      <c r="H1909">
        <v>671.99738410794203</v>
      </c>
      <c r="I1909">
        <v>0.67948285036359901</v>
      </c>
      <c r="J1909">
        <v>0.23086928406500301</v>
      </c>
      <c r="K1909">
        <v>0.75310990582584503</v>
      </c>
      <c r="L1909" t="s">
        <v>33</v>
      </c>
      <c r="M1909" t="s">
        <v>34</v>
      </c>
      <c r="N1909" t="s">
        <v>35</v>
      </c>
      <c r="O1909">
        <v>0.77570028674997404</v>
      </c>
      <c r="P1909" t="s">
        <v>36</v>
      </c>
    </row>
    <row r="1910" spans="1:16">
      <c r="A1910">
        <v>1909</v>
      </c>
      <c r="B1910" t="s">
        <v>1970</v>
      </c>
      <c r="C1910">
        <v>206</v>
      </c>
      <c r="D1910">
        <v>116</v>
      </c>
      <c r="E1910">
        <v>102.933618219088</v>
      </c>
      <c r="F1910">
        <v>1.77864322917509</v>
      </c>
      <c r="G1910">
        <v>8321.55253383743</v>
      </c>
      <c r="H1910">
        <v>1131.24032842304</v>
      </c>
      <c r="I1910">
        <v>0.71735935331157596</v>
      </c>
      <c r="J1910">
        <v>8.1715504216090307E-2</v>
      </c>
      <c r="K1910">
        <v>0.50573591313930599</v>
      </c>
      <c r="L1910" t="s">
        <v>38</v>
      </c>
      <c r="M1910" t="s">
        <v>34</v>
      </c>
      <c r="N1910" t="s">
        <v>35</v>
      </c>
      <c r="O1910">
        <v>0.67411558662373405</v>
      </c>
      <c r="P1910" t="s">
        <v>36</v>
      </c>
    </row>
    <row r="1911" spans="1:16">
      <c r="A1911">
        <v>1910</v>
      </c>
      <c r="B1911" t="s">
        <v>1971</v>
      </c>
      <c r="C1911">
        <v>133</v>
      </c>
      <c r="D1911">
        <v>119</v>
      </c>
      <c r="E1911">
        <v>103.13198446367601</v>
      </c>
      <c r="F1911">
        <v>1.11988516808161</v>
      </c>
      <c r="G1911">
        <v>8353.6568302457508</v>
      </c>
      <c r="H1911">
        <v>610.27157686751798</v>
      </c>
      <c r="I1911">
        <v>0.577649451773525</v>
      </c>
      <c r="J1911">
        <v>0.28186438740014602</v>
      </c>
      <c r="K1911">
        <v>0.68703167210629901</v>
      </c>
      <c r="L1911" t="s">
        <v>38</v>
      </c>
      <c r="M1911" t="s">
        <v>34</v>
      </c>
      <c r="N1911" t="s">
        <v>35</v>
      </c>
      <c r="O1911">
        <v>0.855108947949903</v>
      </c>
      <c r="P1911" t="s">
        <v>36</v>
      </c>
    </row>
    <row r="1912" spans="1:16">
      <c r="A1912">
        <v>1911</v>
      </c>
      <c r="B1912" t="s">
        <v>1972</v>
      </c>
      <c r="C1912">
        <v>88</v>
      </c>
      <c r="D1912">
        <v>177</v>
      </c>
      <c r="E1912">
        <v>103.19893870028901</v>
      </c>
      <c r="F1912">
        <v>0.49954245451898999</v>
      </c>
      <c r="G1912">
        <v>8364.5068933837392</v>
      </c>
      <c r="H1912">
        <v>826.94093163168998</v>
      </c>
      <c r="I1912">
        <v>0.77411144152183298</v>
      </c>
      <c r="J1912">
        <v>0.153709683881225</v>
      </c>
      <c r="K1912">
        <v>0.67500269871541096</v>
      </c>
      <c r="L1912" t="s">
        <v>33</v>
      </c>
      <c r="M1912" t="s">
        <v>34</v>
      </c>
      <c r="N1912" t="s">
        <v>35</v>
      </c>
      <c r="O1912">
        <v>0.70911672766050504</v>
      </c>
      <c r="P1912" t="s">
        <v>36</v>
      </c>
    </row>
    <row r="1913" spans="1:16">
      <c r="A1913">
        <v>1912</v>
      </c>
      <c r="B1913" t="s">
        <v>1973</v>
      </c>
      <c r="C1913">
        <v>178</v>
      </c>
      <c r="D1913">
        <v>86</v>
      </c>
      <c r="E1913">
        <v>103.340042339452</v>
      </c>
      <c r="F1913">
        <v>2.0579025359781302</v>
      </c>
      <c r="G1913">
        <v>8387.3960676748593</v>
      </c>
      <c r="H1913">
        <v>830.47681974525005</v>
      </c>
      <c r="I1913">
        <v>0.54309254146332298</v>
      </c>
      <c r="J1913">
        <v>0.152820630029221</v>
      </c>
      <c r="K1913">
        <v>0.73043219384651203</v>
      </c>
      <c r="L1913" t="s">
        <v>38</v>
      </c>
      <c r="M1913" t="s">
        <v>34</v>
      </c>
      <c r="N1913" t="s">
        <v>35</v>
      </c>
      <c r="O1913">
        <v>0.722226270378443</v>
      </c>
      <c r="P1913" t="s">
        <v>36</v>
      </c>
    </row>
    <row r="1914" spans="1:16">
      <c r="A1914">
        <v>1913</v>
      </c>
      <c r="B1914" t="s">
        <v>1974</v>
      </c>
      <c r="C1914">
        <v>127</v>
      </c>
      <c r="D1914">
        <v>105</v>
      </c>
      <c r="E1914">
        <v>103.49466844051101</v>
      </c>
      <c r="F1914">
        <v>1.21350367215063</v>
      </c>
      <c r="G1914">
        <v>8412.5147069943305</v>
      </c>
      <c r="H1914">
        <v>476.78686053980999</v>
      </c>
      <c r="I1914">
        <v>0.57361471153556198</v>
      </c>
      <c r="J1914">
        <v>0.46503660949102199</v>
      </c>
      <c r="K1914">
        <v>0.79128744984551702</v>
      </c>
      <c r="L1914" t="s">
        <v>38</v>
      </c>
      <c r="M1914" t="s">
        <v>34</v>
      </c>
      <c r="N1914" t="s">
        <v>35</v>
      </c>
      <c r="O1914">
        <v>0.78245117989616797</v>
      </c>
      <c r="P1914" t="s">
        <v>36</v>
      </c>
    </row>
    <row r="1915" spans="1:16">
      <c r="A1915">
        <v>1914</v>
      </c>
      <c r="B1915" t="s">
        <v>1975</v>
      </c>
      <c r="C1915">
        <v>163</v>
      </c>
      <c r="D1915">
        <v>87</v>
      </c>
      <c r="E1915">
        <v>103.563215529453</v>
      </c>
      <c r="F1915">
        <v>1.86735642920307</v>
      </c>
      <c r="G1915">
        <v>8423.6620321361097</v>
      </c>
      <c r="H1915">
        <v>710.74818246167604</v>
      </c>
      <c r="I1915">
        <v>0.69868900678115597</v>
      </c>
      <c r="J1915">
        <v>0.20954595537102799</v>
      </c>
      <c r="K1915">
        <v>0.75484137343171498</v>
      </c>
      <c r="L1915" t="s">
        <v>38</v>
      </c>
      <c r="M1915" t="s">
        <v>34</v>
      </c>
      <c r="N1915" t="s">
        <v>35</v>
      </c>
      <c r="O1915">
        <v>0.69871671362258103</v>
      </c>
      <c r="P1915" t="s">
        <v>36</v>
      </c>
    </row>
    <row r="1916" spans="1:16">
      <c r="A1916">
        <v>1915</v>
      </c>
      <c r="B1916" t="s">
        <v>1976</v>
      </c>
      <c r="C1916">
        <v>136</v>
      </c>
      <c r="D1916">
        <v>96</v>
      </c>
      <c r="E1916">
        <v>103.63902145882</v>
      </c>
      <c r="F1916">
        <v>1.4154868257061</v>
      </c>
      <c r="G1916">
        <v>8435.9984052930104</v>
      </c>
      <c r="H1916">
        <v>668.27602314078297</v>
      </c>
      <c r="I1916">
        <v>0.75147632099349104</v>
      </c>
      <c r="J1916">
        <v>0.237374790258705</v>
      </c>
      <c r="K1916">
        <v>0.78697207509497802</v>
      </c>
      <c r="L1916" t="s">
        <v>33</v>
      </c>
      <c r="M1916" t="s">
        <v>34</v>
      </c>
      <c r="N1916" t="s">
        <v>35</v>
      </c>
      <c r="O1916">
        <v>0.69839563911926505</v>
      </c>
      <c r="P1916" t="s">
        <v>36</v>
      </c>
    </row>
    <row r="1917" spans="1:16">
      <c r="A1917">
        <v>1916</v>
      </c>
      <c r="B1917" t="s">
        <v>1977</v>
      </c>
      <c r="C1917">
        <v>144</v>
      </c>
      <c r="D1917">
        <v>124</v>
      </c>
      <c r="E1917">
        <v>103.79229051795799</v>
      </c>
      <c r="F1917">
        <v>1.156674052209</v>
      </c>
      <c r="G1917">
        <v>8460.9684136105898</v>
      </c>
      <c r="H1917">
        <v>884.150010377635</v>
      </c>
      <c r="I1917">
        <v>0.62428133428117605</v>
      </c>
      <c r="J1917">
        <v>0.13601225000116601</v>
      </c>
      <c r="K1917">
        <v>0.66035612783481201</v>
      </c>
      <c r="L1917" t="s">
        <v>38</v>
      </c>
      <c r="M1917" t="s">
        <v>34</v>
      </c>
      <c r="N1917" t="s">
        <v>35</v>
      </c>
      <c r="O1917">
        <v>0.70300531311203196</v>
      </c>
      <c r="P1917" t="s">
        <v>36</v>
      </c>
    </row>
    <row r="1918" spans="1:16">
      <c r="A1918">
        <v>1917</v>
      </c>
      <c r="B1918" t="s">
        <v>1978</v>
      </c>
      <c r="C1918">
        <v>105</v>
      </c>
      <c r="D1918">
        <v>116</v>
      </c>
      <c r="E1918">
        <v>103.819636182369</v>
      </c>
      <c r="F1918">
        <v>0.91076117259246403</v>
      </c>
      <c r="G1918">
        <v>8465.4273436672993</v>
      </c>
      <c r="H1918">
        <v>542.19186624527003</v>
      </c>
      <c r="I1918">
        <v>0.79063905103309795</v>
      </c>
      <c r="J1918">
        <v>0.36187014489907898</v>
      </c>
      <c r="K1918">
        <v>0.86809937509526003</v>
      </c>
      <c r="L1918" t="s">
        <v>38</v>
      </c>
      <c r="M1918" t="s">
        <v>34</v>
      </c>
      <c r="N1918" t="s">
        <v>35</v>
      </c>
      <c r="O1918">
        <v>0.75411467333262705</v>
      </c>
      <c r="P1918" t="s">
        <v>36</v>
      </c>
    </row>
    <row r="1919" spans="1:16">
      <c r="A1919">
        <v>1918</v>
      </c>
      <c r="B1919" t="s">
        <v>1979</v>
      </c>
      <c r="C1919">
        <v>127</v>
      </c>
      <c r="D1919">
        <v>170</v>
      </c>
      <c r="E1919">
        <v>103.990838617858</v>
      </c>
      <c r="F1919">
        <v>0.74670635304069599</v>
      </c>
      <c r="G1919">
        <v>8493.3699720226905</v>
      </c>
      <c r="H1919">
        <v>1252.47897361901</v>
      </c>
      <c r="I1919">
        <v>0.74226226567688802</v>
      </c>
      <c r="J1919">
        <v>6.8037605216025504E-2</v>
      </c>
      <c r="K1919">
        <v>0.55331880900508401</v>
      </c>
      <c r="L1919" t="s">
        <v>74</v>
      </c>
      <c r="M1919" t="s">
        <v>34</v>
      </c>
      <c r="N1919" t="s">
        <v>35</v>
      </c>
      <c r="O1919">
        <v>0.72517000229996398</v>
      </c>
      <c r="P1919" t="s">
        <v>36</v>
      </c>
    </row>
    <row r="1920" spans="1:16">
      <c r="A1920">
        <v>1919</v>
      </c>
      <c r="B1920" t="s">
        <v>1980</v>
      </c>
      <c r="C1920">
        <v>456</v>
      </c>
      <c r="D1920">
        <v>114</v>
      </c>
      <c r="E1920">
        <v>104.083607206427</v>
      </c>
      <c r="F1920">
        <v>4.0144086224217599</v>
      </c>
      <c r="G1920">
        <v>8508.5303342155003</v>
      </c>
      <c r="H1920">
        <v>1210.7746356539101</v>
      </c>
      <c r="I1920">
        <v>0.71157394852454203</v>
      </c>
      <c r="J1920">
        <v>7.2935302197081706E-2</v>
      </c>
      <c r="K1920">
        <v>0.244992810188989</v>
      </c>
      <c r="L1920" t="s">
        <v>33</v>
      </c>
      <c r="M1920" t="s">
        <v>34</v>
      </c>
      <c r="N1920" t="s">
        <v>35</v>
      </c>
      <c r="O1920">
        <v>0.78194950347529002</v>
      </c>
      <c r="P1920" t="s">
        <v>36</v>
      </c>
    </row>
    <row r="1921" spans="1:16">
      <c r="A1921">
        <v>1920</v>
      </c>
      <c r="B1921" t="s">
        <v>1981</v>
      </c>
      <c r="C1921">
        <v>94</v>
      </c>
      <c r="D1921">
        <v>227</v>
      </c>
      <c r="E1921">
        <v>104.82460568059101</v>
      </c>
      <c r="F1921">
        <v>0.41171780913508499</v>
      </c>
      <c r="G1921">
        <v>8630.1104937618202</v>
      </c>
      <c r="H1921">
        <v>1034.0687431265001</v>
      </c>
      <c r="I1921">
        <v>0.84732491028394097</v>
      </c>
      <c r="J1921">
        <v>0.10142088559147</v>
      </c>
      <c r="K1921">
        <v>0.59774138090777096</v>
      </c>
      <c r="L1921" t="s">
        <v>33</v>
      </c>
      <c r="M1921" t="s">
        <v>34</v>
      </c>
      <c r="N1921" t="s">
        <v>35</v>
      </c>
      <c r="O1921">
        <v>0.64321848701214501</v>
      </c>
      <c r="P1921" t="s">
        <v>36</v>
      </c>
    </row>
    <row r="1922" spans="1:16">
      <c r="A1922">
        <v>1921</v>
      </c>
      <c r="B1922" t="s">
        <v>1982</v>
      </c>
      <c r="C1922">
        <v>102</v>
      </c>
      <c r="D1922">
        <v>179</v>
      </c>
      <c r="E1922">
        <v>105.062638809213</v>
      </c>
      <c r="F1922">
        <v>0.57002295811882597</v>
      </c>
      <c r="G1922">
        <v>8669.3490782608696</v>
      </c>
      <c r="H1922">
        <v>855.15994409664802</v>
      </c>
      <c r="I1922">
        <v>0.60539038458825001</v>
      </c>
      <c r="J1922">
        <v>0.14897097291383701</v>
      </c>
      <c r="K1922">
        <v>0.68485012152308899</v>
      </c>
      <c r="L1922" t="s">
        <v>74</v>
      </c>
      <c r="M1922" t="s">
        <v>34</v>
      </c>
      <c r="N1922" t="s">
        <v>35</v>
      </c>
      <c r="O1922">
        <v>0.73709008869387105</v>
      </c>
      <c r="P1922" t="s">
        <v>36</v>
      </c>
    </row>
    <row r="1923" spans="1:16">
      <c r="A1923">
        <v>1922</v>
      </c>
      <c r="B1923" t="s">
        <v>1983</v>
      </c>
      <c r="C1923">
        <v>118</v>
      </c>
      <c r="D1923">
        <v>207</v>
      </c>
      <c r="E1923">
        <v>105.333376368454</v>
      </c>
      <c r="F1923">
        <v>0.56984829702613704</v>
      </c>
      <c r="G1923">
        <v>8714.0870098298692</v>
      </c>
      <c r="H1923">
        <v>663.80307337854197</v>
      </c>
      <c r="I1923">
        <v>0.66550106627722505</v>
      </c>
      <c r="J1923">
        <v>0.248515361154483</v>
      </c>
      <c r="K1923">
        <v>0.59114328638118996</v>
      </c>
      <c r="L1923" t="s">
        <v>33</v>
      </c>
      <c r="M1923" t="s">
        <v>34</v>
      </c>
      <c r="N1923" t="s">
        <v>35</v>
      </c>
      <c r="O1923">
        <v>0.68411720162291401</v>
      </c>
      <c r="P1923" t="s">
        <v>36</v>
      </c>
    </row>
    <row r="1924" spans="1:16">
      <c r="A1924">
        <v>1923</v>
      </c>
      <c r="B1924" t="s">
        <v>1984</v>
      </c>
      <c r="C1924">
        <v>171</v>
      </c>
      <c r="D1924">
        <v>130</v>
      </c>
      <c r="E1924">
        <v>105.584602004975</v>
      </c>
      <c r="F1924">
        <v>1.31380753138075</v>
      </c>
      <c r="G1924">
        <v>8755.7036903591707</v>
      </c>
      <c r="H1924">
        <v>1386.8355964699001</v>
      </c>
      <c r="I1924">
        <v>0.67229398416895902</v>
      </c>
      <c r="J1924">
        <v>5.7207235216103797E-2</v>
      </c>
      <c r="K1924">
        <v>0.43845455357408702</v>
      </c>
      <c r="L1924" t="s">
        <v>33</v>
      </c>
      <c r="M1924" t="s">
        <v>34</v>
      </c>
      <c r="N1924" t="s">
        <v>35</v>
      </c>
      <c r="O1924">
        <v>0.70833649577097002</v>
      </c>
      <c r="P1924" t="s">
        <v>36</v>
      </c>
    </row>
    <row r="1925" spans="1:16">
      <c r="A1925">
        <v>1924</v>
      </c>
      <c r="B1925" t="s">
        <v>1985</v>
      </c>
      <c r="C1925">
        <v>88</v>
      </c>
      <c r="D1925">
        <v>174</v>
      </c>
      <c r="E1925">
        <v>105.922811448239</v>
      </c>
      <c r="F1925">
        <v>0.50279112015669103</v>
      </c>
      <c r="G1925">
        <v>8811.8862090737293</v>
      </c>
      <c r="H1925">
        <v>681.15145396719799</v>
      </c>
      <c r="I1925">
        <v>0.73357384181715701</v>
      </c>
      <c r="J1925">
        <v>0.23866644727142</v>
      </c>
      <c r="K1925">
        <v>0.71803846526499404</v>
      </c>
      <c r="L1925" t="s">
        <v>38</v>
      </c>
      <c r="M1925" t="s">
        <v>34</v>
      </c>
      <c r="N1925" t="s">
        <v>35</v>
      </c>
      <c r="O1925">
        <v>0.704304361701238</v>
      </c>
      <c r="P1925" t="s">
        <v>36</v>
      </c>
    </row>
    <row r="1926" spans="1:16">
      <c r="A1926">
        <v>1925</v>
      </c>
      <c r="B1926" t="s">
        <v>1986</v>
      </c>
      <c r="C1926">
        <v>160</v>
      </c>
      <c r="D1926">
        <v>112</v>
      </c>
      <c r="E1926">
        <v>105.925491330966</v>
      </c>
      <c r="F1926">
        <v>1.4223300115092801</v>
      </c>
      <c r="G1926">
        <v>8812.3321020793992</v>
      </c>
      <c r="H1926">
        <v>901.59696689937402</v>
      </c>
      <c r="I1926">
        <v>0.67401437367226702</v>
      </c>
      <c r="J1926">
        <v>0.13623096583170399</v>
      </c>
      <c r="K1926">
        <v>0.69371804322135999</v>
      </c>
      <c r="L1926" t="s">
        <v>33</v>
      </c>
      <c r="M1926" t="s">
        <v>34</v>
      </c>
      <c r="N1926" t="s">
        <v>35</v>
      </c>
      <c r="O1926">
        <v>0.68467610350693298</v>
      </c>
      <c r="P1926" t="s">
        <v>36</v>
      </c>
    </row>
    <row r="1927" spans="1:16">
      <c r="A1927">
        <v>1926</v>
      </c>
      <c r="B1927" t="s">
        <v>1987</v>
      </c>
      <c r="C1927">
        <v>109</v>
      </c>
      <c r="D1927">
        <v>192</v>
      </c>
      <c r="E1927">
        <v>106.354292502853</v>
      </c>
      <c r="F1927">
        <v>0.57085048960769302</v>
      </c>
      <c r="G1927">
        <v>8883.8236139886594</v>
      </c>
      <c r="H1927">
        <v>1030.4780578120899</v>
      </c>
      <c r="I1927">
        <v>0.67361255514134999</v>
      </c>
      <c r="J1927">
        <v>0.105131362719098</v>
      </c>
      <c r="K1927">
        <v>0.58486061234674203</v>
      </c>
      <c r="L1927" t="s">
        <v>38</v>
      </c>
      <c r="M1927" t="s">
        <v>34</v>
      </c>
      <c r="N1927" t="s">
        <v>35</v>
      </c>
      <c r="O1927">
        <v>0.77432374024667305</v>
      </c>
      <c r="P1927" t="s">
        <v>36</v>
      </c>
    </row>
    <row r="1928" spans="1:16">
      <c r="A1928">
        <v>1927</v>
      </c>
      <c r="B1928" t="s">
        <v>1988</v>
      </c>
      <c r="C1928">
        <v>139</v>
      </c>
      <c r="D1928">
        <v>126</v>
      </c>
      <c r="E1928">
        <v>106.514314766772</v>
      </c>
      <c r="F1928">
        <v>1.1023488105053401</v>
      </c>
      <c r="G1928">
        <v>8910.5771943289201</v>
      </c>
      <c r="H1928">
        <v>1016.34780060053</v>
      </c>
      <c r="I1928">
        <v>0.76608408513982695</v>
      </c>
      <c r="J1928">
        <v>0.108400428164712</v>
      </c>
      <c r="K1928">
        <v>0.64275452440174996</v>
      </c>
      <c r="L1928" t="s">
        <v>38</v>
      </c>
      <c r="M1928" t="s">
        <v>34</v>
      </c>
      <c r="N1928" t="s">
        <v>35</v>
      </c>
      <c r="O1928">
        <v>0.790569704945976</v>
      </c>
      <c r="P1928" t="s">
        <v>36</v>
      </c>
    </row>
    <row r="1929" spans="1:16">
      <c r="A1929">
        <v>1928</v>
      </c>
      <c r="B1929" t="s">
        <v>1989</v>
      </c>
      <c r="C1929">
        <v>200</v>
      </c>
      <c r="D1929">
        <v>88</v>
      </c>
      <c r="E1929">
        <v>106.732623860061</v>
      </c>
      <c r="F1929">
        <v>2.2795031055900599</v>
      </c>
      <c r="G1929">
        <v>8947.1404207939504</v>
      </c>
      <c r="H1929">
        <v>875.90090244738997</v>
      </c>
      <c r="I1929">
        <v>0.85511466665897795</v>
      </c>
      <c r="J1929">
        <v>0.146549442231692</v>
      </c>
      <c r="K1929">
        <v>0.69466626661743003</v>
      </c>
      <c r="L1929" t="s">
        <v>33</v>
      </c>
      <c r="M1929" t="s">
        <v>34</v>
      </c>
      <c r="N1929" t="s">
        <v>35</v>
      </c>
      <c r="O1929">
        <v>0.66042111906954104</v>
      </c>
      <c r="P1929" t="s">
        <v>36</v>
      </c>
    </row>
    <row r="1930" spans="1:16">
      <c r="A1930">
        <v>1929</v>
      </c>
      <c r="B1930" t="s">
        <v>1990</v>
      </c>
      <c r="C1930">
        <v>156</v>
      </c>
      <c r="D1930">
        <v>147</v>
      </c>
      <c r="E1930">
        <v>107.144066238976</v>
      </c>
      <c r="F1930">
        <v>1.0669145133239299</v>
      </c>
      <c r="G1930">
        <v>9016.2538366729696</v>
      </c>
      <c r="H1930">
        <v>1639.5745797505599</v>
      </c>
      <c r="I1930">
        <v>0.59044787829751499</v>
      </c>
      <c r="J1930">
        <v>4.2147676827559599E-2</v>
      </c>
      <c r="K1930">
        <v>0.40293857813735101</v>
      </c>
      <c r="L1930" t="s">
        <v>33</v>
      </c>
      <c r="M1930" t="s">
        <v>34</v>
      </c>
      <c r="N1930" t="s">
        <v>35</v>
      </c>
      <c r="O1930">
        <v>0.83422021289737802</v>
      </c>
      <c r="P1930" t="s">
        <v>36</v>
      </c>
    </row>
    <row r="1931" spans="1:16">
      <c r="A1931">
        <v>1930</v>
      </c>
      <c r="B1931" t="s">
        <v>1991</v>
      </c>
      <c r="C1931">
        <v>132</v>
      </c>
      <c r="D1931">
        <v>122</v>
      </c>
      <c r="E1931">
        <v>107.338177557856</v>
      </c>
      <c r="F1931">
        <v>1.0803571538049399</v>
      </c>
      <c r="G1931">
        <v>9048.9526570888502</v>
      </c>
      <c r="H1931">
        <v>1027.4486397488199</v>
      </c>
      <c r="I1931">
        <v>0.57210626954373101</v>
      </c>
      <c r="J1931">
        <v>0.107717914620897</v>
      </c>
      <c r="K1931">
        <v>0.68419041625460797</v>
      </c>
      <c r="L1931" t="s">
        <v>38</v>
      </c>
      <c r="M1931" t="s">
        <v>34</v>
      </c>
      <c r="N1931" t="s">
        <v>35</v>
      </c>
      <c r="O1931">
        <v>0.85325582994663796</v>
      </c>
      <c r="P1931" t="s">
        <v>36</v>
      </c>
    </row>
    <row r="1932" spans="1:16">
      <c r="A1932">
        <v>1931</v>
      </c>
      <c r="B1932" t="s">
        <v>1992</v>
      </c>
      <c r="C1932">
        <v>137</v>
      </c>
      <c r="D1932">
        <v>191</v>
      </c>
      <c r="E1932">
        <v>107.405152667363</v>
      </c>
      <c r="F1932">
        <v>0.71872275182690104</v>
      </c>
      <c r="G1932">
        <v>9060.2486132325193</v>
      </c>
      <c r="H1932">
        <v>1209.70623780852</v>
      </c>
      <c r="I1932">
        <v>0.54108356790237699</v>
      </c>
      <c r="J1932">
        <v>7.7801888485076298E-2</v>
      </c>
      <c r="K1932">
        <v>0.47984823199722898</v>
      </c>
      <c r="L1932" t="s">
        <v>61</v>
      </c>
      <c r="M1932" t="s">
        <v>34</v>
      </c>
      <c r="N1932" t="s">
        <v>35</v>
      </c>
      <c r="O1932">
        <v>0.67645810104799797</v>
      </c>
      <c r="P1932" t="s">
        <v>36</v>
      </c>
    </row>
    <row r="1933" spans="1:16">
      <c r="A1933">
        <v>1932</v>
      </c>
      <c r="B1933" t="s">
        <v>1993</v>
      </c>
      <c r="C1933">
        <v>119</v>
      </c>
      <c r="D1933">
        <v>158</v>
      </c>
      <c r="E1933">
        <v>107.658574975817</v>
      </c>
      <c r="F1933">
        <v>0.75340185899169199</v>
      </c>
      <c r="G1933">
        <v>9103.0543417769404</v>
      </c>
      <c r="H1933">
        <v>692.06748080585305</v>
      </c>
      <c r="I1933">
        <v>0.66370408231393097</v>
      </c>
      <c r="J1933">
        <v>0.238836178461236</v>
      </c>
      <c r="K1933">
        <v>0.66170401261911405</v>
      </c>
      <c r="L1933" t="s">
        <v>33</v>
      </c>
      <c r="M1933" t="s">
        <v>34</v>
      </c>
      <c r="N1933" t="s">
        <v>35</v>
      </c>
      <c r="O1933">
        <v>0.67255730437330896</v>
      </c>
      <c r="P1933" t="s">
        <v>36</v>
      </c>
    </row>
    <row r="1934" spans="1:16">
      <c r="A1934">
        <v>1933</v>
      </c>
      <c r="B1934" t="s">
        <v>1994</v>
      </c>
      <c r="C1934">
        <v>140</v>
      </c>
      <c r="D1934">
        <v>120</v>
      </c>
      <c r="E1934">
        <v>108.343697045664</v>
      </c>
      <c r="F1934">
        <v>1.16700746055947</v>
      </c>
      <c r="G1934">
        <v>9219.2837852552002</v>
      </c>
      <c r="H1934">
        <v>614.67871096030501</v>
      </c>
      <c r="I1934">
        <v>0.59609432111217797</v>
      </c>
      <c r="J1934">
        <v>0.30662721879546501</v>
      </c>
      <c r="K1934">
        <v>0.71944882620395301</v>
      </c>
      <c r="L1934" t="s">
        <v>893</v>
      </c>
      <c r="M1934" t="s">
        <v>34</v>
      </c>
      <c r="N1934" t="s">
        <v>35</v>
      </c>
      <c r="O1934">
        <v>0.64650188028196798</v>
      </c>
      <c r="P1934" t="s">
        <v>36</v>
      </c>
    </row>
    <row r="1935" spans="1:16">
      <c r="A1935">
        <v>1934</v>
      </c>
      <c r="B1935" t="s">
        <v>1995</v>
      </c>
      <c r="C1935">
        <v>191</v>
      </c>
      <c r="D1935">
        <v>94</v>
      </c>
      <c r="E1935">
        <v>108.76557469257401</v>
      </c>
      <c r="F1935">
        <v>2.0313698477812898</v>
      </c>
      <c r="G1935">
        <v>9291.2211901701303</v>
      </c>
      <c r="H1935">
        <v>829.892855012935</v>
      </c>
      <c r="I1935">
        <v>0.76147928766653905</v>
      </c>
      <c r="J1935">
        <v>0.16952689673155699</v>
      </c>
      <c r="K1935">
        <v>0.742096703348885</v>
      </c>
      <c r="L1935" t="s">
        <v>33</v>
      </c>
      <c r="M1935" t="s">
        <v>34</v>
      </c>
      <c r="N1935" t="s">
        <v>35</v>
      </c>
      <c r="O1935">
        <v>0.68121446370596705</v>
      </c>
      <c r="P1935" t="s">
        <v>36</v>
      </c>
    </row>
    <row r="1936" spans="1:16">
      <c r="A1936">
        <v>1935</v>
      </c>
      <c r="B1936" t="s">
        <v>1996</v>
      </c>
      <c r="C1936">
        <v>126</v>
      </c>
      <c r="D1936">
        <v>235</v>
      </c>
      <c r="E1936">
        <v>108.872526888628</v>
      </c>
      <c r="F1936">
        <v>0.53828306806638804</v>
      </c>
      <c r="G1936">
        <v>9309.5028034026509</v>
      </c>
      <c r="H1936">
        <v>1330.84469084128</v>
      </c>
      <c r="I1936">
        <v>0.595140707533658</v>
      </c>
      <c r="J1936">
        <v>6.6051334766317693E-2</v>
      </c>
      <c r="K1936">
        <v>0.46755447399655098</v>
      </c>
      <c r="L1936" t="s">
        <v>38</v>
      </c>
      <c r="M1936" t="s">
        <v>34</v>
      </c>
      <c r="N1936" t="s">
        <v>35</v>
      </c>
      <c r="O1936">
        <v>0.70398463401449196</v>
      </c>
      <c r="P1936" t="s">
        <v>36</v>
      </c>
    </row>
    <row r="1937" spans="1:16">
      <c r="A1937">
        <v>1936</v>
      </c>
      <c r="B1937" t="s">
        <v>1997</v>
      </c>
      <c r="C1937">
        <v>211</v>
      </c>
      <c r="D1937">
        <v>95</v>
      </c>
      <c r="E1937">
        <v>108.996737755806</v>
      </c>
      <c r="F1937">
        <v>2.21847554864978</v>
      </c>
      <c r="G1937">
        <v>9330.7570366729706</v>
      </c>
      <c r="H1937">
        <v>870.98729830430898</v>
      </c>
      <c r="I1937">
        <v>0.77860263094579996</v>
      </c>
      <c r="J1937">
        <v>0.154562132691066</v>
      </c>
      <c r="K1937">
        <v>0.57278674464649004</v>
      </c>
      <c r="L1937" t="s">
        <v>188</v>
      </c>
      <c r="M1937" t="s">
        <v>34</v>
      </c>
      <c r="N1937" t="s">
        <v>35</v>
      </c>
      <c r="O1937">
        <v>0.69853295468012999</v>
      </c>
      <c r="P1937" t="s">
        <v>36</v>
      </c>
    </row>
    <row r="1938" spans="1:16">
      <c r="A1938">
        <v>1937</v>
      </c>
      <c r="B1938" t="s">
        <v>1998</v>
      </c>
      <c r="C1938">
        <v>170</v>
      </c>
      <c r="D1938">
        <v>118</v>
      </c>
      <c r="E1938">
        <v>109.191021810881</v>
      </c>
      <c r="F1938">
        <v>1.45042769056863</v>
      </c>
      <c r="G1938">
        <v>9364.0503810964092</v>
      </c>
      <c r="H1938">
        <v>961.14807435284501</v>
      </c>
      <c r="I1938">
        <v>0.64330832300382501</v>
      </c>
      <c r="J1938">
        <v>0.127377583429713</v>
      </c>
      <c r="K1938">
        <v>0.584249865534062</v>
      </c>
      <c r="L1938" t="s">
        <v>49</v>
      </c>
      <c r="M1938" t="s">
        <v>34</v>
      </c>
      <c r="N1938" t="s">
        <v>35</v>
      </c>
      <c r="O1938">
        <v>0.75935416982456005</v>
      </c>
      <c r="P1938" t="s">
        <v>36</v>
      </c>
    </row>
    <row r="1939" spans="1:16">
      <c r="A1939">
        <v>1938</v>
      </c>
      <c r="B1939" t="s">
        <v>1999</v>
      </c>
      <c r="C1939">
        <v>168</v>
      </c>
      <c r="D1939">
        <v>94</v>
      </c>
      <c r="E1939">
        <v>109.252530807374</v>
      </c>
      <c r="F1939">
        <v>1.7859126455049501</v>
      </c>
      <c r="G1939">
        <v>9374.6031822306195</v>
      </c>
      <c r="H1939">
        <v>645.99295715798496</v>
      </c>
      <c r="I1939">
        <v>0.75127202261870696</v>
      </c>
      <c r="J1939">
        <v>0.28229760340290699</v>
      </c>
      <c r="K1939">
        <v>0.81941719823834303</v>
      </c>
      <c r="L1939" t="s">
        <v>38</v>
      </c>
      <c r="M1939" t="s">
        <v>34</v>
      </c>
      <c r="N1939" t="s">
        <v>35</v>
      </c>
      <c r="O1939">
        <v>0.76154728112951298</v>
      </c>
      <c r="P1939" t="s">
        <v>36</v>
      </c>
    </row>
    <row r="1940" spans="1:16">
      <c r="A1940">
        <v>1939</v>
      </c>
      <c r="B1940" t="s">
        <v>2000</v>
      </c>
      <c r="C1940">
        <v>123</v>
      </c>
      <c r="D1940">
        <v>152</v>
      </c>
      <c r="E1940">
        <v>109.556103138522</v>
      </c>
      <c r="F1940">
        <v>0.81294964028776995</v>
      </c>
      <c r="G1940">
        <v>9426.7726638941404</v>
      </c>
      <c r="H1940">
        <v>717.02459116147895</v>
      </c>
      <c r="I1940">
        <v>0.63231337157708301</v>
      </c>
      <c r="J1940">
        <v>0.23041184244846599</v>
      </c>
      <c r="K1940">
        <v>0.657311638511763</v>
      </c>
      <c r="L1940" t="s">
        <v>49</v>
      </c>
      <c r="M1940" t="s">
        <v>34</v>
      </c>
      <c r="N1940" t="s">
        <v>35</v>
      </c>
      <c r="O1940">
        <v>0.75011150922526404</v>
      </c>
      <c r="P1940" t="s">
        <v>36</v>
      </c>
    </row>
    <row r="1941" spans="1:16">
      <c r="A1941">
        <v>1940</v>
      </c>
      <c r="B1941" t="s">
        <v>2001</v>
      </c>
      <c r="C1941">
        <v>196</v>
      </c>
      <c r="D1941">
        <v>93</v>
      </c>
      <c r="E1941">
        <v>109.892422185876</v>
      </c>
      <c r="F1941">
        <v>2.1117647058823499</v>
      </c>
      <c r="G1941">
        <v>9484.7387546313803</v>
      </c>
      <c r="H1941">
        <v>826.24737249768305</v>
      </c>
      <c r="I1941">
        <v>0.81383299629878503</v>
      </c>
      <c r="J1941">
        <v>0.174588267148299</v>
      </c>
      <c r="K1941">
        <v>0.62245415528677295</v>
      </c>
      <c r="L1941" t="s">
        <v>38</v>
      </c>
      <c r="M1941" t="s">
        <v>34</v>
      </c>
      <c r="N1941" t="s">
        <v>35</v>
      </c>
      <c r="O1941">
        <v>0.73653367376237699</v>
      </c>
      <c r="P1941" t="s">
        <v>36</v>
      </c>
    </row>
    <row r="1942" spans="1:16">
      <c r="A1942">
        <v>1941</v>
      </c>
      <c r="B1942" t="s">
        <v>2002</v>
      </c>
      <c r="C1942">
        <v>127</v>
      </c>
      <c r="D1942">
        <v>156</v>
      </c>
      <c r="E1942">
        <v>109.966446430847</v>
      </c>
      <c r="F1942">
        <v>0.81184668989547004</v>
      </c>
      <c r="G1942">
        <v>9497.5210207939508</v>
      </c>
      <c r="H1942">
        <v>1061.51670177543</v>
      </c>
      <c r="I1942">
        <v>0.54705263272867399</v>
      </c>
      <c r="J1942">
        <v>0.105917193350736</v>
      </c>
      <c r="K1942">
        <v>0.66846598041677097</v>
      </c>
      <c r="L1942" t="s">
        <v>47</v>
      </c>
      <c r="M1942" t="s">
        <v>34</v>
      </c>
      <c r="N1942" t="s">
        <v>35</v>
      </c>
      <c r="O1942">
        <v>0.93931300736717804</v>
      </c>
      <c r="P1942" t="s">
        <v>36</v>
      </c>
    </row>
    <row r="1943" spans="1:16">
      <c r="A1943">
        <v>1942</v>
      </c>
      <c r="B1943" t="s">
        <v>2003</v>
      </c>
      <c r="C1943">
        <v>146</v>
      </c>
      <c r="D1943">
        <v>154</v>
      </c>
      <c r="E1943">
        <v>110.049019332612</v>
      </c>
      <c r="F1943">
        <v>0.95035460992907805</v>
      </c>
      <c r="G1943">
        <v>9511.78959697543</v>
      </c>
      <c r="H1943">
        <v>838.23113663777099</v>
      </c>
      <c r="I1943">
        <v>0.55226084821097299</v>
      </c>
      <c r="J1943">
        <v>0.17011574880373001</v>
      </c>
      <c r="K1943">
        <v>0.559846032718047</v>
      </c>
      <c r="L1943" t="s">
        <v>33</v>
      </c>
      <c r="M1943" t="s">
        <v>34</v>
      </c>
      <c r="N1943" t="s">
        <v>35</v>
      </c>
      <c r="O1943">
        <v>0.84083692985956704</v>
      </c>
      <c r="P1943" t="s">
        <v>36</v>
      </c>
    </row>
    <row r="1944" spans="1:16">
      <c r="A1944">
        <v>1943</v>
      </c>
      <c r="B1944" t="s">
        <v>2004</v>
      </c>
      <c r="C1944">
        <v>106</v>
      </c>
      <c r="D1944">
        <v>150</v>
      </c>
      <c r="E1944">
        <v>110.304945632938</v>
      </c>
      <c r="F1944">
        <v>0.706263424645033</v>
      </c>
      <c r="G1944">
        <v>9556.0816355387506</v>
      </c>
      <c r="H1944">
        <v>602.16577928874801</v>
      </c>
      <c r="I1944">
        <v>0.741150738382926</v>
      </c>
      <c r="J1944">
        <v>0.331175021226151</v>
      </c>
      <c r="K1944">
        <v>0.80718626023200901</v>
      </c>
      <c r="L1944" t="s">
        <v>38</v>
      </c>
      <c r="M1944" t="s">
        <v>34</v>
      </c>
      <c r="N1944" t="s">
        <v>35</v>
      </c>
      <c r="O1944">
        <v>0.74208164653969899</v>
      </c>
      <c r="P1944" t="s">
        <v>36</v>
      </c>
    </row>
    <row r="1945" spans="1:16">
      <c r="A1945">
        <v>1944</v>
      </c>
      <c r="B1945" t="s">
        <v>2005</v>
      </c>
      <c r="C1945">
        <v>93</v>
      </c>
      <c r="D1945">
        <v>148</v>
      </c>
      <c r="E1945">
        <v>110.314381214085</v>
      </c>
      <c r="F1945">
        <v>0.63281385797672796</v>
      </c>
      <c r="G1945">
        <v>9557.7165765595491</v>
      </c>
      <c r="H1945">
        <v>623.17132140522403</v>
      </c>
      <c r="I1945">
        <v>0.67398732494818803</v>
      </c>
      <c r="J1945">
        <v>0.30927804713683299</v>
      </c>
      <c r="K1945">
        <v>0.82625566962622199</v>
      </c>
      <c r="L1945" t="s">
        <v>38</v>
      </c>
      <c r="M1945" t="s">
        <v>34</v>
      </c>
      <c r="N1945" t="s">
        <v>35</v>
      </c>
      <c r="O1945">
        <v>0.79497182294397195</v>
      </c>
      <c r="P1945" t="s">
        <v>36</v>
      </c>
    </row>
    <row r="1946" spans="1:16">
      <c r="A1946">
        <v>1945</v>
      </c>
      <c r="B1946" t="s">
        <v>2006</v>
      </c>
      <c r="C1946">
        <v>148</v>
      </c>
      <c r="D1946">
        <v>111</v>
      </c>
      <c r="E1946">
        <v>110.60734046122801</v>
      </c>
      <c r="F1946">
        <v>1.33456732147642</v>
      </c>
      <c r="G1946">
        <v>9608.5483792060495</v>
      </c>
      <c r="H1946">
        <v>624.90051812099398</v>
      </c>
      <c r="I1946">
        <v>0.65969688809455096</v>
      </c>
      <c r="J1946">
        <v>0.30920454976262501</v>
      </c>
      <c r="K1946">
        <v>0.79838709677419395</v>
      </c>
      <c r="L1946" t="s">
        <v>38</v>
      </c>
      <c r="M1946" t="s">
        <v>34</v>
      </c>
      <c r="N1946" t="s">
        <v>35</v>
      </c>
      <c r="O1946">
        <v>0.701514496334259</v>
      </c>
      <c r="P1946" t="s">
        <v>36</v>
      </c>
    </row>
    <row r="1947" spans="1:16">
      <c r="A1947">
        <v>1946</v>
      </c>
      <c r="B1947" t="s">
        <v>2007</v>
      </c>
      <c r="C1947">
        <v>111</v>
      </c>
      <c r="D1947">
        <v>157</v>
      </c>
      <c r="E1947">
        <v>110.63471216449101</v>
      </c>
      <c r="F1947">
        <v>0.70645607559416201</v>
      </c>
      <c r="G1947">
        <v>9613.3045712665407</v>
      </c>
      <c r="H1947">
        <v>790.58240563817697</v>
      </c>
      <c r="I1947">
        <v>0.72610822900177296</v>
      </c>
      <c r="J1947">
        <v>0.193280604907836</v>
      </c>
      <c r="K1947">
        <v>0.70433409561145599</v>
      </c>
      <c r="L1947" t="s">
        <v>38</v>
      </c>
      <c r="M1947" t="s">
        <v>34</v>
      </c>
      <c r="N1947" t="s">
        <v>35</v>
      </c>
      <c r="O1947">
        <v>0.69819954017851804</v>
      </c>
      <c r="P1947" t="s">
        <v>36</v>
      </c>
    </row>
    <row r="1948" spans="1:16">
      <c r="A1948">
        <v>1947</v>
      </c>
      <c r="B1948" t="s">
        <v>2008</v>
      </c>
      <c r="C1948">
        <v>103</v>
      </c>
      <c r="D1948">
        <v>156</v>
      </c>
      <c r="E1948">
        <v>110.64497480749</v>
      </c>
      <c r="F1948">
        <v>0.655052297782722</v>
      </c>
      <c r="G1948">
        <v>9615.0881432892293</v>
      </c>
      <c r="H1948">
        <v>1537.9498048549101</v>
      </c>
      <c r="I1948">
        <v>0.63696455911716898</v>
      </c>
      <c r="J1948">
        <v>5.1083284255424397E-2</v>
      </c>
      <c r="K1948">
        <v>0.60483184831287296</v>
      </c>
      <c r="L1948" t="s">
        <v>43</v>
      </c>
      <c r="M1948" t="s">
        <v>34</v>
      </c>
      <c r="N1948" t="s">
        <v>35</v>
      </c>
      <c r="O1948">
        <v>0.74337648628263098</v>
      </c>
      <c r="P1948" t="s">
        <v>36</v>
      </c>
    </row>
    <row r="1949" spans="1:16">
      <c r="A1949">
        <v>1948</v>
      </c>
      <c r="B1949" t="s">
        <v>2009</v>
      </c>
      <c r="C1949">
        <v>159</v>
      </c>
      <c r="D1949">
        <v>122</v>
      </c>
      <c r="E1949">
        <v>110.979699291667</v>
      </c>
      <c r="F1949">
        <v>1.3049327354260101</v>
      </c>
      <c r="G1949">
        <v>9673.3514960302491</v>
      </c>
      <c r="H1949">
        <v>952.68528685352101</v>
      </c>
      <c r="I1949">
        <v>0.65152713667065598</v>
      </c>
      <c r="J1949">
        <v>0.133933098640177</v>
      </c>
      <c r="K1949">
        <v>0.55276411785189505</v>
      </c>
      <c r="L1949" t="s">
        <v>33</v>
      </c>
      <c r="M1949" t="s">
        <v>34</v>
      </c>
      <c r="N1949" t="s">
        <v>35</v>
      </c>
      <c r="O1949">
        <v>0.72311879507293098</v>
      </c>
      <c r="P1949" t="s">
        <v>36</v>
      </c>
    </row>
    <row r="1950" spans="1:16">
      <c r="A1950">
        <v>1949</v>
      </c>
      <c r="B1950" t="s">
        <v>2010</v>
      </c>
      <c r="C1950">
        <v>122</v>
      </c>
      <c r="D1950">
        <v>122</v>
      </c>
      <c r="E1950">
        <v>111.013798104722</v>
      </c>
      <c r="F1950">
        <v>1</v>
      </c>
      <c r="G1950">
        <v>9679.29673610586</v>
      </c>
      <c r="H1950">
        <v>1127.0883758575001</v>
      </c>
      <c r="I1950">
        <v>0.47527676547748199</v>
      </c>
      <c r="J1950">
        <v>9.5749767188255994E-2</v>
      </c>
      <c r="K1950">
        <v>0.71230284601754401</v>
      </c>
      <c r="L1950" t="s">
        <v>38</v>
      </c>
      <c r="M1950" t="s">
        <v>34</v>
      </c>
      <c r="N1950" t="s">
        <v>35</v>
      </c>
      <c r="O1950">
        <v>0.69815256208624299</v>
      </c>
      <c r="P1950" t="s">
        <v>36</v>
      </c>
    </row>
    <row r="1951" spans="1:16">
      <c r="A1951">
        <v>1950</v>
      </c>
      <c r="B1951" t="s">
        <v>2011</v>
      </c>
      <c r="C1951">
        <v>102</v>
      </c>
      <c r="D1951">
        <v>234</v>
      </c>
      <c r="E1951">
        <v>111.37205492205401</v>
      </c>
      <c r="F1951">
        <v>0.434507287345267</v>
      </c>
      <c r="G1951">
        <v>9741.8703879016994</v>
      </c>
      <c r="H1951">
        <v>1187.86544243667</v>
      </c>
      <c r="I1951">
        <v>0.60968238638432803</v>
      </c>
      <c r="J1951">
        <v>8.6759634799697297E-2</v>
      </c>
      <c r="K1951">
        <v>0.56809534127843997</v>
      </c>
      <c r="L1951" t="s">
        <v>38</v>
      </c>
      <c r="M1951" t="s">
        <v>34</v>
      </c>
      <c r="N1951" t="s">
        <v>35</v>
      </c>
      <c r="O1951">
        <v>0.70578424028828302</v>
      </c>
      <c r="P1951" t="s">
        <v>36</v>
      </c>
    </row>
    <row r="1952" spans="1:16">
      <c r="A1952">
        <v>1951</v>
      </c>
      <c r="B1952" t="s">
        <v>2012</v>
      </c>
      <c r="C1952">
        <v>156</v>
      </c>
      <c r="D1952">
        <v>122</v>
      </c>
      <c r="E1952">
        <v>111.405184302433</v>
      </c>
      <c r="F1952">
        <v>1.28125</v>
      </c>
      <c r="G1952">
        <v>9747.6669969754294</v>
      </c>
      <c r="H1952">
        <v>1556.70087572834</v>
      </c>
      <c r="I1952">
        <v>0.55698621412194704</v>
      </c>
      <c r="J1952">
        <v>5.05475614404199E-2</v>
      </c>
      <c r="K1952">
        <v>0.55768805591931803</v>
      </c>
      <c r="L1952" t="s">
        <v>38</v>
      </c>
      <c r="M1952" t="s">
        <v>34</v>
      </c>
      <c r="N1952" t="s">
        <v>35</v>
      </c>
      <c r="O1952">
        <v>0.704783621264368</v>
      </c>
      <c r="P1952" t="s">
        <v>36</v>
      </c>
    </row>
    <row r="1953" spans="1:16">
      <c r="A1953">
        <v>1952</v>
      </c>
      <c r="B1953" t="s">
        <v>2013</v>
      </c>
      <c r="C1953">
        <v>152</v>
      </c>
      <c r="D1953">
        <v>147</v>
      </c>
      <c r="E1953">
        <v>111.41367742854</v>
      </c>
      <c r="F1953">
        <v>1.03345725666197</v>
      </c>
      <c r="G1953">
        <v>9749.1533069943307</v>
      </c>
      <c r="H1953">
        <v>1367.4778633829801</v>
      </c>
      <c r="I1953">
        <v>0.62106887025160895</v>
      </c>
      <c r="J1953">
        <v>6.5514307430554697E-2</v>
      </c>
      <c r="K1953">
        <v>0.45892337400649302</v>
      </c>
      <c r="L1953" t="s">
        <v>38</v>
      </c>
      <c r="M1953" t="s">
        <v>34</v>
      </c>
      <c r="N1953" t="s">
        <v>35</v>
      </c>
      <c r="O1953">
        <v>0.72002828548195796</v>
      </c>
      <c r="P1953" t="s">
        <v>36</v>
      </c>
    </row>
    <row r="1954" spans="1:16">
      <c r="A1954">
        <v>1953</v>
      </c>
      <c r="B1954" t="s">
        <v>2014</v>
      </c>
      <c r="C1954">
        <v>118</v>
      </c>
      <c r="D1954">
        <v>119</v>
      </c>
      <c r="E1954">
        <v>111.69443543816099</v>
      </c>
      <c r="F1954">
        <v>0.99199401308567203</v>
      </c>
      <c r="G1954">
        <v>9798.3501686200398</v>
      </c>
      <c r="H1954">
        <v>578.17621407135698</v>
      </c>
      <c r="I1954">
        <v>0.70359681675565899</v>
      </c>
      <c r="J1954">
        <v>0.36833448228582699</v>
      </c>
      <c r="K1954">
        <v>0.83010980155132497</v>
      </c>
      <c r="L1954" t="s">
        <v>38</v>
      </c>
      <c r="M1954" t="s">
        <v>34</v>
      </c>
      <c r="N1954" t="s">
        <v>35</v>
      </c>
      <c r="O1954">
        <v>0.73514354882895905</v>
      </c>
      <c r="P1954" t="s">
        <v>36</v>
      </c>
    </row>
    <row r="1955" spans="1:16">
      <c r="A1955">
        <v>1954</v>
      </c>
      <c r="B1955" t="s">
        <v>2015</v>
      </c>
      <c r="C1955">
        <v>122</v>
      </c>
      <c r="D1955">
        <v>132</v>
      </c>
      <c r="E1955">
        <v>111.879806471946</v>
      </c>
      <c r="F1955">
        <v>0.92561983471074405</v>
      </c>
      <c r="G1955">
        <v>9830.9003580340304</v>
      </c>
      <c r="H1955">
        <v>647.72215387375502</v>
      </c>
      <c r="I1955">
        <v>0.66943539613496295</v>
      </c>
      <c r="J1955">
        <v>0.294459557813194</v>
      </c>
      <c r="K1955">
        <v>0.77923470229259395</v>
      </c>
      <c r="L1955" t="s">
        <v>38</v>
      </c>
      <c r="M1955" t="s">
        <v>34</v>
      </c>
      <c r="N1955" t="s">
        <v>35</v>
      </c>
      <c r="O1955">
        <v>0.82742041103485398</v>
      </c>
      <c r="P1955" t="s">
        <v>36</v>
      </c>
    </row>
    <row r="1956" spans="1:16">
      <c r="A1956">
        <v>1955</v>
      </c>
      <c r="B1956" t="s">
        <v>2016</v>
      </c>
      <c r="C1956">
        <v>126</v>
      </c>
      <c r="D1956">
        <v>177</v>
      </c>
      <c r="E1956">
        <v>112.087665878179</v>
      </c>
      <c r="F1956">
        <v>0.71222816918429499</v>
      </c>
      <c r="G1956">
        <v>9867.4635844990607</v>
      </c>
      <c r="H1956">
        <v>1113.77067442013</v>
      </c>
      <c r="I1956">
        <v>0.66922695010961797</v>
      </c>
      <c r="J1956">
        <v>9.9959445629212093E-2</v>
      </c>
      <c r="K1956">
        <v>0.58018649444624104</v>
      </c>
      <c r="L1956" t="s">
        <v>38</v>
      </c>
      <c r="M1956" t="s">
        <v>34</v>
      </c>
      <c r="N1956" t="s">
        <v>35</v>
      </c>
      <c r="O1956">
        <v>0.67442391012597602</v>
      </c>
      <c r="P1956" t="s">
        <v>36</v>
      </c>
    </row>
    <row r="1957" spans="1:16">
      <c r="A1957">
        <v>1956</v>
      </c>
      <c r="B1957" t="s">
        <v>2017</v>
      </c>
      <c r="C1957">
        <v>219</v>
      </c>
      <c r="D1957">
        <v>109</v>
      </c>
      <c r="E1957">
        <v>112.14421123826899</v>
      </c>
      <c r="F1957">
        <v>2.00997059861567</v>
      </c>
      <c r="G1957">
        <v>9877.4218616257094</v>
      </c>
      <c r="H1957">
        <v>1055.95493346069</v>
      </c>
      <c r="I1957">
        <v>0.65563111778654803</v>
      </c>
      <c r="J1957">
        <v>0.11131730913724699</v>
      </c>
      <c r="K1957">
        <v>0.57743137919349397</v>
      </c>
      <c r="L1957" t="s">
        <v>38</v>
      </c>
      <c r="M1957" t="s">
        <v>34</v>
      </c>
      <c r="N1957" t="s">
        <v>35</v>
      </c>
      <c r="O1957">
        <v>0.74147829346976701</v>
      </c>
      <c r="P1957" t="s">
        <v>36</v>
      </c>
    </row>
    <row r="1958" spans="1:16">
      <c r="A1958">
        <v>1957</v>
      </c>
      <c r="B1958" t="s">
        <v>2018</v>
      </c>
      <c r="C1958">
        <v>186</v>
      </c>
      <c r="D1958">
        <v>134</v>
      </c>
      <c r="E1958">
        <v>112.199884775428</v>
      </c>
      <c r="F1958">
        <v>1.38403254578863</v>
      </c>
      <c r="G1958">
        <v>9887.23150775047</v>
      </c>
      <c r="H1958">
        <v>753.69309588307897</v>
      </c>
      <c r="I1958">
        <v>0.535362044864375</v>
      </c>
      <c r="J1958">
        <v>0.21872352337779299</v>
      </c>
      <c r="K1958">
        <v>0.563908244748487</v>
      </c>
      <c r="L1958" t="s">
        <v>47</v>
      </c>
      <c r="M1958" t="s">
        <v>34</v>
      </c>
      <c r="N1958" t="s">
        <v>35</v>
      </c>
      <c r="O1958">
        <v>0.92596422448196902</v>
      </c>
      <c r="P1958" t="s">
        <v>36</v>
      </c>
    </row>
    <row r="1959" spans="1:16">
      <c r="A1959">
        <v>1958</v>
      </c>
      <c r="B1959" t="s">
        <v>2019</v>
      </c>
      <c r="C1959">
        <v>95</v>
      </c>
      <c r="D1959">
        <v>210</v>
      </c>
      <c r="E1959">
        <v>113.040905231995</v>
      </c>
      <c r="F1959">
        <v>0.45003717933172899</v>
      </c>
      <c r="G1959">
        <v>10036.0111406427</v>
      </c>
      <c r="H1959">
        <v>872.50670845518903</v>
      </c>
      <c r="I1959">
        <v>0.783805786602077</v>
      </c>
      <c r="J1959">
        <v>0.165666023953291</v>
      </c>
      <c r="K1959">
        <v>0.72479900387501195</v>
      </c>
      <c r="L1959" t="s">
        <v>38</v>
      </c>
      <c r="M1959" t="s">
        <v>34</v>
      </c>
      <c r="N1959" t="s">
        <v>35</v>
      </c>
      <c r="O1959">
        <v>0.784277588489665</v>
      </c>
      <c r="P1959" t="s">
        <v>36</v>
      </c>
    </row>
    <row r="1960" spans="1:16">
      <c r="A1960">
        <v>1959</v>
      </c>
      <c r="B1960" t="s">
        <v>2020</v>
      </c>
      <c r="C1960">
        <v>176</v>
      </c>
      <c r="D1960">
        <v>137</v>
      </c>
      <c r="E1960">
        <v>113.813378618377</v>
      </c>
      <c r="F1960">
        <v>1.2828685258964101</v>
      </c>
      <c r="G1960">
        <v>10173.643448393201</v>
      </c>
      <c r="H1960">
        <v>1279.2333731339299</v>
      </c>
      <c r="I1960">
        <v>0.53696382361802397</v>
      </c>
      <c r="J1960">
        <v>7.8124421627163501E-2</v>
      </c>
      <c r="K1960">
        <v>0.50335698790307803</v>
      </c>
      <c r="L1960" t="s">
        <v>38</v>
      </c>
      <c r="M1960" t="s">
        <v>34</v>
      </c>
      <c r="N1960" t="s">
        <v>35</v>
      </c>
      <c r="O1960">
        <v>0.69013656693754</v>
      </c>
      <c r="P1960" t="s">
        <v>36</v>
      </c>
    </row>
    <row r="1961" spans="1:16">
      <c r="A1961">
        <v>1960</v>
      </c>
      <c r="B1961" t="s">
        <v>2021</v>
      </c>
      <c r="C1961">
        <v>210</v>
      </c>
      <c r="D1961">
        <v>105</v>
      </c>
      <c r="E1961">
        <v>113.869897987283</v>
      </c>
      <c r="F1961">
        <v>1.99726644872286</v>
      </c>
      <c r="G1961">
        <v>10183.750356521699</v>
      </c>
      <c r="H1961">
        <v>926.01550748503701</v>
      </c>
      <c r="I1961">
        <v>0.54216682253308601</v>
      </c>
      <c r="J1961">
        <v>0.14923857353091499</v>
      </c>
      <c r="K1961">
        <v>0.61273273595535804</v>
      </c>
      <c r="L1961" t="s">
        <v>33</v>
      </c>
      <c r="M1961" t="s">
        <v>34</v>
      </c>
      <c r="N1961" t="s">
        <v>35</v>
      </c>
      <c r="O1961">
        <v>0.69206979186682505</v>
      </c>
      <c r="P1961" t="s">
        <v>36</v>
      </c>
    </row>
    <row r="1962" spans="1:16">
      <c r="A1962">
        <v>1961</v>
      </c>
      <c r="B1962" t="s">
        <v>2022</v>
      </c>
      <c r="C1962">
        <v>97</v>
      </c>
      <c r="D1962">
        <v>150</v>
      </c>
      <c r="E1962">
        <v>114.48729014687</v>
      </c>
      <c r="F1962">
        <v>0.65013344129500605</v>
      </c>
      <c r="G1962">
        <v>10294.4804529301</v>
      </c>
      <c r="H1962">
        <v>723.51401888639998</v>
      </c>
      <c r="I1962">
        <v>0.73460157834330297</v>
      </c>
      <c r="J1962">
        <v>0.24712711341009799</v>
      </c>
      <c r="K1962">
        <v>0.80958002641637306</v>
      </c>
      <c r="L1962" t="s">
        <v>211</v>
      </c>
      <c r="M1962" t="s">
        <v>34</v>
      </c>
      <c r="N1962" t="s">
        <v>35</v>
      </c>
      <c r="O1962">
        <v>0.62893199165479197</v>
      </c>
      <c r="P1962" t="s">
        <v>36</v>
      </c>
    </row>
    <row r="1963" spans="1:16">
      <c r="A1963">
        <v>1962</v>
      </c>
      <c r="B1963" t="s">
        <v>2023</v>
      </c>
      <c r="C1963">
        <v>128</v>
      </c>
      <c r="D1963">
        <v>119</v>
      </c>
      <c r="E1963">
        <v>114.999388811136</v>
      </c>
      <c r="F1963">
        <v>1.07614297794421</v>
      </c>
      <c r="G1963">
        <v>10386.780305103999</v>
      </c>
      <c r="H1963">
        <v>625.99095290360299</v>
      </c>
      <c r="I1963">
        <v>0.66491055957691503</v>
      </c>
      <c r="J1963">
        <v>0.33308470948806101</v>
      </c>
      <c r="K1963">
        <v>0.84477298002997903</v>
      </c>
      <c r="L1963" t="s">
        <v>38</v>
      </c>
      <c r="M1963" t="s">
        <v>34</v>
      </c>
      <c r="N1963" t="s">
        <v>35</v>
      </c>
      <c r="O1963">
        <v>0.77888953551477302</v>
      </c>
      <c r="P1963" t="s">
        <v>36</v>
      </c>
    </row>
    <row r="1964" spans="1:16">
      <c r="A1964">
        <v>1963</v>
      </c>
      <c r="B1964" t="s">
        <v>2024</v>
      </c>
      <c r="C1964">
        <v>142</v>
      </c>
      <c r="D1964">
        <v>106</v>
      </c>
      <c r="E1964">
        <v>115.250890429983</v>
      </c>
      <c r="F1964">
        <v>1.3328997780872101</v>
      </c>
      <c r="G1964">
        <v>10432.261391682399</v>
      </c>
      <c r="H1964">
        <v>519.14942545901204</v>
      </c>
      <c r="I1964">
        <v>0.58945648638537496</v>
      </c>
      <c r="J1964">
        <v>0.48641120277872102</v>
      </c>
      <c r="K1964">
        <v>0.83796755053067695</v>
      </c>
      <c r="L1964" t="s">
        <v>38</v>
      </c>
      <c r="M1964" t="s">
        <v>34</v>
      </c>
      <c r="N1964" t="s">
        <v>35</v>
      </c>
      <c r="O1964">
        <v>0.73113272609834901</v>
      </c>
      <c r="P1964" t="s">
        <v>36</v>
      </c>
    </row>
    <row r="1965" spans="1:16">
      <c r="A1965">
        <v>1964</v>
      </c>
      <c r="B1965" t="s">
        <v>2025</v>
      </c>
      <c r="C1965">
        <v>95</v>
      </c>
      <c r="D1965">
        <v>173</v>
      </c>
      <c r="E1965">
        <v>115.408415532779</v>
      </c>
      <c r="F1965">
        <v>0.550673668202453</v>
      </c>
      <c r="G1965">
        <v>10460.798544045399</v>
      </c>
      <c r="H1965">
        <v>647.16088662261598</v>
      </c>
      <c r="I1965">
        <v>0.76339062843508698</v>
      </c>
      <c r="J1965">
        <v>0.313870269157147</v>
      </c>
      <c r="K1965">
        <v>0.81152351632133002</v>
      </c>
      <c r="L1965" t="s">
        <v>33</v>
      </c>
      <c r="M1965" t="s">
        <v>34</v>
      </c>
      <c r="N1965" t="s">
        <v>35</v>
      </c>
      <c r="O1965">
        <v>0.67041322365095002</v>
      </c>
      <c r="P1965" t="s">
        <v>36</v>
      </c>
    </row>
    <row r="1966" spans="1:16">
      <c r="A1966">
        <v>1965</v>
      </c>
      <c r="B1966" t="s">
        <v>2026</v>
      </c>
      <c r="C1966">
        <v>124</v>
      </c>
      <c r="D1966">
        <v>122</v>
      </c>
      <c r="E1966">
        <v>115.77268871617299</v>
      </c>
      <c r="F1966">
        <v>1.0129701111282601</v>
      </c>
      <c r="G1966">
        <v>10526.9393398866</v>
      </c>
      <c r="H1966">
        <v>580.55746796297001</v>
      </c>
      <c r="I1966">
        <v>0.66214347577948895</v>
      </c>
      <c r="J1966">
        <v>0.39248363444411999</v>
      </c>
      <c r="K1966">
        <v>0.89534163453637605</v>
      </c>
      <c r="L1966" t="s">
        <v>38</v>
      </c>
      <c r="M1966" t="s">
        <v>34</v>
      </c>
      <c r="N1966" t="s">
        <v>35</v>
      </c>
      <c r="O1966">
        <v>0.73060294856951702</v>
      </c>
      <c r="P1966" t="s">
        <v>36</v>
      </c>
    </row>
    <row r="1967" spans="1:16">
      <c r="A1967">
        <v>1966</v>
      </c>
      <c r="B1967" t="s">
        <v>2027</v>
      </c>
      <c r="C1967">
        <v>93</v>
      </c>
      <c r="D1967">
        <v>206</v>
      </c>
      <c r="E1967">
        <v>115.83560399764301</v>
      </c>
      <c r="F1967">
        <v>0.449811194740801</v>
      </c>
      <c r="G1967">
        <v>10538.3839270321</v>
      </c>
      <c r="H1967">
        <v>830.77350323065502</v>
      </c>
      <c r="I1967">
        <v>0.70931184577322404</v>
      </c>
      <c r="J1967">
        <v>0.19187509469283001</v>
      </c>
      <c r="K1967">
        <v>0.74344402386469699</v>
      </c>
      <c r="L1967" t="s">
        <v>33</v>
      </c>
      <c r="M1967" t="s">
        <v>34</v>
      </c>
      <c r="N1967" t="s">
        <v>35</v>
      </c>
      <c r="O1967">
        <v>0.69939979687877396</v>
      </c>
      <c r="P1967" t="s">
        <v>36</v>
      </c>
    </row>
    <row r="1968" spans="1:16">
      <c r="A1968">
        <v>1967</v>
      </c>
      <c r="B1968" t="s">
        <v>2028</v>
      </c>
      <c r="C1968">
        <v>117</v>
      </c>
      <c r="D1968">
        <v>166</v>
      </c>
      <c r="E1968">
        <v>115.868273777881</v>
      </c>
      <c r="F1968">
        <v>0.70723684210526305</v>
      </c>
      <c r="G1968">
        <v>10544.3291671078</v>
      </c>
      <c r="H1968">
        <v>998.88754883610704</v>
      </c>
      <c r="I1968">
        <v>0.71750843496983696</v>
      </c>
      <c r="J1968">
        <v>0.132799249206971</v>
      </c>
      <c r="K1968">
        <v>0.67673684310938598</v>
      </c>
      <c r="L1968" t="s">
        <v>38</v>
      </c>
      <c r="M1968" t="s">
        <v>34</v>
      </c>
      <c r="N1968" t="s">
        <v>35</v>
      </c>
      <c r="O1968">
        <v>0.76565824401614702</v>
      </c>
      <c r="P1968" t="s">
        <v>36</v>
      </c>
    </row>
    <row r="1969" spans="1:16">
      <c r="A1969">
        <v>1968</v>
      </c>
      <c r="B1969" t="s">
        <v>2029</v>
      </c>
      <c r="C1969">
        <v>183</v>
      </c>
      <c r="D1969">
        <v>101</v>
      </c>
      <c r="E1969">
        <v>116.48400953507</v>
      </c>
      <c r="F1969">
        <v>1.8158756418225399</v>
      </c>
      <c r="G1969">
        <v>10656.6942045369</v>
      </c>
      <c r="H1969">
        <v>798.17005415408505</v>
      </c>
      <c r="I1969">
        <v>0.77198736322100603</v>
      </c>
      <c r="J1969">
        <v>0.210204257561559</v>
      </c>
      <c r="K1969">
        <v>0.74494789447982801</v>
      </c>
      <c r="L1969" t="s">
        <v>33</v>
      </c>
      <c r="M1969" t="s">
        <v>34</v>
      </c>
      <c r="N1969" t="s">
        <v>35</v>
      </c>
      <c r="O1969">
        <v>0.71800760932031804</v>
      </c>
      <c r="P1969" t="s">
        <v>36</v>
      </c>
    </row>
    <row r="1970" spans="1:16">
      <c r="A1970">
        <v>1969</v>
      </c>
      <c r="B1970" t="s">
        <v>2030</v>
      </c>
      <c r="C1970">
        <v>142</v>
      </c>
      <c r="D1970">
        <v>176</v>
      </c>
      <c r="E1970">
        <v>116.568459438053</v>
      </c>
      <c r="F1970">
        <v>0.80495352351488503</v>
      </c>
      <c r="G1970">
        <v>10672.1518287335</v>
      </c>
      <c r="H1970">
        <v>1560.4660154277301</v>
      </c>
      <c r="I1970">
        <v>0.60273936814385498</v>
      </c>
      <c r="J1970">
        <v>5.5074838146068901E-2</v>
      </c>
      <c r="K1970">
        <v>0.45215425498419398</v>
      </c>
      <c r="L1970" t="s">
        <v>298</v>
      </c>
      <c r="M1970" t="s">
        <v>34</v>
      </c>
      <c r="N1970" t="s">
        <v>35</v>
      </c>
      <c r="O1970">
        <v>0.74181561196152501</v>
      </c>
      <c r="P1970" t="s">
        <v>36</v>
      </c>
    </row>
    <row r="1971" spans="1:16">
      <c r="A1971">
        <v>1970</v>
      </c>
      <c r="B1971" t="s">
        <v>2031</v>
      </c>
      <c r="C1971">
        <v>195</v>
      </c>
      <c r="D1971">
        <v>92</v>
      </c>
      <c r="E1971">
        <v>117.06498885050399</v>
      </c>
      <c r="F1971">
        <v>2.1217806270453101</v>
      </c>
      <c r="G1971">
        <v>10763.2626328923</v>
      </c>
      <c r="H1971">
        <v>715.16471879295705</v>
      </c>
      <c r="I1971">
        <v>0.675506869702451</v>
      </c>
      <c r="J1971">
        <v>0.264448823377961</v>
      </c>
      <c r="K1971">
        <v>0.81113836710462905</v>
      </c>
      <c r="L1971" t="s">
        <v>33</v>
      </c>
      <c r="M1971" t="s">
        <v>34</v>
      </c>
      <c r="N1971" t="s">
        <v>35</v>
      </c>
      <c r="O1971">
        <v>0.67356409848735999</v>
      </c>
      <c r="P1971" t="s">
        <v>36</v>
      </c>
    </row>
    <row r="1972" spans="1:16">
      <c r="A1972">
        <v>1971</v>
      </c>
      <c r="B1972" t="s">
        <v>2032</v>
      </c>
      <c r="C1972">
        <v>146</v>
      </c>
      <c r="D1972">
        <v>230</v>
      </c>
      <c r="E1972">
        <v>117.700191144632</v>
      </c>
      <c r="F1972">
        <v>0.632519232029772</v>
      </c>
      <c r="G1972">
        <v>10880.383862381899</v>
      </c>
      <c r="H1972">
        <v>2113.4519745534399</v>
      </c>
      <c r="I1972">
        <v>0.65862426471290703</v>
      </c>
      <c r="J1972">
        <v>3.0610421842946298E-2</v>
      </c>
      <c r="K1972">
        <v>0.41194113840353402</v>
      </c>
      <c r="L1972" t="s">
        <v>61</v>
      </c>
      <c r="M1972" t="s">
        <v>34</v>
      </c>
      <c r="N1972" t="s">
        <v>35</v>
      </c>
      <c r="O1972">
        <v>0.81206235308003905</v>
      </c>
      <c r="P1972" t="s">
        <v>36</v>
      </c>
    </row>
    <row r="1973" spans="1:16">
      <c r="A1973">
        <v>1972</v>
      </c>
      <c r="B1973" t="s">
        <v>2033</v>
      </c>
      <c r="C1973">
        <v>102</v>
      </c>
      <c r="D1973">
        <v>250</v>
      </c>
      <c r="E1973">
        <v>118.34637615086601</v>
      </c>
      <c r="F1973">
        <v>0.408296943231441</v>
      </c>
      <c r="G1973">
        <v>11000.1804499055</v>
      </c>
      <c r="H1973">
        <v>1309.6199599214201</v>
      </c>
      <c r="I1973">
        <v>0.73824345007135805</v>
      </c>
      <c r="J1973">
        <v>8.05970418948464E-2</v>
      </c>
      <c r="K1973">
        <v>0.55674244361863801</v>
      </c>
      <c r="L1973" t="s">
        <v>67</v>
      </c>
      <c r="M1973" t="s">
        <v>34</v>
      </c>
      <c r="N1973" t="s">
        <v>35</v>
      </c>
      <c r="O1973">
        <v>0.67644617960236697</v>
      </c>
      <c r="P1973" t="s">
        <v>36</v>
      </c>
    </row>
    <row r="1974" spans="1:16">
      <c r="A1974">
        <v>1973</v>
      </c>
      <c r="B1974" t="s">
        <v>2034</v>
      </c>
      <c r="C1974">
        <v>116</v>
      </c>
      <c r="D1974">
        <v>183</v>
      </c>
      <c r="E1974">
        <v>118.535713217739</v>
      </c>
      <c r="F1974">
        <v>0.63321261573634002</v>
      </c>
      <c r="G1974">
        <v>11035.4059973535</v>
      </c>
      <c r="H1974">
        <v>1035.6335482397301</v>
      </c>
      <c r="I1974">
        <v>0.78658970826944696</v>
      </c>
      <c r="J1974">
        <v>0.12929625879881901</v>
      </c>
      <c r="K1974">
        <v>0.65544059746817596</v>
      </c>
      <c r="L1974" t="s">
        <v>33</v>
      </c>
      <c r="M1974" t="s">
        <v>34</v>
      </c>
      <c r="N1974" t="s">
        <v>35</v>
      </c>
      <c r="O1974">
        <v>0.74848538579629997</v>
      </c>
      <c r="P1974" t="s">
        <v>36</v>
      </c>
    </row>
    <row r="1975" spans="1:16">
      <c r="A1975">
        <v>1974</v>
      </c>
      <c r="B1975" t="s">
        <v>2035</v>
      </c>
      <c r="C1975">
        <v>93</v>
      </c>
      <c r="D1975">
        <v>166</v>
      </c>
      <c r="E1975">
        <v>118.63545282370499</v>
      </c>
      <c r="F1975">
        <v>0.5625</v>
      </c>
      <c r="G1975">
        <v>11053.984872589799</v>
      </c>
      <c r="H1975">
        <v>733.14084284616604</v>
      </c>
      <c r="I1975">
        <v>0.74428981011012496</v>
      </c>
      <c r="J1975">
        <v>0.25843652988830601</v>
      </c>
      <c r="K1975">
        <v>0.81997794928335199</v>
      </c>
      <c r="L1975" t="s">
        <v>38</v>
      </c>
      <c r="M1975" t="s">
        <v>34</v>
      </c>
      <c r="N1975" t="s">
        <v>35</v>
      </c>
      <c r="O1975">
        <v>0.80751189054271699</v>
      </c>
      <c r="P1975" t="s">
        <v>36</v>
      </c>
    </row>
    <row r="1976" spans="1:16">
      <c r="A1976">
        <v>1975</v>
      </c>
      <c r="B1976" t="s">
        <v>2036</v>
      </c>
      <c r="C1976">
        <v>195</v>
      </c>
      <c r="D1976">
        <v>111</v>
      </c>
      <c r="E1976">
        <v>118.833088398149</v>
      </c>
      <c r="F1976">
        <v>1.7527912517637001</v>
      </c>
      <c r="G1976">
        <v>11090.8453610586</v>
      </c>
      <c r="H1976">
        <v>853.46512387462303</v>
      </c>
      <c r="I1976">
        <v>0.53967880021171799</v>
      </c>
      <c r="J1976">
        <v>0.19133876062319699</v>
      </c>
      <c r="K1976">
        <v>0.63836703966054098</v>
      </c>
      <c r="L1976" t="s">
        <v>38</v>
      </c>
      <c r="M1976" t="s">
        <v>34</v>
      </c>
      <c r="N1976" t="s">
        <v>35</v>
      </c>
      <c r="O1976">
        <v>0.83351985309630605</v>
      </c>
      <c r="P1976" t="s">
        <v>36</v>
      </c>
    </row>
    <row r="1977" spans="1:16">
      <c r="A1977">
        <v>1976</v>
      </c>
      <c r="B1977" t="s">
        <v>2037</v>
      </c>
      <c r="C1977">
        <v>137</v>
      </c>
      <c r="D1977">
        <v>162</v>
      </c>
      <c r="E1977">
        <v>118.962807153828</v>
      </c>
      <c r="F1977">
        <v>0.84848484848484895</v>
      </c>
      <c r="G1977">
        <v>11115.072214366701</v>
      </c>
      <c r="H1977">
        <v>1717.9756291527301</v>
      </c>
      <c r="I1977">
        <v>0.59331274415628099</v>
      </c>
      <c r="J1977">
        <v>4.7324731126112199E-2</v>
      </c>
      <c r="K1977">
        <v>0.57361243211732604</v>
      </c>
      <c r="L1977" t="s">
        <v>38</v>
      </c>
      <c r="M1977" t="s">
        <v>34</v>
      </c>
      <c r="N1977" t="s">
        <v>35</v>
      </c>
      <c r="O1977">
        <v>0.76359497248427299</v>
      </c>
      <c r="P1977" t="s">
        <v>36</v>
      </c>
    </row>
    <row r="1978" spans="1:16">
      <c r="A1978">
        <v>1977</v>
      </c>
      <c r="B1978" t="s">
        <v>2038</v>
      </c>
      <c r="C1978">
        <v>81</v>
      </c>
      <c r="D1978">
        <v>218</v>
      </c>
      <c r="E1978">
        <v>119.49611162714901</v>
      </c>
      <c r="F1978">
        <v>0.36900782572729901</v>
      </c>
      <c r="G1978">
        <v>11214.9522476371</v>
      </c>
      <c r="H1978">
        <v>893.64454245453305</v>
      </c>
      <c r="I1978">
        <v>0.70580733527373696</v>
      </c>
      <c r="J1978">
        <v>0.176472759934828</v>
      </c>
      <c r="K1978">
        <v>0.68638509610573895</v>
      </c>
      <c r="L1978" t="s">
        <v>38</v>
      </c>
      <c r="M1978" t="s">
        <v>34</v>
      </c>
      <c r="N1978" t="s">
        <v>35</v>
      </c>
      <c r="O1978">
        <v>0.76099870801645297</v>
      </c>
      <c r="P1978" t="s">
        <v>36</v>
      </c>
    </row>
    <row r="1979" spans="1:16">
      <c r="A1979">
        <v>1978</v>
      </c>
      <c r="B1979" t="s">
        <v>2039</v>
      </c>
      <c r="C1979">
        <v>161</v>
      </c>
      <c r="D1979">
        <v>152</v>
      </c>
      <c r="E1979">
        <v>119.773723917604</v>
      </c>
      <c r="F1979">
        <v>1.06115107913669</v>
      </c>
      <c r="G1979">
        <v>11267.121729300599</v>
      </c>
      <c r="H1979">
        <v>1417.41801403564</v>
      </c>
      <c r="I1979">
        <v>0.61976062940619003</v>
      </c>
      <c r="J1979">
        <v>7.0473680727427906E-2</v>
      </c>
      <c r="K1979">
        <v>0.655047266819902</v>
      </c>
      <c r="L1979" t="s">
        <v>38</v>
      </c>
      <c r="M1979" t="s">
        <v>34</v>
      </c>
      <c r="N1979" t="s">
        <v>35</v>
      </c>
      <c r="O1979">
        <v>0.74437461368261104</v>
      </c>
      <c r="P1979" t="s">
        <v>36</v>
      </c>
    </row>
    <row r="1980" spans="1:16">
      <c r="A1980">
        <v>1979</v>
      </c>
      <c r="B1980" t="s">
        <v>2040</v>
      </c>
      <c r="C1980">
        <v>230</v>
      </c>
      <c r="D1980">
        <v>117</v>
      </c>
      <c r="E1980">
        <v>119.91268359129501</v>
      </c>
      <c r="F1980">
        <v>1.96279069767442</v>
      </c>
      <c r="G1980">
        <v>11293.2807856333</v>
      </c>
      <c r="H1980">
        <v>1629.2856358325</v>
      </c>
      <c r="I1980">
        <v>0.70626111378563405</v>
      </c>
      <c r="J1980">
        <v>5.3460809781919798E-2</v>
      </c>
      <c r="K1980">
        <v>0.56751689883108603</v>
      </c>
      <c r="L1980" t="s">
        <v>33</v>
      </c>
      <c r="M1980" t="s">
        <v>34</v>
      </c>
      <c r="N1980" t="s">
        <v>35</v>
      </c>
      <c r="O1980">
        <v>0.72429573784988899</v>
      </c>
      <c r="P1980" t="s">
        <v>36</v>
      </c>
    </row>
    <row r="1981" spans="1:16">
      <c r="A1981">
        <v>1980</v>
      </c>
      <c r="B1981" t="s">
        <v>2041</v>
      </c>
      <c r="C1981">
        <v>106</v>
      </c>
      <c r="D1981">
        <v>156</v>
      </c>
      <c r="E1981">
        <v>120.102702790314</v>
      </c>
      <c r="F1981">
        <v>0.68059884810554006</v>
      </c>
      <c r="G1981">
        <v>11329.100857088801</v>
      </c>
      <c r="H1981">
        <v>618.54499850905495</v>
      </c>
      <c r="I1981">
        <v>0.63182638076786302</v>
      </c>
      <c r="J1981">
        <v>0.372102602886488</v>
      </c>
      <c r="K1981">
        <v>0.84784543169228699</v>
      </c>
      <c r="L1981" t="s">
        <v>38</v>
      </c>
      <c r="M1981" t="s">
        <v>34</v>
      </c>
      <c r="N1981" t="s">
        <v>35</v>
      </c>
      <c r="O1981">
        <v>0.80339955946316299</v>
      </c>
      <c r="P1981" t="s">
        <v>36</v>
      </c>
    </row>
    <row r="1982" spans="1:16">
      <c r="A1982">
        <v>1981</v>
      </c>
      <c r="B1982" t="s">
        <v>2042</v>
      </c>
      <c r="C1982">
        <v>201</v>
      </c>
      <c r="D1982">
        <v>108</v>
      </c>
      <c r="E1982">
        <v>120.960744349366</v>
      </c>
      <c r="F1982">
        <v>1.86363636363636</v>
      </c>
      <c r="G1982">
        <v>11491.554542155</v>
      </c>
      <c r="H1982">
        <v>1158.45580302591</v>
      </c>
      <c r="I1982">
        <v>0.79402596065741204</v>
      </c>
      <c r="J1982">
        <v>0.107604320140215</v>
      </c>
      <c r="K1982">
        <v>0.64430536921141002</v>
      </c>
      <c r="L1982" t="s">
        <v>41</v>
      </c>
      <c r="M1982" t="s">
        <v>34</v>
      </c>
      <c r="N1982" t="s">
        <v>35</v>
      </c>
      <c r="O1982">
        <v>0.73041560761518898</v>
      </c>
      <c r="P1982" t="s">
        <v>36</v>
      </c>
    </row>
    <row r="1983" spans="1:16">
      <c r="A1983">
        <v>1982</v>
      </c>
      <c r="B1983" t="s">
        <v>2043</v>
      </c>
      <c r="C1983">
        <v>159</v>
      </c>
      <c r="D1983">
        <v>166</v>
      </c>
      <c r="E1983">
        <v>121.270119360658</v>
      </c>
      <c r="F1983">
        <v>0.95409836065573805</v>
      </c>
      <c r="G1983">
        <v>11550.412418903599</v>
      </c>
      <c r="H1983">
        <v>1222.3686496098101</v>
      </c>
      <c r="I1983">
        <v>0.55786056167087295</v>
      </c>
      <c r="J1983">
        <v>9.7141084925957494E-2</v>
      </c>
      <c r="K1983">
        <v>0.50898611474980304</v>
      </c>
      <c r="L1983" t="s">
        <v>38</v>
      </c>
      <c r="M1983" t="s">
        <v>34</v>
      </c>
      <c r="N1983" t="s">
        <v>35</v>
      </c>
      <c r="O1983">
        <v>0.68950726506787297</v>
      </c>
      <c r="P1983" t="s">
        <v>36</v>
      </c>
    </row>
    <row r="1984" spans="1:16">
      <c r="A1984">
        <v>1983</v>
      </c>
      <c r="B1984" t="s">
        <v>2044</v>
      </c>
      <c r="C1984">
        <v>160</v>
      </c>
      <c r="D1984">
        <v>141</v>
      </c>
      <c r="E1984">
        <v>121.34500057764799</v>
      </c>
      <c r="F1984">
        <v>1.1346023520361901</v>
      </c>
      <c r="G1984">
        <v>11564.6809950851</v>
      </c>
      <c r="H1984">
        <v>817.36890487277003</v>
      </c>
      <c r="I1984">
        <v>0.47667372882636999</v>
      </c>
      <c r="J1984">
        <v>0.217524058626404</v>
      </c>
      <c r="K1984">
        <v>0.74852811020895105</v>
      </c>
      <c r="L1984" t="s">
        <v>38</v>
      </c>
      <c r="M1984" t="s">
        <v>34</v>
      </c>
      <c r="N1984" t="s">
        <v>35</v>
      </c>
      <c r="O1984">
        <v>0.71031253080643297</v>
      </c>
      <c r="P1984" t="s">
        <v>36</v>
      </c>
    </row>
    <row r="1985" spans="1:16">
      <c r="A1985">
        <v>1984</v>
      </c>
      <c r="B1985" t="s">
        <v>2045</v>
      </c>
      <c r="C1985">
        <v>214</v>
      </c>
      <c r="D1985">
        <v>103</v>
      </c>
      <c r="E1985">
        <v>121.423732008931</v>
      </c>
      <c r="F1985">
        <v>2.08458712400444</v>
      </c>
      <c r="G1985">
        <v>11579.692726276</v>
      </c>
      <c r="H1985">
        <v>839.41948680950304</v>
      </c>
      <c r="I1985">
        <v>0.820537796382941</v>
      </c>
      <c r="J1985">
        <v>0.206513670312895</v>
      </c>
      <c r="K1985">
        <v>0.71696498412552301</v>
      </c>
      <c r="L1985" t="s">
        <v>33</v>
      </c>
      <c r="M1985" t="s">
        <v>34</v>
      </c>
      <c r="N1985" t="s">
        <v>35</v>
      </c>
      <c r="O1985">
        <v>0.65589532502760495</v>
      </c>
      <c r="P1985" t="s">
        <v>36</v>
      </c>
    </row>
    <row r="1986" spans="1:16">
      <c r="A1986">
        <v>1985</v>
      </c>
      <c r="B1986" t="s">
        <v>2046</v>
      </c>
      <c r="C1986">
        <v>115</v>
      </c>
      <c r="D1986">
        <v>143</v>
      </c>
      <c r="E1986">
        <v>122.396258153833</v>
      </c>
      <c r="F1986">
        <v>0.800369547062177</v>
      </c>
      <c r="G1986">
        <v>11765.9273716446</v>
      </c>
      <c r="H1986">
        <v>643.228122860452</v>
      </c>
      <c r="I1986">
        <v>0.72429920842891105</v>
      </c>
      <c r="J1986">
        <v>0.35736003254066101</v>
      </c>
      <c r="K1986">
        <v>0.85098469212246297</v>
      </c>
      <c r="L1986" t="s">
        <v>38</v>
      </c>
      <c r="M1986" t="s">
        <v>34</v>
      </c>
      <c r="N1986" t="s">
        <v>35</v>
      </c>
      <c r="O1986">
        <v>0.79436537135928598</v>
      </c>
      <c r="P1986" t="s">
        <v>36</v>
      </c>
    </row>
    <row r="1987" spans="1:16">
      <c r="A1987">
        <v>1986</v>
      </c>
      <c r="B1987" t="s">
        <v>2047</v>
      </c>
      <c r="C1987">
        <v>162</v>
      </c>
      <c r="D1987">
        <v>118</v>
      </c>
      <c r="E1987">
        <v>123.661427008836</v>
      </c>
      <c r="F1987">
        <v>1.375</v>
      </c>
      <c r="G1987">
        <v>12010.425369754301</v>
      </c>
      <c r="H1987">
        <v>733.75690729815005</v>
      </c>
      <c r="I1987">
        <v>0.67287313184015796</v>
      </c>
      <c r="J1987">
        <v>0.28032630195325098</v>
      </c>
      <c r="K1987">
        <v>0.78304391643086901</v>
      </c>
      <c r="L1987" t="s">
        <v>298</v>
      </c>
      <c r="M1987" t="s">
        <v>34</v>
      </c>
      <c r="N1987" t="s">
        <v>35</v>
      </c>
      <c r="O1987">
        <v>0.656025439363217</v>
      </c>
      <c r="P1987" t="s">
        <v>36</v>
      </c>
    </row>
    <row r="1988" spans="1:16">
      <c r="A1988">
        <v>1987</v>
      </c>
      <c r="B1988" t="s">
        <v>2048</v>
      </c>
      <c r="C1988">
        <v>107</v>
      </c>
      <c r="D1988">
        <v>176</v>
      </c>
      <c r="E1988">
        <v>124.21569487342001</v>
      </c>
      <c r="F1988">
        <v>0.60681065396123701</v>
      </c>
      <c r="G1988">
        <v>12118.3314771267</v>
      </c>
      <c r="H1988">
        <v>904.70387964466397</v>
      </c>
      <c r="I1988">
        <v>0.77923375524480898</v>
      </c>
      <c r="J1988">
        <v>0.186054331985227</v>
      </c>
      <c r="K1988">
        <v>0.77231952561831596</v>
      </c>
      <c r="L1988" t="s">
        <v>38</v>
      </c>
      <c r="M1988" t="s">
        <v>34</v>
      </c>
      <c r="N1988" t="s">
        <v>35</v>
      </c>
      <c r="O1988">
        <v>0.70476817618737797</v>
      </c>
      <c r="P1988" t="s">
        <v>36</v>
      </c>
    </row>
    <row r="1989" spans="1:16">
      <c r="A1989">
        <v>1988</v>
      </c>
      <c r="B1989" t="s">
        <v>2049</v>
      </c>
      <c r="C1989">
        <v>137</v>
      </c>
      <c r="D1989">
        <v>162</v>
      </c>
      <c r="E1989">
        <v>124.554212813826</v>
      </c>
      <c r="F1989">
        <v>0.84228187919463104</v>
      </c>
      <c r="G1989">
        <v>12184.4722729679</v>
      </c>
      <c r="H1989">
        <v>1065.8142414665199</v>
      </c>
      <c r="I1989">
        <v>0.61274783530438703</v>
      </c>
      <c r="J1989">
        <v>0.134788720275973</v>
      </c>
      <c r="K1989">
        <v>0.70316078397735604</v>
      </c>
      <c r="L1989" t="s">
        <v>33</v>
      </c>
      <c r="M1989" t="s">
        <v>34</v>
      </c>
      <c r="N1989" t="s">
        <v>35</v>
      </c>
      <c r="O1989">
        <v>0.68525922639483505</v>
      </c>
      <c r="P1989" t="s">
        <v>36</v>
      </c>
    </row>
    <row r="1990" spans="1:16">
      <c r="A1990">
        <v>1989</v>
      </c>
      <c r="B1990" t="s">
        <v>2050</v>
      </c>
      <c r="C1990">
        <v>142</v>
      </c>
      <c r="D1990">
        <v>201</v>
      </c>
      <c r="E1990">
        <v>124.847105201424</v>
      </c>
      <c r="F1990">
        <v>0.70652173913043503</v>
      </c>
      <c r="G1990">
        <v>12241.8438396975</v>
      </c>
      <c r="H1990">
        <v>1771.8038091491601</v>
      </c>
      <c r="I1990">
        <v>0.56415636841491701</v>
      </c>
      <c r="J1990">
        <v>4.90033123825038E-2</v>
      </c>
      <c r="K1990">
        <v>0.59537802065939505</v>
      </c>
      <c r="L1990" t="s">
        <v>33</v>
      </c>
      <c r="M1990" t="s">
        <v>34</v>
      </c>
      <c r="N1990" t="s">
        <v>35</v>
      </c>
      <c r="O1990">
        <v>0.66534753225228604</v>
      </c>
      <c r="P1990" t="s">
        <v>36</v>
      </c>
    </row>
    <row r="1991" spans="1:16">
      <c r="A1991">
        <v>1990</v>
      </c>
      <c r="B1991" t="s">
        <v>2051</v>
      </c>
      <c r="C1991">
        <v>172</v>
      </c>
      <c r="D1991">
        <v>114</v>
      </c>
      <c r="E1991">
        <v>126.079429430087</v>
      </c>
      <c r="F1991">
        <v>1.50217956255726</v>
      </c>
      <c r="G1991">
        <v>12484.7068967864</v>
      </c>
      <c r="H1991">
        <v>718.62311222449603</v>
      </c>
      <c r="I1991">
        <v>0.60771279997886096</v>
      </c>
      <c r="J1991">
        <v>0.30379865956854302</v>
      </c>
      <c r="K1991">
        <v>0.83796887470071801</v>
      </c>
      <c r="L1991" t="s">
        <v>38</v>
      </c>
      <c r="M1991" t="s">
        <v>34</v>
      </c>
      <c r="N1991" t="s">
        <v>35</v>
      </c>
      <c r="O1991">
        <v>0.72572971890957905</v>
      </c>
      <c r="P1991" t="s">
        <v>36</v>
      </c>
    </row>
    <row r="1992" spans="1:16">
      <c r="A1992">
        <v>1991</v>
      </c>
      <c r="B1992" t="s">
        <v>2052</v>
      </c>
      <c r="C1992">
        <v>143</v>
      </c>
      <c r="D1992">
        <v>202</v>
      </c>
      <c r="E1992">
        <v>126.82993780336</v>
      </c>
      <c r="F1992">
        <v>0.71011349764739096</v>
      </c>
      <c r="G1992">
        <v>12633.783791682399</v>
      </c>
      <c r="H1992">
        <v>1316.60483922803</v>
      </c>
      <c r="I1992">
        <v>0.55429605971941798</v>
      </c>
      <c r="J1992">
        <v>9.1586699841371202E-2</v>
      </c>
      <c r="K1992">
        <v>0.59588354469424498</v>
      </c>
      <c r="L1992" t="s">
        <v>33</v>
      </c>
      <c r="M1992" t="s">
        <v>34</v>
      </c>
      <c r="N1992" t="s">
        <v>35</v>
      </c>
      <c r="O1992">
        <v>0.70647758458661003</v>
      </c>
      <c r="P1992" t="s">
        <v>36</v>
      </c>
    </row>
    <row r="1993" spans="1:16">
      <c r="A1993">
        <v>1992</v>
      </c>
      <c r="B1993" t="s">
        <v>2053</v>
      </c>
      <c r="C1993">
        <v>207</v>
      </c>
      <c r="D1993">
        <v>123</v>
      </c>
      <c r="E1993">
        <v>128.604314837766</v>
      </c>
      <c r="F1993">
        <v>1.6764276132737801</v>
      </c>
      <c r="G1993">
        <v>12989.755041209801</v>
      </c>
      <c r="H1993">
        <v>1049.3348300830201</v>
      </c>
      <c r="I1993">
        <v>0.55107575323495495</v>
      </c>
      <c r="J1993">
        <v>0.148245885463062</v>
      </c>
      <c r="K1993">
        <v>0.66113426783971696</v>
      </c>
      <c r="L1993" t="s">
        <v>38</v>
      </c>
      <c r="M1993" t="s">
        <v>34</v>
      </c>
      <c r="N1993" t="s">
        <v>35</v>
      </c>
      <c r="O1993">
        <v>0.71713865783527997</v>
      </c>
      <c r="P1993" t="s">
        <v>36</v>
      </c>
    </row>
    <row r="1994" spans="1:16">
      <c r="A1994">
        <v>1993</v>
      </c>
      <c r="B1994" t="s">
        <v>2054</v>
      </c>
      <c r="C1994">
        <v>176</v>
      </c>
      <c r="D1994">
        <v>220</v>
      </c>
      <c r="E1994">
        <v>128.68154605908001</v>
      </c>
      <c r="F1994">
        <v>0.79950495049504999</v>
      </c>
      <c r="G1994">
        <v>13005.3612964083</v>
      </c>
      <c r="H1994">
        <v>1887.7083213861099</v>
      </c>
      <c r="I1994">
        <v>0.69705820731003099</v>
      </c>
      <c r="J1994">
        <v>4.5863004818408097E-2</v>
      </c>
      <c r="K1994">
        <v>0.40077956459805703</v>
      </c>
      <c r="L1994" t="s">
        <v>188</v>
      </c>
      <c r="M1994" t="s">
        <v>34</v>
      </c>
      <c r="N1994" t="s">
        <v>35</v>
      </c>
      <c r="O1994">
        <v>0.713908775728746</v>
      </c>
      <c r="P1994" t="s">
        <v>36</v>
      </c>
    </row>
    <row r="1995" spans="1:16">
      <c r="A1995">
        <v>1994</v>
      </c>
      <c r="B1995" t="s">
        <v>2055</v>
      </c>
      <c r="C1995">
        <v>143</v>
      </c>
      <c r="D1995">
        <v>299</v>
      </c>
      <c r="E1995">
        <v>128.845416899409</v>
      </c>
      <c r="F1995">
        <v>0.47992700729927001</v>
      </c>
      <c r="G1995">
        <v>13038.5060098299</v>
      </c>
      <c r="H1995">
        <v>1833.74395650262</v>
      </c>
      <c r="I1995">
        <v>0.72093615185873094</v>
      </c>
      <c r="J1995">
        <v>4.8725948791264698E-2</v>
      </c>
      <c r="K1995">
        <v>0.47435044745451099</v>
      </c>
      <c r="L1995" t="s">
        <v>33</v>
      </c>
      <c r="M1995" t="s">
        <v>34</v>
      </c>
      <c r="N1995" t="s">
        <v>35</v>
      </c>
      <c r="O1995">
        <v>0.73004999463772802</v>
      </c>
      <c r="P1995" t="s">
        <v>36</v>
      </c>
    </row>
    <row r="1996" spans="1:16">
      <c r="A1996">
        <v>1995</v>
      </c>
      <c r="B1996" t="s">
        <v>2056</v>
      </c>
      <c r="C1996">
        <v>114</v>
      </c>
      <c r="D1996">
        <v>201</v>
      </c>
      <c r="E1996">
        <v>129.09999508748299</v>
      </c>
      <c r="F1996">
        <v>0.56502005132404298</v>
      </c>
      <c r="G1996">
        <v>13090.080967485799</v>
      </c>
      <c r="H1996">
        <v>823.372943798459</v>
      </c>
      <c r="I1996">
        <v>0.79597866665009798</v>
      </c>
      <c r="J1996">
        <v>0.242638109248526</v>
      </c>
      <c r="K1996">
        <v>0.76187963355450405</v>
      </c>
      <c r="L1996" t="s">
        <v>38</v>
      </c>
      <c r="M1996" t="s">
        <v>34</v>
      </c>
      <c r="N1996" t="s">
        <v>35</v>
      </c>
      <c r="O1996">
        <v>0.80503317286206899</v>
      </c>
      <c r="P1996" t="s">
        <v>36</v>
      </c>
    </row>
    <row r="1997" spans="1:16">
      <c r="A1997">
        <v>1996</v>
      </c>
      <c r="B1997" t="s">
        <v>2057</v>
      </c>
      <c r="C1997">
        <v>131</v>
      </c>
      <c r="D1997">
        <v>191</v>
      </c>
      <c r="E1997">
        <v>129.73899567690401</v>
      </c>
      <c r="F1997">
        <v>0.68571428571428605</v>
      </c>
      <c r="G1997">
        <v>13219.984463138</v>
      </c>
      <c r="H1997">
        <v>1098.2876754342999</v>
      </c>
      <c r="I1997">
        <v>0.65949832224770299</v>
      </c>
      <c r="J1997">
        <v>0.137723670445976</v>
      </c>
      <c r="K1997">
        <v>0.61501282645222399</v>
      </c>
      <c r="L1997" t="s">
        <v>38</v>
      </c>
      <c r="M1997" t="s">
        <v>34</v>
      </c>
      <c r="N1997" t="s">
        <v>35</v>
      </c>
      <c r="O1997">
        <v>0.88751949647211303</v>
      </c>
      <c r="P1997" t="s">
        <v>36</v>
      </c>
    </row>
    <row r="1998" spans="1:16">
      <c r="A1998">
        <v>1997</v>
      </c>
      <c r="B1998" t="s">
        <v>2058</v>
      </c>
      <c r="C1998">
        <v>193</v>
      </c>
      <c r="D1998">
        <v>123</v>
      </c>
      <c r="E1998">
        <v>129.85199129768799</v>
      </c>
      <c r="F1998">
        <v>1.5698716612732899</v>
      </c>
      <c r="G1998">
        <v>13243.022268430999</v>
      </c>
      <c r="H1998">
        <v>914.30800612325299</v>
      </c>
      <c r="I1998">
        <v>0.61889819874602903</v>
      </c>
      <c r="J1998">
        <v>0.199072801402572</v>
      </c>
      <c r="K1998">
        <v>0.73922277901304201</v>
      </c>
      <c r="L1998" t="s">
        <v>38</v>
      </c>
      <c r="M1998" t="s">
        <v>34</v>
      </c>
      <c r="N1998" t="s">
        <v>35</v>
      </c>
      <c r="O1998">
        <v>0.71623153651774296</v>
      </c>
      <c r="P1998" t="s">
        <v>36</v>
      </c>
    </row>
    <row r="1999" spans="1:16">
      <c r="A1999">
        <v>1998</v>
      </c>
      <c r="B1999" t="s">
        <v>2059</v>
      </c>
      <c r="C1999">
        <v>103</v>
      </c>
      <c r="D1999">
        <v>180</v>
      </c>
      <c r="E1999">
        <v>129.85344866314901</v>
      </c>
      <c r="F1999">
        <v>0.57252054212554204</v>
      </c>
      <c r="G1999">
        <v>13243.319530434799</v>
      </c>
      <c r="H1999">
        <v>731.33415144837397</v>
      </c>
      <c r="I1999">
        <v>0.76363016392976801</v>
      </c>
      <c r="J1999">
        <v>0.31115373107369698</v>
      </c>
      <c r="K1999">
        <v>0.84939133087387197</v>
      </c>
      <c r="L1999" t="s">
        <v>38</v>
      </c>
      <c r="M1999" t="s">
        <v>34</v>
      </c>
      <c r="N1999" t="s">
        <v>35</v>
      </c>
      <c r="O1999">
        <v>0.75411980394774802</v>
      </c>
      <c r="P1999" t="s">
        <v>36</v>
      </c>
    </row>
    <row r="2000" spans="1:16">
      <c r="A2000">
        <v>1999</v>
      </c>
      <c r="B2000" t="s">
        <v>2060</v>
      </c>
      <c r="C2000">
        <v>198</v>
      </c>
      <c r="D2000">
        <v>119</v>
      </c>
      <c r="E2000">
        <v>130.448871361817</v>
      </c>
      <c r="F2000">
        <v>1.6695327984244399</v>
      </c>
      <c r="G2000">
        <v>13365.048320983</v>
      </c>
      <c r="H2000">
        <v>890.14075406064205</v>
      </c>
      <c r="I2000">
        <v>0.58139199193873803</v>
      </c>
      <c r="J2000">
        <v>0.21196444923060101</v>
      </c>
      <c r="K2000">
        <v>0.78949401652370099</v>
      </c>
      <c r="L2000" t="s">
        <v>38</v>
      </c>
      <c r="M2000" t="s">
        <v>34</v>
      </c>
      <c r="N2000" t="s">
        <v>35</v>
      </c>
      <c r="O2000">
        <v>0.83051143064069299</v>
      </c>
      <c r="P2000" t="s">
        <v>36</v>
      </c>
    </row>
    <row r="2001" spans="1:16">
      <c r="A2001">
        <v>2000</v>
      </c>
      <c r="B2001" t="s">
        <v>2061</v>
      </c>
      <c r="C2001">
        <v>165</v>
      </c>
      <c r="D2001">
        <v>125</v>
      </c>
      <c r="E2001">
        <v>130.68657046790599</v>
      </c>
      <c r="F2001">
        <v>1.31754673886266</v>
      </c>
      <c r="G2001">
        <v>13413.799289602999</v>
      </c>
      <c r="H2001">
        <v>747.48088662261603</v>
      </c>
      <c r="I2001">
        <v>0.70638076747196998</v>
      </c>
      <c r="J2001">
        <v>0.30169039498262901</v>
      </c>
      <c r="K2001">
        <v>0.84397706975395803</v>
      </c>
      <c r="L2001" t="s">
        <v>49</v>
      </c>
      <c r="M2001" t="s">
        <v>34</v>
      </c>
      <c r="N2001" t="s">
        <v>35</v>
      </c>
      <c r="O2001">
        <v>0.69060814285583905</v>
      </c>
      <c r="P2001" t="s">
        <v>36</v>
      </c>
    </row>
    <row r="2002" spans="1:16">
      <c r="A2002">
        <v>2001</v>
      </c>
      <c r="B2002" t="s">
        <v>2062</v>
      </c>
      <c r="C2002">
        <v>159</v>
      </c>
      <c r="D2002">
        <v>206</v>
      </c>
      <c r="E2002">
        <v>131.520889813883</v>
      </c>
      <c r="F2002">
        <v>0.77188325219325904</v>
      </c>
      <c r="G2002">
        <v>13585.6167277883</v>
      </c>
      <c r="H2002">
        <v>1663.69643685082</v>
      </c>
      <c r="I2002">
        <v>0.65579887725956099</v>
      </c>
      <c r="J2002">
        <v>6.1679529093841702E-2</v>
      </c>
      <c r="K2002">
        <v>0.46507072351684098</v>
      </c>
      <c r="L2002" t="s">
        <v>47</v>
      </c>
      <c r="M2002" t="s">
        <v>34</v>
      </c>
      <c r="N2002" t="s">
        <v>35</v>
      </c>
      <c r="O2002">
        <v>0.85954120162681402</v>
      </c>
      <c r="P2002" t="s">
        <v>36</v>
      </c>
    </row>
    <row r="2003" spans="1:16">
      <c r="A2003">
        <v>2002</v>
      </c>
      <c r="B2003" t="s">
        <v>2063</v>
      </c>
      <c r="C2003">
        <v>156</v>
      </c>
      <c r="D2003">
        <v>150</v>
      </c>
      <c r="E2003">
        <v>131.78106986998901</v>
      </c>
      <c r="F2003">
        <v>1.04030474671805</v>
      </c>
      <c r="G2003">
        <v>13639.421150472601</v>
      </c>
      <c r="H2003">
        <v>950.90841840132396</v>
      </c>
      <c r="I2003">
        <v>0.779294307179627</v>
      </c>
      <c r="J2003">
        <v>0.18955202092635901</v>
      </c>
      <c r="K2003">
        <v>0.73258292420069404</v>
      </c>
      <c r="L2003" t="s">
        <v>38</v>
      </c>
      <c r="M2003" t="s">
        <v>34</v>
      </c>
      <c r="N2003" t="s">
        <v>35</v>
      </c>
      <c r="O2003">
        <v>0.78494402722241396</v>
      </c>
      <c r="P2003" t="s">
        <v>36</v>
      </c>
    </row>
    <row r="2004" spans="1:16">
      <c r="A2004">
        <v>2003</v>
      </c>
      <c r="B2004" t="s">
        <v>2064</v>
      </c>
      <c r="C2004">
        <v>136</v>
      </c>
      <c r="D2004">
        <v>244</v>
      </c>
      <c r="E2004">
        <v>132.00920274161999</v>
      </c>
      <c r="F2004">
        <v>0.55723075559522595</v>
      </c>
      <c r="G2004">
        <v>13686.685809073701</v>
      </c>
      <c r="H2004">
        <v>1618.55897485163</v>
      </c>
      <c r="I2004">
        <v>0.68261453605948796</v>
      </c>
      <c r="J2004">
        <v>6.5652475339357294E-2</v>
      </c>
      <c r="K2004">
        <v>0.52708852064909395</v>
      </c>
      <c r="L2004" t="s">
        <v>33</v>
      </c>
      <c r="M2004" t="s">
        <v>34</v>
      </c>
      <c r="N2004" t="s">
        <v>35</v>
      </c>
      <c r="O2004">
        <v>0.74800268710312201</v>
      </c>
      <c r="P2004" t="s">
        <v>36</v>
      </c>
    </row>
    <row r="2005" spans="1:16">
      <c r="A2005">
        <v>2004</v>
      </c>
      <c r="B2005" t="s">
        <v>2065</v>
      </c>
      <c r="C2005">
        <v>166</v>
      </c>
      <c r="D2005">
        <v>147</v>
      </c>
      <c r="E2005">
        <v>132.039304030973</v>
      </c>
      <c r="F2005">
        <v>1.12962962962963</v>
      </c>
      <c r="G2005">
        <v>13692.9283111531</v>
      </c>
      <c r="H2005">
        <v>1518.1160852072601</v>
      </c>
      <c r="I2005">
        <v>0.52163921482074305</v>
      </c>
      <c r="J2005">
        <v>7.4661418131297702E-2</v>
      </c>
      <c r="K2005">
        <v>0.63756150561595604</v>
      </c>
      <c r="L2005" t="s">
        <v>33</v>
      </c>
      <c r="M2005" t="s">
        <v>34</v>
      </c>
      <c r="N2005" t="s">
        <v>35</v>
      </c>
      <c r="O2005">
        <v>0.69308343483302803</v>
      </c>
      <c r="P2005" t="s">
        <v>36</v>
      </c>
    </row>
    <row r="2006" spans="1:16">
      <c r="A2006">
        <v>2005</v>
      </c>
      <c r="B2006" t="s">
        <v>2066</v>
      </c>
      <c r="C2006">
        <v>284</v>
      </c>
      <c r="D2006">
        <v>136</v>
      </c>
      <c r="E2006">
        <v>132.06151724832</v>
      </c>
      <c r="F2006">
        <v>2.0932098288191101</v>
      </c>
      <c r="G2006">
        <v>13697.5358722117</v>
      </c>
      <c r="H2006">
        <v>1356.02488300448</v>
      </c>
      <c r="I2006">
        <v>0.49076753604224899</v>
      </c>
      <c r="J2006">
        <v>9.3608867850427505E-2</v>
      </c>
      <c r="K2006">
        <v>0.516239258786229</v>
      </c>
      <c r="L2006" t="s">
        <v>38</v>
      </c>
      <c r="M2006" t="s">
        <v>34</v>
      </c>
      <c r="N2006" t="s">
        <v>35</v>
      </c>
      <c r="O2006">
        <v>0.69091522487413104</v>
      </c>
      <c r="P2006" t="s">
        <v>36</v>
      </c>
    </row>
    <row r="2007" spans="1:16">
      <c r="A2007">
        <v>2006</v>
      </c>
      <c r="B2007" t="s">
        <v>2067</v>
      </c>
      <c r="C2007">
        <v>190</v>
      </c>
      <c r="D2007">
        <v>122</v>
      </c>
      <c r="E2007">
        <v>132.147468693994</v>
      </c>
      <c r="F2007">
        <v>1.5524588452775601</v>
      </c>
      <c r="G2007">
        <v>13715.3715924386</v>
      </c>
      <c r="H2007">
        <v>892.34432110703494</v>
      </c>
      <c r="I2007">
        <v>0.61258848723034198</v>
      </c>
      <c r="J2007">
        <v>0.216447470217555</v>
      </c>
      <c r="K2007">
        <v>0.76640310953124502</v>
      </c>
      <c r="L2007" t="s">
        <v>38</v>
      </c>
      <c r="M2007" t="s">
        <v>34</v>
      </c>
      <c r="N2007" t="s">
        <v>35</v>
      </c>
      <c r="O2007">
        <v>0.70597340450146195</v>
      </c>
      <c r="P2007" t="s">
        <v>36</v>
      </c>
    </row>
    <row r="2008" spans="1:16">
      <c r="A2008">
        <v>2007</v>
      </c>
      <c r="B2008" t="s">
        <v>2068</v>
      </c>
      <c r="C2008">
        <v>185</v>
      </c>
      <c r="D2008">
        <v>180</v>
      </c>
      <c r="E2008">
        <v>132.99894821073701</v>
      </c>
      <c r="F2008">
        <v>1.0303030303030301</v>
      </c>
      <c r="G2008">
        <v>13892.688377693799</v>
      </c>
      <c r="H2008">
        <v>1064.36130752906</v>
      </c>
      <c r="I2008">
        <v>0.60766135996495496</v>
      </c>
      <c r="J2008">
        <v>0.15410545128328401</v>
      </c>
      <c r="K2008">
        <v>0.56146157450233702</v>
      </c>
      <c r="L2008" t="s">
        <v>38</v>
      </c>
      <c r="M2008" t="s">
        <v>34</v>
      </c>
      <c r="N2008" t="s">
        <v>35</v>
      </c>
      <c r="O2008">
        <v>0.653584936174464</v>
      </c>
      <c r="P2008" t="s">
        <v>36</v>
      </c>
    </row>
    <row r="2009" spans="1:16">
      <c r="A2009">
        <v>2008</v>
      </c>
      <c r="B2009" t="s">
        <v>2069</v>
      </c>
      <c r="C2009">
        <v>152</v>
      </c>
      <c r="D2009">
        <v>176</v>
      </c>
      <c r="E2009">
        <v>133.00890806758301</v>
      </c>
      <c r="F2009">
        <v>0.86068111455108398</v>
      </c>
      <c r="G2009">
        <v>13894.7692117202</v>
      </c>
      <c r="H2009">
        <v>1594.1365412617799</v>
      </c>
      <c r="I2009">
        <v>0.54882117945731601</v>
      </c>
      <c r="J2009">
        <v>6.8708452607235695E-2</v>
      </c>
      <c r="K2009">
        <v>0.63400722952031496</v>
      </c>
      <c r="L2009" t="s">
        <v>41</v>
      </c>
      <c r="M2009" t="s">
        <v>34</v>
      </c>
      <c r="N2009" t="s">
        <v>35</v>
      </c>
      <c r="O2009">
        <v>0.62432388832048302</v>
      </c>
      <c r="P2009" t="s">
        <v>36</v>
      </c>
    </row>
    <row r="2010" spans="1:16">
      <c r="A2010">
        <v>2009</v>
      </c>
      <c r="B2010" t="s">
        <v>2070</v>
      </c>
      <c r="C2010">
        <v>102</v>
      </c>
      <c r="D2010">
        <v>190</v>
      </c>
      <c r="E2010">
        <v>133.19942460187701</v>
      </c>
      <c r="F2010">
        <v>0.53755824979127798</v>
      </c>
      <c r="G2010">
        <v>13934.602320226801</v>
      </c>
      <c r="H2010">
        <v>745.37751173942002</v>
      </c>
      <c r="I2010">
        <v>0.66399669383794102</v>
      </c>
      <c r="J2010">
        <v>0.31517507965691299</v>
      </c>
      <c r="K2010">
        <v>0.82515974581492402</v>
      </c>
      <c r="L2010" t="s">
        <v>33</v>
      </c>
      <c r="M2010" t="s">
        <v>34</v>
      </c>
      <c r="N2010" t="s">
        <v>35</v>
      </c>
      <c r="O2010">
        <v>0.65612706925083697</v>
      </c>
      <c r="P2010" t="s">
        <v>36</v>
      </c>
    </row>
    <row r="2011" spans="1:16">
      <c r="A2011">
        <v>2010</v>
      </c>
      <c r="B2011" t="s">
        <v>2071</v>
      </c>
      <c r="C2011">
        <v>121</v>
      </c>
      <c r="D2011">
        <v>175</v>
      </c>
      <c r="E2011">
        <v>133.430096480347</v>
      </c>
      <c r="F2011">
        <v>0.69210117871474996</v>
      </c>
      <c r="G2011">
        <v>13982.907395841199</v>
      </c>
      <c r="H2011">
        <v>790.108035307553</v>
      </c>
      <c r="I2011">
        <v>0.75500140653653103</v>
      </c>
      <c r="J2011">
        <v>0.28147147463963001</v>
      </c>
      <c r="K2011">
        <v>0.83911306147204701</v>
      </c>
      <c r="L2011" t="s">
        <v>38</v>
      </c>
      <c r="M2011" t="s">
        <v>34</v>
      </c>
      <c r="N2011" t="s">
        <v>35</v>
      </c>
      <c r="O2011">
        <v>0.67551691411140202</v>
      </c>
      <c r="P2011" t="s">
        <v>36</v>
      </c>
    </row>
    <row r="2012" spans="1:16">
      <c r="A2012">
        <v>2011</v>
      </c>
      <c r="B2012" t="s">
        <v>2072</v>
      </c>
      <c r="C2012">
        <v>209</v>
      </c>
      <c r="D2012">
        <v>121</v>
      </c>
      <c r="E2012">
        <v>133.56476628175199</v>
      </c>
      <c r="F2012">
        <v>1.72786930118264</v>
      </c>
      <c r="G2012">
        <v>14011.147286200399</v>
      </c>
      <c r="H2012">
        <v>1107.0182791595901</v>
      </c>
      <c r="I2012">
        <v>0.58093015403650194</v>
      </c>
      <c r="J2012">
        <v>0.14367260901412601</v>
      </c>
      <c r="K2012">
        <v>0.66307000822964202</v>
      </c>
      <c r="L2012" t="s">
        <v>49</v>
      </c>
      <c r="M2012" t="s">
        <v>34</v>
      </c>
      <c r="N2012" t="s">
        <v>35</v>
      </c>
      <c r="O2012">
        <v>0.66408118375442304</v>
      </c>
      <c r="P2012" t="s">
        <v>36</v>
      </c>
    </row>
    <row r="2013" spans="1:16">
      <c r="A2013">
        <v>2012</v>
      </c>
      <c r="B2013" t="s">
        <v>2073</v>
      </c>
      <c r="C2013">
        <v>120</v>
      </c>
      <c r="D2013">
        <v>187</v>
      </c>
      <c r="E2013">
        <v>134.08092364837299</v>
      </c>
      <c r="F2013">
        <v>0.64123505969021</v>
      </c>
      <c r="G2013">
        <v>14119.6479175803</v>
      </c>
      <c r="H2013">
        <v>753.14284710054801</v>
      </c>
      <c r="I2013">
        <v>0.77086508879512905</v>
      </c>
      <c r="J2013">
        <v>0.31280884154668698</v>
      </c>
      <c r="K2013">
        <v>0.82435633769817496</v>
      </c>
      <c r="L2013" t="s">
        <v>38</v>
      </c>
      <c r="M2013" t="s">
        <v>34</v>
      </c>
      <c r="N2013" t="s">
        <v>35</v>
      </c>
      <c r="O2013">
        <v>0.69892207806377904</v>
      </c>
      <c r="P2013" t="s">
        <v>36</v>
      </c>
    </row>
    <row r="2014" spans="1:16">
      <c r="A2014">
        <v>2013</v>
      </c>
      <c r="B2014" t="s">
        <v>2074</v>
      </c>
      <c r="C2014">
        <v>188</v>
      </c>
      <c r="D2014">
        <v>167</v>
      </c>
      <c r="E2014">
        <v>134.292467946475</v>
      </c>
      <c r="F2014">
        <v>1.12514738318371</v>
      </c>
      <c r="G2014">
        <v>14164.2372181474</v>
      </c>
      <c r="H2014">
        <v>1206.325339059</v>
      </c>
      <c r="I2014">
        <v>0.60989237634147597</v>
      </c>
      <c r="J2014">
        <v>0.122313432751591</v>
      </c>
      <c r="K2014">
        <v>0.60316335120287101</v>
      </c>
      <c r="L2014" t="s">
        <v>33</v>
      </c>
      <c r="M2014" t="s">
        <v>34</v>
      </c>
      <c r="N2014" t="s">
        <v>35</v>
      </c>
      <c r="O2014">
        <v>0.67426887492607501</v>
      </c>
      <c r="P2014" t="s">
        <v>36</v>
      </c>
    </row>
    <row r="2015" spans="1:16">
      <c r="A2015">
        <v>2014</v>
      </c>
      <c r="B2015" t="s">
        <v>2075</v>
      </c>
      <c r="C2015">
        <v>210</v>
      </c>
      <c r="D2015">
        <v>168</v>
      </c>
      <c r="E2015">
        <v>134.534629349298</v>
      </c>
      <c r="F2015">
        <v>1.2507239594767401</v>
      </c>
      <c r="G2015">
        <v>14215.3662827977</v>
      </c>
      <c r="H2015">
        <v>1560.07237223936</v>
      </c>
      <c r="I2015">
        <v>0.58874659870693702</v>
      </c>
      <c r="J2015">
        <v>7.3397019886254605E-2</v>
      </c>
      <c r="K2015">
        <v>0.54244036343424995</v>
      </c>
      <c r="L2015" t="s">
        <v>33</v>
      </c>
      <c r="M2015" t="s">
        <v>34</v>
      </c>
      <c r="N2015" t="s">
        <v>35</v>
      </c>
      <c r="O2015">
        <v>0.66976235843346199</v>
      </c>
      <c r="P2015" t="s">
        <v>36</v>
      </c>
    </row>
    <row r="2016" spans="1:16">
      <c r="A2016">
        <v>2015</v>
      </c>
      <c r="B2016" t="s">
        <v>2076</v>
      </c>
      <c r="C2016">
        <v>128</v>
      </c>
      <c r="D2016">
        <v>188</v>
      </c>
      <c r="E2016">
        <v>135.161938500453</v>
      </c>
      <c r="F2016">
        <v>0.67900999450779298</v>
      </c>
      <c r="G2016">
        <v>14348.2423984877</v>
      </c>
      <c r="H2016">
        <v>791.57264825758705</v>
      </c>
      <c r="I2016">
        <v>0.72717455547293697</v>
      </c>
      <c r="J2016">
        <v>0.287757737640916</v>
      </c>
      <c r="K2016">
        <v>0.81390799946040704</v>
      </c>
      <c r="L2016" t="s">
        <v>38</v>
      </c>
      <c r="M2016" t="s">
        <v>34</v>
      </c>
      <c r="N2016" t="s">
        <v>35</v>
      </c>
      <c r="O2016">
        <v>0.76475637061247304</v>
      </c>
      <c r="P2016" t="s">
        <v>36</v>
      </c>
    </row>
    <row r="2017" spans="1:16">
      <c r="A2017">
        <v>2016</v>
      </c>
      <c r="B2017" t="s">
        <v>2077</v>
      </c>
      <c r="C2017">
        <v>142</v>
      </c>
      <c r="D2017">
        <v>147</v>
      </c>
      <c r="E2017">
        <v>135.52757520070099</v>
      </c>
      <c r="F2017">
        <v>0.96418657831605603</v>
      </c>
      <c r="G2017">
        <v>14425.976412476401</v>
      </c>
      <c r="H2017">
        <v>756.92062149866797</v>
      </c>
      <c r="I2017">
        <v>0.62879437267146798</v>
      </c>
      <c r="J2017">
        <v>0.31641306467914998</v>
      </c>
      <c r="K2017">
        <v>0.82252692773790004</v>
      </c>
      <c r="L2017" t="s">
        <v>38</v>
      </c>
      <c r="M2017" t="s">
        <v>34</v>
      </c>
      <c r="N2017" t="s">
        <v>35</v>
      </c>
      <c r="O2017">
        <v>0.77967499009133201</v>
      </c>
      <c r="P2017" t="s">
        <v>36</v>
      </c>
    </row>
    <row r="2018" spans="1:16">
      <c r="A2018">
        <v>2017</v>
      </c>
      <c r="B2018" t="s">
        <v>2078</v>
      </c>
      <c r="C2018">
        <v>254</v>
      </c>
      <c r="D2018">
        <v>167</v>
      </c>
      <c r="E2018">
        <v>136.30173040101201</v>
      </c>
      <c r="F2018">
        <v>1.5219450772518599</v>
      </c>
      <c r="G2018">
        <v>14591.254086578499</v>
      </c>
      <c r="H2018">
        <v>1800.37819530456</v>
      </c>
      <c r="I2018">
        <v>0.37198140218805298</v>
      </c>
      <c r="J2018">
        <v>5.65685432846579E-2</v>
      </c>
      <c r="K2018">
        <v>0.45016049156272903</v>
      </c>
      <c r="L2018" t="s">
        <v>830</v>
      </c>
      <c r="M2018" t="s">
        <v>34</v>
      </c>
      <c r="N2018" t="s">
        <v>35</v>
      </c>
      <c r="O2018">
        <v>0.71114802000891797</v>
      </c>
      <c r="P2018" t="s">
        <v>36</v>
      </c>
    </row>
    <row r="2019" spans="1:16">
      <c r="A2019">
        <v>2018</v>
      </c>
      <c r="B2019" t="s">
        <v>2079</v>
      </c>
      <c r="C2019">
        <v>229</v>
      </c>
      <c r="D2019">
        <v>142</v>
      </c>
      <c r="E2019">
        <v>136.736304576679</v>
      </c>
      <c r="F2019">
        <v>1.60768965684121</v>
      </c>
      <c r="G2019">
        <v>14684.4457247637</v>
      </c>
      <c r="H2019">
        <v>1330.4478151926801</v>
      </c>
      <c r="I2019">
        <v>0.62176105590817898</v>
      </c>
      <c r="J2019">
        <v>0.104248960474963</v>
      </c>
      <c r="K2019">
        <v>0.62720526152068601</v>
      </c>
      <c r="L2019" t="s">
        <v>49</v>
      </c>
      <c r="M2019" t="s">
        <v>34</v>
      </c>
      <c r="N2019" t="s">
        <v>35</v>
      </c>
      <c r="O2019">
        <v>0.71970192615171702</v>
      </c>
      <c r="P2019" t="s">
        <v>36</v>
      </c>
    </row>
    <row r="2020" spans="1:16">
      <c r="A2020">
        <v>2019</v>
      </c>
      <c r="B2020" t="s">
        <v>2080</v>
      </c>
      <c r="C2020">
        <v>243</v>
      </c>
      <c r="D2020">
        <v>117</v>
      </c>
      <c r="E2020">
        <v>136.89606309922499</v>
      </c>
      <c r="F2020">
        <v>2.0710863938391499</v>
      </c>
      <c r="G2020">
        <v>14718.779486200399</v>
      </c>
      <c r="H2020">
        <v>1013.93444698925</v>
      </c>
      <c r="I2020">
        <v>0.77114755273047297</v>
      </c>
      <c r="J2020">
        <v>0.179912735618003</v>
      </c>
      <c r="K2020">
        <v>0.69464299492848702</v>
      </c>
      <c r="L2020" t="s">
        <v>33</v>
      </c>
      <c r="M2020" t="s">
        <v>34</v>
      </c>
      <c r="N2020" t="s">
        <v>35</v>
      </c>
      <c r="O2020">
        <v>0.67220765069919497</v>
      </c>
      <c r="P2020" t="s">
        <v>36</v>
      </c>
    </row>
    <row r="2021" spans="1:16">
      <c r="A2021">
        <v>2020</v>
      </c>
      <c r="B2021" t="s">
        <v>2081</v>
      </c>
      <c r="C2021">
        <v>167</v>
      </c>
      <c r="D2021">
        <v>142</v>
      </c>
      <c r="E2021">
        <v>137.425184637782</v>
      </c>
      <c r="F2021">
        <v>1.17989775891347</v>
      </c>
      <c r="G2021">
        <v>14832.779464650301</v>
      </c>
      <c r="H2021">
        <v>771.49314932118295</v>
      </c>
      <c r="I2021">
        <v>0.62427088487575999</v>
      </c>
      <c r="J2021">
        <v>0.31316142146346299</v>
      </c>
      <c r="K2021">
        <v>0.809217994875288</v>
      </c>
      <c r="L2021" t="s">
        <v>38</v>
      </c>
      <c r="M2021" t="s">
        <v>34</v>
      </c>
      <c r="N2021" t="s">
        <v>35</v>
      </c>
      <c r="O2021">
        <v>0.70503426411712</v>
      </c>
      <c r="P2021" t="s">
        <v>36</v>
      </c>
    </row>
    <row r="2022" spans="1:16">
      <c r="A2022">
        <v>2021</v>
      </c>
      <c r="B2022" t="s">
        <v>2082</v>
      </c>
      <c r="C2022">
        <v>167</v>
      </c>
      <c r="D2022">
        <v>176</v>
      </c>
      <c r="E2022">
        <v>137.91386098835599</v>
      </c>
      <c r="F2022">
        <v>0.94736842105263197</v>
      </c>
      <c r="G2022">
        <v>14938.456106994299</v>
      </c>
      <c r="H2022">
        <v>1351.7312363175699</v>
      </c>
      <c r="I2022">
        <v>0.56773005335998705</v>
      </c>
      <c r="J2022">
        <v>0.10273889251286999</v>
      </c>
      <c r="K2022">
        <v>0.67829473059064904</v>
      </c>
      <c r="L2022" t="s">
        <v>38</v>
      </c>
      <c r="M2022" t="s">
        <v>34</v>
      </c>
      <c r="N2022" t="s">
        <v>35</v>
      </c>
      <c r="O2022">
        <v>0.79407412977659797</v>
      </c>
      <c r="P2022" t="s">
        <v>36</v>
      </c>
    </row>
    <row r="2023" spans="1:16">
      <c r="A2023">
        <v>2022</v>
      </c>
      <c r="B2023" t="s">
        <v>2083</v>
      </c>
      <c r="C2023">
        <v>283</v>
      </c>
      <c r="D2023">
        <v>123</v>
      </c>
      <c r="E2023">
        <v>138.266061951132</v>
      </c>
      <c r="F2023">
        <v>2.2967234497978399</v>
      </c>
      <c r="G2023">
        <v>15014.852441966001</v>
      </c>
      <c r="H2023">
        <v>1519.72239227865</v>
      </c>
      <c r="I2023">
        <v>0.57756536225843103</v>
      </c>
      <c r="J2023">
        <v>8.1696303655097904E-2</v>
      </c>
      <c r="K2023">
        <v>0.60066118454302797</v>
      </c>
      <c r="L2023" t="s">
        <v>33</v>
      </c>
      <c r="M2023" t="s">
        <v>34</v>
      </c>
      <c r="N2023" t="s">
        <v>35</v>
      </c>
      <c r="O2023">
        <v>0.62997854386288199</v>
      </c>
      <c r="P2023" t="s">
        <v>36</v>
      </c>
    </row>
    <row r="2024" spans="1:16">
      <c r="A2024">
        <v>2023</v>
      </c>
      <c r="B2024" t="s">
        <v>2084</v>
      </c>
      <c r="C2024">
        <v>181</v>
      </c>
      <c r="D2024">
        <v>139</v>
      </c>
      <c r="E2024">
        <v>138.34405507487801</v>
      </c>
      <c r="F2024">
        <v>1.29805203796191</v>
      </c>
      <c r="G2024">
        <v>15031.796376181501</v>
      </c>
      <c r="H2024">
        <v>822.23711405349798</v>
      </c>
      <c r="I2024">
        <v>0.69911055858013404</v>
      </c>
      <c r="J2024">
        <v>0.279400124989517</v>
      </c>
      <c r="K2024">
        <v>0.78449700194698901</v>
      </c>
      <c r="L2024" t="s">
        <v>38</v>
      </c>
      <c r="M2024" t="s">
        <v>34</v>
      </c>
      <c r="N2024" t="s">
        <v>35</v>
      </c>
      <c r="O2024">
        <v>0.67497497067995804</v>
      </c>
      <c r="P2024" t="s">
        <v>36</v>
      </c>
    </row>
    <row r="2025" spans="1:16">
      <c r="A2025">
        <v>2024</v>
      </c>
      <c r="B2025" t="s">
        <v>2085</v>
      </c>
      <c r="C2025">
        <v>156</v>
      </c>
      <c r="D2025">
        <v>183</v>
      </c>
      <c r="E2025">
        <v>138.93441854487301</v>
      </c>
      <c r="F2025">
        <v>0.85140208729043498</v>
      </c>
      <c r="G2025">
        <v>15160.362192816599</v>
      </c>
      <c r="H2025">
        <v>1783.09563038536</v>
      </c>
      <c r="I2025">
        <v>0.73438577261624105</v>
      </c>
      <c r="J2025">
        <v>5.9919774405810297E-2</v>
      </c>
      <c r="K2025">
        <v>0.613659334841411</v>
      </c>
      <c r="L2025" t="s">
        <v>33</v>
      </c>
      <c r="M2025" t="s">
        <v>34</v>
      </c>
      <c r="N2025" t="s">
        <v>35</v>
      </c>
      <c r="O2025">
        <v>0.67465323215589401</v>
      </c>
      <c r="P2025" t="s">
        <v>36</v>
      </c>
    </row>
    <row r="2026" spans="1:16">
      <c r="A2026">
        <v>2025</v>
      </c>
      <c r="B2026" t="s">
        <v>2086</v>
      </c>
      <c r="C2026">
        <v>146</v>
      </c>
      <c r="D2026">
        <v>256</v>
      </c>
      <c r="E2026">
        <v>139.296945787319</v>
      </c>
      <c r="F2026">
        <v>0.56941359555791604</v>
      </c>
      <c r="G2026">
        <v>15239.582516824201</v>
      </c>
      <c r="H2026">
        <v>1570.87652790225</v>
      </c>
      <c r="I2026">
        <v>0.71717973044629701</v>
      </c>
      <c r="J2026">
        <v>7.7606631402040702E-2</v>
      </c>
      <c r="K2026">
        <v>0.53540638625623305</v>
      </c>
      <c r="L2026" t="s">
        <v>188</v>
      </c>
      <c r="M2026" t="s">
        <v>34</v>
      </c>
      <c r="N2026" t="s">
        <v>35</v>
      </c>
      <c r="O2026">
        <v>0.66829842102674697</v>
      </c>
      <c r="P2026" t="s">
        <v>36</v>
      </c>
    </row>
    <row r="2027" spans="1:16">
      <c r="A2027">
        <v>2026</v>
      </c>
      <c r="B2027" t="s">
        <v>2087</v>
      </c>
      <c r="C2027">
        <v>191</v>
      </c>
      <c r="D2027">
        <v>161</v>
      </c>
      <c r="E2027">
        <v>139.83931278799801</v>
      </c>
      <c r="F2027">
        <v>1.18243247004998</v>
      </c>
      <c r="G2027">
        <v>15358.4873183365</v>
      </c>
      <c r="H2027">
        <v>1690.4368805791</v>
      </c>
      <c r="I2027">
        <v>0.56734711735189702</v>
      </c>
      <c r="J2027">
        <v>6.7539896225635304E-2</v>
      </c>
      <c r="K2027">
        <v>0.59348580224223502</v>
      </c>
      <c r="L2027" t="s">
        <v>38</v>
      </c>
      <c r="M2027" t="s">
        <v>34</v>
      </c>
      <c r="N2027" t="s">
        <v>35</v>
      </c>
      <c r="O2027">
        <v>0.76501381111646405</v>
      </c>
      <c r="P2027" t="s">
        <v>36</v>
      </c>
    </row>
    <row r="2028" spans="1:16">
      <c r="A2028">
        <v>2027</v>
      </c>
      <c r="B2028" t="s">
        <v>2088</v>
      </c>
      <c r="C2028">
        <v>127</v>
      </c>
      <c r="D2028">
        <v>233</v>
      </c>
      <c r="E2028">
        <v>139.95632324903301</v>
      </c>
      <c r="F2028">
        <v>0.54547434334897504</v>
      </c>
      <c r="G2028">
        <v>15384.2004816635</v>
      </c>
      <c r="H2028">
        <v>885.80171241138305</v>
      </c>
      <c r="I2028">
        <v>0.68131052440488304</v>
      </c>
      <c r="J2028">
        <v>0.24638358142912301</v>
      </c>
      <c r="K2028">
        <v>0.70844056288671098</v>
      </c>
      <c r="L2028" t="s">
        <v>38</v>
      </c>
      <c r="M2028" t="s">
        <v>34</v>
      </c>
      <c r="N2028" t="s">
        <v>35</v>
      </c>
      <c r="O2028">
        <v>0.75592920165465904</v>
      </c>
      <c r="P2028" t="s">
        <v>36</v>
      </c>
    </row>
    <row r="2029" spans="1:16">
      <c r="A2029">
        <v>2028</v>
      </c>
      <c r="B2029" t="s">
        <v>2089</v>
      </c>
      <c r="C2029">
        <v>210</v>
      </c>
      <c r="D2029">
        <v>171</v>
      </c>
      <c r="E2029">
        <v>140.644232529997</v>
      </c>
      <c r="F2029">
        <v>1.2292993630573199</v>
      </c>
      <c r="G2029">
        <v>15535.804103591699</v>
      </c>
      <c r="H2029">
        <v>2344.71398270503</v>
      </c>
      <c r="I2029">
        <v>0.59982260066329596</v>
      </c>
      <c r="J2029">
        <v>3.5511077793301697E-2</v>
      </c>
      <c r="K2029">
        <v>0.43651625566390301</v>
      </c>
      <c r="L2029" t="s">
        <v>101</v>
      </c>
      <c r="M2029" t="s">
        <v>34</v>
      </c>
      <c r="N2029" t="s">
        <v>35</v>
      </c>
      <c r="O2029">
        <v>0.62695983873902394</v>
      </c>
      <c r="P2029" t="s">
        <v>36</v>
      </c>
    </row>
    <row r="2030" spans="1:16">
      <c r="A2030">
        <v>2029</v>
      </c>
      <c r="B2030" t="s">
        <v>2090</v>
      </c>
      <c r="C2030">
        <v>166</v>
      </c>
      <c r="D2030">
        <v>135</v>
      </c>
      <c r="E2030">
        <v>141.28995641624101</v>
      </c>
      <c r="F2030">
        <v>1.22686964310098</v>
      </c>
      <c r="G2030">
        <v>15678.7871274102</v>
      </c>
      <c r="H2030">
        <v>658.75879358270902</v>
      </c>
      <c r="I2030">
        <v>0.58912809912150599</v>
      </c>
      <c r="J2030">
        <v>0.45401424217487402</v>
      </c>
      <c r="K2030">
        <v>0.91010111467715804</v>
      </c>
      <c r="L2030" t="s">
        <v>38</v>
      </c>
      <c r="M2030" t="s">
        <v>34</v>
      </c>
      <c r="N2030" t="s">
        <v>35</v>
      </c>
      <c r="O2030">
        <v>0.81078136967225001</v>
      </c>
      <c r="P2030" t="s">
        <v>36</v>
      </c>
    </row>
    <row r="2031" spans="1:16">
      <c r="A2031">
        <v>2030</v>
      </c>
      <c r="B2031" t="s">
        <v>2091</v>
      </c>
      <c r="C2031">
        <v>133</v>
      </c>
      <c r="D2031">
        <v>250</v>
      </c>
      <c r="E2031">
        <v>141.28995641624101</v>
      </c>
      <c r="F2031">
        <v>0.53436192102476299</v>
      </c>
      <c r="G2031">
        <v>15678.7871274102</v>
      </c>
      <c r="H2031">
        <v>1460.44203836918</v>
      </c>
      <c r="I2031">
        <v>0.65397284838687397</v>
      </c>
      <c r="J2031">
        <v>9.2374835227059707E-2</v>
      </c>
      <c r="K2031">
        <v>0.54116946943968502</v>
      </c>
      <c r="L2031" t="s">
        <v>33</v>
      </c>
      <c r="M2031" t="s">
        <v>34</v>
      </c>
      <c r="N2031" t="s">
        <v>35</v>
      </c>
      <c r="O2031">
        <v>0.679490681740895</v>
      </c>
      <c r="P2031" t="s">
        <v>36</v>
      </c>
    </row>
    <row r="2032" spans="1:16">
      <c r="A2032">
        <v>2031</v>
      </c>
      <c r="B2032" t="s">
        <v>2092</v>
      </c>
      <c r="C2032">
        <v>128</v>
      </c>
      <c r="D2032">
        <v>238</v>
      </c>
      <c r="E2032">
        <v>141.35624085321501</v>
      </c>
      <c r="F2032">
        <v>0.53971179317415896</v>
      </c>
      <c r="G2032">
        <v>15693.5015965974</v>
      </c>
      <c r="H2032">
        <v>913.45945762520296</v>
      </c>
      <c r="I2032">
        <v>0.62947898161104598</v>
      </c>
      <c r="J2032">
        <v>0.23634758365928801</v>
      </c>
      <c r="K2032">
        <v>0.75200131046663998</v>
      </c>
      <c r="L2032" t="s">
        <v>38</v>
      </c>
      <c r="M2032" t="s">
        <v>34</v>
      </c>
      <c r="N2032" t="s">
        <v>35</v>
      </c>
      <c r="O2032">
        <v>0.80554875570608098</v>
      </c>
      <c r="P2032" t="s">
        <v>36</v>
      </c>
    </row>
    <row r="2033" spans="1:16">
      <c r="A2033">
        <v>2032</v>
      </c>
      <c r="B2033" t="s">
        <v>2093</v>
      </c>
      <c r="C2033">
        <v>206</v>
      </c>
      <c r="D2033">
        <v>186</v>
      </c>
      <c r="E2033">
        <v>141.92140886941201</v>
      </c>
      <c r="F2033">
        <v>1.1041188491968399</v>
      </c>
      <c r="G2033">
        <v>15819.2434241966</v>
      </c>
      <c r="H2033">
        <v>1241.66152271343</v>
      </c>
      <c r="I2033">
        <v>0.57838712243771695</v>
      </c>
      <c r="J2033">
        <v>0.12894043369396699</v>
      </c>
      <c r="K2033">
        <v>0.62743838095631099</v>
      </c>
      <c r="L2033" t="s">
        <v>38</v>
      </c>
      <c r="M2033" t="s">
        <v>34</v>
      </c>
      <c r="N2033" t="s">
        <v>35</v>
      </c>
      <c r="O2033">
        <v>0.74016391376882296</v>
      </c>
      <c r="P2033" t="s">
        <v>36</v>
      </c>
    </row>
    <row r="2034" spans="1:16">
      <c r="A2034">
        <v>2033</v>
      </c>
      <c r="B2034" t="s">
        <v>2094</v>
      </c>
      <c r="C2034">
        <v>225</v>
      </c>
      <c r="D2034">
        <v>143</v>
      </c>
      <c r="E2034">
        <v>142.32819006981001</v>
      </c>
      <c r="F2034">
        <v>1.57852655592094</v>
      </c>
      <c r="G2034">
        <v>15910.0569663516</v>
      </c>
      <c r="H2034">
        <v>1349.48227430883</v>
      </c>
      <c r="I2034">
        <v>0.62305106358037399</v>
      </c>
      <c r="J2034">
        <v>0.10978606770409401</v>
      </c>
      <c r="K2034">
        <v>0.69778690394706799</v>
      </c>
      <c r="L2034" t="s">
        <v>38</v>
      </c>
      <c r="M2034" t="s">
        <v>34</v>
      </c>
      <c r="N2034" t="s">
        <v>35</v>
      </c>
      <c r="O2034">
        <v>0.68528195740775599</v>
      </c>
      <c r="P2034" t="s">
        <v>36</v>
      </c>
    </row>
    <row r="2035" spans="1:16">
      <c r="A2035">
        <v>2034</v>
      </c>
      <c r="B2035" t="s">
        <v>2095</v>
      </c>
      <c r="C2035">
        <v>164</v>
      </c>
      <c r="D2035">
        <v>142</v>
      </c>
      <c r="E2035">
        <v>142.407945118416</v>
      </c>
      <c r="F2035">
        <v>1.1563980776506899</v>
      </c>
      <c r="G2035">
        <v>15927.8926865785</v>
      </c>
      <c r="H2035">
        <v>800.52861056452195</v>
      </c>
      <c r="I2035">
        <v>0.65850176786586001</v>
      </c>
      <c r="J2035">
        <v>0.312330552131038</v>
      </c>
      <c r="K2035">
        <v>0.87208867043179605</v>
      </c>
      <c r="L2035" t="s">
        <v>38</v>
      </c>
      <c r="M2035" t="s">
        <v>34</v>
      </c>
      <c r="N2035" t="s">
        <v>35</v>
      </c>
      <c r="O2035">
        <v>0.74612166855780304</v>
      </c>
      <c r="P2035" t="s">
        <v>36</v>
      </c>
    </row>
    <row r="2036" spans="1:16">
      <c r="A2036">
        <v>2035</v>
      </c>
      <c r="B2036" t="s">
        <v>2096</v>
      </c>
      <c r="C2036">
        <v>170</v>
      </c>
      <c r="D2036">
        <v>200</v>
      </c>
      <c r="E2036">
        <v>144.98915435313401</v>
      </c>
      <c r="F2036">
        <v>0.84989828341477702</v>
      </c>
      <c r="G2036">
        <v>16510.526213988702</v>
      </c>
      <c r="H2036">
        <v>1520.5067413373599</v>
      </c>
      <c r="I2036">
        <v>0.63502782388617995</v>
      </c>
      <c r="J2036">
        <v>8.9741655966952494E-2</v>
      </c>
      <c r="K2036">
        <v>0.61678724715576305</v>
      </c>
      <c r="L2036" t="s">
        <v>830</v>
      </c>
      <c r="M2036" t="s">
        <v>34</v>
      </c>
      <c r="N2036" t="s">
        <v>35</v>
      </c>
      <c r="O2036">
        <v>0.72152173542175202</v>
      </c>
      <c r="P2036" t="s">
        <v>36</v>
      </c>
    </row>
    <row r="2037" spans="1:16">
      <c r="A2037">
        <v>2036</v>
      </c>
      <c r="B2037" t="s">
        <v>2097</v>
      </c>
      <c r="C2037">
        <v>161</v>
      </c>
      <c r="D2037">
        <v>152</v>
      </c>
      <c r="E2037">
        <v>146.15848521961499</v>
      </c>
      <c r="F2037">
        <v>1.06093189964158</v>
      </c>
      <c r="G2037">
        <v>16777.913386389399</v>
      </c>
      <c r="H2037">
        <v>807.64188874980698</v>
      </c>
      <c r="I2037">
        <v>0.76639337993164103</v>
      </c>
      <c r="J2037">
        <v>0.323228867508977</v>
      </c>
      <c r="K2037">
        <v>0.85098379193366003</v>
      </c>
      <c r="L2037" t="s">
        <v>288</v>
      </c>
      <c r="M2037" t="s">
        <v>34</v>
      </c>
      <c r="N2037" t="s">
        <v>35</v>
      </c>
      <c r="O2037">
        <v>0.68036873730442504</v>
      </c>
      <c r="P2037" t="s">
        <v>36</v>
      </c>
    </row>
    <row r="2038" spans="1:16">
      <c r="A2038">
        <v>2037</v>
      </c>
      <c r="B2038" t="s">
        <v>2098</v>
      </c>
      <c r="C2038">
        <v>165</v>
      </c>
      <c r="D2038">
        <v>192</v>
      </c>
      <c r="E2038">
        <v>146.27302823670999</v>
      </c>
      <c r="F2038">
        <v>0.86048435090198905</v>
      </c>
      <c r="G2038">
        <v>16804.221073723998</v>
      </c>
      <c r="H2038">
        <v>1295.3347133458201</v>
      </c>
      <c r="I2038">
        <v>0.52086496800784698</v>
      </c>
      <c r="J2038">
        <v>0.12585319402648201</v>
      </c>
      <c r="K2038">
        <v>0.69891509288164899</v>
      </c>
      <c r="L2038" t="s">
        <v>43</v>
      </c>
      <c r="M2038" t="s">
        <v>34</v>
      </c>
      <c r="N2038" t="s">
        <v>35</v>
      </c>
      <c r="O2038">
        <v>0.655596319181317</v>
      </c>
      <c r="P2038" t="s">
        <v>36</v>
      </c>
    </row>
    <row r="2039" spans="1:16">
      <c r="A2039">
        <v>2038</v>
      </c>
      <c r="B2039" t="s">
        <v>2099</v>
      </c>
      <c r="C2039">
        <v>195</v>
      </c>
      <c r="D2039">
        <v>196</v>
      </c>
      <c r="E2039">
        <v>146.56448179398001</v>
      </c>
      <c r="F2039">
        <v>0.99721448420608805</v>
      </c>
      <c r="G2039">
        <v>16871.253655576598</v>
      </c>
      <c r="H2039">
        <v>1426.8905091753199</v>
      </c>
      <c r="I2039">
        <v>0.54793056603420698</v>
      </c>
      <c r="J2039">
        <v>0.104130012474557</v>
      </c>
      <c r="K2039">
        <v>0.49274840143599502</v>
      </c>
      <c r="L2039" t="s">
        <v>38</v>
      </c>
      <c r="M2039" t="s">
        <v>34</v>
      </c>
      <c r="N2039" t="s">
        <v>35</v>
      </c>
      <c r="O2039">
        <v>0.65772048037359698</v>
      </c>
      <c r="P2039" t="s">
        <v>36</v>
      </c>
    </row>
    <row r="2040" spans="1:16">
      <c r="A2040">
        <v>2039</v>
      </c>
      <c r="B2040" t="s">
        <v>2100</v>
      </c>
      <c r="C2040">
        <v>244</v>
      </c>
      <c r="D2040">
        <v>151</v>
      </c>
      <c r="E2040">
        <v>146.685803617609</v>
      </c>
      <c r="F2040">
        <v>1.6133680732112901</v>
      </c>
      <c r="G2040">
        <v>16899.196283931899</v>
      </c>
      <c r="H2040">
        <v>1480.5763345064299</v>
      </c>
      <c r="I2040">
        <v>0.68773938877275098</v>
      </c>
      <c r="J2040">
        <v>9.6875578206832499E-2</v>
      </c>
      <c r="K2040">
        <v>0.55790868274491501</v>
      </c>
      <c r="L2040" t="s">
        <v>74</v>
      </c>
      <c r="M2040" t="s">
        <v>34</v>
      </c>
      <c r="N2040" t="s">
        <v>35</v>
      </c>
      <c r="O2040">
        <v>0.66199858390441602</v>
      </c>
      <c r="P2040" t="s">
        <v>36</v>
      </c>
    </row>
    <row r="2041" spans="1:16">
      <c r="A2041">
        <v>2040</v>
      </c>
      <c r="B2041" t="s">
        <v>2101</v>
      </c>
      <c r="C2041">
        <v>132</v>
      </c>
      <c r="D2041">
        <v>284</v>
      </c>
      <c r="E2041">
        <v>146.723857338285</v>
      </c>
      <c r="F2041">
        <v>0.464491362763916</v>
      </c>
      <c r="G2041">
        <v>16907.965513043499</v>
      </c>
      <c r="H2041">
        <v>2107.588013519</v>
      </c>
      <c r="I2041">
        <v>0.76850778797088404</v>
      </c>
      <c r="J2041">
        <v>4.7833237633995801E-2</v>
      </c>
      <c r="K2041">
        <v>0.57346951121148604</v>
      </c>
      <c r="L2041" t="s">
        <v>33</v>
      </c>
      <c r="M2041" t="s">
        <v>34</v>
      </c>
      <c r="N2041" t="s">
        <v>35</v>
      </c>
      <c r="O2041">
        <v>0.67078502528499995</v>
      </c>
      <c r="P2041" t="s">
        <v>36</v>
      </c>
    </row>
    <row r="2042" spans="1:16">
      <c r="A2042">
        <v>2041</v>
      </c>
      <c r="B2042" t="s">
        <v>2102</v>
      </c>
      <c r="C2042">
        <v>221</v>
      </c>
      <c r="D2042">
        <v>189</v>
      </c>
      <c r="E2042">
        <v>146.89916396168601</v>
      </c>
      <c r="F2042">
        <v>1.1675446798803699</v>
      </c>
      <c r="G2042">
        <v>16948.3931455577</v>
      </c>
      <c r="H2042">
        <v>2130.9897209998799</v>
      </c>
      <c r="I2042">
        <v>0.64069983215299797</v>
      </c>
      <c r="J2042">
        <v>4.6900306824653001E-2</v>
      </c>
      <c r="K2042">
        <v>0.49741325911902501</v>
      </c>
      <c r="L2042" t="s">
        <v>38</v>
      </c>
      <c r="M2042" t="s">
        <v>34</v>
      </c>
      <c r="N2042" t="s">
        <v>35</v>
      </c>
      <c r="O2042">
        <v>0.67225148065132501</v>
      </c>
      <c r="P2042" t="s">
        <v>36</v>
      </c>
    </row>
    <row r="2043" spans="1:16">
      <c r="A2043">
        <v>2042</v>
      </c>
      <c r="B2043" t="s">
        <v>2103</v>
      </c>
      <c r="C2043">
        <v>191</v>
      </c>
      <c r="D2043">
        <v>201</v>
      </c>
      <c r="E2043">
        <v>148.575913943535</v>
      </c>
      <c r="F2043">
        <v>0.948509485094851</v>
      </c>
      <c r="G2043">
        <v>17337.509108506601</v>
      </c>
      <c r="H2043">
        <v>1873.49212294019</v>
      </c>
      <c r="I2043">
        <v>0.55036612103882698</v>
      </c>
      <c r="J2043">
        <v>6.2071583300993501E-2</v>
      </c>
      <c r="K2043">
        <v>0.58953624711923303</v>
      </c>
      <c r="L2043" t="s">
        <v>38</v>
      </c>
      <c r="M2043" t="s">
        <v>34</v>
      </c>
      <c r="N2043" t="s">
        <v>35</v>
      </c>
      <c r="O2043">
        <v>0.68477847530256797</v>
      </c>
      <c r="P2043" t="s">
        <v>36</v>
      </c>
    </row>
    <row r="2044" spans="1:16">
      <c r="A2044">
        <v>2043</v>
      </c>
      <c r="B2044" t="s">
        <v>2104</v>
      </c>
      <c r="C2044">
        <v>147</v>
      </c>
      <c r="D2044">
        <v>168</v>
      </c>
      <c r="E2044">
        <v>149.00453650135699</v>
      </c>
      <c r="F2044">
        <v>0.87438778147177598</v>
      </c>
      <c r="G2044">
        <v>17437.686403780699</v>
      </c>
      <c r="H2044">
        <v>718.09394469302595</v>
      </c>
      <c r="I2044">
        <v>0.74909176663060295</v>
      </c>
      <c r="J2044">
        <v>0.42494839963110498</v>
      </c>
      <c r="K2044">
        <v>0.87645955819182897</v>
      </c>
      <c r="L2044" t="s">
        <v>49</v>
      </c>
      <c r="M2044" t="s">
        <v>34</v>
      </c>
      <c r="N2044" t="s">
        <v>35</v>
      </c>
      <c r="O2044">
        <v>0.64273955226485402</v>
      </c>
      <c r="P2044" t="s">
        <v>36</v>
      </c>
    </row>
    <row r="2045" spans="1:16">
      <c r="A2045">
        <v>2044</v>
      </c>
      <c r="B2045" t="s">
        <v>2105</v>
      </c>
      <c r="C2045">
        <v>175</v>
      </c>
      <c r="D2045">
        <v>171</v>
      </c>
      <c r="E2045">
        <v>149.40659917501901</v>
      </c>
      <c r="F2045">
        <v>1.02229299363057</v>
      </c>
      <c r="G2045">
        <v>17531.918458979198</v>
      </c>
      <c r="H2045">
        <v>1708.8685704859399</v>
      </c>
      <c r="I2045">
        <v>0.52221220327407003</v>
      </c>
      <c r="J2045">
        <v>7.5443526640783201E-2</v>
      </c>
      <c r="K2045">
        <v>0.663524064532097</v>
      </c>
      <c r="L2045" t="s">
        <v>38</v>
      </c>
      <c r="M2045" t="s">
        <v>34</v>
      </c>
      <c r="N2045" t="s">
        <v>35</v>
      </c>
      <c r="O2045">
        <v>0.80690141463525999</v>
      </c>
      <c r="P2045" t="s">
        <v>36</v>
      </c>
    </row>
    <row r="2046" spans="1:16">
      <c r="A2046">
        <v>2045</v>
      </c>
      <c r="B2046" t="s">
        <v>2106</v>
      </c>
      <c r="C2046">
        <v>167</v>
      </c>
      <c r="D2046">
        <v>257</v>
      </c>
      <c r="E2046">
        <v>149.81516201818599</v>
      </c>
      <c r="F2046">
        <v>0.64981164907833</v>
      </c>
      <c r="G2046">
        <v>17627.934086200399</v>
      </c>
      <c r="H2046">
        <v>2285.01890435613</v>
      </c>
      <c r="I2046">
        <v>0.66706183556582099</v>
      </c>
      <c r="J2046">
        <v>4.2425960876118801E-2</v>
      </c>
      <c r="K2046">
        <v>0.55480865037820803</v>
      </c>
      <c r="L2046" t="s">
        <v>38</v>
      </c>
      <c r="M2046" t="s">
        <v>34</v>
      </c>
      <c r="N2046" t="s">
        <v>35</v>
      </c>
      <c r="O2046">
        <v>0.72139978656498105</v>
      </c>
      <c r="P2046" t="s">
        <v>36</v>
      </c>
    </row>
    <row r="2047" spans="1:16">
      <c r="A2047">
        <v>2046</v>
      </c>
      <c r="B2047" t="s">
        <v>2107</v>
      </c>
      <c r="C2047">
        <v>166</v>
      </c>
      <c r="D2047">
        <v>191</v>
      </c>
      <c r="E2047">
        <v>149.895352212539</v>
      </c>
      <c r="F2047">
        <v>0.871428571428571</v>
      </c>
      <c r="G2047">
        <v>17646.810223440501</v>
      </c>
      <c r="H2047">
        <v>1708.6266842013899</v>
      </c>
      <c r="I2047">
        <v>0.55924911703084701</v>
      </c>
      <c r="J2047">
        <v>7.5959432261572105E-2</v>
      </c>
      <c r="K2047">
        <v>0.705414381710049</v>
      </c>
      <c r="L2047" t="s">
        <v>49</v>
      </c>
      <c r="M2047" t="s">
        <v>34</v>
      </c>
      <c r="N2047" t="s">
        <v>35</v>
      </c>
      <c r="O2047">
        <v>0.731726569693957</v>
      </c>
      <c r="P2047" t="s">
        <v>36</v>
      </c>
    </row>
    <row r="2048" spans="1:16">
      <c r="A2048">
        <v>2047</v>
      </c>
      <c r="B2048" t="s">
        <v>2108</v>
      </c>
      <c r="C2048">
        <v>182</v>
      </c>
      <c r="D2048">
        <v>161</v>
      </c>
      <c r="E2048">
        <v>151.20890916711301</v>
      </c>
      <c r="F2048">
        <v>1.12762986300102</v>
      </c>
      <c r="G2048">
        <v>17957.4490173913</v>
      </c>
      <c r="H2048">
        <v>851.75634786595504</v>
      </c>
      <c r="I2048">
        <v>0.69656925403637504</v>
      </c>
      <c r="J2048">
        <v>0.311045375147253</v>
      </c>
      <c r="K2048">
        <v>0.86684412174087699</v>
      </c>
      <c r="L2048" t="s">
        <v>49</v>
      </c>
      <c r="M2048" t="s">
        <v>34</v>
      </c>
      <c r="N2048" t="s">
        <v>35</v>
      </c>
      <c r="O2048">
        <v>0.71197704487288804</v>
      </c>
      <c r="P2048" t="s">
        <v>36</v>
      </c>
    </row>
    <row r="2049" spans="1:16">
      <c r="A2049">
        <v>2048</v>
      </c>
      <c r="B2049" t="s">
        <v>2109</v>
      </c>
      <c r="C2049">
        <v>207</v>
      </c>
      <c r="D2049">
        <v>206</v>
      </c>
      <c r="E2049">
        <v>151.25082969604901</v>
      </c>
      <c r="F2049">
        <v>1.0053050397878001</v>
      </c>
      <c r="G2049">
        <v>17967.407294518001</v>
      </c>
      <c r="H2049">
        <v>1687.0378378965499</v>
      </c>
      <c r="I2049">
        <v>0.56684672188287399</v>
      </c>
      <c r="J2049">
        <v>7.9331493445068194E-2</v>
      </c>
      <c r="K2049">
        <v>0.50684041273075697</v>
      </c>
      <c r="L2049" t="s">
        <v>38</v>
      </c>
      <c r="M2049" t="s">
        <v>34</v>
      </c>
      <c r="N2049" t="s">
        <v>35</v>
      </c>
      <c r="O2049">
        <v>0.71179240257000498</v>
      </c>
      <c r="P2049" t="s">
        <v>36</v>
      </c>
    </row>
    <row r="2050" spans="1:16">
      <c r="A2050">
        <v>2049</v>
      </c>
      <c r="B2050" t="s">
        <v>2110</v>
      </c>
      <c r="C2050">
        <v>136</v>
      </c>
      <c r="D2050">
        <v>239</v>
      </c>
      <c r="E2050">
        <v>151.30211961177599</v>
      </c>
      <c r="F2050">
        <v>0.56947608200455602</v>
      </c>
      <c r="G2050">
        <v>17979.595036672999</v>
      </c>
      <c r="H2050">
        <v>1045.68934756777</v>
      </c>
      <c r="I2050">
        <v>0.74394746504961895</v>
      </c>
      <c r="J2050">
        <v>0.20662573047673199</v>
      </c>
      <c r="K2050">
        <v>0.76619732583401401</v>
      </c>
      <c r="L2050" t="s">
        <v>38</v>
      </c>
      <c r="M2050" t="s">
        <v>34</v>
      </c>
      <c r="N2050" t="s">
        <v>35</v>
      </c>
      <c r="O2050">
        <v>0.69924468423387398</v>
      </c>
      <c r="P2050" t="s">
        <v>36</v>
      </c>
    </row>
    <row r="2051" spans="1:16">
      <c r="A2051">
        <v>2050</v>
      </c>
      <c r="B2051" t="s">
        <v>2111</v>
      </c>
      <c r="C2051">
        <v>190</v>
      </c>
      <c r="D2051">
        <v>206</v>
      </c>
      <c r="E2051">
        <v>152.116052220982</v>
      </c>
      <c r="F2051">
        <v>0.92426363418342705</v>
      </c>
      <c r="G2051">
        <v>18173.558494139899</v>
      </c>
      <c r="H2051">
        <v>1922.77147472247</v>
      </c>
      <c r="I2051">
        <v>0.72845076091385197</v>
      </c>
      <c r="J2051">
        <v>6.1772403003333601E-2</v>
      </c>
      <c r="K2051">
        <v>0.59091348430809698</v>
      </c>
      <c r="L2051" t="s">
        <v>33</v>
      </c>
      <c r="M2051" t="s">
        <v>34</v>
      </c>
      <c r="N2051" t="s">
        <v>35</v>
      </c>
      <c r="O2051">
        <v>0.77220942889406896</v>
      </c>
      <c r="P2051" t="s">
        <v>36</v>
      </c>
    </row>
    <row r="2052" spans="1:16">
      <c r="A2052">
        <v>2051</v>
      </c>
      <c r="B2052" t="s">
        <v>2112</v>
      </c>
      <c r="C2052">
        <v>177</v>
      </c>
      <c r="D2052">
        <v>183</v>
      </c>
      <c r="E2052">
        <v>152.570702048383</v>
      </c>
      <c r="F2052">
        <v>0.96464134077319696</v>
      </c>
      <c r="G2052">
        <v>18282.3563875236</v>
      </c>
      <c r="H2052">
        <v>1209.01267867451</v>
      </c>
      <c r="I2052">
        <v>0.82141835956338904</v>
      </c>
      <c r="J2052">
        <v>0.15717386184781401</v>
      </c>
      <c r="K2052">
        <v>0.69681348250955999</v>
      </c>
      <c r="L2052" t="s">
        <v>38</v>
      </c>
      <c r="M2052" t="s">
        <v>34</v>
      </c>
      <c r="N2052" t="s">
        <v>35</v>
      </c>
      <c r="O2052">
        <v>0.79665221547894705</v>
      </c>
      <c r="P2052" t="s">
        <v>36</v>
      </c>
    </row>
    <row r="2053" spans="1:16">
      <c r="A2053">
        <v>2052</v>
      </c>
      <c r="B2053" t="s">
        <v>2113</v>
      </c>
      <c r="C2053">
        <v>151</v>
      </c>
      <c r="D2053">
        <v>202</v>
      </c>
      <c r="E2053">
        <v>153.01348886618001</v>
      </c>
      <c r="F2053">
        <v>0.74659257177636595</v>
      </c>
      <c r="G2053">
        <v>18388.627553875202</v>
      </c>
      <c r="H2053">
        <v>1050.8448379954</v>
      </c>
      <c r="I2053">
        <v>0.75142095533650199</v>
      </c>
      <c r="J2053">
        <v>0.20925796146235501</v>
      </c>
      <c r="K2053">
        <v>0.77353524112016303</v>
      </c>
      <c r="L2053" t="s">
        <v>38</v>
      </c>
      <c r="M2053" t="s">
        <v>34</v>
      </c>
      <c r="N2053" t="s">
        <v>35</v>
      </c>
      <c r="O2053">
        <v>0.72318663971973496</v>
      </c>
      <c r="P2053" t="s">
        <v>36</v>
      </c>
    </row>
    <row r="2054" spans="1:16">
      <c r="A2054">
        <v>2053</v>
      </c>
      <c r="B2054" t="s">
        <v>2114</v>
      </c>
      <c r="C2054">
        <v>246</v>
      </c>
      <c r="D2054">
        <v>117</v>
      </c>
      <c r="E2054">
        <v>153.79560375095701</v>
      </c>
      <c r="F2054">
        <v>2.0933062385630601</v>
      </c>
      <c r="G2054">
        <v>18577.0916642722</v>
      </c>
      <c r="H2054">
        <v>1167.59885441656</v>
      </c>
      <c r="I2054">
        <v>0.72843069197575505</v>
      </c>
      <c r="J2054">
        <v>0.17123804764749601</v>
      </c>
      <c r="K2054">
        <v>0.78828931103206401</v>
      </c>
      <c r="L2054" t="s">
        <v>38</v>
      </c>
      <c r="M2054" t="s">
        <v>34</v>
      </c>
      <c r="N2054" t="s">
        <v>35</v>
      </c>
      <c r="O2054">
        <v>0.77096620754682399</v>
      </c>
      <c r="P2054" t="s">
        <v>36</v>
      </c>
    </row>
    <row r="2055" spans="1:16">
      <c r="A2055">
        <v>2054</v>
      </c>
      <c r="B2055" t="s">
        <v>2115</v>
      </c>
      <c r="C2055">
        <v>131</v>
      </c>
      <c r="D2055">
        <v>231</v>
      </c>
      <c r="E2055">
        <v>154.19621942131701</v>
      </c>
      <c r="F2055">
        <v>0.56477170211833005</v>
      </c>
      <c r="G2055">
        <v>18673.999077504701</v>
      </c>
      <c r="H2055">
        <v>938.26547162097404</v>
      </c>
      <c r="I2055">
        <v>0.77338704691578197</v>
      </c>
      <c r="J2055">
        <v>0.26656045931460598</v>
      </c>
      <c r="K2055">
        <v>0.80239620388169697</v>
      </c>
      <c r="L2055" t="s">
        <v>38</v>
      </c>
      <c r="M2055" t="s">
        <v>34</v>
      </c>
      <c r="N2055" t="s">
        <v>35</v>
      </c>
      <c r="O2055">
        <v>0.78661103146746003</v>
      </c>
      <c r="P2055" t="s">
        <v>36</v>
      </c>
    </row>
    <row r="2056" spans="1:16">
      <c r="A2056">
        <v>2055</v>
      </c>
      <c r="B2056" t="s">
        <v>2116</v>
      </c>
      <c r="C2056">
        <v>136</v>
      </c>
      <c r="D2056">
        <v>191</v>
      </c>
      <c r="E2056">
        <v>154.21524118183501</v>
      </c>
      <c r="F2056">
        <v>0.71423761834476795</v>
      </c>
      <c r="G2056">
        <v>18678.606638563298</v>
      </c>
      <c r="H2056">
        <v>720.53227255956006</v>
      </c>
      <c r="I2056">
        <v>0.75698388491094004</v>
      </c>
      <c r="J2056">
        <v>0.45211348946716801</v>
      </c>
      <c r="K2056">
        <v>0.88984478998498895</v>
      </c>
      <c r="L2056" t="s">
        <v>38</v>
      </c>
      <c r="M2056" t="s">
        <v>34</v>
      </c>
      <c r="N2056" t="s">
        <v>35</v>
      </c>
      <c r="O2056">
        <v>0.77418807642117604</v>
      </c>
      <c r="P2056" t="s">
        <v>36</v>
      </c>
    </row>
    <row r="2057" spans="1:16">
      <c r="A2057">
        <v>2056</v>
      </c>
      <c r="B2057" t="s">
        <v>2117</v>
      </c>
      <c r="C2057">
        <v>170</v>
      </c>
      <c r="D2057">
        <v>205</v>
      </c>
      <c r="E2057">
        <v>154.282718826126</v>
      </c>
      <c r="F2057">
        <v>0.82926459572205902</v>
      </c>
      <c r="G2057">
        <v>18694.956048771299</v>
      </c>
      <c r="H2057">
        <v>1524.67198914559</v>
      </c>
      <c r="I2057">
        <v>0.61616242849255698</v>
      </c>
      <c r="J2057">
        <v>0.1010605061998</v>
      </c>
      <c r="K2057">
        <v>0.67442895442359296</v>
      </c>
      <c r="L2057" t="s">
        <v>38</v>
      </c>
      <c r="M2057" t="s">
        <v>34</v>
      </c>
      <c r="N2057" t="s">
        <v>35</v>
      </c>
      <c r="O2057">
        <v>0.714849854489919</v>
      </c>
      <c r="P2057" t="s">
        <v>36</v>
      </c>
    </row>
    <row r="2058" spans="1:16">
      <c r="A2058">
        <v>2057</v>
      </c>
      <c r="B2058" t="s">
        <v>2118</v>
      </c>
      <c r="C2058">
        <v>134</v>
      </c>
      <c r="D2058">
        <v>268</v>
      </c>
      <c r="E2058">
        <v>155.315126547375</v>
      </c>
      <c r="F2058">
        <v>0.50205322304734501</v>
      </c>
      <c r="G2058">
        <v>18945.993810964101</v>
      </c>
      <c r="H2058">
        <v>1090.58426273844</v>
      </c>
      <c r="I2058">
        <v>0.84802975191973295</v>
      </c>
      <c r="J2058">
        <v>0.20017452294520099</v>
      </c>
      <c r="K2058">
        <v>0.72239381145334502</v>
      </c>
      <c r="L2058" t="s">
        <v>74</v>
      </c>
      <c r="M2058" t="s">
        <v>34</v>
      </c>
      <c r="N2058" t="s">
        <v>35</v>
      </c>
      <c r="O2058">
        <v>0.66972805462152996</v>
      </c>
      <c r="P2058" t="s">
        <v>36</v>
      </c>
    </row>
    <row r="2059" spans="1:16">
      <c r="A2059">
        <v>2058</v>
      </c>
      <c r="B2059" t="s">
        <v>2119</v>
      </c>
      <c r="C2059">
        <v>160</v>
      </c>
      <c r="D2059">
        <v>256</v>
      </c>
      <c r="E2059">
        <v>156.38307690193199</v>
      </c>
      <c r="F2059">
        <v>0.62332752136237002</v>
      </c>
      <c r="G2059">
        <v>19207.435743289199</v>
      </c>
      <c r="H2059">
        <v>1447.3795184590499</v>
      </c>
      <c r="I2059">
        <v>0.73931819662558496</v>
      </c>
      <c r="J2059">
        <v>0.115216428174399</v>
      </c>
      <c r="K2059">
        <v>0.54830073401502</v>
      </c>
      <c r="L2059" t="s">
        <v>49</v>
      </c>
      <c r="M2059" t="s">
        <v>34</v>
      </c>
      <c r="N2059" t="s">
        <v>35</v>
      </c>
      <c r="O2059">
        <v>0.82751042349818005</v>
      </c>
      <c r="P2059" t="s">
        <v>36</v>
      </c>
    </row>
    <row r="2060" spans="1:16">
      <c r="A2060">
        <v>2059</v>
      </c>
      <c r="B2060" t="s">
        <v>2120</v>
      </c>
      <c r="C2060">
        <v>243</v>
      </c>
      <c r="D2060">
        <v>117</v>
      </c>
      <c r="E2060">
        <v>156.397597712292</v>
      </c>
      <c r="F2060">
        <v>2.0728544342948099</v>
      </c>
      <c r="G2060">
        <v>19211.002887334598</v>
      </c>
      <c r="H2060">
        <v>953.24427733058496</v>
      </c>
      <c r="I2060">
        <v>0.57620961638538803</v>
      </c>
      <c r="J2060">
        <v>0.26567548853091899</v>
      </c>
      <c r="K2060">
        <v>0.78421652974796396</v>
      </c>
      <c r="L2060" t="s">
        <v>33</v>
      </c>
      <c r="M2060" t="s">
        <v>34</v>
      </c>
      <c r="N2060" t="s">
        <v>35</v>
      </c>
      <c r="O2060">
        <v>0.71029449147822699</v>
      </c>
      <c r="P2060" t="s">
        <v>36</v>
      </c>
    </row>
    <row r="2061" spans="1:16">
      <c r="A2061">
        <v>2060</v>
      </c>
      <c r="B2061" t="s">
        <v>2121</v>
      </c>
      <c r="C2061">
        <v>190</v>
      </c>
      <c r="D2061">
        <v>166</v>
      </c>
      <c r="E2061">
        <v>156.520970210028</v>
      </c>
      <c r="F2061">
        <v>1.1417441446418499</v>
      </c>
      <c r="G2061">
        <v>19241.3236117202</v>
      </c>
      <c r="H2061">
        <v>964.97447617354601</v>
      </c>
      <c r="I2061">
        <v>0.56632241318992904</v>
      </c>
      <c r="J2061">
        <v>0.25966484447105298</v>
      </c>
      <c r="K2061">
        <v>0.82169356835016405</v>
      </c>
      <c r="L2061" t="s">
        <v>38</v>
      </c>
      <c r="M2061" t="s">
        <v>34</v>
      </c>
      <c r="N2061" t="s">
        <v>35</v>
      </c>
      <c r="O2061">
        <v>0.80115930977086403</v>
      </c>
      <c r="P2061" t="s">
        <v>36</v>
      </c>
    </row>
    <row r="2062" spans="1:16">
      <c r="A2062">
        <v>2061</v>
      </c>
      <c r="B2062" t="s">
        <v>2122</v>
      </c>
      <c r="C2062">
        <v>146</v>
      </c>
      <c r="D2062">
        <v>247</v>
      </c>
      <c r="E2062">
        <v>157.00264305130199</v>
      </c>
      <c r="F2062">
        <v>0.58952271958373703</v>
      </c>
      <c r="G2062">
        <v>19359.931151228699</v>
      </c>
      <c r="H2062">
        <v>1255.04342359014</v>
      </c>
      <c r="I2062">
        <v>0.63838872618480103</v>
      </c>
      <c r="J2062">
        <v>0.15445293585950201</v>
      </c>
      <c r="K2062">
        <v>0.69911922410137795</v>
      </c>
      <c r="L2062" t="s">
        <v>38</v>
      </c>
      <c r="M2062" t="s">
        <v>34</v>
      </c>
      <c r="N2062" t="s">
        <v>35</v>
      </c>
      <c r="O2062">
        <v>0.73331678651129395</v>
      </c>
      <c r="P2062" t="s">
        <v>36</v>
      </c>
    </row>
    <row r="2063" spans="1:16">
      <c r="A2063">
        <v>2062</v>
      </c>
      <c r="B2063" t="s">
        <v>2123</v>
      </c>
      <c r="C2063">
        <v>161</v>
      </c>
      <c r="D2063">
        <v>287</v>
      </c>
      <c r="E2063">
        <v>157.215656542761</v>
      </c>
      <c r="F2063">
        <v>0.56180339771604404</v>
      </c>
      <c r="G2063">
        <v>19412.5</v>
      </c>
      <c r="H2063">
        <v>1380.03570139408</v>
      </c>
      <c r="I2063">
        <v>0.77122577573736495</v>
      </c>
      <c r="J2063">
        <v>0.128088662078919</v>
      </c>
      <c r="K2063">
        <v>0.54529494382022503</v>
      </c>
      <c r="L2063" t="s">
        <v>43</v>
      </c>
      <c r="M2063" t="s">
        <v>34</v>
      </c>
      <c r="N2063" t="s">
        <v>35</v>
      </c>
      <c r="O2063">
        <v>0.649716954284425</v>
      </c>
      <c r="P2063" t="s">
        <v>36</v>
      </c>
    </row>
    <row r="2064" spans="1:16">
      <c r="A2064">
        <v>2063</v>
      </c>
      <c r="B2064" t="s">
        <v>2124</v>
      </c>
      <c r="C2064">
        <v>169</v>
      </c>
      <c r="D2064">
        <v>186</v>
      </c>
      <c r="E2064">
        <v>157.64978671832301</v>
      </c>
      <c r="F2064">
        <v>0.90683232810658299</v>
      </c>
      <c r="G2064">
        <v>19519.858109262801</v>
      </c>
      <c r="H2064">
        <v>1102.5242481462899</v>
      </c>
      <c r="I2064">
        <v>0.73486692025554501</v>
      </c>
      <c r="J2064">
        <v>0.201794916168028</v>
      </c>
      <c r="K2064">
        <v>0.78945754887109598</v>
      </c>
      <c r="L2064" t="s">
        <v>38</v>
      </c>
      <c r="M2064" t="s">
        <v>34</v>
      </c>
      <c r="N2064" t="s">
        <v>35</v>
      </c>
      <c r="O2064">
        <v>0.79121407052912995</v>
      </c>
      <c r="P2064" t="s">
        <v>36</v>
      </c>
    </row>
    <row r="2065" spans="1:16">
      <c r="A2065">
        <v>2064</v>
      </c>
      <c r="B2065" t="s">
        <v>2125</v>
      </c>
      <c r="C2065">
        <v>214</v>
      </c>
      <c r="D2065">
        <v>156</v>
      </c>
      <c r="E2065">
        <v>157.95259700704099</v>
      </c>
      <c r="F2065">
        <v>1.37412587412587</v>
      </c>
      <c r="G2065">
        <v>19594.9167652174</v>
      </c>
      <c r="H2065">
        <v>926.11569964823502</v>
      </c>
      <c r="I2065">
        <v>0.71830238020501203</v>
      </c>
      <c r="J2065">
        <v>0.28709312597860298</v>
      </c>
      <c r="K2065">
        <v>0.80862130300911395</v>
      </c>
      <c r="L2065" t="s">
        <v>49</v>
      </c>
      <c r="M2065" t="s">
        <v>34</v>
      </c>
      <c r="N2065" t="s">
        <v>35</v>
      </c>
      <c r="O2065">
        <v>0.74425891789566401</v>
      </c>
      <c r="P2065" t="s">
        <v>36</v>
      </c>
    </row>
    <row r="2066" spans="1:16">
      <c r="A2066">
        <v>2065</v>
      </c>
      <c r="B2066" t="s">
        <v>2126</v>
      </c>
      <c r="C2066">
        <v>143</v>
      </c>
      <c r="D2066">
        <v>219</v>
      </c>
      <c r="E2066">
        <v>158.24466316886901</v>
      </c>
      <c r="F2066">
        <v>0.65316051616146598</v>
      </c>
      <c r="G2066">
        <v>19667.448694139901</v>
      </c>
      <c r="H2066">
        <v>1268.61307409452</v>
      </c>
      <c r="I2066">
        <v>0.64772442470594904</v>
      </c>
      <c r="J2066">
        <v>0.15356757425991399</v>
      </c>
      <c r="K2066">
        <v>0.74372751798561199</v>
      </c>
      <c r="L2066" t="s">
        <v>47</v>
      </c>
      <c r="M2066" t="s">
        <v>34</v>
      </c>
      <c r="N2066" t="s">
        <v>35</v>
      </c>
      <c r="O2066">
        <v>0.94308152041662396</v>
      </c>
      <c r="P2066" t="s">
        <v>36</v>
      </c>
    </row>
    <row r="2067" spans="1:16">
      <c r="A2067">
        <v>2066</v>
      </c>
      <c r="B2067" t="s">
        <v>2127</v>
      </c>
      <c r="C2067">
        <v>190</v>
      </c>
      <c r="D2067">
        <v>301</v>
      </c>
      <c r="E2067">
        <v>159.520910510448</v>
      </c>
      <c r="F2067">
        <v>0.63091435290540998</v>
      </c>
      <c r="G2067">
        <v>19985.964931190902</v>
      </c>
      <c r="H2067">
        <v>2397.6209682117301</v>
      </c>
      <c r="I2067">
        <v>0.69196078866491595</v>
      </c>
      <c r="J2067">
        <v>4.3689183564312797E-2</v>
      </c>
      <c r="K2067">
        <v>0.48429874699715098</v>
      </c>
      <c r="L2067" t="s">
        <v>38</v>
      </c>
      <c r="M2067" t="s">
        <v>34</v>
      </c>
      <c r="N2067" t="s">
        <v>35</v>
      </c>
      <c r="O2067">
        <v>0.700128547172853</v>
      </c>
      <c r="P2067" t="s">
        <v>36</v>
      </c>
    </row>
    <row r="2068" spans="1:16">
      <c r="A2068">
        <v>2067</v>
      </c>
      <c r="B2068" t="s">
        <v>2128</v>
      </c>
      <c r="C2068">
        <v>140</v>
      </c>
      <c r="D2068">
        <v>280</v>
      </c>
      <c r="E2068">
        <v>160.81877456451701</v>
      </c>
      <c r="F2068">
        <v>0.499339490194671</v>
      </c>
      <c r="G2068">
        <v>20312.5</v>
      </c>
      <c r="H2068">
        <v>1081.0407537221899</v>
      </c>
      <c r="I2068">
        <v>0.81828882528537905</v>
      </c>
      <c r="J2068">
        <v>0.21841834358669801</v>
      </c>
      <c r="K2068">
        <v>0.71998227735932696</v>
      </c>
      <c r="L2068" t="s">
        <v>298</v>
      </c>
      <c r="M2068" t="s">
        <v>34</v>
      </c>
      <c r="N2068" t="s">
        <v>35</v>
      </c>
      <c r="O2068">
        <v>0.81184928704757997</v>
      </c>
      <c r="P2068" t="s">
        <v>36</v>
      </c>
    </row>
    <row r="2069" spans="1:16">
      <c r="A2069">
        <v>2068</v>
      </c>
      <c r="B2069" t="s">
        <v>2129</v>
      </c>
      <c r="C2069">
        <v>250</v>
      </c>
      <c r="D2069">
        <v>152</v>
      </c>
      <c r="E2069">
        <v>163.35470148542299</v>
      </c>
      <c r="F2069">
        <v>1.6474820143884901</v>
      </c>
      <c r="G2069">
        <v>20958.1603145558</v>
      </c>
      <c r="H2069">
        <v>2001.1504871874299</v>
      </c>
      <c r="I2069">
        <v>0.72849216276114304</v>
      </c>
      <c r="J2069">
        <v>6.5766317409006306E-2</v>
      </c>
      <c r="K2069">
        <v>0.66540514267647599</v>
      </c>
      <c r="L2069" t="s">
        <v>38</v>
      </c>
      <c r="M2069" t="s">
        <v>34</v>
      </c>
      <c r="N2069" t="s">
        <v>35</v>
      </c>
      <c r="O2069">
        <v>0.801655157250178</v>
      </c>
      <c r="P2069" t="s">
        <v>36</v>
      </c>
    </row>
    <row r="2070" spans="1:16">
      <c r="A2070">
        <v>2069</v>
      </c>
      <c r="B2070" t="s">
        <v>2130</v>
      </c>
      <c r="C2070">
        <v>180</v>
      </c>
      <c r="D2070">
        <v>205</v>
      </c>
      <c r="E2070">
        <v>164.316880196303</v>
      </c>
      <c r="F2070">
        <v>0.88031914893617003</v>
      </c>
      <c r="G2070">
        <v>21205.779563705099</v>
      </c>
      <c r="H2070">
        <v>1957.8485838454701</v>
      </c>
      <c r="I2070">
        <v>0.68731180650731305</v>
      </c>
      <c r="J2070">
        <v>6.9519382201435206E-2</v>
      </c>
      <c r="K2070">
        <v>0.62693178073162703</v>
      </c>
      <c r="L2070" t="s">
        <v>38</v>
      </c>
      <c r="M2070" t="s">
        <v>34</v>
      </c>
      <c r="N2070" t="s">
        <v>35</v>
      </c>
      <c r="O2070">
        <v>0.78977301838626701</v>
      </c>
      <c r="P2070" t="s">
        <v>36</v>
      </c>
    </row>
    <row r="2071" spans="1:16">
      <c r="A2071">
        <v>2070</v>
      </c>
      <c r="B2071" t="s">
        <v>2131</v>
      </c>
      <c r="C2071">
        <v>169</v>
      </c>
      <c r="D2071">
        <v>217</v>
      </c>
      <c r="E2071">
        <v>165.73939988995599</v>
      </c>
      <c r="F2071">
        <v>0.78072926326287695</v>
      </c>
      <c r="G2071">
        <v>21574.5330793951</v>
      </c>
      <c r="H2071">
        <v>1009.75979694252</v>
      </c>
      <c r="I2071">
        <v>0.82118624362132697</v>
      </c>
      <c r="J2071">
        <v>0.26589802920826699</v>
      </c>
      <c r="K2071">
        <v>0.80352398033745198</v>
      </c>
      <c r="L2071" t="s">
        <v>38</v>
      </c>
      <c r="M2071" t="s">
        <v>34</v>
      </c>
      <c r="N2071" t="s">
        <v>35</v>
      </c>
      <c r="O2071">
        <v>0.77785874925172604</v>
      </c>
      <c r="P2071" t="s">
        <v>36</v>
      </c>
    </row>
    <row r="2072" spans="1:16">
      <c r="A2072">
        <v>2071</v>
      </c>
      <c r="B2072" t="s">
        <v>2132</v>
      </c>
      <c r="C2072">
        <v>243</v>
      </c>
      <c r="D2072">
        <v>142</v>
      </c>
      <c r="E2072">
        <v>165.96361385397299</v>
      </c>
      <c r="F2072">
        <v>1.70588235294118</v>
      </c>
      <c r="G2072">
        <v>21632.945063137999</v>
      </c>
      <c r="H2072">
        <v>1376.1951718655901</v>
      </c>
      <c r="I2072">
        <v>0.62010206340740404</v>
      </c>
      <c r="J2072">
        <v>0.14353752440571499</v>
      </c>
      <c r="K2072">
        <v>0.77572643741872205</v>
      </c>
      <c r="L2072" t="s">
        <v>38</v>
      </c>
      <c r="M2072" t="s">
        <v>34</v>
      </c>
      <c r="N2072" t="s">
        <v>35</v>
      </c>
      <c r="O2072">
        <v>0.74252718934419804</v>
      </c>
      <c r="P2072" t="s">
        <v>36</v>
      </c>
    </row>
    <row r="2073" spans="1:16">
      <c r="A2073">
        <v>2072</v>
      </c>
      <c r="B2073" t="s">
        <v>2133</v>
      </c>
      <c r="C2073">
        <v>283</v>
      </c>
      <c r="D2073">
        <v>139</v>
      </c>
      <c r="E2073">
        <v>166.37587854240499</v>
      </c>
      <c r="F2073">
        <v>2.0408052786757902</v>
      </c>
      <c r="G2073">
        <v>21740.553908506601</v>
      </c>
      <c r="H2073">
        <v>1195.9501587643799</v>
      </c>
      <c r="I2073">
        <v>0.71208121963841897</v>
      </c>
      <c r="J2073">
        <v>0.19100920953360101</v>
      </c>
      <c r="K2073">
        <v>0.734245585149638</v>
      </c>
      <c r="L2073" t="s">
        <v>38</v>
      </c>
      <c r="M2073" t="s">
        <v>34</v>
      </c>
      <c r="N2073" t="s">
        <v>35</v>
      </c>
      <c r="O2073">
        <v>0.73825542263302302</v>
      </c>
      <c r="P2073" t="s">
        <v>36</v>
      </c>
    </row>
    <row r="2074" spans="1:16">
      <c r="A2074">
        <v>2073</v>
      </c>
      <c r="B2074" t="s">
        <v>2134</v>
      </c>
      <c r="C2074">
        <v>124</v>
      </c>
      <c r="D2074">
        <v>280</v>
      </c>
      <c r="E2074">
        <v>167.558030502473</v>
      </c>
      <c r="F2074">
        <v>0.44271455098571899</v>
      </c>
      <c r="G2074">
        <v>22050.598178449902</v>
      </c>
      <c r="H2074">
        <v>1201.0281545099999</v>
      </c>
      <c r="I2074">
        <v>0.86946556317286705</v>
      </c>
      <c r="J2074">
        <v>0.192098450957083</v>
      </c>
      <c r="K2074">
        <v>0.75740388100695799</v>
      </c>
      <c r="L2074" t="s">
        <v>33</v>
      </c>
      <c r="M2074" t="s">
        <v>34</v>
      </c>
      <c r="N2074" t="s">
        <v>35</v>
      </c>
      <c r="O2074">
        <v>0.698069163916893</v>
      </c>
      <c r="P2074" t="s">
        <v>36</v>
      </c>
    </row>
    <row r="2075" spans="1:16">
      <c r="A2075">
        <v>2074</v>
      </c>
      <c r="B2075" t="s">
        <v>2135</v>
      </c>
      <c r="C2075">
        <v>158</v>
      </c>
      <c r="D2075">
        <v>207</v>
      </c>
      <c r="E2075">
        <v>168.12629300023701</v>
      </c>
      <c r="F2075">
        <v>0.76562495596769697</v>
      </c>
      <c r="G2075">
        <v>22200.4182283554</v>
      </c>
      <c r="H2075">
        <v>1057.8391195405</v>
      </c>
      <c r="I2075">
        <v>0.72967041626137197</v>
      </c>
      <c r="J2075">
        <v>0.24930545034590601</v>
      </c>
      <c r="K2075">
        <v>0.79771632432894302</v>
      </c>
      <c r="L2075" t="s">
        <v>38</v>
      </c>
      <c r="M2075" t="s">
        <v>34</v>
      </c>
      <c r="N2075" t="s">
        <v>35</v>
      </c>
      <c r="O2075">
        <v>0.78510288262077399</v>
      </c>
      <c r="P2075" t="s">
        <v>36</v>
      </c>
    </row>
    <row r="2076" spans="1:16">
      <c r="A2076">
        <v>2075</v>
      </c>
      <c r="B2076" t="s">
        <v>2136</v>
      </c>
      <c r="C2076">
        <v>291</v>
      </c>
      <c r="D2076">
        <v>153</v>
      </c>
      <c r="E2076">
        <v>168.46700441547799</v>
      </c>
      <c r="F2076">
        <v>1.9026760837308201</v>
      </c>
      <c r="G2076">
        <v>22290.488615500901</v>
      </c>
      <c r="H2076">
        <v>1376.9535909828901</v>
      </c>
      <c r="I2076">
        <v>0.52624013754245702</v>
      </c>
      <c r="J2076">
        <v>0.14773753431205899</v>
      </c>
      <c r="K2076">
        <v>0.64935593513888001</v>
      </c>
      <c r="L2076" t="s">
        <v>33</v>
      </c>
      <c r="M2076" t="s">
        <v>34</v>
      </c>
      <c r="N2076" t="s">
        <v>35</v>
      </c>
      <c r="O2076">
        <v>0.69475453198124704</v>
      </c>
      <c r="P2076" t="s">
        <v>36</v>
      </c>
    </row>
    <row r="2077" spans="1:16">
      <c r="A2077">
        <v>2076</v>
      </c>
      <c r="B2077" t="s">
        <v>2137</v>
      </c>
      <c r="C2077">
        <v>246</v>
      </c>
      <c r="D2077">
        <v>203</v>
      </c>
      <c r="E2077">
        <v>170.71992936524799</v>
      </c>
      <c r="F2077">
        <v>1.2140886823152199</v>
      </c>
      <c r="G2077">
        <v>22890.660601134201</v>
      </c>
      <c r="H2077">
        <v>1483.7153469713901</v>
      </c>
      <c r="I2077">
        <v>0.65737175886362698</v>
      </c>
      <c r="J2077">
        <v>0.130667328617111</v>
      </c>
      <c r="K2077">
        <v>0.614852105731726</v>
      </c>
      <c r="L2077" t="s">
        <v>38</v>
      </c>
      <c r="M2077" t="s">
        <v>34</v>
      </c>
      <c r="N2077" t="s">
        <v>35</v>
      </c>
      <c r="O2077">
        <v>0.66360734944067101</v>
      </c>
      <c r="P2077" t="s">
        <v>36</v>
      </c>
    </row>
    <row r="2078" spans="1:16">
      <c r="A2078">
        <v>2077</v>
      </c>
      <c r="B2078" t="s">
        <v>2138</v>
      </c>
      <c r="C2078">
        <v>269</v>
      </c>
      <c r="D2078">
        <v>141</v>
      </c>
      <c r="E2078">
        <v>171.41630918548401</v>
      </c>
      <c r="F2078">
        <v>1.9090963231923801</v>
      </c>
      <c r="G2078">
        <v>23077.787032514199</v>
      </c>
      <c r="H2078">
        <v>1177.7321484266199</v>
      </c>
      <c r="I2078">
        <v>0.575127448989732</v>
      </c>
      <c r="J2078">
        <v>0.20907926517610201</v>
      </c>
      <c r="K2078">
        <v>0.77849364245317099</v>
      </c>
      <c r="L2078" t="s">
        <v>188</v>
      </c>
      <c r="M2078" t="s">
        <v>34</v>
      </c>
      <c r="N2078" t="s">
        <v>35</v>
      </c>
      <c r="O2078">
        <v>0.636509419618005</v>
      </c>
      <c r="P2078" t="s">
        <v>36</v>
      </c>
    </row>
    <row r="2079" spans="1:16">
      <c r="A2079">
        <v>2078</v>
      </c>
      <c r="B2079" t="s">
        <v>2139</v>
      </c>
      <c r="C2079">
        <v>191</v>
      </c>
      <c r="D2079">
        <v>235</v>
      </c>
      <c r="E2079">
        <v>172.203307502592</v>
      </c>
      <c r="F2079">
        <v>0.81206493858318796</v>
      </c>
      <c r="G2079">
        <v>23290.180734215501</v>
      </c>
      <c r="H2079">
        <v>2005.20224758977</v>
      </c>
      <c r="I2079">
        <v>0.73054458184628701</v>
      </c>
      <c r="J2079">
        <v>7.2789101288871297E-2</v>
      </c>
      <c r="K2079">
        <v>0.67899003817472003</v>
      </c>
      <c r="L2079" t="s">
        <v>38</v>
      </c>
      <c r="M2079" t="s">
        <v>34</v>
      </c>
      <c r="N2079" t="s">
        <v>35</v>
      </c>
      <c r="O2079">
        <v>0.73833179598123599</v>
      </c>
      <c r="P2079" t="s">
        <v>36</v>
      </c>
    </row>
    <row r="2080" spans="1:16">
      <c r="A2080">
        <v>2079</v>
      </c>
      <c r="B2080" t="s">
        <v>2140</v>
      </c>
      <c r="C2080">
        <v>352</v>
      </c>
      <c r="D2080">
        <v>125</v>
      </c>
      <c r="E2080">
        <v>174.18756906190399</v>
      </c>
      <c r="F2080">
        <v>2.80996737178222</v>
      </c>
      <c r="G2080">
        <v>23830.008533081302</v>
      </c>
      <c r="H2080">
        <v>1672.9351268565099</v>
      </c>
      <c r="I2080">
        <v>0.74783175935788004</v>
      </c>
      <c r="J2080">
        <v>0.106998049650048</v>
      </c>
      <c r="K2080">
        <v>0.66487519853364996</v>
      </c>
      <c r="L2080" t="s">
        <v>38</v>
      </c>
      <c r="M2080" t="s">
        <v>34</v>
      </c>
      <c r="N2080" t="s">
        <v>35</v>
      </c>
      <c r="O2080">
        <v>0.72533295616376603</v>
      </c>
      <c r="P2080" t="s">
        <v>36</v>
      </c>
    </row>
    <row r="2081" spans="1:16">
      <c r="A2081">
        <v>2080</v>
      </c>
      <c r="B2081" t="s">
        <v>2141</v>
      </c>
      <c r="C2081">
        <v>160</v>
      </c>
      <c r="D2081">
        <v>236</v>
      </c>
      <c r="E2081">
        <v>174.25600080689401</v>
      </c>
      <c r="F2081">
        <v>0.67675363787189702</v>
      </c>
      <c r="G2081">
        <v>23848.736039319501</v>
      </c>
      <c r="H2081">
        <v>915.69512439126595</v>
      </c>
      <c r="I2081">
        <v>0.77483218273449095</v>
      </c>
      <c r="J2081">
        <v>0.35741553673221299</v>
      </c>
      <c r="K2081">
        <v>0.85036832900524695</v>
      </c>
      <c r="L2081" t="s">
        <v>33</v>
      </c>
      <c r="M2081" t="s">
        <v>34</v>
      </c>
      <c r="N2081" t="s">
        <v>35</v>
      </c>
      <c r="O2081">
        <v>0.67018996877700698</v>
      </c>
      <c r="P2081" t="s">
        <v>36</v>
      </c>
    </row>
    <row r="2082" spans="1:16">
      <c r="A2082">
        <v>2081</v>
      </c>
      <c r="B2082" t="s">
        <v>2142</v>
      </c>
      <c r="C2082">
        <v>232</v>
      </c>
      <c r="D2082">
        <v>179</v>
      </c>
      <c r="E2082">
        <v>180.78911378940001</v>
      </c>
      <c r="F2082">
        <v>1.29623014058338</v>
      </c>
      <c r="G2082">
        <v>25670.506229489602</v>
      </c>
      <c r="H2082">
        <v>1486.7126653149901</v>
      </c>
      <c r="I2082">
        <v>0.66223346691608898</v>
      </c>
      <c r="J2082">
        <v>0.145945334003965</v>
      </c>
      <c r="K2082">
        <v>0.72398442314060696</v>
      </c>
      <c r="L2082" t="s">
        <v>211</v>
      </c>
      <c r="M2082" t="s">
        <v>34</v>
      </c>
      <c r="N2082" t="s">
        <v>35</v>
      </c>
      <c r="O2082">
        <v>0.68462911436292595</v>
      </c>
      <c r="P2082" t="s">
        <v>36</v>
      </c>
    </row>
    <row r="2083" spans="1:16">
      <c r="A2083">
        <v>2082</v>
      </c>
      <c r="B2083" t="s">
        <v>2143</v>
      </c>
      <c r="C2083">
        <v>277</v>
      </c>
      <c r="D2083">
        <v>171</v>
      </c>
      <c r="E2083">
        <v>181.555288972379</v>
      </c>
      <c r="F2083">
        <v>1.62319544305796</v>
      </c>
      <c r="G2083">
        <v>25888.547909262801</v>
      </c>
      <c r="H2083">
        <v>1253.8440549498</v>
      </c>
      <c r="I2083">
        <v>0.57345186307959095</v>
      </c>
      <c r="J2083">
        <v>0.20693335801170001</v>
      </c>
      <c r="K2083">
        <v>0.70473138640060196</v>
      </c>
      <c r="L2083" t="s">
        <v>38</v>
      </c>
      <c r="M2083" t="s">
        <v>34</v>
      </c>
      <c r="N2083" t="s">
        <v>35</v>
      </c>
      <c r="O2083">
        <v>0.70684390619467996</v>
      </c>
      <c r="P2083" t="s">
        <v>36</v>
      </c>
    </row>
    <row r="2084" spans="1:16">
      <c r="A2084">
        <v>2083</v>
      </c>
      <c r="B2084" t="s">
        <v>2144</v>
      </c>
      <c r="C2084">
        <v>233</v>
      </c>
      <c r="D2084">
        <v>175</v>
      </c>
      <c r="E2084">
        <v>185.44737294019001</v>
      </c>
      <c r="F2084">
        <v>1.3354239032242401</v>
      </c>
      <c r="G2084">
        <v>27010.414711531201</v>
      </c>
      <c r="H2084">
        <v>1230.43779392077</v>
      </c>
      <c r="I2084">
        <v>0.70406740339207297</v>
      </c>
      <c r="J2084">
        <v>0.224192867385797</v>
      </c>
      <c r="K2084">
        <v>0.80655798822083102</v>
      </c>
      <c r="L2084" t="s">
        <v>38</v>
      </c>
      <c r="M2084" t="s">
        <v>34</v>
      </c>
      <c r="N2084" t="s">
        <v>35</v>
      </c>
      <c r="O2084">
        <v>0.755578373554602</v>
      </c>
      <c r="P2084" t="s">
        <v>36</v>
      </c>
    </row>
    <row r="2085" spans="1:16">
      <c r="A2085">
        <v>2084</v>
      </c>
      <c r="B2085" t="s">
        <v>2145</v>
      </c>
      <c r="C2085">
        <v>352</v>
      </c>
      <c r="D2085">
        <v>143</v>
      </c>
      <c r="E2085">
        <v>186.52897488137199</v>
      </c>
      <c r="F2085">
        <v>2.4629625700839002</v>
      </c>
      <c r="G2085">
        <v>27326.404221550099</v>
      </c>
      <c r="H2085">
        <v>1362.3029079344001</v>
      </c>
      <c r="I2085">
        <v>0.47795386615548302</v>
      </c>
      <c r="J2085">
        <v>0.18503120834516701</v>
      </c>
      <c r="K2085">
        <v>0.71970906927220302</v>
      </c>
      <c r="L2085" t="s">
        <v>38</v>
      </c>
      <c r="M2085" t="s">
        <v>34</v>
      </c>
      <c r="N2085" t="s">
        <v>35</v>
      </c>
      <c r="O2085">
        <v>0.71094973349603696</v>
      </c>
      <c r="P2085" t="s">
        <v>36</v>
      </c>
    </row>
    <row r="2086" spans="1:16">
      <c r="A2086">
        <v>2085</v>
      </c>
      <c r="B2086" t="s">
        <v>2146</v>
      </c>
      <c r="C2086">
        <v>243</v>
      </c>
      <c r="D2086">
        <v>194</v>
      </c>
      <c r="E2086">
        <v>186.84018195230999</v>
      </c>
      <c r="F2086">
        <v>1.24982711382901</v>
      </c>
      <c r="G2086">
        <v>27417.6636567108</v>
      </c>
      <c r="H2086">
        <v>1093.5267838811901</v>
      </c>
      <c r="I2086">
        <v>0.63902223662271895</v>
      </c>
      <c r="J2086">
        <v>0.28812534252511601</v>
      </c>
      <c r="K2086">
        <v>0.80920149322477797</v>
      </c>
      <c r="L2086" t="s">
        <v>331</v>
      </c>
      <c r="M2086" t="s">
        <v>34</v>
      </c>
      <c r="N2086" t="s">
        <v>35</v>
      </c>
      <c r="O2086">
        <v>0.73045139623779798</v>
      </c>
      <c r="P2086" t="s">
        <v>36</v>
      </c>
    </row>
    <row r="2087" spans="1:16">
      <c r="A2087">
        <v>2086</v>
      </c>
      <c r="B2087" t="s">
        <v>2147</v>
      </c>
      <c r="C2087">
        <v>231</v>
      </c>
      <c r="D2087">
        <v>268</v>
      </c>
      <c r="E2087">
        <v>189.78083049058401</v>
      </c>
      <c r="F2087">
        <v>0.86310367282794298</v>
      </c>
      <c r="G2087">
        <v>28287.5</v>
      </c>
      <c r="H2087">
        <v>1513.17278444767</v>
      </c>
      <c r="I2087">
        <v>0.55813117103218302</v>
      </c>
      <c r="J2087">
        <v>0.155248491092979</v>
      </c>
      <c r="K2087">
        <v>0.59899417681312905</v>
      </c>
      <c r="L2087" t="s">
        <v>38</v>
      </c>
      <c r="M2087" t="s">
        <v>34</v>
      </c>
      <c r="N2087" t="s">
        <v>35</v>
      </c>
      <c r="O2087">
        <v>0.73075856679231299</v>
      </c>
      <c r="P2087" t="s">
        <v>36</v>
      </c>
    </row>
    <row r="2088" spans="1:16">
      <c r="A2088">
        <v>2087</v>
      </c>
      <c r="B2088" t="s">
        <v>2148</v>
      </c>
      <c r="C2088">
        <v>252</v>
      </c>
      <c r="D2088">
        <v>162</v>
      </c>
      <c r="E2088">
        <v>190.09003836123799</v>
      </c>
      <c r="F2088">
        <v>1.5594011899562401</v>
      </c>
      <c r="G2088">
        <v>28379.752131947102</v>
      </c>
      <c r="H2088">
        <v>1082.41264949021</v>
      </c>
      <c r="I2088">
        <v>0.623408219336965</v>
      </c>
      <c r="J2088">
        <v>0.30439165654762101</v>
      </c>
      <c r="K2088">
        <v>0.86608305173156697</v>
      </c>
      <c r="L2088" t="s">
        <v>38</v>
      </c>
      <c r="M2088" t="s">
        <v>34</v>
      </c>
      <c r="N2088" t="s">
        <v>35</v>
      </c>
      <c r="O2088">
        <v>0.74296091422940103</v>
      </c>
      <c r="P2088" t="s">
        <v>36</v>
      </c>
    </row>
    <row r="2089" spans="1:16">
      <c r="A2089">
        <v>2088</v>
      </c>
      <c r="B2089" t="s">
        <v>2149</v>
      </c>
      <c r="C2089">
        <v>217</v>
      </c>
      <c r="D2089">
        <v>252</v>
      </c>
      <c r="E2089">
        <v>190.58020923797099</v>
      </c>
      <c r="F2089">
        <v>0.85995117379772801</v>
      </c>
      <c r="G2089">
        <v>28526.302299810999</v>
      </c>
      <c r="H2089">
        <v>1804.0424822968</v>
      </c>
      <c r="I2089">
        <v>0.69017140955186296</v>
      </c>
      <c r="J2089">
        <v>0.110144248391755</v>
      </c>
      <c r="K2089">
        <v>0.66356309877367003</v>
      </c>
      <c r="L2089" t="s">
        <v>38</v>
      </c>
      <c r="M2089" t="s">
        <v>34</v>
      </c>
      <c r="N2089" t="s">
        <v>35</v>
      </c>
      <c r="O2089">
        <v>0.71523491550574103</v>
      </c>
      <c r="P2089" t="s">
        <v>36</v>
      </c>
    </row>
    <row r="2090" spans="1:16">
      <c r="A2090">
        <v>2089</v>
      </c>
      <c r="B2090" t="s">
        <v>2150</v>
      </c>
      <c r="C2090">
        <v>234</v>
      </c>
      <c r="D2090">
        <v>293</v>
      </c>
      <c r="E2090">
        <v>192.593767632386</v>
      </c>
      <c r="F2090">
        <v>0.79857525613754998</v>
      </c>
      <c r="G2090">
        <v>29132.270894517998</v>
      </c>
      <c r="H2090">
        <v>2501.7375470868401</v>
      </c>
      <c r="I2090">
        <v>0.66019370847055603</v>
      </c>
      <c r="J2090">
        <v>5.84925709318624E-2</v>
      </c>
      <c r="K2090">
        <v>0.55564879177202997</v>
      </c>
      <c r="L2090" t="s">
        <v>33</v>
      </c>
      <c r="M2090" t="s">
        <v>34</v>
      </c>
      <c r="N2090" t="s">
        <v>35</v>
      </c>
      <c r="O2090">
        <v>0.68860847136077097</v>
      </c>
      <c r="P2090" t="s">
        <v>36</v>
      </c>
    </row>
    <row r="2091" spans="1:16">
      <c r="A2091">
        <v>2090</v>
      </c>
      <c r="B2091" t="s">
        <v>2151</v>
      </c>
      <c r="C2091">
        <v>210</v>
      </c>
      <c r="D2091">
        <v>196</v>
      </c>
      <c r="E2091">
        <v>194.40843504942401</v>
      </c>
      <c r="F2091">
        <v>1.0752089136490299</v>
      </c>
      <c r="G2091">
        <v>29683.8405425331</v>
      </c>
      <c r="H2091">
        <v>970.28495596522896</v>
      </c>
      <c r="I2091">
        <v>0.72165964251806802</v>
      </c>
      <c r="J2091">
        <v>0.39621540619826401</v>
      </c>
      <c r="K2091">
        <v>0.92263307185556798</v>
      </c>
      <c r="L2091" t="s">
        <v>38</v>
      </c>
      <c r="M2091" t="s">
        <v>34</v>
      </c>
      <c r="N2091" t="s">
        <v>35</v>
      </c>
      <c r="O2091">
        <v>0.75479878422102598</v>
      </c>
      <c r="P2091" t="s">
        <v>36</v>
      </c>
    </row>
    <row r="2092" spans="1:16">
      <c r="A2092">
        <v>2091</v>
      </c>
      <c r="B2092" t="s">
        <v>2152</v>
      </c>
      <c r="C2092">
        <v>219</v>
      </c>
      <c r="D2092">
        <v>315</v>
      </c>
      <c r="E2092">
        <v>196.12335437778799</v>
      </c>
      <c r="F2092">
        <v>0.69503747073390498</v>
      </c>
      <c r="G2092">
        <v>30209.845658223101</v>
      </c>
      <c r="H2092">
        <v>2144.4037215962599</v>
      </c>
      <c r="I2092">
        <v>0.72619367468634799</v>
      </c>
      <c r="J2092">
        <v>8.2555358172055601E-2</v>
      </c>
      <c r="K2092">
        <v>0.57382991818320395</v>
      </c>
      <c r="L2092" t="s">
        <v>38</v>
      </c>
      <c r="M2092" t="s">
        <v>34</v>
      </c>
      <c r="N2092" t="s">
        <v>35</v>
      </c>
      <c r="O2092">
        <v>0.71343427039732898</v>
      </c>
      <c r="P2092" t="s">
        <v>36</v>
      </c>
    </row>
    <row r="2093" spans="1:16">
      <c r="A2093">
        <v>2092</v>
      </c>
      <c r="B2093" t="s">
        <v>2153</v>
      </c>
      <c r="C2093">
        <v>205</v>
      </c>
      <c r="D2093">
        <v>304</v>
      </c>
      <c r="E2093">
        <v>200.56569928630199</v>
      </c>
      <c r="F2093">
        <v>0.67292692029156298</v>
      </c>
      <c r="G2093">
        <v>31593.897547826102</v>
      </c>
      <c r="H2093">
        <v>1984.7164707662801</v>
      </c>
      <c r="I2093">
        <v>0.71514432722259502</v>
      </c>
      <c r="J2093">
        <v>0.100789692880112</v>
      </c>
      <c r="K2093">
        <v>0.66575004384756098</v>
      </c>
      <c r="L2093" t="s">
        <v>38</v>
      </c>
      <c r="M2093" t="s">
        <v>34</v>
      </c>
      <c r="N2093" t="s">
        <v>35</v>
      </c>
      <c r="O2093">
        <v>0.74698175149268298</v>
      </c>
      <c r="P2093" t="s">
        <v>36</v>
      </c>
    </row>
    <row r="2094" spans="1:16">
      <c r="A2094">
        <v>2093</v>
      </c>
      <c r="B2094" t="s">
        <v>2154</v>
      </c>
      <c r="C2094">
        <v>222</v>
      </c>
      <c r="D2094">
        <v>434</v>
      </c>
      <c r="E2094">
        <v>200.58506827187099</v>
      </c>
      <c r="F2094">
        <v>0.51102240023411805</v>
      </c>
      <c r="G2094">
        <v>31600</v>
      </c>
      <c r="H2094">
        <v>1850.9545290470101</v>
      </c>
      <c r="I2094">
        <v>0.70858722050945899</v>
      </c>
      <c r="J2094">
        <v>0.115905874177218</v>
      </c>
      <c r="K2094">
        <v>0.46114556731119999</v>
      </c>
      <c r="L2094" t="s">
        <v>38</v>
      </c>
      <c r="M2094" t="s">
        <v>34</v>
      </c>
      <c r="N2094" t="s">
        <v>35</v>
      </c>
      <c r="O2094">
        <v>0.78105676083494902</v>
      </c>
      <c r="P2094" t="s">
        <v>36</v>
      </c>
    </row>
    <row r="2095" spans="1:16">
      <c r="A2095">
        <v>2094</v>
      </c>
      <c r="B2095" t="s">
        <v>2155</v>
      </c>
      <c r="C2095">
        <v>173</v>
      </c>
      <c r="D2095">
        <v>285</v>
      </c>
      <c r="E2095">
        <v>201.73324101770899</v>
      </c>
      <c r="F2095">
        <v>0.60903895374436301</v>
      </c>
      <c r="G2095">
        <v>31962.799694517998</v>
      </c>
      <c r="H2095">
        <v>1188.2075208844301</v>
      </c>
      <c r="I2095">
        <v>0.60928222544716004</v>
      </c>
      <c r="J2095">
        <v>0.28449201627063098</v>
      </c>
      <c r="K2095">
        <v>0.85154372195977601</v>
      </c>
      <c r="L2095" t="s">
        <v>38</v>
      </c>
      <c r="M2095" t="s">
        <v>34</v>
      </c>
      <c r="N2095" t="s">
        <v>35</v>
      </c>
      <c r="O2095">
        <v>0.69898797038046401</v>
      </c>
      <c r="P2095" t="s">
        <v>36</v>
      </c>
    </row>
    <row r="2096" spans="1:16">
      <c r="A2096">
        <v>2095</v>
      </c>
      <c r="B2096" t="s">
        <v>2156</v>
      </c>
      <c r="C2096">
        <v>244</v>
      </c>
      <c r="D2096">
        <v>381</v>
      </c>
      <c r="E2096">
        <v>206.95070714068399</v>
      </c>
      <c r="F2096">
        <v>0.64135700328732703</v>
      </c>
      <c r="G2096">
        <v>33637.5</v>
      </c>
      <c r="H2096">
        <v>1763.58908593655</v>
      </c>
      <c r="I2096">
        <v>0.65834969004427901</v>
      </c>
      <c r="J2096">
        <v>0.13590604359764899</v>
      </c>
      <c r="K2096">
        <v>0.56379635449402898</v>
      </c>
      <c r="L2096" t="s">
        <v>38</v>
      </c>
      <c r="M2096" t="s">
        <v>34</v>
      </c>
      <c r="N2096" t="s">
        <v>35</v>
      </c>
      <c r="O2096">
        <v>0.67292511045268599</v>
      </c>
      <c r="P2096" t="s">
        <v>36</v>
      </c>
    </row>
    <row r="2097" spans="1:16">
      <c r="A2097">
        <v>2096</v>
      </c>
      <c r="B2097" t="s">
        <v>2157</v>
      </c>
      <c r="C2097">
        <v>364</v>
      </c>
      <c r="D2097">
        <v>214</v>
      </c>
      <c r="E2097">
        <v>207.65749960674501</v>
      </c>
      <c r="F2097">
        <v>1.69858167324239</v>
      </c>
      <c r="G2097">
        <v>33867.654614744803</v>
      </c>
      <c r="H2097">
        <v>1433.6240999588799</v>
      </c>
      <c r="I2097">
        <v>0.63556318088204999</v>
      </c>
      <c r="J2097">
        <v>0.20707344082266699</v>
      </c>
      <c r="K2097">
        <v>0.60770053418888903</v>
      </c>
      <c r="L2097" t="s">
        <v>298</v>
      </c>
      <c r="M2097" t="s">
        <v>34</v>
      </c>
      <c r="N2097" t="s">
        <v>35</v>
      </c>
      <c r="O2097">
        <v>0.83549665559110597</v>
      </c>
      <c r="P2097" t="s">
        <v>36</v>
      </c>
    </row>
    <row r="2098" spans="1:16">
      <c r="A2098">
        <v>2097</v>
      </c>
      <c r="B2098" t="s">
        <v>2158</v>
      </c>
      <c r="C2098">
        <v>166</v>
      </c>
      <c r="D2098">
        <v>372</v>
      </c>
      <c r="E2098">
        <v>213.597742502345</v>
      </c>
      <c r="F2098">
        <v>0.44659735459533501</v>
      </c>
      <c r="G2098">
        <v>35833.002352741001</v>
      </c>
      <c r="H2098">
        <v>1555.0037787322401</v>
      </c>
      <c r="I2098">
        <v>0.74663850781101004</v>
      </c>
      <c r="J2098">
        <v>0.18622164755817999</v>
      </c>
      <c r="K2098">
        <v>0.76766097550102896</v>
      </c>
      <c r="L2098" t="s">
        <v>38</v>
      </c>
      <c r="M2098" t="s">
        <v>34</v>
      </c>
      <c r="N2098" t="s">
        <v>35</v>
      </c>
      <c r="O2098">
        <v>0.81385000304920097</v>
      </c>
      <c r="P2098" t="s">
        <v>36</v>
      </c>
    </row>
    <row r="2099" spans="1:16">
      <c r="A2099">
        <v>2098</v>
      </c>
      <c r="B2099" t="s">
        <v>2159</v>
      </c>
      <c r="C2099">
        <v>320</v>
      </c>
      <c r="D2099">
        <v>310</v>
      </c>
      <c r="E2099">
        <v>222.55541924726899</v>
      </c>
      <c r="F2099">
        <v>1.03334785928954</v>
      </c>
      <c r="G2099">
        <v>38901.489386767498</v>
      </c>
      <c r="H2099">
        <v>4318.3477582560399</v>
      </c>
      <c r="I2099">
        <v>0.55502498212209095</v>
      </c>
      <c r="J2099">
        <v>2.6214457013034102E-2</v>
      </c>
      <c r="K2099">
        <v>0.44955762548544398</v>
      </c>
      <c r="L2099" t="s">
        <v>33</v>
      </c>
      <c r="M2099" t="s">
        <v>34</v>
      </c>
      <c r="N2099" t="s">
        <v>35</v>
      </c>
      <c r="O2099">
        <v>0.67563613922066301</v>
      </c>
      <c r="P2099" t="s">
        <v>36</v>
      </c>
    </row>
    <row r="2100" spans="1:16">
      <c r="A2100">
        <v>2099</v>
      </c>
      <c r="B2100" t="s">
        <v>2160</v>
      </c>
      <c r="C2100">
        <v>267</v>
      </c>
      <c r="D2100">
        <v>225</v>
      </c>
      <c r="E2100">
        <v>227.96778063076599</v>
      </c>
      <c r="F2100">
        <v>1.1839988400993999</v>
      </c>
      <c r="G2100">
        <v>40816.599846124802</v>
      </c>
      <c r="H2100">
        <v>1352.2471086063599</v>
      </c>
      <c r="I2100">
        <v>0.66894882969207203</v>
      </c>
      <c r="J2100">
        <v>0.28050109746686103</v>
      </c>
      <c r="K2100">
        <v>0.84026730228473701</v>
      </c>
      <c r="L2100" t="s">
        <v>38</v>
      </c>
      <c r="M2100" t="s">
        <v>34</v>
      </c>
      <c r="N2100" t="s">
        <v>35</v>
      </c>
      <c r="O2100">
        <v>0.70047250759733903</v>
      </c>
      <c r="P2100" t="s">
        <v>36</v>
      </c>
    </row>
    <row r="2101" spans="1:16">
      <c r="A2101">
        <v>2100</v>
      </c>
      <c r="B2101" t="s">
        <v>2161</v>
      </c>
      <c r="C2101">
        <v>500</v>
      </c>
      <c r="D2101">
        <v>256</v>
      </c>
      <c r="E2101">
        <v>232.07333483685099</v>
      </c>
      <c r="F2101">
        <v>1.95288174804786</v>
      </c>
      <c r="G2101">
        <v>42300</v>
      </c>
      <c r="H2101">
        <v>2282.7921843528702</v>
      </c>
      <c r="I2101">
        <v>0.50472277797678</v>
      </c>
      <c r="J2101">
        <v>0.102004064557585</v>
      </c>
      <c r="K2101">
        <v>0.47993192454970901</v>
      </c>
      <c r="L2101" t="s">
        <v>43</v>
      </c>
      <c r="M2101" t="s">
        <v>34</v>
      </c>
      <c r="N2101" t="s">
        <v>35</v>
      </c>
      <c r="O2101">
        <v>0.69958692313694404</v>
      </c>
      <c r="P2101" t="s">
        <v>36</v>
      </c>
    </row>
    <row r="2102" spans="1:16">
      <c r="A2102">
        <v>2101</v>
      </c>
      <c r="B2102" t="s">
        <v>2162</v>
      </c>
      <c r="C2102">
        <v>474</v>
      </c>
      <c r="D2102">
        <v>201</v>
      </c>
      <c r="E2102">
        <v>234.223630071298</v>
      </c>
      <c r="F2102">
        <v>2.3598907732751302</v>
      </c>
      <c r="G2102">
        <v>43087.5</v>
      </c>
      <c r="H2102">
        <v>1939.44695055485</v>
      </c>
      <c r="I2102">
        <v>0.86406639278961295</v>
      </c>
      <c r="J2102">
        <v>0.143947905680229</v>
      </c>
      <c r="K2102">
        <v>0.60336075617013796</v>
      </c>
      <c r="L2102" t="s">
        <v>38</v>
      </c>
      <c r="M2102" t="s">
        <v>34</v>
      </c>
      <c r="N2102" t="s">
        <v>35</v>
      </c>
      <c r="O2102">
        <v>0.72745909794228103</v>
      </c>
      <c r="P2102" t="s">
        <v>36</v>
      </c>
    </row>
    <row r="2103" spans="1:16">
      <c r="A2103">
        <v>2102</v>
      </c>
      <c r="B2103" t="s">
        <v>2163</v>
      </c>
      <c r="C2103">
        <v>421</v>
      </c>
      <c r="D2103">
        <v>218</v>
      </c>
      <c r="E2103">
        <v>234.3844480034</v>
      </c>
      <c r="F2103">
        <v>1.9307959485171999</v>
      </c>
      <c r="G2103">
        <v>43146.688062759902</v>
      </c>
      <c r="H2103">
        <v>2769.31364195575</v>
      </c>
      <c r="I2103">
        <v>0.78474732209103903</v>
      </c>
      <c r="J2103">
        <v>7.0698962201163298E-2</v>
      </c>
      <c r="K2103">
        <v>0.57251214370095405</v>
      </c>
      <c r="L2103" t="s">
        <v>74</v>
      </c>
      <c r="M2103" t="s">
        <v>34</v>
      </c>
      <c r="N2103" t="s">
        <v>35</v>
      </c>
      <c r="O2103">
        <v>0.71625146569635001</v>
      </c>
      <c r="P2103" t="s">
        <v>36</v>
      </c>
    </row>
    <row r="2104" spans="1:16">
      <c r="A2104">
        <v>2103</v>
      </c>
      <c r="B2104" t="s">
        <v>2164</v>
      </c>
      <c r="C2104">
        <v>249</v>
      </c>
      <c r="D2104">
        <v>235</v>
      </c>
      <c r="E2104">
        <v>241.343106337081</v>
      </c>
      <c r="F2104">
        <v>1.0582529075771701</v>
      </c>
      <c r="G2104">
        <v>45746.690178828001</v>
      </c>
      <c r="H2104">
        <v>1173.1833202124701</v>
      </c>
      <c r="I2104">
        <v>0.66752691646503004</v>
      </c>
      <c r="J2104">
        <v>0.417674327860797</v>
      </c>
      <c r="K2104">
        <v>0.92203143067696403</v>
      </c>
      <c r="L2104" t="s">
        <v>38</v>
      </c>
      <c r="M2104" t="s">
        <v>34</v>
      </c>
      <c r="N2104" t="s">
        <v>35</v>
      </c>
      <c r="O2104">
        <v>0.77920332886735599</v>
      </c>
      <c r="P2104" t="s">
        <v>36</v>
      </c>
    </row>
    <row r="2105" spans="1:16">
      <c r="A2105">
        <v>2104</v>
      </c>
      <c r="B2105" t="s">
        <v>2165</v>
      </c>
      <c r="C2105">
        <v>400</v>
      </c>
      <c r="D2105">
        <v>261</v>
      </c>
      <c r="E2105">
        <v>246.53858271433899</v>
      </c>
      <c r="F2105">
        <v>1.5308292546456099</v>
      </c>
      <c r="G2105">
        <v>47737.5</v>
      </c>
      <c r="H2105">
        <v>1649.03064906597</v>
      </c>
      <c r="I2105">
        <v>0.395262623247707</v>
      </c>
      <c r="J2105">
        <v>0.22060333836065199</v>
      </c>
      <c r="K2105">
        <v>0.64750762970498499</v>
      </c>
      <c r="L2105" t="s">
        <v>1038</v>
      </c>
      <c r="M2105" t="s">
        <v>34</v>
      </c>
      <c r="N2105" t="s">
        <v>35</v>
      </c>
      <c r="O2105">
        <v>0.62959790606744603</v>
      </c>
      <c r="P2105" t="s">
        <v>36</v>
      </c>
    </row>
    <row r="2106" spans="1:16">
      <c r="A2106">
        <v>2105</v>
      </c>
      <c r="B2106" t="s">
        <v>2166</v>
      </c>
      <c r="C2106">
        <v>182</v>
      </c>
      <c r="D2106">
        <v>419</v>
      </c>
      <c r="E2106">
        <v>253.571680219077</v>
      </c>
      <c r="F2106">
        <v>0.43445846206737898</v>
      </c>
      <c r="G2106">
        <v>50500</v>
      </c>
      <c r="H2106">
        <v>1272.2539567947399</v>
      </c>
      <c r="I2106">
        <v>0.88919953519606798</v>
      </c>
      <c r="J2106">
        <v>0.39206098047723498</v>
      </c>
      <c r="K2106">
        <v>0.80366023473244497</v>
      </c>
      <c r="L2106" t="s">
        <v>38</v>
      </c>
      <c r="M2106" t="s">
        <v>34</v>
      </c>
      <c r="N2106" t="s">
        <v>35</v>
      </c>
      <c r="O2106">
        <v>0.68115168698720696</v>
      </c>
      <c r="P2106" t="s">
        <v>36</v>
      </c>
    </row>
    <row r="2107" spans="1:16">
      <c r="A2107">
        <v>2106</v>
      </c>
      <c r="B2107" t="s">
        <v>2167</v>
      </c>
      <c r="C2107">
        <v>498</v>
      </c>
      <c r="D2107">
        <v>242</v>
      </c>
      <c r="E2107">
        <v>255.38538658086699</v>
      </c>
      <c r="F2107">
        <v>2.0605124729282398</v>
      </c>
      <c r="G2107">
        <v>51225</v>
      </c>
      <c r="H2107">
        <v>2127.2286951541901</v>
      </c>
      <c r="I2107">
        <v>0.57890363976705195</v>
      </c>
      <c r="J2107">
        <v>0.14225366541776399</v>
      </c>
      <c r="K2107">
        <v>0.554008381776396</v>
      </c>
      <c r="L2107" t="s">
        <v>38</v>
      </c>
      <c r="M2107" t="s">
        <v>34</v>
      </c>
      <c r="N2107" t="s">
        <v>35</v>
      </c>
      <c r="O2107">
        <v>0.81499564050858297</v>
      </c>
      <c r="P2107" t="s">
        <v>36</v>
      </c>
    </row>
    <row r="2108" spans="1:16">
      <c r="A2108">
        <v>2107</v>
      </c>
      <c r="B2108" t="s">
        <v>2168</v>
      </c>
      <c r="C2108">
        <v>431</v>
      </c>
      <c r="D2108">
        <v>270</v>
      </c>
      <c r="E2108">
        <v>257.866118797708</v>
      </c>
      <c r="F2108">
        <v>1.5988700848553301</v>
      </c>
      <c r="G2108">
        <v>52225</v>
      </c>
      <c r="H2108">
        <v>2236.2236428260799</v>
      </c>
      <c r="I2108">
        <v>0.48386103308632999</v>
      </c>
      <c r="J2108">
        <v>0.131237468067603</v>
      </c>
      <c r="K2108">
        <v>0.54224529526281595</v>
      </c>
      <c r="L2108" t="s">
        <v>38</v>
      </c>
      <c r="M2108" t="s">
        <v>34</v>
      </c>
      <c r="N2108" t="s">
        <v>35</v>
      </c>
      <c r="O2108">
        <v>0.73262860049052203</v>
      </c>
      <c r="P2108" t="s">
        <v>36</v>
      </c>
    </row>
    <row r="2109" spans="1:16">
      <c r="A2109">
        <v>2108</v>
      </c>
      <c r="B2109" t="s">
        <v>2169</v>
      </c>
      <c r="C2109">
        <v>428</v>
      </c>
      <c r="D2109">
        <v>359</v>
      </c>
      <c r="E2109">
        <v>260.99485750361299</v>
      </c>
      <c r="F2109">
        <v>1.1917870737305101</v>
      </c>
      <c r="G2109">
        <v>53500</v>
      </c>
      <c r="H2109">
        <v>2130.6601536274002</v>
      </c>
      <c r="I2109">
        <v>0.63516622677105705</v>
      </c>
      <c r="J2109">
        <v>0.14809325473643001</v>
      </c>
      <c r="K2109">
        <v>0.51973284760170002</v>
      </c>
      <c r="L2109" t="s">
        <v>38</v>
      </c>
      <c r="M2109" t="s">
        <v>34</v>
      </c>
      <c r="N2109" t="s">
        <v>35</v>
      </c>
      <c r="O2109">
        <v>0.67644254079884902</v>
      </c>
      <c r="P2109" t="s">
        <v>36</v>
      </c>
    </row>
    <row r="2110" spans="1:16">
      <c r="A2110">
        <v>2109</v>
      </c>
      <c r="B2110" t="s">
        <v>2170</v>
      </c>
      <c r="C2110">
        <v>473</v>
      </c>
      <c r="D2110">
        <v>299</v>
      </c>
      <c r="E2110">
        <v>262.51493359195899</v>
      </c>
      <c r="F2110">
        <v>1.5839540042812901</v>
      </c>
      <c r="G2110">
        <v>54125</v>
      </c>
      <c r="H2110">
        <v>2223.7972366809799</v>
      </c>
      <c r="I2110">
        <v>0.62512555954490001</v>
      </c>
      <c r="J2110">
        <v>0.137536320310993</v>
      </c>
      <c r="K2110">
        <v>0.52676399026763998</v>
      </c>
      <c r="L2110" t="s">
        <v>33</v>
      </c>
      <c r="M2110" t="s">
        <v>34</v>
      </c>
      <c r="N2110" t="s">
        <v>35</v>
      </c>
      <c r="O2110">
        <v>0.61507284076403801</v>
      </c>
      <c r="P2110" t="s">
        <v>36</v>
      </c>
    </row>
    <row r="2111" spans="1:16">
      <c r="A2111">
        <v>2110</v>
      </c>
      <c r="B2111" t="s">
        <v>2171</v>
      </c>
      <c r="C2111">
        <v>489</v>
      </c>
      <c r="D2111">
        <v>247</v>
      </c>
      <c r="E2111">
        <v>265.588913131418</v>
      </c>
      <c r="F2111">
        <v>1.97801834525968</v>
      </c>
      <c r="G2111">
        <v>55400</v>
      </c>
      <c r="H2111">
        <v>2262.0815074443799</v>
      </c>
      <c r="I2111">
        <v>0.51332735245071004</v>
      </c>
      <c r="J2111">
        <v>0.136051435974225</v>
      </c>
      <c r="K2111">
        <v>0.591248665955176</v>
      </c>
      <c r="L2111" t="s">
        <v>38</v>
      </c>
      <c r="M2111" t="s">
        <v>34</v>
      </c>
      <c r="N2111" t="s">
        <v>35</v>
      </c>
      <c r="O2111">
        <v>0.71442668454123204</v>
      </c>
      <c r="P2111" t="s">
        <v>36</v>
      </c>
    </row>
    <row r="2112" spans="1:16">
      <c r="A2112">
        <v>2111</v>
      </c>
      <c r="B2112" t="s">
        <v>2172</v>
      </c>
      <c r="C2112">
        <v>587</v>
      </c>
      <c r="D2112">
        <v>250</v>
      </c>
      <c r="E2112">
        <v>273.093402214082</v>
      </c>
      <c r="F2112">
        <v>2.34819715301736</v>
      </c>
      <c r="G2112">
        <v>58575</v>
      </c>
      <c r="H2112">
        <v>2631.0764551162702</v>
      </c>
      <c r="I2112">
        <v>0.83223877550657899</v>
      </c>
      <c r="J2112">
        <v>0.10632985579043901</v>
      </c>
      <c r="K2112">
        <v>0.55305086746134802</v>
      </c>
      <c r="L2112" t="s">
        <v>47</v>
      </c>
      <c r="M2112" t="s">
        <v>34</v>
      </c>
      <c r="N2112" t="s">
        <v>35</v>
      </c>
      <c r="O2112">
        <v>0.87637600868021903</v>
      </c>
      <c r="P2112" t="s">
        <v>36</v>
      </c>
    </row>
    <row r="2113" spans="1:16">
      <c r="A2113">
        <v>2112</v>
      </c>
      <c r="B2113" t="s">
        <v>2173</v>
      </c>
      <c r="C2113">
        <v>373</v>
      </c>
      <c r="D2113">
        <v>232</v>
      </c>
      <c r="E2113">
        <v>273.26818200938999</v>
      </c>
      <c r="F2113">
        <v>1.61042940716842</v>
      </c>
      <c r="G2113">
        <v>58650</v>
      </c>
      <c r="H2113">
        <v>1324.68036293983</v>
      </c>
      <c r="I2113">
        <v>0.73039875586444103</v>
      </c>
      <c r="J2113">
        <v>0.420006182929828</v>
      </c>
      <c r="K2113">
        <v>0.85200653713455599</v>
      </c>
      <c r="L2113" t="s">
        <v>33</v>
      </c>
      <c r="M2113" t="s">
        <v>34</v>
      </c>
      <c r="N2113" t="s">
        <v>35</v>
      </c>
      <c r="O2113">
        <v>0.70738792688168195</v>
      </c>
      <c r="P2113" t="s">
        <v>36</v>
      </c>
    </row>
    <row r="2114" spans="1:16">
      <c r="A2114">
        <v>2113</v>
      </c>
      <c r="B2114" t="s">
        <v>2174</v>
      </c>
      <c r="C2114">
        <v>238</v>
      </c>
      <c r="D2114">
        <v>399</v>
      </c>
      <c r="E2114">
        <v>273.58832163694098</v>
      </c>
      <c r="F2114">
        <v>0.59709998550997001</v>
      </c>
      <c r="G2114">
        <v>58787.5</v>
      </c>
      <c r="H2114">
        <v>1800.45200288296</v>
      </c>
      <c r="I2114">
        <v>0.87668366340263404</v>
      </c>
      <c r="J2114">
        <v>0.22789340599260999</v>
      </c>
      <c r="K2114">
        <v>0.74449897103055296</v>
      </c>
      <c r="L2114" t="s">
        <v>38</v>
      </c>
      <c r="M2114" t="s">
        <v>34</v>
      </c>
      <c r="N2114" t="s">
        <v>35</v>
      </c>
      <c r="O2114">
        <v>0.81445961879218698</v>
      </c>
      <c r="P2114" t="s">
        <v>36</v>
      </c>
    </row>
    <row r="2115" spans="1:16">
      <c r="A2115">
        <v>2114</v>
      </c>
      <c r="B2115" t="s">
        <v>2175</v>
      </c>
      <c r="C2115">
        <v>510</v>
      </c>
      <c r="D2115">
        <v>228</v>
      </c>
      <c r="E2115">
        <v>275.09666562900401</v>
      </c>
      <c r="F2115">
        <v>2.23940673425209</v>
      </c>
      <c r="G2115">
        <v>59437.5</v>
      </c>
      <c r="H2115">
        <v>2544.7160643339198</v>
      </c>
      <c r="I2115">
        <v>0.822952668951902</v>
      </c>
      <c r="J2115">
        <v>0.11534313079508</v>
      </c>
      <c r="K2115">
        <v>0.61370676303562199</v>
      </c>
      <c r="L2115" t="s">
        <v>38</v>
      </c>
      <c r="M2115" t="s">
        <v>34</v>
      </c>
      <c r="N2115" t="s">
        <v>35</v>
      </c>
      <c r="O2115">
        <v>0.782191725195584</v>
      </c>
      <c r="P2115" t="s">
        <v>36</v>
      </c>
    </row>
    <row r="2116" spans="1:16">
      <c r="A2116">
        <v>2115</v>
      </c>
      <c r="B2116" t="s">
        <v>2176</v>
      </c>
      <c r="C2116">
        <v>251</v>
      </c>
      <c r="D2116">
        <v>349</v>
      </c>
      <c r="E2116">
        <v>277.02800139861699</v>
      </c>
      <c r="F2116">
        <v>0.71884992389769697</v>
      </c>
      <c r="G2116">
        <v>60275</v>
      </c>
      <c r="H2116">
        <v>1389.5331752300301</v>
      </c>
      <c r="I2116">
        <v>0.85004422637257804</v>
      </c>
      <c r="J2116">
        <v>0.39229181147792902</v>
      </c>
      <c r="K2116">
        <v>0.80919617385467402</v>
      </c>
      <c r="L2116" t="s">
        <v>38</v>
      </c>
      <c r="M2116" t="s">
        <v>34</v>
      </c>
      <c r="N2116" t="s">
        <v>35</v>
      </c>
      <c r="O2116">
        <v>0.74918562006539402</v>
      </c>
      <c r="P2116" t="s">
        <v>36</v>
      </c>
    </row>
    <row r="2117" spans="1:16">
      <c r="A2117">
        <v>2116</v>
      </c>
      <c r="B2117" t="s">
        <v>2177</v>
      </c>
      <c r="C2117">
        <v>644</v>
      </c>
      <c r="D2117">
        <v>295</v>
      </c>
      <c r="E2117">
        <v>278.14603688884398</v>
      </c>
      <c r="F2117">
        <v>2.1818184168022898</v>
      </c>
      <c r="G2117">
        <v>60762.5</v>
      </c>
      <c r="H2117">
        <v>2878.1475228071199</v>
      </c>
      <c r="I2117">
        <v>0.72367116315798796</v>
      </c>
      <c r="J2117">
        <v>9.2176326714839801E-2</v>
      </c>
      <c r="K2117">
        <v>0.47359703819173798</v>
      </c>
      <c r="L2117" t="s">
        <v>38</v>
      </c>
      <c r="M2117" t="s">
        <v>34</v>
      </c>
      <c r="N2117" t="s">
        <v>35</v>
      </c>
      <c r="O2117">
        <v>0.78309662651090395</v>
      </c>
      <c r="P2117" t="s">
        <v>36</v>
      </c>
    </row>
    <row r="2118" spans="1:16">
      <c r="A2118">
        <v>2117</v>
      </c>
      <c r="B2118" t="s">
        <v>2178</v>
      </c>
      <c r="C2118">
        <v>511</v>
      </c>
      <c r="D2118">
        <v>319</v>
      </c>
      <c r="E2118">
        <v>280.11316810229499</v>
      </c>
      <c r="F2118">
        <v>1.6008300586230499</v>
      </c>
      <c r="G2118">
        <v>61625</v>
      </c>
      <c r="H2118">
        <v>1962.375882864</v>
      </c>
      <c r="I2118">
        <v>0.77106514268247694</v>
      </c>
      <c r="J2118">
        <v>0.201095522358402</v>
      </c>
      <c r="K2118">
        <v>0.56073703366697003</v>
      </c>
      <c r="L2118" t="s">
        <v>38</v>
      </c>
      <c r="M2118" t="s">
        <v>34</v>
      </c>
      <c r="N2118" t="s">
        <v>35</v>
      </c>
      <c r="O2118">
        <v>0.82157786547526301</v>
      </c>
      <c r="P2118" t="s">
        <v>36</v>
      </c>
    </row>
    <row r="2119" spans="1:16">
      <c r="A2119">
        <v>2118</v>
      </c>
      <c r="B2119" t="s">
        <v>2179</v>
      </c>
      <c r="C2119">
        <v>380</v>
      </c>
      <c r="D2119">
        <v>299</v>
      </c>
      <c r="E2119">
        <v>281.67133175264701</v>
      </c>
      <c r="F2119">
        <v>1.27213596027111</v>
      </c>
      <c r="G2119">
        <v>62312.5</v>
      </c>
      <c r="H2119">
        <v>1938.7362736463499</v>
      </c>
      <c r="I2119">
        <v>0.753569796495133</v>
      </c>
      <c r="J2119">
        <v>0.20832796312332399</v>
      </c>
      <c r="K2119">
        <v>0.66832015015417601</v>
      </c>
      <c r="L2119" t="s">
        <v>38</v>
      </c>
      <c r="M2119" t="s">
        <v>34</v>
      </c>
      <c r="N2119" t="s">
        <v>35</v>
      </c>
      <c r="O2119">
        <v>0.785410755714821</v>
      </c>
      <c r="P2119" t="s">
        <v>36</v>
      </c>
    </row>
    <row r="2120" spans="1:16">
      <c r="A2120">
        <v>2119</v>
      </c>
      <c r="B2120" t="s">
        <v>2180</v>
      </c>
      <c r="C2120">
        <v>320</v>
      </c>
      <c r="D2120">
        <v>449</v>
      </c>
      <c r="E2120">
        <v>291.55557807282901</v>
      </c>
      <c r="F2120">
        <v>0.71144287938977002</v>
      </c>
      <c r="G2120">
        <v>66762.5</v>
      </c>
      <c r="H2120">
        <v>2146.0154920816399</v>
      </c>
      <c r="I2120">
        <v>0.65826612367951898</v>
      </c>
      <c r="J2120">
        <v>0.18216995429851199</v>
      </c>
      <c r="K2120">
        <v>0.56321839080459801</v>
      </c>
      <c r="L2120" t="s">
        <v>38</v>
      </c>
      <c r="M2120" t="s">
        <v>34</v>
      </c>
      <c r="N2120" t="s">
        <v>35</v>
      </c>
      <c r="O2120">
        <v>0.76236314976153996</v>
      </c>
      <c r="P2120" t="s">
        <v>36</v>
      </c>
    </row>
    <row r="2121" spans="1:16">
      <c r="A2121">
        <v>2120</v>
      </c>
      <c r="B2121" t="s">
        <v>2181</v>
      </c>
      <c r="C2121">
        <v>350</v>
      </c>
      <c r="D2121">
        <v>286</v>
      </c>
      <c r="E2121">
        <v>292.53651549936802</v>
      </c>
      <c r="F2121">
        <v>1.22155321074448</v>
      </c>
      <c r="G2121">
        <v>67212.5</v>
      </c>
      <c r="H2121">
        <v>1365.89356601238</v>
      </c>
      <c r="I2121">
        <v>0.67954440330709898</v>
      </c>
      <c r="J2121">
        <v>0.45271636608370802</v>
      </c>
      <c r="K2121">
        <v>0.85308583214342404</v>
      </c>
      <c r="L2121" t="s">
        <v>38</v>
      </c>
      <c r="M2121" t="s">
        <v>34</v>
      </c>
      <c r="N2121" t="s">
        <v>35</v>
      </c>
      <c r="O2121">
        <v>0.69207441806227898</v>
      </c>
      <c r="P2121" t="s">
        <v>36</v>
      </c>
    </row>
    <row r="2122" spans="1:16">
      <c r="A2122">
        <v>2121</v>
      </c>
      <c r="B2122" t="s">
        <v>2182</v>
      </c>
      <c r="C2122">
        <v>310</v>
      </c>
      <c r="D2122">
        <v>449</v>
      </c>
      <c r="E2122">
        <v>294.299371441071</v>
      </c>
      <c r="F2122">
        <v>0.69016390673442496</v>
      </c>
      <c r="G2122">
        <v>68025</v>
      </c>
      <c r="H2122">
        <v>2003.0865597724901</v>
      </c>
      <c r="I2122">
        <v>0.88170328660223296</v>
      </c>
      <c r="J2122">
        <v>0.213048745153151</v>
      </c>
      <c r="K2122">
        <v>0.63264357126249704</v>
      </c>
      <c r="L2122" t="s">
        <v>38</v>
      </c>
      <c r="M2122" t="s">
        <v>34</v>
      </c>
      <c r="N2122" t="s">
        <v>35</v>
      </c>
      <c r="O2122">
        <v>0.814137891075428</v>
      </c>
      <c r="P2122" t="s">
        <v>36</v>
      </c>
    </row>
    <row r="2123" spans="1:16">
      <c r="A2123">
        <v>2122</v>
      </c>
      <c r="B2123" t="s">
        <v>2183</v>
      </c>
      <c r="C2123">
        <v>648</v>
      </c>
      <c r="D2123">
        <v>231</v>
      </c>
      <c r="E2123">
        <v>302.69704448177902</v>
      </c>
      <c r="F2123">
        <v>2.8048628524145101</v>
      </c>
      <c r="G2123">
        <v>71962.5</v>
      </c>
      <c r="H2123">
        <v>2407.4368458986301</v>
      </c>
      <c r="I2123">
        <v>0.52683917108092704</v>
      </c>
      <c r="J2123">
        <v>0.15602935033804599</v>
      </c>
      <c r="K2123">
        <v>0.63796542553191504</v>
      </c>
      <c r="L2123" t="s">
        <v>33</v>
      </c>
      <c r="M2123" t="s">
        <v>34</v>
      </c>
      <c r="N2123" t="s">
        <v>35</v>
      </c>
      <c r="O2123">
        <v>0.68279614739382199</v>
      </c>
      <c r="P2123" t="s">
        <v>36</v>
      </c>
    </row>
    <row r="2124" spans="1:16">
      <c r="A2124">
        <v>2123</v>
      </c>
      <c r="B2124" t="s">
        <v>2184</v>
      </c>
      <c r="C2124">
        <v>405</v>
      </c>
      <c r="D2124">
        <v>278</v>
      </c>
      <c r="E2124">
        <v>304.479481001642</v>
      </c>
      <c r="F2124">
        <v>1.4588038032769399</v>
      </c>
      <c r="G2124">
        <v>72812.5</v>
      </c>
      <c r="H2124">
        <v>1331.75143063068</v>
      </c>
      <c r="I2124">
        <v>0.64610720329024396</v>
      </c>
      <c r="J2124">
        <v>0.515904674257056</v>
      </c>
      <c r="K2124">
        <v>0.85548538698780996</v>
      </c>
      <c r="L2124" t="s">
        <v>38</v>
      </c>
      <c r="M2124" t="s">
        <v>34</v>
      </c>
      <c r="N2124" t="s">
        <v>35</v>
      </c>
      <c r="O2124">
        <v>0.80856698048177</v>
      </c>
      <c r="P2124" t="s">
        <v>36</v>
      </c>
    </row>
    <row r="2125" spans="1:16">
      <c r="A2125">
        <v>2124</v>
      </c>
      <c r="B2125" t="s">
        <v>2185</v>
      </c>
      <c r="C2125">
        <v>298</v>
      </c>
      <c r="D2125">
        <v>353</v>
      </c>
      <c r="E2125">
        <v>305.96558225828699</v>
      </c>
      <c r="F2125">
        <v>0.84472883312173097</v>
      </c>
      <c r="G2125">
        <v>73525</v>
      </c>
      <c r="H2125">
        <v>1614.3859875202199</v>
      </c>
      <c r="I2125">
        <v>0.79940148178826897</v>
      </c>
      <c r="J2125">
        <v>0.35451134547317797</v>
      </c>
      <c r="K2125">
        <v>0.77721987315010599</v>
      </c>
      <c r="L2125" t="s">
        <v>38</v>
      </c>
      <c r="M2125" t="s">
        <v>34</v>
      </c>
      <c r="N2125" t="s">
        <v>35</v>
      </c>
      <c r="O2125">
        <v>0.82250270606544895</v>
      </c>
      <c r="P2125" t="s">
        <v>36</v>
      </c>
    </row>
    <row r="2126" spans="1:16">
      <c r="A2126">
        <v>2125</v>
      </c>
      <c r="B2126" t="s">
        <v>2186</v>
      </c>
      <c r="C2126">
        <v>498</v>
      </c>
      <c r="D2126">
        <v>340</v>
      </c>
      <c r="E2126">
        <v>307.15964947381298</v>
      </c>
      <c r="F2126">
        <v>1.4636324002955801</v>
      </c>
      <c r="G2126">
        <v>74100</v>
      </c>
      <c r="H2126">
        <v>2752.4978089332599</v>
      </c>
      <c r="I2126">
        <v>0.68669537773004696</v>
      </c>
      <c r="J2126">
        <v>0.122906289633124</v>
      </c>
      <c r="K2126">
        <v>0.54280743521655495</v>
      </c>
      <c r="L2126" t="s">
        <v>38</v>
      </c>
      <c r="M2126" t="s">
        <v>34</v>
      </c>
      <c r="N2126" t="s">
        <v>35</v>
      </c>
      <c r="O2126">
        <v>0.79989172976992196</v>
      </c>
      <c r="P2126" t="s">
        <v>36</v>
      </c>
    </row>
    <row r="2127" spans="1:16">
      <c r="A2127">
        <v>2126</v>
      </c>
      <c r="B2127" t="s">
        <v>2187</v>
      </c>
      <c r="C2127">
        <v>287</v>
      </c>
      <c r="D2127">
        <v>443</v>
      </c>
      <c r="E2127">
        <v>307.26326210940402</v>
      </c>
      <c r="F2127">
        <v>0.64797817490837095</v>
      </c>
      <c r="G2127">
        <v>74150</v>
      </c>
      <c r="H2127">
        <v>2087.2286951541901</v>
      </c>
      <c r="I2127">
        <v>0.86165977835035201</v>
      </c>
      <c r="J2127">
        <v>0.213885304218354</v>
      </c>
      <c r="K2127">
        <v>0.73652843307673199</v>
      </c>
      <c r="L2127" t="s">
        <v>211</v>
      </c>
      <c r="M2127" t="s">
        <v>34</v>
      </c>
      <c r="N2127" t="s">
        <v>35</v>
      </c>
      <c r="O2127">
        <v>0.63496672674715404</v>
      </c>
      <c r="P2127" t="s">
        <v>36</v>
      </c>
    </row>
    <row r="2128" spans="1:16">
      <c r="A2128">
        <v>2127</v>
      </c>
      <c r="B2128" t="s">
        <v>2188</v>
      </c>
      <c r="C2128">
        <v>501</v>
      </c>
      <c r="D2128">
        <v>331</v>
      </c>
      <c r="E2128">
        <v>309.99637842866201</v>
      </c>
      <c r="F2128">
        <v>1.5126153226386601</v>
      </c>
      <c r="G2128">
        <v>75475</v>
      </c>
      <c r="H2128">
        <v>3205.3405165672302</v>
      </c>
      <c r="I2128">
        <v>0.780318730824485</v>
      </c>
      <c r="J2128">
        <v>9.2313377155237505E-2</v>
      </c>
      <c r="K2128">
        <v>0.588040514218933</v>
      </c>
      <c r="L2128" t="s">
        <v>38</v>
      </c>
      <c r="M2128" t="s">
        <v>34</v>
      </c>
      <c r="N2128" t="s">
        <v>35</v>
      </c>
      <c r="O2128">
        <v>0.716206031999709</v>
      </c>
      <c r="P2128" t="s">
        <v>36</v>
      </c>
    </row>
    <row r="2129" spans="1:16">
      <c r="A2129">
        <v>2128</v>
      </c>
      <c r="B2129" t="s">
        <v>2189</v>
      </c>
      <c r="C2129">
        <v>615</v>
      </c>
      <c r="D2129">
        <v>261</v>
      </c>
      <c r="E2129">
        <v>319.427979388491</v>
      </c>
      <c r="F2129">
        <v>2.36148425086949</v>
      </c>
      <c r="G2129">
        <v>80137.5</v>
      </c>
      <c r="H2129">
        <v>2424.0053874254199</v>
      </c>
      <c r="I2129">
        <v>0.70793748739456197</v>
      </c>
      <c r="J2129">
        <v>0.17138724293954599</v>
      </c>
      <c r="K2129">
        <v>0.58515881708652795</v>
      </c>
      <c r="L2129" t="s">
        <v>38</v>
      </c>
      <c r="M2129" t="s">
        <v>34</v>
      </c>
      <c r="N2129" t="s">
        <v>35</v>
      </c>
      <c r="O2129">
        <v>0.77983912878263895</v>
      </c>
      <c r="P2129" t="s">
        <v>36</v>
      </c>
    </row>
    <row r="2130" spans="1:16">
      <c r="A2130">
        <v>2129</v>
      </c>
      <c r="B2130" t="s">
        <v>2190</v>
      </c>
      <c r="C2130">
        <v>384</v>
      </c>
      <c r="D2130">
        <v>330</v>
      </c>
      <c r="E2130">
        <v>319.776564082709</v>
      </c>
      <c r="F2130">
        <v>1.16436257814134</v>
      </c>
      <c r="G2130">
        <v>80312.5</v>
      </c>
      <c r="H2130">
        <v>1477.31491982937</v>
      </c>
      <c r="I2130">
        <v>0.64249512990670199</v>
      </c>
      <c r="J2130">
        <v>0.46243089459154402</v>
      </c>
      <c r="K2130">
        <v>0.834307232826906</v>
      </c>
      <c r="L2130" t="s">
        <v>33</v>
      </c>
      <c r="M2130" t="s">
        <v>34</v>
      </c>
      <c r="N2130" t="s">
        <v>35</v>
      </c>
      <c r="O2130">
        <v>0.68134188727217504</v>
      </c>
      <c r="P2130" t="s">
        <v>36</v>
      </c>
    </row>
    <row r="2131" spans="1:16">
      <c r="A2131">
        <v>2130</v>
      </c>
      <c r="B2131" t="s">
        <v>2191</v>
      </c>
      <c r="C2131">
        <v>322</v>
      </c>
      <c r="D2131">
        <v>461</v>
      </c>
      <c r="E2131">
        <v>320.72081273327399</v>
      </c>
      <c r="F2131">
        <v>0.700046880694431</v>
      </c>
      <c r="G2131">
        <v>80787.5</v>
      </c>
      <c r="H2131">
        <v>1902.8784090280501</v>
      </c>
      <c r="I2131">
        <v>0.83732842909321104</v>
      </c>
      <c r="J2131">
        <v>0.28037026756162797</v>
      </c>
      <c r="K2131">
        <v>0.72781531531531496</v>
      </c>
      <c r="L2131" t="s">
        <v>211</v>
      </c>
      <c r="M2131" t="s">
        <v>34</v>
      </c>
      <c r="N2131" t="s">
        <v>35</v>
      </c>
      <c r="O2131">
        <v>0.66804942402011802</v>
      </c>
      <c r="P2131" t="s">
        <v>36</v>
      </c>
    </row>
    <row r="2132" spans="1:16">
      <c r="A2132">
        <v>2131</v>
      </c>
      <c r="B2132" t="s">
        <v>2192</v>
      </c>
      <c r="C2132">
        <v>307</v>
      </c>
      <c r="D2132">
        <v>509</v>
      </c>
      <c r="E2132">
        <v>321.04320760033397</v>
      </c>
      <c r="F2132">
        <v>0.60284063964818602</v>
      </c>
      <c r="G2132">
        <v>80950</v>
      </c>
      <c r="H2132">
        <v>1840.9545290470101</v>
      </c>
      <c r="I2132">
        <v>0.80622562308716905</v>
      </c>
      <c r="J2132">
        <v>0.30015155226136198</v>
      </c>
      <c r="K2132">
        <v>0.69829631227086497</v>
      </c>
      <c r="L2132" t="s">
        <v>38</v>
      </c>
      <c r="M2132" t="s">
        <v>34</v>
      </c>
      <c r="N2132" t="s">
        <v>35</v>
      </c>
      <c r="O2132">
        <v>0.70890428646604497</v>
      </c>
      <c r="P2132" t="s">
        <v>36</v>
      </c>
    </row>
    <row r="2133" spans="1:16">
      <c r="A2133">
        <v>2132</v>
      </c>
      <c r="B2133" t="s">
        <v>2193</v>
      </c>
      <c r="C2133">
        <v>299</v>
      </c>
      <c r="D2133">
        <v>639</v>
      </c>
      <c r="E2133">
        <v>325.42541255001498</v>
      </c>
      <c r="F2133">
        <v>0.46696182333755298</v>
      </c>
      <c r="G2133">
        <v>83175</v>
      </c>
      <c r="H2133">
        <v>2199.9494767188999</v>
      </c>
      <c r="I2133">
        <v>0.85985500850441199</v>
      </c>
      <c r="J2133">
        <v>0.21596195953882799</v>
      </c>
      <c r="K2133">
        <v>0.67471101196511896</v>
      </c>
      <c r="L2133" t="s">
        <v>33</v>
      </c>
      <c r="M2133" t="s">
        <v>34</v>
      </c>
      <c r="N2133" t="s">
        <v>35</v>
      </c>
      <c r="O2133">
        <v>0.68470385261709499</v>
      </c>
      <c r="P2133" t="s">
        <v>36</v>
      </c>
    </row>
    <row r="2134" spans="1:16">
      <c r="A2134">
        <v>2133</v>
      </c>
      <c r="B2134" t="s">
        <v>2194</v>
      </c>
      <c r="C2134">
        <v>293</v>
      </c>
      <c r="D2134">
        <v>651</v>
      </c>
      <c r="E2134">
        <v>328.97623212397701</v>
      </c>
      <c r="F2134">
        <v>0.451086987116052</v>
      </c>
      <c r="G2134">
        <v>85000</v>
      </c>
      <c r="H2134">
        <v>2470.3657782077798</v>
      </c>
      <c r="I2134">
        <v>0.92310952280134295</v>
      </c>
      <c r="J2134">
        <v>0.17502749002104501</v>
      </c>
      <c r="K2134">
        <v>0.58737151248164499</v>
      </c>
      <c r="L2134" t="s">
        <v>38</v>
      </c>
      <c r="M2134" t="s">
        <v>34</v>
      </c>
      <c r="N2134" t="s">
        <v>35</v>
      </c>
      <c r="O2134">
        <v>0.69519763113310795</v>
      </c>
      <c r="P2134" t="s">
        <v>36</v>
      </c>
    </row>
    <row r="2135" spans="1:16">
      <c r="A2135">
        <v>2134</v>
      </c>
      <c r="B2135" t="s">
        <v>2195</v>
      </c>
      <c r="C2135">
        <v>374</v>
      </c>
      <c r="D2135">
        <v>505</v>
      </c>
      <c r="E2135">
        <v>330.64109002031603</v>
      </c>
      <c r="F2135">
        <v>0.740619618380013</v>
      </c>
      <c r="G2135">
        <v>85862.5</v>
      </c>
      <c r="H2135">
        <v>2990.9902304410898</v>
      </c>
      <c r="I2135">
        <v>0.725755067292012</v>
      </c>
      <c r="J2135">
        <v>0.120610024154129</v>
      </c>
      <c r="K2135">
        <v>0.590881720430108</v>
      </c>
      <c r="L2135" t="s">
        <v>38</v>
      </c>
      <c r="M2135" t="s">
        <v>34</v>
      </c>
      <c r="N2135" t="s">
        <v>35</v>
      </c>
      <c r="O2135">
        <v>0.70136310673884505</v>
      </c>
      <c r="P2135" t="s">
        <v>36</v>
      </c>
    </row>
    <row r="2136" spans="1:16">
      <c r="A2136">
        <v>2135</v>
      </c>
      <c r="B2136" t="s">
        <v>2196</v>
      </c>
      <c r="C2136">
        <v>420</v>
      </c>
      <c r="D2136">
        <v>545</v>
      </c>
      <c r="E2136">
        <v>338.23153769933202</v>
      </c>
      <c r="F2136">
        <v>0.769728608717417</v>
      </c>
      <c r="G2136">
        <v>89850</v>
      </c>
      <c r="H2136">
        <v>3694.751765728</v>
      </c>
      <c r="I2136">
        <v>0.81029965833875695</v>
      </c>
      <c r="J2136">
        <v>8.2709884575497203E-2</v>
      </c>
      <c r="K2136">
        <v>0.49592935007589301</v>
      </c>
      <c r="L2136" t="s">
        <v>38</v>
      </c>
      <c r="M2136" t="s">
        <v>34</v>
      </c>
      <c r="N2136" t="s">
        <v>35</v>
      </c>
      <c r="O2136">
        <v>0.82269771800701896</v>
      </c>
      <c r="P2136" t="s">
        <v>36</v>
      </c>
    </row>
    <row r="2137" spans="1:16">
      <c r="A2137">
        <v>2136</v>
      </c>
      <c r="B2137" t="s">
        <v>2197</v>
      </c>
      <c r="C2137">
        <v>343</v>
      </c>
      <c r="D2137">
        <v>527</v>
      </c>
      <c r="E2137">
        <v>339.85105885047398</v>
      </c>
      <c r="F2137">
        <v>0.64988778575297002</v>
      </c>
      <c r="G2137">
        <v>90712.5</v>
      </c>
      <c r="H2137">
        <v>2053.58908593655</v>
      </c>
      <c r="I2137">
        <v>0.87898641853094395</v>
      </c>
      <c r="J2137">
        <v>0.270302401996665</v>
      </c>
      <c r="K2137">
        <v>0.70696541646371203</v>
      </c>
      <c r="L2137" t="s">
        <v>38</v>
      </c>
      <c r="M2137" t="s">
        <v>34</v>
      </c>
      <c r="N2137" t="s">
        <v>35</v>
      </c>
      <c r="O2137">
        <v>0.77251947909936702</v>
      </c>
      <c r="P2137" t="s">
        <v>36</v>
      </c>
    </row>
    <row r="2138" spans="1:16">
      <c r="A2138">
        <v>2137</v>
      </c>
      <c r="B2138" t="s">
        <v>2198</v>
      </c>
      <c r="C2138">
        <v>598</v>
      </c>
      <c r="D2138">
        <v>274</v>
      </c>
      <c r="E2138">
        <v>341.81229311386699</v>
      </c>
      <c r="F2138">
        <v>2.18284956260608</v>
      </c>
      <c r="G2138">
        <v>91762.5</v>
      </c>
      <c r="H2138">
        <v>2166.7261689901402</v>
      </c>
      <c r="I2138">
        <v>0.70874123152731705</v>
      </c>
      <c r="J2138">
        <v>0.24562187587821199</v>
      </c>
      <c r="K2138">
        <v>0.71251091914976195</v>
      </c>
      <c r="L2138" t="s">
        <v>38</v>
      </c>
      <c r="M2138" t="s">
        <v>34</v>
      </c>
      <c r="N2138" t="s">
        <v>35</v>
      </c>
      <c r="O2138">
        <v>0.74825862489030004</v>
      </c>
      <c r="P2138" t="s">
        <v>36</v>
      </c>
    </row>
    <row r="2139" spans="1:16">
      <c r="A2139">
        <v>2138</v>
      </c>
      <c r="B2139" t="s">
        <v>2199</v>
      </c>
      <c r="C2139">
        <v>336</v>
      </c>
      <c r="D2139">
        <v>646</v>
      </c>
      <c r="E2139">
        <v>348.22428281456098</v>
      </c>
      <c r="F2139">
        <v>0.52010939529936295</v>
      </c>
      <c r="G2139">
        <v>95237.5</v>
      </c>
      <c r="H2139">
        <v>3092.7059596776999</v>
      </c>
      <c r="I2139">
        <v>0.75193090231921</v>
      </c>
      <c r="J2139">
        <v>0.12512399093740501</v>
      </c>
      <c r="K2139">
        <v>0.51706820495419104</v>
      </c>
      <c r="L2139" t="s">
        <v>74</v>
      </c>
      <c r="M2139" t="s">
        <v>34</v>
      </c>
      <c r="N2139" t="s">
        <v>35</v>
      </c>
      <c r="O2139">
        <v>0.68909169372741397</v>
      </c>
      <c r="P2139" t="s">
        <v>36</v>
      </c>
    </row>
    <row r="2140" spans="1:16">
      <c r="A2140">
        <v>2139</v>
      </c>
      <c r="B2140" t="s">
        <v>2200</v>
      </c>
      <c r="C2140">
        <v>512</v>
      </c>
      <c r="D2140">
        <v>330</v>
      </c>
      <c r="E2140">
        <v>349.04599831089001</v>
      </c>
      <c r="F2140">
        <v>1.55118121063777</v>
      </c>
      <c r="G2140">
        <v>95687.5</v>
      </c>
      <c r="H2140">
        <v>2650.5739289522198</v>
      </c>
      <c r="I2140">
        <v>0.58029726361123801</v>
      </c>
      <c r="J2140">
        <v>0.17115328070093699</v>
      </c>
      <c r="K2140">
        <v>0.68445994277539302</v>
      </c>
      <c r="L2140" t="s">
        <v>38</v>
      </c>
      <c r="M2140" t="s">
        <v>34</v>
      </c>
      <c r="N2140" t="s">
        <v>35</v>
      </c>
      <c r="O2140">
        <v>0.67822029666406503</v>
      </c>
      <c r="P2140" t="s">
        <v>36</v>
      </c>
    </row>
    <row r="2141" spans="1:16">
      <c r="A2141">
        <v>2140</v>
      </c>
      <c r="B2141" t="s">
        <v>2201</v>
      </c>
      <c r="C2141">
        <v>358</v>
      </c>
      <c r="D2141">
        <v>409</v>
      </c>
      <c r="E2141">
        <v>349.50167213195101</v>
      </c>
      <c r="F2141">
        <v>0.87530556053248698</v>
      </c>
      <c r="G2141">
        <v>95937.5</v>
      </c>
      <c r="H2141">
        <v>2000.1576274633401</v>
      </c>
      <c r="I2141">
        <v>0.71700652313965096</v>
      </c>
      <c r="J2141">
        <v>0.30134904244676902</v>
      </c>
      <c r="K2141">
        <v>0.83916466214738705</v>
      </c>
      <c r="L2141" t="s">
        <v>38</v>
      </c>
      <c r="M2141" t="s">
        <v>34</v>
      </c>
      <c r="N2141" t="s">
        <v>35</v>
      </c>
      <c r="O2141">
        <v>0.76235585258574501</v>
      </c>
      <c r="P2141" t="s">
        <v>36</v>
      </c>
    </row>
    <row r="2142" spans="1:16">
      <c r="A2142">
        <v>2141</v>
      </c>
      <c r="B2142" t="s">
        <v>2202</v>
      </c>
      <c r="C2142">
        <v>585</v>
      </c>
      <c r="D2142">
        <v>380</v>
      </c>
      <c r="E2142">
        <v>352.40403246076198</v>
      </c>
      <c r="F2142">
        <v>1.5394643115418001</v>
      </c>
      <c r="G2142">
        <v>97537.5</v>
      </c>
      <c r="H2142">
        <v>2876.8480950593898</v>
      </c>
      <c r="I2142">
        <v>0.75889942588178105</v>
      </c>
      <c r="J2142">
        <v>0.14809746430224999</v>
      </c>
      <c r="K2142">
        <v>0.58859470468431796</v>
      </c>
      <c r="L2142" t="s">
        <v>33</v>
      </c>
      <c r="M2142" t="s">
        <v>34</v>
      </c>
      <c r="N2142" t="s">
        <v>35</v>
      </c>
      <c r="O2142">
        <v>0.74521936771861697</v>
      </c>
      <c r="P2142" t="s">
        <v>36</v>
      </c>
    </row>
    <row r="2143" spans="1:16">
      <c r="A2143">
        <v>2142</v>
      </c>
      <c r="B2143" t="s">
        <v>2203</v>
      </c>
      <c r="C2143">
        <v>412</v>
      </c>
      <c r="D2143">
        <v>397</v>
      </c>
      <c r="E2143">
        <v>354.16099538306401</v>
      </c>
      <c r="F2143">
        <v>1.0382021504888801</v>
      </c>
      <c r="G2143">
        <v>98512.5</v>
      </c>
      <c r="H2143">
        <v>1951.16267979145</v>
      </c>
      <c r="I2143">
        <v>0.73189855645004098</v>
      </c>
      <c r="J2143">
        <v>0.32517282452872598</v>
      </c>
      <c r="K2143">
        <v>0.809719510942156</v>
      </c>
      <c r="L2143" t="s">
        <v>38</v>
      </c>
      <c r="M2143" t="s">
        <v>34</v>
      </c>
      <c r="N2143" t="s">
        <v>35</v>
      </c>
      <c r="O2143">
        <v>0.70193132314596896</v>
      </c>
      <c r="P2143" t="s">
        <v>36</v>
      </c>
    </row>
    <row r="2144" spans="1:16">
      <c r="A2144">
        <v>2143</v>
      </c>
      <c r="B2144" t="s">
        <v>2204</v>
      </c>
      <c r="C2144">
        <v>818</v>
      </c>
      <c r="D2144">
        <v>322</v>
      </c>
      <c r="E2144">
        <v>358.49353766379897</v>
      </c>
      <c r="F2144">
        <v>2.5451060084358801</v>
      </c>
      <c r="G2144">
        <v>100937.5</v>
      </c>
      <c r="H2144">
        <v>3951.1121565103499</v>
      </c>
      <c r="I2144">
        <v>0.80052870902522</v>
      </c>
      <c r="J2144">
        <v>8.1250060400484297E-2</v>
      </c>
      <c r="K2144">
        <v>0.51534877784159805</v>
      </c>
      <c r="L2144" t="s">
        <v>38</v>
      </c>
      <c r="M2144" t="s">
        <v>34</v>
      </c>
      <c r="N2144" t="s">
        <v>35</v>
      </c>
      <c r="O2144">
        <v>0.75569086681531505</v>
      </c>
      <c r="P2144" t="s">
        <v>36</v>
      </c>
    </row>
    <row r="2145" spans="1:16">
      <c r="A2145">
        <v>2144</v>
      </c>
      <c r="B2145" t="s">
        <v>2205</v>
      </c>
      <c r="C2145">
        <v>329</v>
      </c>
      <c r="D2145">
        <v>600</v>
      </c>
      <c r="E2145">
        <v>358.71544640536098</v>
      </c>
      <c r="F2145">
        <v>0.54767642035950703</v>
      </c>
      <c r="G2145">
        <v>101062.5</v>
      </c>
      <c r="H2145">
        <v>2514.7160643339198</v>
      </c>
      <c r="I2145">
        <v>0.84116637805948702</v>
      </c>
      <c r="J2145">
        <v>0.20082694834536999</v>
      </c>
      <c r="K2145">
        <v>0.68925831202045995</v>
      </c>
      <c r="L2145" t="s">
        <v>38</v>
      </c>
      <c r="M2145" t="s">
        <v>34</v>
      </c>
      <c r="N2145" t="s">
        <v>35</v>
      </c>
      <c r="O2145">
        <v>0.70843370533587202</v>
      </c>
      <c r="P2145" t="s">
        <v>36</v>
      </c>
    </row>
    <row r="2146" spans="1:16">
      <c r="A2146">
        <v>2145</v>
      </c>
      <c r="B2146" t="s">
        <v>2206</v>
      </c>
      <c r="C2146">
        <v>634</v>
      </c>
      <c r="D2146">
        <v>342</v>
      </c>
      <c r="E2146">
        <v>375.40871341495699</v>
      </c>
      <c r="F2146">
        <v>1.85421150804326</v>
      </c>
      <c r="G2146">
        <v>110687.5</v>
      </c>
      <c r="H2146">
        <v>2863.7110120058101</v>
      </c>
      <c r="I2146">
        <v>0.65002475875259502</v>
      </c>
      <c r="J2146">
        <v>0.169609456888031</v>
      </c>
      <c r="K2146">
        <v>0.68194070080862501</v>
      </c>
      <c r="L2146" t="s">
        <v>288</v>
      </c>
      <c r="M2146" t="s">
        <v>34</v>
      </c>
      <c r="N2146" t="s">
        <v>35</v>
      </c>
      <c r="O2146">
        <v>0.70021573162315398</v>
      </c>
      <c r="P2146" t="s">
        <v>36</v>
      </c>
    </row>
    <row r="2147" spans="1:16">
      <c r="A2147">
        <v>2146</v>
      </c>
      <c r="B2147" t="s">
        <v>2207</v>
      </c>
      <c r="C2147">
        <v>486</v>
      </c>
      <c r="D2147">
        <v>786</v>
      </c>
      <c r="E2147">
        <v>398.50320226705003</v>
      </c>
      <c r="F2147">
        <v>0.61834448999267699</v>
      </c>
      <c r="G2147">
        <v>124725</v>
      </c>
      <c r="H2147">
        <v>4402.4472856521597</v>
      </c>
      <c r="I2147">
        <v>0.72055064027495297</v>
      </c>
      <c r="J2147">
        <v>8.0867691876680206E-2</v>
      </c>
      <c r="K2147">
        <v>0.48429840314517297</v>
      </c>
      <c r="L2147" t="s">
        <v>38</v>
      </c>
      <c r="M2147" t="s">
        <v>34</v>
      </c>
      <c r="N2147" t="s">
        <v>35</v>
      </c>
      <c r="O2147">
        <v>0.73784500938293196</v>
      </c>
      <c r="P2147" t="s">
        <v>36</v>
      </c>
    </row>
    <row r="2148" spans="1:16">
      <c r="A2148">
        <v>2147</v>
      </c>
      <c r="B2148" t="s">
        <v>2208</v>
      </c>
      <c r="C2148">
        <v>523</v>
      </c>
      <c r="D2148">
        <v>523</v>
      </c>
      <c r="E2148">
        <v>403.30677137870703</v>
      </c>
      <c r="F2148">
        <v>1</v>
      </c>
      <c r="G2148">
        <v>127750</v>
      </c>
      <c r="H2148">
        <v>3946.4674949646001</v>
      </c>
      <c r="I2148">
        <v>0.68664323303231201</v>
      </c>
      <c r="J2148">
        <v>0.103075087617632</v>
      </c>
      <c r="K2148">
        <v>0.57344854673998402</v>
      </c>
      <c r="L2148" t="s">
        <v>38</v>
      </c>
      <c r="M2148" t="s">
        <v>34</v>
      </c>
      <c r="N2148" t="s">
        <v>35</v>
      </c>
      <c r="O2148">
        <v>0.73818828296164996</v>
      </c>
      <c r="P2148" t="s">
        <v>36</v>
      </c>
    </row>
    <row r="2149" spans="1:16">
      <c r="A2149">
        <v>2148</v>
      </c>
      <c r="B2149" t="s">
        <v>2209</v>
      </c>
      <c r="C2149">
        <v>637</v>
      </c>
      <c r="D2149">
        <v>501</v>
      </c>
      <c r="E2149">
        <v>416.832641924097</v>
      </c>
      <c r="F2149">
        <v>1.2718411250520301</v>
      </c>
      <c r="G2149">
        <v>136462.5</v>
      </c>
      <c r="H2149">
        <v>3613.8329380750702</v>
      </c>
      <c r="I2149">
        <v>0.50612485053813805</v>
      </c>
      <c r="J2149">
        <v>0.13130674737919601</v>
      </c>
      <c r="K2149">
        <v>0.59399314434952899</v>
      </c>
      <c r="L2149" t="s">
        <v>33</v>
      </c>
      <c r="M2149" t="s">
        <v>34</v>
      </c>
      <c r="N2149" t="s">
        <v>35</v>
      </c>
      <c r="O2149">
        <v>0.73036060717336504</v>
      </c>
      <c r="P2149" t="s">
        <v>36</v>
      </c>
    </row>
    <row r="2150" spans="1:16">
      <c r="A2150">
        <v>2149</v>
      </c>
      <c r="B2150" t="s">
        <v>2210</v>
      </c>
      <c r="C2150">
        <v>298</v>
      </c>
      <c r="D2150">
        <v>768</v>
      </c>
      <c r="E2150">
        <v>418.47124618546098</v>
      </c>
      <c r="F2150">
        <v>0.38787228244043298</v>
      </c>
      <c r="G2150">
        <v>137537.5</v>
      </c>
      <c r="H2150">
        <v>2423.2947105169301</v>
      </c>
      <c r="I2150">
        <v>0.89169170005091702</v>
      </c>
      <c r="J2150">
        <v>0.29431915048926199</v>
      </c>
      <c r="K2150">
        <v>0.72699041955731702</v>
      </c>
      <c r="L2150" t="s">
        <v>38</v>
      </c>
      <c r="M2150" t="s">
        <v>34</v>
      </c>
      <c r="N2150" t="s">
        <v>35</v>
      </c>
      <c r="O2150">
        <v>0.79058093714213196</v>
      </c>
      <c r="P2150" t="s">
        <v>36</v>
      </c>
    </row>
    <row r="2151" spans="1:16">
      <c r="A2151">
        <v>2150</v>
      </c>
      <c r="B2151" t="s">
        <v>2211</v>
      </c>
      <c r="C2151">
        <v>508</v>
      </c>
      <c r="D2151">
        <v>703</v>
      </c>
      <c r="E2151">
        <v>423.10457335009301</v>
      </c>
      <c r="F2151">
        <v>0.72328001535029995</v>
      </c>
      <c r="G2151">
        <v>140600</v>
      </c>
      <c r="H2151">
        <v>5017.0057225227401</v>
      </c>
      <c r="I2151">
        <v>0.78193696898140497</v>
      </c>
      <c r="J2151">
        <v>7.0194969862918594E-2</v>
      </c>
      <c r="K2151">
        <v>0.53250011835440003</v>
      </c>
      <c r="L2151" t="s">
        <v>49</v>
      </c>
      <c r="M2151" t="s">
        <v>34</v>
      </c>
      <c r="N2151" t="s">
        <v>35</v>
      </c>
      <c r="O2151">
        <v>0.72205926869316595</v>
      </c>
      <c r="P2151" t="s">
        <v>36</v>
      </c>
    </row>
    <row r="2152" spans="1:16">
      <c r="A2152">
        <v>2151</v>
      </c>
      <c r="B2152" t="s">
        <v>2212</v>
      </c>
      <c r="C2152">
        <v>397</v>
      </c>
      <c r="D2152">
        <v>644</v>
      </c>
      <c r="E2152">
        <v>423.16099356236901</v>
      </c>
      <c r="F2152">
        <v>0.61582457548554403</v>
      </c>
      <c r="G2152">
        <v>140637.5</v>
      </c>
      <c r="H2152">
        <v>3115.1323658227898</v>
      </c>
      <c r="I2152">
        <v>0.78362893696156599</v>
      </c>
      <c r="J2152">
        <v>0.18212014672405799</v>
      </c>
      <c r="K2152">
        <v>0.67435866698633395</v>
      </c>
      <c r="L2152" t="s">
        <v>38</v>
      </c>
      <c r="M2152" t="s">
        <v>34</v>
      </c>
      <c r="N2152" t="s">
        <v>35</v>
      </c>
      <c r="O2152">
        <v>0.70614777147336105</v>
      </c>
      <c r="P2152" t="s">
        <v>36</v>
      </c>
    </row>
    <row r="2153" spans="1:16">
      <c r="A2153">
        <v>2152</v>
      </c>
      <c r="B2153" t="s">
        <v>2213</v>
      </c>
      <c r="C2153">
        <v>821</v>
      </c>
      <c r="D2153">
        <v>401</v>
      </c>
      <c r="E2153">
        <v>427.18503923846299</v>
      </c>
      <c r="F2153">
        <v>2.0471652764354999</v>
      </c>
      <c r="G2153">
        <v>143325</v>
      </c>
      <c r="H2153">
        <v>4343.7467133998898</v>
      </c>
      <c r="I2153">
        <v>0.58701151003645502</v>
      </c>
      <c r="J2153">
        <v>9.5455911228325696E-2</v>
      </c>
      <c r="K2153">
        <v>0.607953340402969</v>
      </c>
      <c r="L2153" t="s">
        <v>38</v>
      </c>
      <c r="M2153" t="s">
        <v>34</v>
      </c>
      <c r="N2153" t="s">
        <v>35</v>
      </c>
      <c r="O2153">
        <v>0.85814689739642602</v>
      </c>
      <c r="P2153" t="s">
        <v>36</v>
      </c>
    </row>
    <row r="2154" spans="1:16">
      <c r="A2154">
        <v>2153</v>
      </c>
      <c r="B2154" t="s">
        <v>2214</v>
      </c>
      <c r="C2154">
        <v>762</v>
      </c>
      <c r="D2154">
        <v>344</v>
      </c>
      <c r="E2154">
        <v>431.22689562290799</v>
      </c>
      <c r="F2154">
        <v>2.2136021616243502</v>
      </c>
      <c r="G2154">
        <v>146050</v>
      </c>
      <c r="H2154">
        <v>3547.0562458038298</v>
      </c>
      <c r="I2154">
        <v>0.73153687299790304</v>
      </c>
      <c r="J2154">
        <v>0.145873121038084</v>
      </c>
      <c r="K2154">
        <v>0.67130135018672799</v>
      </c>
      <c r="L2154" t="s">
        <v>38</v>
      </c>
      <c r="M2154" t="s">
        <v>34</v>
      </c>
      <c r="N2154" t="s">
        <v>35</v>
      </c>
      <c r="O2154">
        <v>0.78915547238296802</v>
      </c>
      <c r="P2154" t="s">
        <v>36</v>
      </c>
    </row>
    <row r="2155" spans="1:16">
      <c r="A2155">
        <v>2154</v>
      </c>
      <c r="B2155" t="s">
        <v>2215</v>
      </c>
      <c r="C2155">
        <v>501</v>
      </c>
      <c r="D2155">
        <v>465</v>
      </c>
      <c r="E2155">
        <v>442.34046506867998</v>
      </c>
      <c r="F2155">
        <v>1.07632365968535</v>
      </c>
      <c r="G2155">
        <v>153675</v>
      </c>
      <c r="H2155">
        <v>2375.51296591759</v>
      </c>
      <c r="I2155">
        <v>0.75537677484213905</v>
      </c>
      <c r="J2155">
        <v>0.34221439620344002</v>
      </c>
      <c r="K2155">
        <v>0.786866359447005</v>
      </c>
      <c r="L2155" t="s">
        <v>38</v>
      </c>
      <c r="M2155" t="s">
        <v>34</v>
      </c>
      <c r="N2155" t="s">
        <v>35</v>
      </c>
      <c r="O2155">
        <v>0.77267892931781701</v>
      </c>
      <c r="P2155" t="s">
        <v>36</v>
      </c>
    </row>
    <row r="2156" spans="1:16">
      <c r="A2156">
        <v>2155</v>
      </c>
      <c r="B2156" t="s">
        <v>2216</v>
      </c>
      <c r="C2156">
        <v>651</v>
      </c>
      <c r="D2156">
        <v>574</v>
      </c>
      <c r="E2156">
        <v>443.418557004246</v>
      </c>
      <c r="F2156">
        <v>1.1339327358614799</v>
      </c>
      <c r="G2156">
        <v>154425</v>
      </c>
      <c r="H2156">
        <v>4527.5944733619699</v>
      </c>
      <c r="I2156">
        <v>0.81961458182685998</v>
      </c>
      <c r="J2156">
        <v>9.4665652301499897E-2</v>
      </c>
      <c r="K2156">
        <v>0.58870621872766304</v>
      </c>
      <c r="L2156" t="s">
        <v>33</v>
      </c>
      <c r="M2156" t="s">
        <v>34</v>
      </c>
      <c r="N2156" t="s">
        <v>35</v>
      </c>
      <c r="O2156">
        <v>0.67226540637920595</v>
      </c>
      <c r="P2156" t="s">
        <v>36</v>
      </c>
    </row>
    <row r="2157" spans="1:16">
      <c r="A2157">
        <v>2156</v>
      </c>
      <c r="B2157" t="s">
        <v>2217</v>
      </c>
      <c r="C2157">
        <v>814</v>
      </c>
      <c r="D2157">
        <v>481</v>
      </c>
      <c r="E2157">
        <v>444.20749480994999</v>
      </c>
      <c r="F2157">
        <v>1.69122114566608</v>
      </c>
      <c r="G2157">
        <v>154975</v>
      </c>
      <c r="H2157">
        <v>3675.0461411476099</v>
      </c>
      <c r="I2157">
        <v>0.439968318599466</v>
      </c>
      <c r="J2157">
        <v>0.14419357743261299</v>
      </c>
      <c r="K2157">
        <v>0.55534154535274405</v>
      </c>
      <c r="L2157" t="s">
        <v>38</v>
      </c>
      <c r="M2157" t="s">
        <v>34</v>
      </c>
      <c r="N2157" t="s">
        <v>35</v>
      </c>
      <c r="O2157">
        <v>0.71321343781341395</v>
      </c>
      <c r="P2157" t="s">
        <v>36</v>
      </c>
    </row>
    <row r="2158" spans="1:16">
      <c r="A2158">
        <v>2157</v>
      </c>
      <c r="B2158" t="s">
        <v>2218</v>
      </c>
      <c r="C2158">
        <v>737</v>
      </c>
      <c r="D2158">
        <v>457</v>
      </c>
      <c r="E2158">
        <v>453.40979256275602</v>
      </c>
      <c r="F2158">
        <v>1.61454537254571</v>
      </c>
      <c r="G2158">
        <v>161462.5</v>
      </c>
      <c r="H2158">
        <v>3431.7009073495901</v>
      </c>
      <c r="I2158">
        <v>0.66775901993508902</v>
      </c>
      <c r="J2158">
        <v>0.172291034043448</v>
      </c>
      <c r="K2158">
        <v>0.64912809688929096</v>
      </c>
      <c r="L2158" t="s">
        <v>38</v>
      </c>
      <c r="M2158" t="s">
        <v>34</v>
      </c>
      <c r="N2158" t="s">
        <v>35</v>
      </c>
      <c r="O2158">
        <v>0.80033198252986903</v>
      </c>
      <c r="P2158" t="s">
        <v>36</v>
      </c>
    </row>
    <row r="2159" spans="1:16">
      <c r="A2159">
        <v>2158</v>
      </c>
      <c r="B2159" t="s">
        <v>2219</v>
      </c>
      <c r="C2159">
        <v>708</v>
      </c>
      <c r="D2159">
        <v>427</v>
      </c>
      <c r="E2159">
        <v>453.88341932499497</v>
      </c>
      <c r="F2159">
        <v>1.66001555826334</v>
      </c>
      <c r="G2159">
        <v>161800</v>
      </c>
      <c r="H2159">
        <v>3980.3152549266802</v>
      </c>
      <c r="I2159">
        <v>0.57459467871441094</v>
      </c>
      <c r="J2159">
        <v>0.128337459841742</v>
      </c>
      <c r="K2159">
        <v>0.61316911416390296</v>
      </c>
      <c r="L2159" t="s">
        <v>33</v>
      </c>
      <c r="M2159" t="s">
        <v>34</v>
      </c>
      <c r="N2159" t="s">
        <v>35</v>
      </c>
      <c r="O2159">
        <v>0.71821354495001699</v>
      </c>
      <c r="P2159" t="s">
        <v>36</v>
      </c>
    </row>
    <row r="2160" spans="1:16">
      <c r="A2160">
        <v>2159</v>
      </c>
      <c r="B2160" t="s">
        <v>2220</v>
      </c>
      <c r="C2160">
        <v>559</v>
      </c>
      <c r="D2160">
        <v>719</v>
      </c>
      <c r="E2160">
        <v>456.47086598808198</v>
      </c>
      <c r="F2160">
        <v>0.77715293734185698</v>
      </c>
      <c r="G2160">
        <v>163650</v>
      </c>
      <c r="H2160">
        <v>5033.57426404953</v>
      </c>
      <c r="I2160">
        <v>0.83703823713580205</v>
      </c>
      <c r="J2160">
        <v>8.1165769941326696E-2</v>
      </c>
      <c r="K2160">
        <v>0.59868300713371103</v>
      </c>
      <c r="L2160" t="s">
        <v>33</v>
      </c>
      <c r="M2160" t="s">
        <v>34</v>
      </c>
      <c r="N2160" t="s">
        <v>35</v>
      </c>
      <c r="O2160">
        <v>0.68299483981889597</v>
      </c>
      <c r="P2160" t="s">
        <v>36</v>
      </c>
    </row>
    <row r="2161" spans="1:17">
      <c r="A2161">
        <v>2160</v>
      </c>
      <c r="B2161" t="s">
        <v>2221</v>
      </c>
      <c r="C2161">
        <v>570</v>
      </c>
      <c r="D2161">
        <v>468</v>
      </c>
      <c r="E2161">
        <v>458.17613418663598</v>
      </c>
      <c r="F2161">
        <v>1.21649764036623</v>
      </c>
      <c r="G2161">
        <v>164875</v>
      </c>
      <c r="H2161">
        <v>2730.07140278816</v>
      </c>
      <c r="I2161">
        <v>0.64145335181530905</v>
      </c>
      <c r="J2161">
        <v>0.27798199087363901</v>
      </c>
      <c r="K2161">
        <v>0.80697460997246895</v>
      </c>
      <c r="L2161" t="s">
        <v>38</v>
      </c>
      <c r="M2161" t="s">
        <v>34</v>
      </c>
      <c r="N2161" t="s">
        <v>35</v>
      </c>
      <c r="O2161">
        <v>0.71872824936708102</v>
      </c>
      <c r="P2161" t="s">
        <v>36</v>
      </c>
    </row>
    <row r="2162" spans="1:17">
      <c r="A2162">
        <v>2161</v>
      </c>
      <c r="B2162" t="s">
        <v>2222</v>
      </c>
      <c r="C2162">
        <v>343</v>
      </c>
      <c r="D2162">
        <v>792</v>
      </c>
      <c r="E2162">
        <v>459.77124248331899</v>
      </c>
      <c r="F2162">
        <v>0.43234503743033098</v>
      </c>
      <c r="G2162">
        <v>166025</v>
      </c>
      <c r="H2162">
        <v>3124.6298396587399</v>
      </c>
      <c r="I2162">
        <v>0.86611541381791801</v>
      </c>
      <c r="J2162">
        <v>0.213690985115563</v>
      </c>
      <c r="K2162">
        <v>0.758364736782003</v>
      </c>
      <c r="L2162" t="s">
        <v>38</v>
      </c>
      <c r="M2162" t="s">
        <v>34</v>
      </c>
      <c r="N2162" t="s">
        <v>35</v>
      </c>
      <c r="O2162">
        <v>0.72696907911956499</v>
      </c>
      <c r="P2162" t="s">
        <v>36</v>
      </c>
    </row>
    <row r="2163" spans="1:17">
      <c r="A2163">
        <v>2162</v>
      </c>
      <c r="B2163" t="s">
        <v>2223</v>
      </c>
      <c r="C2163">
        <v>837</v>
      </c>
      <c r="D2163">
        <v>464</v>
      </c>
      <c r="E2163">
        <v>462.06748009114199</v>
      </c>
      <c r="F2163">
        <v>1.80332910224053</v>
      </c>
      <c r="G2163">
        <v>167687.5</v>
      </c>
      <c r="H2163">
        <v>4166.6756457090396</v>
      </c>
      <c r="I2163">
        <v>0.54960863862196097</v>
      </c>
      <c r="J2163">
        <v>0.121375537368084</v>
      </c>
      <c r="K2163">
        <v>0.58631993006993</v>
      </c>
      <c r="L2163" t="s">
        <v>43</v>
      </c>
      <c r="M2163" t="s">
        <v>34</v>
      </c>
      <c r="N2163" t="s">
        <v>35</v>
      </c>
      <c r="O2163">
        <v>0.72428233481108195</v>
      </c>
      <c r="P2163" t="s">
        <v>36</v>
      </c>
    </row>
    <row r="2164" spans="1:17">
      <c r="A2164">
        <v>2163</v>
      </c>
      <c r="B2164" t="s">
        <v>2224</v>
      </c>
      <c r="C2164">
        <v>785</v>
      </c>
      <c r="D2164">
        <v>452</v>
      </c>
      <c r="E2164">
        <v>463.37450698681698</v>
      </c>
      <c r="F2164">
        <v>1.7378723466036501</v>
      </c>
      <c r="G2164">
        <v>168637.5</v>
      </c>
      <c r="H2164">
        <v>4188.0969995260202</v>
      </c>
      <c r="I2164">
        <v>0.70873449045346304</v>
      </c>
      <c r="J2164">
        <v>0.120817697789913</v>
      </c>
      <c r="K2164">
        <v>0.64291841402973704</v>
      </c>
      <c r="L2164" t="s">
        <v>38</v>
      </c>
      <c r="M2164" t="s">
        <v>34</v>
      </c>
      <c r="N2164" t="s">
        <v>35</v>
      </c>
      <c r="O2164">
        <v>0.76142105125688397</v>
      </c>
      <c r="P2164" t="s">
        <v>36</v>
      </c>
    </row>
    <row r="2165" spans="1:17">
      <c r="A2165">
        <v>2164</v>
      </c>
      <c r="B2165" t="s">
        <v>2225</v>
      </c>
      <c r="C2165">
        <v>881</v>
      </c>
      <c r="D2165">
        <v>827</v>
      </c>
      <c r="E2165">
        <v>478.13194858448702</v>
      </c>
      <c r="F2165">
        <v>1.06493726242999</v>
      </c>
      <c r="G2165">
        <v>179550</v>
      </c>
      <c r="H2165">
        <v>6161.9804608821896</v>
      </c>
      <c r="I2165">
        <v>0.75084087067605898</v>
      </c>
      <c r="J2165">
        <v>5.9423009050226502E-2</v>
      </c>
      <c r="K2165">
        <v>0.36694341550644999</v>
      </c>
      <c r="L2165" t="s">
        <v>331</v>
      </c>
      <c r="M2165" t="s">
        <v>34</v>
      </c>
      <c r="N2165" t="s">
        <v>35</v>
      </c>
      <c r="O2165">
        <v>0.67848457375193805</v>
      </c>
      <c r="P2165" t="s">
        <v>36</v>
      </c>
    </row>
    <row r="2166" spans="1:17">
      <c r="A2166">
        <v>2165</v>
      </c>
      <c r="B2166" t="s">
        <v>2226</v>
      </c>
      <c r="C2166">
        <v>699</v>
      </c>
      <c r="D2166">
        <v>448</v>
      </c>
      <c r="E2166">
        <v>482.93441957150202</v>
      </c>
      <c r="F2166">
        <v>1.56039569437133</v>
      </c>
      <c r="G2166">
        <v>183175</v>
      </c>
      <c r="H2166">
        <v>3057.3506212234502</v>
      </c>
      <c r="I2166">
        <v>0.721068528749642</v>
      </c>
      <c r="J2166">
        <v>0.246255290789789</v>
      </c>
      <c r="K2166">
        <v>0.77150679161840596</v>
      </c>
      <c r="L2166" t="s">
        <v>38</v>
      </c>
      <c r="M2166" t="s">
        <v>34</v>
      </c>
      <c r="N2166" t="s">
        <v>35</v>
      </c>
      <c r="O2166">
        <v>0.77489349468164104</v>
      </c>
      <c r="P2166" t="s">
        <v>36</v>
      </c>
    </row>
    <row r="2167" spans="1:17">
      <c r="A2167">
        <v>2166</v>
      </c>
      <c r="B2167" t="s">
        <v>2227</v>
      </c>
      <c r="C2167">
        <v>569</v>
      </c>
      <c r="D2167">
        <v>702</v>
      </c>
      <c r="E2167">
        <v>486.85671069295103</v>
      </c>
      <c r="F2167">
        <v>0.81038125329395105</v>
      </c>
      <c r="G2167">
        <v>186162.5</v>
      </c>
      <c r="H2167">
        <v>5208.2189255952799</v>
      </c>
      <c r="I2167">
        <v>0.77602328873979598</v>
      </c>
      <c r="J2167">
        <v>8.6242950076436398E-2</v>
      </c>
      <c r="K2167">
        <v>0.59564852217733899</v>
      </c>
      <c r="L2167" t="s">
        <v>33</v>
      </c>
      <c r="M2167" t="s">
        <v>34</v>
      </c>
      <c r="N2167" t="s">
        <v>35</v>
      </c>
      <c r="O2167">
        <v>0.75597251399276399</v>
      </c>
      <c r="P2167" t="s">
        <v>36</v>
      </c>
    </row>
    <row r="2168" spans="1:17">
      <c r="A2168">
        <v>2167</v>
      </c>
      <c r="B2168" t="s">
        <v>2228</v>
      </c>
      <c r="C2168">
        <v>598</v>
      </c>
      <c r="D2168">
        <v>782</v>
      </c>
      <c r="E2168">
        <v>488.96068912811899</v>
      </c>
      <c r="F2168">
        <v>0.76383477040977599</v>
      </c>
      <c r="G2168">
        <v>187775</v>
      </c>
      <c r="H2168">
        <v>3859.8989534378102</v>
      </c>
      <c r="I2168">
        <v>0.51172088213753697</v>
      </c>
      <c r="J2168">
        <v>0.15837833151074701</v>
      </c>
      <c r="K2168">
        <v>0.54764855997083495</v>
      </c>
      <c r="L2168" t="s">
        <v>38</v>
      </c>
      <c r="M2168" t="s">
        <v>34</v>
      </c>
      <c r="N2168" t="s">
        <v>35</v>
      </c>
      <c r="O2168">
        <v>0.70239979684706799</v>
      </c>
      <c r="P2168" t="s">
        <v>36</v>
      </c>
    </row>
    <row r="2169" spans="1:17">
      <c r="A2169">
        <v>2168</v>
      </c>
      <c r="B2169" t="s">
        <v>2229</v>
      </c>
      <c r="C2169">
        <v>683</v>
      </c>
      <c r="D2169">
        <v>641</v>
      </c>
      <c r="E2169">
        <v>490.60169224929598</v>
      </c>
      <c r="F2169">
        <v>1.06455207981677</v>
      </c>
      <c r="G2169">
        <v>189037.5</v>
      </c>
      <c r="H2169">
        <v>3956.9700211286499</v>
      </c>
      <c r="I2169">
        <v>0.71248255251972903</v>
      </c>
      <c r="J2169">
        <v>0.15171632323164</v>
      </c>
      <c r="K2169">
        <v>0.61625916870415698</v>
      </c>
      <c r="L2169" t="s">
        <v>38</v>
      </c>
      <c r="M2169" t="s">
        <v>34</v>
      </c>
      <c r="N2169" t="s">
        <v>35</v>
      </c>
      <c r="O2169">
        <v>0.75892530371893097</v>
      </c>
      <c r="P2169" t="s">
        <v>36</v>
      </c>
    </row>
    <row r="2170" spans="1:17">
      <c r="A2170">
        <v>2169</v>
      </c>
      <c r="B2170" t="s">
        <v>2230</v>
      </c>
      <c r="C2170">
        <v>49</v>
      </c>
      <c r="D2170">
        <v>58</v>
      </c>
      <c r="E2170">
        <v>50.048162968004497</v>
      </c>
      <c r="F2170">
        <v>0.84112149532710301</v>
      </c>
      <c r="G2170">
        <v>1967.2799410207899</v>
      </c>
      <c r="H2170">
        <v>227.94626452757001</v>
      </c>
      <c r="I2170">
        <v>0.67945532027786704</v>
      </c>
      <c r="J2170">
        <v>0.47578535346203499</v>
      </c>
      <c r="K2170">
        <v>0.85492830383671403</v>
      </c>
      <c r="L2170" t="s">
        <v>331</v>
      </c>
      <c r="M2170" t="s">
        <v>34</v>
      </c>
      <c r="N2170" t="s">
        <v>35</v>
      </c>
      <c r="O2170">
        <v>0.65045677061074902</v>
      </c>
      <c r="P2170" t="s">
        <v>36</v>
      </c>
      <c r="Q2170" t="s">
        <v>2231</v>
      </c>
    </row>
    <row r="2171" spans="1:17">
      <c r="A2171">
        <v>2170</v>
      </c>
      <c r="B2171" t="s">
        <v>2232</v>
      </c>
      <c r="C2171">
        <v>68</v>
      </c>
      <c r="D2171">
        <v>78</v>
      </c>
      <c r="E2171">
        <v>50.135055484702796</v>
      </c>
      <c r="F2171">
        <v>0.87412587412587395</v>
      </c>
      <c r="G2171">
        <v>1974.11696710775</v>
      </c>
      <c r="H2171">
        <v>506.16212345683101</v>
      </c>
      <c r="I2171">
        <v>0.464342888632229</v>
      </c>
      <c r="J2171">
        <v>9.6828556692154996E-2</v>
      </c>
      <c r="K2171">
        <v>0.42589623549028399</v>
      </c>
      <c r="L2171" t="s">
        <v>38</v>
      </c>
      <c r="M2171" t="s">
        <v>34</v>
      </c>
      <c r="N2171" t="s">
        <v>35</v>
      </c>
      <c r="O2171">
        <v>0.74653940335431501</v>
      </c>
      <c r="P2171" t="s">
        <v>36</v>
      </c>
    </row>
    <row r="2172" spans="1:17">
      <c r="A2172">
        <v>2171</v>
      </c>
      <c r="B2172" t="s">
        <v>2233</v>
      </c>
      <c r="C2172">
        <v>43</v>
      </c>
      <c r="D2172">
        <v>82</v>
      </c>
      <c r="E2172">
        <v>50.146267067967699</v>
      </c>
      <c r="F2172">
        <v>0.51999996055337605</v>
      </c>
      <c r="G2172">
        <v>1975</v>
      </c>
      <c r="H2172">
        <v>274.85281229019199</v>
      </c>
      <c r="I2172">
        <v>0.76176095813716804</v>
      </c>
      <c r="J2172">
        <v>0.32853118029226203</v>
      </c>
      <c r="K2172">
        <v>0.72146118721461205</v>
      </c>
      <c r="L2172" t="s">
        <v>33</v>
      </c>
      <c r="M2172" t="s">
        <v>34</v>
      </c>
      <c r="N2172" t="s">
        <v>35</v>
      </c>
      <c r="O2172">
        <v>0.66418075036356095</v>
      </c>
      <c r="P2172" t="s">
        <v>36</v>
      </c>
    </row>
    <row r="2173" spans="1:17">
      <c r="A2173">
        <v>2172</v>
      </c>
      <c r="B2173" t="s">
        <v>2234</v>
      </c>
      <c r="C2173">
        <v>51</v>
      </c>
      <c r="D2173">
        <v>106</v>
      </c>
      <c r="E2173">
        <v>50.212376423453897</v>
      </c>
      <c r="F2173">
        <v>0.47813262968169101</v>
      </c>
      <c r="G2173">
        <v>1980.2108381852599</v>
      </c>
      <c r="H2173">
        <v>506.63649378745498</v>
      </c>
      <c r="I2173">
        <v>0.62203477326286705</v>
      </c>
      <c r="J2173">
        <v>9.6945657017170297E-2</v>
      </c>
      <c r="K2173">
        <v>0.52953100158982502</v>
      </c>
      <c r="L2173" t="s">
        <v>33</v>
      </c>
      <c r="M2173" t="s">
        <v>34</v>
      </c>
      <c r="N2173" t="s">
        <v>35</v>
      </c>
      <c r="O2173">
        <v>0.70161889292340796</v>
      </c>
      <c r="P2173" t="s">
        <v>36</v>
      </c>
    </row>
    <row r="2174" spans="1:17">
      <c r="A2174">
        <v>2173</v>
      </c>
      <c r="B2174" t="s">
        <v>2235</v>
      </c>
      <c r="C2174">
        <v>57</v>
      </c>
      <c r="D2174">
        <v>57</v>
      </c>
      <c r="E2174">
        <v>50.392956467466298</v>
      </c>
      <c r="F2174">
        <v>0.98379635563553902</v>
      </c>
      <c r="G2174">
        <v>1994.47941436673</v>
      </c>
      <c r="H2174">
        <v>234.19608274200701</v>
      </c>
      <c r="I2174">
        <v>0.60338340859890605</v>
      </c>
      <c r="J2174">
        <v>0.45696208672674399</v>
      </c>
      <c r="K2174">
        <v>0.82884496602841295</v>
      </c>
      <c r="L2174" t="s">
        <v>43</v>
      </c>
      <c r="M2174" t="s">
        <v>34</v>
      </c>
      <c r="N2174" t="s">
        <v>35</v>
      </c>
      <c r="O2174">
        <v>0.78891881950874698</v>
      </c>
      <c r="P2174" t="s">
        <v>36</v>
      </c>
    </row>
    <row r="2175" spans="1:17">
      <c r="A2175">
        <v>2174</v>
      </c>
      <c r="B2175" t="s">
        <v>2236</v>
      </c>
      <c r="C2175">
        <v>63</v>
      </c>
      <c r="D2175">
        <v>88</v>
      </c>
      <c r="E2175">
        <v>50.514857695817298</v>
      </c>
      <c r="F2175">
        <v>0.72049689440993803</v>
      </c>
      <c r="G2175">
        <v>2004.1404294895999</v>
      </c>
      <c r="H2175">
        <v>439.83269080141298</v>
      </c>
      <c r="I2175">
        <v>0.56103895884070298</v>
      </c>
      <c r="J2175">
        <v>0.13018561599656001</v>
      </c>
      <c r="K2175">
        <v>0.54715143645512099</v>
      </c>
      <c r="L2175" t="s">
        <v>33</v>
      </c>
      <c r="M2175" t="s">
        <v>34</v>
      </c>
      <c r="N2175" t="s">
        <v>35</v>
      </c>
      <c r="O2175">
        <v>0.68755467890619304</v>
      </c>
      <c r="P2175" t="s">
        <v>36</v>
      </c>
    </row>
    <row r="2176" spans="1:17">
      <c r="A2176">
        <v>2175</v>
      </c>
      <c r="B2176" t="s">
        <v>2237</v>
      </c>
      <c r="C2176">
        <v>60</v>
      </c>
      <c r="D2176">
        <v>46</v>
      </c>
      <c r="E2176">
        <v>50.556049995531097</v>
      </c>
      <c r="F2176">
        <v>1.2947597710727401</v>
      </c>
      <c r="G2176">
        <v>2007.41031153119</v>
      </c>
      <c r="H2176">
        <v>210.950980855278</v>
      </c>
      <c r="I2176">
        <v>0.63718786459450505</v>
      </c>
      <c r="J2176">
        <v>0.56686927270881904</v>
      </c>
      <c r="K2176">
        <v>0.87878196369314898</v>
      </c>
      <c r="L2176" t="s">
        <v>298</v>
      </c>
      <c r="M2176" t="s">
        <v>34</v>
      </c>
      <c r="N2176" t="s">
        <v>35</v>
      </c>
      <c r="O2176">
        <v>0.73207389927218103</v>
      </c>
      <c r="P2176" t="s">
        <v>36</v>
      </c>
    </row>
    <row r="2177" spans="1:16">
      <c r="A2177">
        <v>2176</v>
      </c>
      <c r="B2177" t="s">
        <v>2238</v>
      </c>
      <c r="C2177">
        <v>88</v>
      </c>
      <c r="D2177">
        <v>48</v>
      </c>
      <c r="E2177">
        <v>50.604688574768801</v>
      </c>
      <c r="F2177">
        <v>1.81421055966894</v>
      </c>
      <c r="G2177">
        <v>2011.2747175803399</v>
      </c>
      <c r="H2177">
        <v>436.82597021932202</v>
      </c>
      <c r="I2177">
        <v>0.65073921240174604</v>
      </c>
      <c r="J2177">
        <v>0.13245378038066499</v>
      </c>
      <c r="K2177">
        <v>0.61189238073705599</v>
      </c>
      <c r="L2177" t="s">
        <v>38</v>
      </c>
      <c r="M2177" t="s">
        <v>34</v>
      </c>
      <c r="N2177" t="s">
        <v>35</v>
      </c>
      <c r="O2177">
        <v>0.85971916483065103</v>
      </c>
      <c r="P2177" t="s">
        <v>36</v>
      </c>
    </row>
    <row r="2178" spans="1:16">
      <c r="A2178">
        <v>2177</v>
      </c>
      <c r="B2178" t="s">
        <v>2239</v>
      </c>
      <c r="C2178">
        <v>66</v>
      </c>
      <c r="D2178">
        <v>66</v>
      </c>
      <c r="E2178">
        <v>50.620100590373298</v>
      </c>
      <c r="F2178">
        <v>1</v>
      </c>
      <c r="G2178">
        <v>2012.5</v>
      </c>
      <c r="H2178">
        <v>274.35028612613701</v>
      </c>
      <c r="I2178">
        <v>0.65970029414236997</v>
      </c>
      <c r="J2178">
        <v>0.335996627391564</v>
      </c>
      <c r="K2178">
        <v>0.63137254901960804</v>
      </c>
      <c r="L2178" t="s">
        <v>38</v>
      </c>
      <c r="M2178" t="s">
        <v>34</v>
      </c>
      <c r="N2178" t="s">
        <v>35</v>
      </c>
      <c r="O2178">
        <v>0.72367063608029203</v>
      </c>
      <c r="P2178" t="s">
        <v>36</v>
      </c>
    </row>
    <row r="2179" spans="1:16">
      <c r="A2179">
        <v>2178</v>
      </c>
      <c r="B2179" t="s">
        <v>2240</v>
      </c>
      <c r="C2179">
        <v>63</v>
      </c>
      <c r="D2179">
        <v>49</v>
      </c>
      <c r="E2179">
        <v>50.671957225272301</v>
      </c>
      <c r="F2179">
        <v>1.30337083852889</v>
      </c>
      <c r="G2179">
        <v>2016.6254336483901</v>
      </c>
      <c r="H2179">
        <v>323.07867438026102</v>
      </c>
      <c r="I2179">
        <v>0.73294388129118604</v>
      </c>
      <c r="J2179">
        <v>0.24278313759068301</v>
      </c>
      <c r="K2179">
        <v>0.745535468981812</v>
      </c>
      <c r="L2179" t="s">
        <v>47</v>
      </c>
      <c r="M2179" t="s">
        <v>34</v>
      </c>
      <c r="N2179" t="s">
        <v>35</v>
      </c>
      <c r="O2179">
        <v>0.92602017533089998</v>
      </c>
      <c r="P2179" t="s">
        <v>36</v>
      </c>
    </row>
    <row r="2180" spans="1:16">
      <c r="A2180">
        <v>2179</v>
      </c>
      <c r="B2180" t="s">
        <v>2241</v>
      </c>
      <c r="C2180">
        <v>88</v>
      </c>
      <c r="D2180">
        <v>53</v>
      </c>
      <c r="E2180">
        <v>50.675691754313398</v>
      </c>
      <c r="F2180">
        <v>1.6530612244898</v>
      </c>
      <c r="G2180">
        <v>2016.92269565217</v>
      </c>
      <c r="H2180">
        <v>385.42054607266999</v>
      </c>
      <c r="I2180">
        <v>0.66819606901134498</v>
      </c>
      <c r="J2180">
        <v>0.170619785719103</v>
      </c>
      <c r="K2180">
        <v>0.52248575388880303</v>
      </c>
      <c r="L2180" t="s">
        <v>38</v>
      </c>
      <c r="M2180" t="s">
        <v>34</v>
      </c>
      <c r="N2180" t="s">
        <v>35</v>
      </c>
      <c r="O2180">
        <v>0.74268526092333198</v>
      </c>
      <c r="P2180" t="s">
        <v>36</v>
      </c>
    </row>
    <row r="2181" spans="1:16">
      <c r="A2181">
        <v>2180</v>
      </c>
      <c r="B2181" t="s">
        <v>2242</v>
      </c>
      <c r="C2181">
        <v>62</v>
      </c>
      <c r="D2181">
        <v>60</v>
      </c>
      <c r="E2181">
        <v>50.685026873072601</v>
      </c>
      <c r="F2181">
        <v>1.0272727310559</v>
      </c>
      <c r="G2181">
        <v>2017.66585066163</v>
      </c>
      <c r="H2181">
        <v>247.532588656363</v>
      </c>
      <c r="I2181">
        <v>0.82456205320195797</v>
      </c>
      <c r="J2181">
        <v>0.413803672108145</v>
      </c>
      <c r="K2181">
        <v>0.80774723313102503</v>
      </c>
      <c r="L2181" t="s">
        <v>49</v>
      </c>
      <c r="M2181" t="s">
        <v>34</v>
      </c>
      <c r="N2181" t="s">
        <v>35</v>
      </c>
      <c r="O2181">
        <v>0.65859312904093803</v>
      </c>
      <c r="P2181" t="s">
        <v>36</v>
      </c>
    </row>
    <row r="2182" spans="1:16">
      <c r="A2182">
        <v>2181</v>
      </c>
      <c r="B2182" t="s">
        <v>2243</v>
      </c>
      <c r="C2182">
        <v>68</v>
      </c>
      <c r="D2182">
        <v>53</v>
      </c>
      <c r="E2182">
        <v>50.860208206682103</v>
      </c>
      <c r="F2182">
        <v>1.27551020408163</v>
      </c>
      <c r="G2182">
        <v>2031.6371648393199</v>
      </c>
      <c r="H2182">
        <v>434.59030345325903</v>
      </c>
      <c r="I2182">
        <v>0.48164840301696599</v>
      </c>
      <c r="J2182">
        <v>0.13517486624941499</v>
      </c>
      <c r="K2182">
        <v>0.65710027881934396</v>
      </c>
      <c r="L2182" t="s">
        <v>33</v>
      </c>
      <c r="M2182" t="s">
        <v>34</v>
      </c>
      <c r="N2182" t="s">
        <v>35</v>
      </c>
      <c r="O2182">
        <v>0.75108879179129096</v>
      </c>
      <c r="P2182" t="s">
        <v>36</v>
      </c>
    </row>
    <row r="2183" spans="1:16">
      <c r="A2183">
        <v>2182</v>
      </c>
      <c r="B2183" t="s">
        <v>2244</v>
      </c>
      <c r="C2183">
        <v>117</v>
      </c>
      <c r="D2183">
        <v>47</v>
      </c>
      <c r="E2183">
        <v>50.888106880338498</v>
      </c>
      <c r="F2183">
        <v>2.50251239348803</v>
      </c>
      <c r="G2183">
        <v>2033.8666298676801</v>
      </c>
      <c r="H2183">
        <v>455.17627243995702</v>
      </c>
      <c r="I2183">
        <v>0.68870594324178602</v>
      </c>
      <c r="J2183">
        <v>0.123359643300225</v>
      </c>
      <c r="K2183">
        <v>0.53249280099618601</v>
      </c>
      <c r="L2183" t="s">
        <v>298</v>
      </c>
      <c r="M2183" t="s">
        <v>34</v>
      </c>
      <c r="N2183" t="s">
        <v>35</v>
      </c>
      <c r="O2183">
        <v>0.68250528195698101</v>
      </c>
      <c r="P2183" t="s">
        <v>36</v>
      </c>
    </row>
    <row r="2184" spans="1:16">
      <c r="A2184">
        <v>2183</v>
      </c>
      <c r="B2184" t="s">
        <v>2245</v>
      </c>
      <c r="C2184">
        <v>88</v>
      </c>
      <c r="D2184">
        <v>48</v>
      </c>
      <c r="E2184">
        <v>50.973567599757601</v>
      </c>
      <c r="F2184">
        <v>1.85403691848313</v>
      </c>
      <c r="G2184">
        <v>2040.70365595463</v>
      </c>
      <c r="H2184">
        <v>334.963862587265</v>
      </c>
      <c r="I2184">
        <v>0.75598706684975003</v>
      </c>
      <c r="J2184">
        <v>0.22855666728058099</v>
      </c>
      <c r="K2184">
        <v>0.66322094483624805</v>
      </c>
      <c r="L2184" t="s">
        <v>33</v>
      </c>
      <c r="M2184" t="s">
        <v>34</v>
      </c>
      <c r="N2184" t="s">
        <v>35</v>
      </c>
      <c r="O2184">
        <v>0.68444336406079098</v>
      </c>
      <c r="P2184" t="s">
        <v>36</v>
      </c>
    </row>
    <row r="2185" spans="1:16">
      <c r="A2185">
        <v>2184</v>
      </c>
      <c r="B2185" t="s">
        <v>2246</v>
      </c>
      <c r="C2185">
        <v>65</v>
      </c>
      <c r="D2185">
        <v>54</v>
      </c>
      <c r="E2185">
        <v>51.0895396995029</v>
      </c>
      <c r="F2185">
        <v>1.20769244019722</v>
      </c>
      <c r="G2185">
        <v>2050</v>
      </c>
      <c r="H2185">
        <v>238.99494767189</v>
      </c>
      <c r="I2185">
        <v>0.721412923669151</v>
      </c>
      <c r="J2185">
        <v>0.45101011787517498</v>
      </c>
      <c r="K2185">
        <v>0.72246696035242297</v>
      </c>
      <c r="L2185" t="s">
        <v>38</v>
      </c>
      <c r="M2185" t="s">
        <v>34</v>
      </c>
      <c r="N2185" t="s">
        <v>35</v>
      </c>
      <c r="O2185">
        <v>0.73081908734054501</v>
      </c>
      <c r="P2185" t="s">
        <v>36</v>
      </c>
    </row>
    <row r="2186" spans="1:16">
      <c r="A2186">
        <v>2185</v>
      </c>
      <c r="B2186" t="s">
        <v>2247</v>
      </c>
      <c r="C2186">
        <v>49</v>
      </c>
      <c r="D2186">
        <v>88</v>
      </c>
      <c r="E2186">
        <v>51.160708787450098</v>
      </c>
      <c r="F2186">
        <v>0.552795031055901</v>
      </c>
      <c r="G2186">
        <v>2055.7153871455598</v>
      </c>
      <c r="H2186">
        <v>529.87770266999405</v>
      </c>
      <c r="I2186">
        <v>0.61590786672514497</v>
      </c>
      <c r="J2186">
        <v>9.2007146381057198E-2</v>
      </c>
      <c r="K2186">
        <v>0.57197799925561399</v>
      </c>
      <c r="L2186" t="s">
        <v>43</v>
      </c>
      <c r="M2186" t="s">
        <v>34</v>
      </c>
      <c r="N2186" t="s">
        <v>35</v>
      </c>
      <c r="O2186">
        <v>0.69829011036286504</v>
      </c>
      <c r="P2186" t="s">
        <v>36</v>
      </c>
    </row>
    <row r="2187" spans="1:16">
      <c r="A2187">
        <v>2186</v>
      </c>
      <c r="B2187" t="s">
        <v>2248</v>
      </c>
      <c r="C2187">
        <v>92</v>
      </c>
      <c r="D2187">
        <v>58</v>
      </c>
      <c r="E2187">
        <v>51.299233316130703</v>
      </c>
      <c r="F2187">
        <v>1.5908047509745999</v>
      </c>
      <c r="G2187">
        <v>2066.8627122873299</v>
      </c>
      <c r="H2187">
        <v>507.85922045293103</v>
      </c>
      <c r="I2187">
        <v>0.59745560139160503</v>
      </c>
      <c r="J2187">
        <v>0.10070123828712001</v>
      </c>
      <c r="K2187">
        <v>0.52254621975048898</v>
      </c>
      <c r="L2187" t="s">
        <v>33</v>
      </c>
      <c r="M2187" t="s">
        <v>34</v>
      </c>
      <c r="N2187" t="s">
        <v>35</v>
      </c>
      <c r="O2187">
        <v>0.70813722659154799</v>
      </c>
      <c r="P2187" t="s">
        <v>36</v>
      </c>
    </row>
    <row r="2188" spans="1:16">
      <c r="A2188">
        <v>2187</v>
      </c>
      <c r="B2188" t="s">
        <v>2249</v>
      </c>
      <c r="C2188">
        <v>103</v>
      </c>
      <c r="D2188">
        <v>44</v>
      </c>
      <c r="E2188">
        <v>51.313987194294803</v>
      </c>
      <c r="F2188">
        <v>2.3625000691414</v>
      </c>
      <c r="G2188">
        <v>2068.05176030246</v>
      </c>
      <c r="H2188">
        <v>454.008342975326</v>
      </c>
      <c r="I2188">
        <v>0.85223091385115501</v>
      </c>
      <c r="J2188">
        <v>0.126079245460924</v>
      </c>
      <c r="K2188">
        <v>0.639577108710641</v>
      </c>
      <c r="L2188" t="s">
        <v>38</v>
      </c>
      <c r="M2188" t="s">
        <v>34</v>
      </c>
      <c r="N2188" t="s">
        <v>35</v>
      </c>
      <c r="O2188">
        <v>0.75577430871126605</v>
      </c>
      <c r="P2188" t="s">
        <v>36</v>
      </c>
    </row>
    <row r="2189" spans="1:16">
      <c r="A2189">
        <v>2188</v>
      </c>
      <c r="B2189" t="s">
        <v>2250</v>
      </c>
      <c r="C2189">
        <v>61</v>
      </c>
      <c r="D2189">
        <v>60</v>
      </c>
      <c r="E2189">
        <v>51.323206214364198</v>
      </c>
      <c r="F2189">
        <v>1.0238922498863401</v>
      </c>
      <c r="G2189">
        <v>2068.7949153119098</v>
      </c>
      <c r="H2189">
        <v>293.31755428324601</v>
      </c>
      <c r="I2189">
        <v>0.61540885522765298</v>
      </c>
      <c r="J2189">
        <v>0.30216989514171499</v>
      </c>
      <c r="K2189">
        <v>0.71098738315370102</v>
      </c>
      <c r="L2189" t="s">
        <v>38</v>
      </c>
      <c r="M2189" t="s">
        <v>34</v>
      </c>
      <c r="N2189" t="s">
        <v>35</v>
      </c>
      <c r="O2189">
        <v>0.72769625039306796</v>
      </c>
      <c r="P2189" t="s">
        <v>36</v>
      </c>
    </row>
    <row r="2190" spans="1:16">
      <c r="A2190">
        <v>2189</v>
      </c>
      <c r="B2190" t="s">
        <v>2251</v>
      </c>
      <c r="C2190">
        <v>74</v>
      </c>
      <c r="D2190">
        <v>63</v>
      </c>
      <c r="E2190">
        <v>51.384010263944099</v>
      </c>
      <c r="F2190">
        <v>1.17490277507178</v>
      </c>
      <c r="G2190">
        <v>2073.6997383742901</v>
      </c>
      <c r="H2190">
        <v>378.39416480789998</v>
      </c>
      <c r="I2190">
        <v>0.63993774303562401</v>
      </c>
      <c r="J2190">
        <v>0.18199810908313599</v>
      </c>
      <c r="K2190">
        <v>0.61603673613564103</v>
      </c>
      <c r="L2190" t="s">
        <v>33</v>
      </c>
      <c r="M2190" t="s">
        <v>34</v>
      </c>
      <c r="N2190" t="s">
        <v>35</v>
      </c>
      <c r="O2190">
        <v>0.67968680002131299</v>
      </c>
      <c r="P2190" t="s">
        <v>36</v>
      </c>
    </row>
    <row r="2191" spans="1:16">
      <c r="A2191">
        <v>2190</v>
      </c>
      <c r="B2191" t="s">
        <v>2252</v>
      </c>
      <c r="C2191">
        <v>88</v>
      </c>
      <c r="D2191">
        <v>41</v>
      </c>
      <c r="E2191">
        <v>51.417145802255099</v>
      </c>
      <c r="F2191">
        <v>2.1655127121394</v>
      </c>
      <c r="G2191">
        <v>2076.3750964083201</v>
      </c>
      <c r="H2191">
        <v>326.87914625955699</v>
      </c>
      <c r="I2191">
        <v>0.64239213256311101</v>
      </c>
      <c r="J2191">
        <v>0.24419751795314901</v>
      </c>
      <c r="K2191">
        <v>0.72965632508095701</v>
      </c>
      <c r="L2191" t="s">
        <v>33</v>
      </c>
      <c r="M2191" t="s">
        <v>34</v>
      </c>
      <c r="N2191" t="s">
        <v>35</v>
      </c>
      <c r="O2191">
        <v>0.68849189669425703</v>
      </c>
      <c r="P2191" t="s">
        <v>36</v>
      </c>
    </row>
    <row r="2192" spans="1:16">
      <c r="A2192">
        <v>2191</v>
      </c>
      <c r="B2192" t="s">
        <v>2253</v>
      </c>
      <c r="C2192">
        <v>57</v>
      </c>
      <c r="D2192">
        <v>67</v>
      </c>
      <c r="E2192">
        <v>51.553145925052</v>
      </c>
      <c r="F2192">
        <v>0.85307184973791494</v>
      </c>
      <c r="G2192">
        <v>2087.3737905481998</v>
      </c>
      <c r="H2192">
        <v>323.97651084485301</v>
      </c>
      <c r="I2192">
        <v>0.77035744264303097</v>
      </c>
      <c r="J2192">
        <v>0.24990965928310799</v>
      </c>
      <c r="K2192">
        <v>0.75391883186600805</v>
      </c>
      <c r="L2192" t="s">
        <v>38</v>
      </c>
      <c r="M2192" t="s">
        <v>34</v>
      </c>
      <c r="N2192" t="s">
        <v>35</v>
      </c>
      <c r="O2192">
        <v>0.74589185479097597</v>
      </c>
      <c r="P2192" t="s">
        <v>36</v>
      </c>
    </row>
    <row r="2193" spans="1:16">
      <c r="A2193">
        <v>2192</v>
      </c>
      <c r="B2193" t="s">
        <v>2254</v>
      </c>
      <c r="C2193">
        <v>49</v>
      </c>
      <c r="D2193">
        <v>79</v>
      </c>
      <c r="E2193">
        <v>51.554981307715401</v>
      </c>
      <c r="F2193">
        <v>0.61805555555555602</v>
      </c>
      <c r="G2193">
        <v>2087.5224215500898</v>
      </c>
      <c r="H2193">
        <v>322.12053148052001</v>
      </c>
      <c r="I2193">
        <v>0.46781275333151101</v>
      </c>
      <c r="J2193">
        <v>0.25281579226838302</v>
      </c>
      <c r="K2193">
        <v>0.72968620116375704</v>
      </c>
      <c r="L2193" t="s">
        <v>43</v>
      </c>
      <c r="M2193" t="s">
        <v>34</v>
      </c>
      <c r="N2193" t="s">
        <v>35</v>
      </c>
      <c r="O2193">
        <v>0.67771670526224603</v>
      </c>
      <c r="P2193" t="s">
        <v>36</v>
      </c>
    </row>
    <row r="2194" spans="1:16">
      <c r="A2194">
        <v>2193</v>
      </c>
      <c r="B2194" t="s">
        <v>2255</v>
      </c>
      <c r="C2194">
        <v>88</v>
      </c>
      <c r="D2194">
        <v>54</v>
      </c>
      <c r="E2194">
        <v>51.650331333267097</v>
      </c>
      <c r="F2194">
        <v>1.6262626262626301</v>
      </c>
      <c r="G2194">
        <v>2095.2512336483901</v>
      </c>
      <c r="H2194">
        <v>487.382845867924</v>
      </c>
      <c r="I2194">
        <v>0.78618715696093999</v>
      </c>
      <c r="J2194">
        <v>0.110842290082348</v>
      </c>
      <c r="K2194">
        <v>0.56065065224307997</v>
      </c>
      <c r="L2194" t="s">
        <v>33</v>
      </c>
      <c r="M2194" t="s">
        <v>34</v>
      </c>
      <c r="N2194" t="s">
        <v>35</v>
      </c>
      <c r="O2194">
        <v>0.65810752032634501</v>
      </c>
      <c r="P2194" t="s">
        <v>36</v>
      </c>
    </row>
    <row r="2195" spans="1:16">
      <c r="A2195">
        <v>2194</v>
      </c>
      <c r="B2195" t="s">
        <v>2256</v>
      </c>
      <c r="C2195">
        <v>63</v>
      </c>
      <c r="D2195">
        <v>68</v>
      </c>
      <c r="E2195">
        <v>51.668647703690397</v>
      </c>
      <c r="F2195">
        <v>0.92799999121093601</v>
      </c>
      <c r="G2195">
        <v>2096.7375436673001</v>
      </c>
      <c r="H2195">
        <v>486.93117301847599</v>
      </c>
      <c r="I2195">
        <v>0.69130396903568303</v>
      </c>
      <c r="J2195">
        <v>0.111126792238667</v>
      </c>
      <c r="K2195">
        <v>0.62514402197996999</v>
      </c>
      <c r="L2195" t="s">
        <v>33</v>
      </c>
      <c r="M2195" t="s">
        <v>34</v>
      </c>
      <c r="N2195" t="s">
        <v>35</v>
      </c>
      <c r="O2195">
        <v>0.72335899028720996</v>
      </c>
      <c r="P2195" t="s">
        <v>36</v>
      </c>
    </row>
    <row r="2196" spans="1:16">
      <c r="A2196">
        <v>2195</v>
      </c>
      <c r="B2196" t="s">
        <v>2257</v>
      </c>
      <c r="C2196">
        <v>68</v>
      </c>
      <c r="D2196">
        <v>53</v>
      </c>
      <c r="E2196">
        <v>51.7253872336657</v>
      </c>
      <c r="F2196">
        <v>1.27551020408163</v>
      </c>
      <c r="G2196">
        <v>2101.3451047259</v>
      </c>
      <c r="H2196">
        <v>300.59911707525703</v>
      </c>
      <c r="I2196">
        <v>0.80095197242279703</v>
      </c>
      <c r="J2196">
        <v>0.29223474205750799</v>
      </c>
      <c r="K2196">
        <v>0.76862020223986105</v>
      </c>
      <c r="L2196" t="s">
        <v>33</v>
      </c>
      <c r="M2196" t="s">
        <v>34</v>
      </c>
      <c r="N2196" t="s">
        <v>35</v>
      </c>
      <c r="O2196">
        <v>0.75766194026478495</v>
      </c>
      <c r="P2196" t="s">
        <v>36</v>
      </c>
    </row>
    <row r="2197" spans="1:16">
      <c r="A2197">
        <v>2196</v>
      </c>
      <c r="B2197" t="s">
        <v>2258</v>
      </c>
      <c r="C2197">
        <v>69</v>
      </c>
      <c r="D2197">
        <v>52</v>
      </c>
      <c r="E2197">
        <v>51.730874853226702</v>
      </c>
      <c r="F2197">
        <v>1.31352466155084</v>
      </c>
      <c r="G2197">
        <v>2101.7909977315699</v>
      </c>
      <c r="H2197">
        <v>315.28123929946298</v>
      </c>
      <c r="I2197">
        <v>0.72311579187016595</v>
      </c>
      <c r="J2197">
        <v>0.26570708422682998</v>
      </c>
      <c r="K2197">
        <v>0.74824064765331499</v>
      </c>
      <c r="L2197" t="s">
        <v>33</v>
      </c>
      <c r="M2197" t="s">
        <v>34</v>
      </c>
      <c r="N2197" t="s">
        <v>35</v>
      </c>
      <c r="O2197">
        <v>0.81148200753501298</v>
      </c>
      <c r="P2197" t="s">
        <v>36</v>
      </c>
    </row>
    <row r="2198" spans="1:16">
      <c r="A2198">
        <v>2197</v>
      </c>
      <c r="B2198" t="s">
        <v>2259</v>
      </c>
      <c r="C2198">
        <v>53</v>
      </c>
      <c r="D2198">
        <v>81</v>
      </c>
      <c r="E2198">
        <v>51.8240754804985</v>
      </c>
      <c r="F2198">
        <v>0.65544072970892997</v>
      </c>
      <c r="G2198">
        <v>2109.3711788279802</v>
      </c>
      <c r="H2198">
        <v>386.10470296818301</v>
      </c>
      <c r="I2198">
        <v>0.75823427115894904</v>
      </c>
      <c r="J2198">
        <v>0.177808569743484</v>
      </c>
      <c r="K2198">
        <v>0.65603476170665198</v>
      </c>
      <c r="L2198" t="s">
        <v>33</v>
      </c>
      <c r="M2198" t="s">
        <v>34</v>
      </c>
      <c r="N2198" t="s">
        <v>35</v>
      </c>
      <c r="O2198">
        <v>0.67138768447080999</v>
      </c>
      <c r="P2198" t="s">
        <v>36</v>
      </c>
    </row>
    <row r="2199" spans="1:16">
      <c r="A2199">
        <v>2198</v>
      </c>
      <c r="B2199" t="s">
        <v>2260</v>
      </c>
      <c r="C2199">
        <v>47</v>
      </c>
      <c r="D2199">
        <v>76</v>
      </c>
      <c r="E2199">
        <v>51.876997239765501</v>
      </c>
      <c r="F2199">
        <v>0.61235076560818702</v>
      </c>
      <c r="G2199">
        <v>2113.6814778828002</v>
      </c>
      <c r="H2199">
        <v>274.78016297889798</v>
      </c>
      <c r="I2199">
        <v>0.83853187707605403</v>
      </c>
      <c r="J2199">
        <v>0.35178608122766403</v>
      </c>
      <c r="K2199">
        <v>0.79629318550870698</v>
      </c>
      <c r="L2199" t="s">
        <v>33</v>
      </c>
      <c r="M2199" t="s">
        <v>34</v>
      </c>
      <c r="N2199" t="s">
        <v>35</v>
      </c>
      <c r="O2199">
        <v>0.75152437785714099</v>
      </c>
      <c r="P2199" t="s">
        <v>36</v>
      </c>
    </row>
    <row r="2200" spans="1:16">
      <c r="A2200">
        <v>2199</v>
      </c>
      <c r="B2200" t="s">
        <v>2261</v>
      </c>
      <c r="C2200">
        <v>73</v>
      </c>
      <c r="D2200">
        <v>54</v>
      </c>
      <c r="E2200">
        <v>52.1135722783239</v>
      </c>
      <c r="F2200">
        <v>1.36964268474701</v>
      </c>
      <c r="G2200">
        <v>2133.00350812854</v>
      </c>
      <c r="H2200">
        <v>349.91056857720702</v>
      </c>
      <c r="I2200">
        <v>0.71242234962291995</v>
      </c>
      <c r="J2200">
        <v>0.21892094483305599</v>
      </c>
      <c r="K2200">
        <v>0.67953028078981004</v>
      </c>
      <c r="L2200" t="s">
        <v>33</v>
      </c>
      <c r="M2200" t="s">
        <v>34</v>
      </c>
      <c r="N2200" t="s">
        <v>35</v>
      </c>
      <c r="O2200">
        <v>0.75788802817866396</v>
      </c>
      <c r="P2200" t="s">
        <v>36</v>
      </c>
    </row>
    <row r="2201" spans="1:16">
      <c r="A2201">
        <v>2200</v>
      </c>
      <c r="B2201" t="s">
        <v>2262</v>
      </c>
      <c r="C2201">
        <v>59</v>
      </c>
      <c r="D2201">
        <v>94</v>
      </c>
      <c r="E2201">
        <v>52.175268788576702</v>
      </c>
      <c r="F2201">
        <v>0.62495522609170295</v>
      </c>
      <c r="G2201">
        <v>2138.0569621928198</v>
      </c>
      <c r="H2201">
        <v>524.722212242355</v>
      </c>
      <c r="I2201">
        <v>0.66270200533855395</v>
      </c>
      <c r="J2201">
        <v>9.75821174602296E-2</v>
      </c>
      <c r="K2201">
        <v>0.5045067162347</v>
      </c>
      <c r="L2201" t="s">
        <v>298</v>
      </c>
      <c r="M2201" t="s">
        <v>34</v>
      </c>
      <c r="N2201" t="s">
        <v>35</v>
      </c>
      <c r="O2201">
        <v>0.67190956932022305</v>
      </c>
      <c r="P2201" t="s">
        <v>36</v>
      </c>
    </row>
    <row r="2202" spans="1:16">
      <c r="A2202">
        <v>2201</v>
      </c>
      <c r="B2202" t="s">
        <v>2263</v>
      </c>
      <c r="C2202">
        <v>45</v>
      </c>
      <c r="D2202">
        <v>84</v>
      </c>
      <c r="E2202">
        <v>52.236892429702998</v>
      </c>
      <c r="F2202">
        <v>0.53468207351471897</v>
      </c>
      <c r="G2202">
        <v>2143.11041625709</v>
      </c>
      <c r="H2202">
        <v>319.48798906585398</v>
      </c>
      <c r="I2202">
        <v>0.80700751038530005</v>
      </c>
      <c r="J2202">
        <v>0.26384285609201302</v>
      </c>
      <c r="K2202">
        <v>0.70388088845496699</v>
      </c>
      <c r="L2202" t="s">
        <v>298</v>
      </c>
      <c r="M2202" t="s">
        <v>34</v>
      </c>
      <c r="N2202" t="s">
        <v>35</v>
      </c>
      <c r="O2202">
        <v>0.65501527455841002</v>
      </c>
      <c r="P2202" t="s">
        <v>36</v>
      </c>
    </row>
    <row r="2203" spans="1:16">
      <c r="A2203">
        <v>2202</v>
      </c>
      <c r="B2203" t="s">
        <v>2264</v>
      </c>
      <c r="C2203">
        <v>54</v>
      </c>
      <c r="D2203">
        <v>85</v>
      </c>
      <c r="E2203">
        <v>52.432157695290798</v>
      </c>
      <c r="F2203">
        <v>0.64074642728058895</v>
      </c>
      <c r="G2203">
        <v>2159.16256446125</v>
      </c>
      <c r="H2203">
        <v>433.73235271671501</v>
      </c>
      <c r="I2203">
        <v>0.82383389907000304</v>
      </c>
      <c r="J2203">
        <v>0.14422866041414401</v>
      </c>
      <c r="K2203">
        <v>0.63575492341356699</v>
      </c>
      <c r="L2203" t="s">
        <v>38</v>
      </c>
      <c r="M2203" t="s">
        <v>34</v>
      </c>
      <c r="N2203" t="s">
        <v>35</v>
      </c>
      <c r="O2203">
        <v>0.68808256432383896</v>
      </c>
      <c r="P2203" t="s">
        <v>36</v>
      </c>
    </row>
    <row r="2204" spans="1:16">
      <c r="A2204">
        <v>2203</v>
      </c>
      <c r="B2204" t="s">
        <v>2265</v>
      </c>
      <c r="C2204">
        <v>69</v>
      </c>
      <c r="D2204">
        <v>58</v>
      </c>
      <c r="E2204">
        <v>52.534921758075598</v>
      </c>
      <c r="F2204">
        <v>1.1775700934579401</v>
      </c>
      <c r="G2204">
        <v>2167.634531569</v>
      </c>
      <c r="H2204">
        <v>370.30944848019101</v>
      </c>
      <c r="I2204">
        <v>0.67633993460542796</v>
      </c>
      <c r="J2204">
        <v>0.198639831637617</v>
      </c>
      <c r="K2204">
        <v>0.69967376703128004</v>
      </c>
      <c r="L2204" t="s">
        <v>38</v>
      </c>
      <c r="M2204" t="s">
        <v>34</v>
      </c>
      <c r="N2204" t="s">
        <v>35</v>
      </c>
      <c r="O2204">
        <v>0.75577210196483202</v>
      </c>
      <c r="P2204" t="s">
        <v>36</v>
      </c>
    </row>
    <row r="2205" spans="1:16">
      <c r="A2205">
        <v>2204</v>
      </c>
      <c r="B2205" t="s">
        <v>2266</v>
      </c>
      <c r="C2205">
        <v>70</v>
      </c>
      <c r="D2205">
        <v>64</v>
      </c>
      <c r="E2205">
        <v>52.5853287948662</v>
      </c>
      <c r="F2205">
        <v>1.0972696337936301</v>
      </c>
      <c r="G2205">
        <v>2171.7961996219301</v>
      </c>
      <c r="H2205">
        <v>385.27885195130898</v>
      </c>
      <c r="I2205">
        <v>0.72862119525311997</v>
      </c>
      <c r="J2205">
        <v>0.18385633159301301</v>
      </c>
      <c r="K2205">
        <v>0.68242107229590898</v>
      </c>
      <c r="L2205" t="s">
        <v>74</v>
      </c>
      <c r="M2205" t="s">
        <v>34</v>
      </c>
      <c r="N2205" t="s">
        <v>35</v>
      </c>
      <c r="O2205">
        <v>0.67953318843246002</v>
      </c>
      <c r="P2205" t="s">
        <v>36</v>
      </c>
    </row>
    <row r="2206" spans="1:16">
      <c r="A2206">
        <v>2205</v>
      </c>
      <c r="B2206" t="s">
        <v>2267</v>
      </c>
      <c r="C2206">
        <v>73</v>
      </c>
      <c r="D2206">
        <v>46</v>
      </c>
      <c r="E2206">
        <v>52.624101035542402</v>
      </c>
      <c r="F2206">
        <v>1.5862069503409699</v>
      </c>
      <c r="G2206">
        <v>2175</v>
      </c>
      <c r="H2206">
        <v>204.85281229019199</v>
      </c>
      <c r="I2206">
        <v>0.56408385326011001</v>
      </c>
      <c r="J2206">
        <v>0.65130627794778795</v>
      </c>
      <c r="K2206">
        <v>0.88775510204081598</v>
      </c>
      <c r="L2206" t="s">
        <v>188</v>
      </c>
      <c r="M2206" t="s">
        <v>34</v>
      </c>
      <c r="N2206" t="s">
        <v>35</v>
      </c>
      <c r="O2206">
        <v>0.77932413532870104</v>
      </c>
      <c r="P2206" t="s">
        <v>36</v>
      </c>
    </row>
    <row r="2207" spans="1:16">
      <c r="A2207">
        <v>2206</v>
      </c>
      <c r="B2207" t="s">
        <v>2268</v>
      </c>
      <c r="C2207">
        <v>59</v>
      </c>
      <c r="D2207">
        <v>69</v>
      </c>
      <c r="E2207">
        <v>52.764960829912702</v>
      </c>
      <c r="F2207">
        <v>0.85714285714285698</v>
      </c>
      <c r="G2207">
        <v>2186.65929981096</v>
      </c>
      <c r="H2207">
        <v>321.42697234651303</v>
      </c>
      <c r="I2207">
        <v>0.68641761253201905</v>
      </c>
      <c r="J2207">
        <v>0.26596614009657399</v>
      </c>
      <c r="K2207">
        <v>0.71518156628263096</v>
      </c>
      <c r="L2207" t="s">
        <v>288</v>
      </c>
      <c r="M2207" t="s">
        <v>34</v>
      </c>
      <c r="N2207" t="s">
        <v>35</v>
      </c>
      <c r="O2207">
        <v>0.64233178700530202</v>
      </c>
      <c r="P2207" t="s">
        <v>36</v>
      </c>
    </row>
    <row r="2208" spans="1:16">
      <c r="A2208">
        <v>2207</v>
      </c>
      <c r="B2208" t="s">
        <v>2269</v>
      </c>
      <c r="C2208">
        <v>93</v>
      </c>
      <c r="D2208">
        <v>78</v>
      </c>
      <c r="E2208">
        <v>52.806189763827597</v>
      </c>
      <c r="F2208">
        <v>1.1958041958042001</v>
      </c>
      <c r="G2208">
        <v>2190.0778128544398</v>
      </c>
      <c r="H2208">
        <v>587.48365706454194</v>
      </c>
      <c r="I2208">
        <v>0.52961184733940403</v>
      </c>
      <c r="J2208">
        <v>7.9740293557250097E-2</v>
      </c>
      <c r="K2208">
        <v>0.47141440317368899</v>
      </c>
      <c r="L2208" t="s">
        <v>33</v>
      </c>
      <c r="M2208" t="s">
        <v>34</v>
      </c>
      <c r="N2208" t="s">
        <v>35</v>
      </c>
      <c r="O2208">
        <v>0.66884012878023902</v>
      </c>
      <c r="P2208" t="s">
        <v>36</v>
      </c>
    </row>
    <row r="2209" spans="1:16">
      <c r="A2209">
        <v>2208</v>
      </c>
      <c r="B2209" t="s">
        <v>2270</v>
      </c>
      <c r="C2209">
        <v>65</v>
      </c>
      <c r="D2209">
        <v>52</v>
      </c>
      <c r="E2209">
        <v>52.886762110063898</v>
      </c>
      <c r="F2209">
        <v>1.2482609765425301</v>
      </c>
      <c r="G2209">
        <v>2196.76620793951</v>
      </c>
      <c r="H2209">
        <v>252.72958104216499</v>
      </c>
      <c r="I2209">
        <v>0.69578374966201895</v>
      </c>
      <c r="J2209">
        <v>0.43219680149100498</v>
      </c>
      <c r="K2209">
        <v>0.84182946972717398</v>
      </c>
      <c r="L2209" t="s">
        <v>33</v>
      </c>
      <c r="M2209" t="s">
        <v>34</v>
      </c>
      <c r="N2209" t="s">
        <v>35</v>
      </c>
      <c r="O2209">
        <v>0.74542058256690003</v>
      </c>
      <c r="P2209" t="s">
        <v>36</v>
      </c>
    </row>
    <row r="2210" spans="1:16">
      <c r="A2210">
        <v>2209</v>
      </c>
      <c r="B2210" t="s">
        <v>2271</v>
      </c>
      <c r="C2210">
        <v>60</v>
      </c>
      <c r="D2210">
        <v>48</v>
      </c>
      <c r="E2210">
        <v>52.911804038938399</v>
      </c>
      <c r="F2210">
        <v>1.26283811993041</v>
      </c>
      <c r="G2210">
        <v>2198.8470419659702</v>
      </c>
      <c r="H2210">
        <v>189.83973734130001</v>
      </c>
      <c r="I2210">
        <v>0.64148081556026004</v>
      </c>
      <c r="J2210">
        <v>0.76670913024860399</v>
      </c>
      <c r="K2210">
        <v>0.94518272425249195</v>
      </c>
      <c r="L2210" t="s">
        <v>49</v>
      </c>
      <c r="M2210" t="s">
        <v>34</v>
      </c>
      <c r="N2210" t="s">
        <v>35</v>
      </c>
      <c r="O2210">
        <v>0.77018832987585595</v>
      </c>
      <c r="P2210" t="s">
        <v>36</v>
      </c>
    </row>
    <row r="2211" spans="1:16">
      <c r="A2211">
        <v>2210</v>
      </c>
      <c r="B2211" t="s">
        <v>2272</v>
      </c>
      <c r="C2211">
        <v>63</v>
      </c>
      <c r="D2211">
        <v>98</v>
      </c>
      <c r="E2211">
        <v>52.926108392819302</v>
      </c>
      <c r="F2211">
        <v>0.64804469273743004</v>
      </c>
      <c r="G2211">
        <v>2200.0360899810998</v>
      </c>
      <c r="H2211">
        <v>640.70517484747802</v>
      </c>
      <c r="I2211">
        <v>0.59430211161906998</v>
      </c>
      <c r="J2211">
        <v>6.7347767781105197E-2</v>
      </c>
      <c r="K2211">
        <v>0.47448390819335801</v>
      </c>
      <c r="L2211" t="s">
        <v>38</v>
      </c>
      <c r="M2211" t="s">
        <v>34</v>
      </c>
      <c r="N2211" t="s">
        <v>35</v>
      </c>
      <c r="O2211">
        <v>0.73364578040267903</v>
      </c>
      <c r="P2211" t="s">
        <v>36</v>
      </c>
    </row>
    <row r="2212" spans="1:16">
      <c r="A2212">
        <v>2211</v>
      </c>
      <c r="B2212" t="s">
        <v>2273</v>
      </c>
      <c r="C2212">
        <v>55</v>
      </c>
      <c r="D2212">
        <v>58</v>
      </c>
      <c r="E2212">
        <v>53.1277459885684</v>
      </c>
      <c r="F2212">
        <v>0.934579439252336</v>
      </c>
      <c r="G2212">
        <v>2216.83139319471</v>
      </c>
      <c r="H2212">
        <v>254.96524780822801</v>
      </c>
      <c r="I2212">
        <v>0.77680345478981905</v>
      </c>
      <c r="J2212">
        <v>0.42852932639582098</v>
      </c>
      <c r="K2212">
        <v>0.86629494104663995</v>
      </c>
      <c r="L2212" t="s">
        <v>38</v>
      </c>
      <c r="M2212" t="s">
        <v>34</v>
      </c>
      <c r="N2212" t="s">
        <v>35</v>
      </c>
      <c r="O2212">
        <v>0.71936456008892802</v>
      </c>
      <c r="P2212" t="s">
        <v>36</v>
      </c>
    </row>
    <row r="2213" spans="1:16">
      <c r="A2213">
        <v>2212</v>
      </c>
      <c r="B2213" t="s">
        <v>2274</v>
      </c>
      <c r="C2213">
        <v>44</v>
      </c>
      <c r="D2213">
        <v>74</v>
      </c>
      <c r="E2213">
        <v>53.134869580178403</v>
      </c>
      <c r="F2213">
        <v>0.58929064493832695</v>
      </c>
      <c r="G2213">
        <v>2217.4259172022698</v>
      </c>
      <c r="H2213">
        <v>241.692941333211</v>
      </c>
      <c r="I2213">
        <v>0.79810158891230198</v>
      </c>
      <c r="J2213">
        <v>0.47701391637637403</v>
      </c>
      <c r="K2213">
        <v>0.87542541955169595</v>
      </c>
      <c r="L2213" t="s">
        <v>47</v>
      </c>
      <c r="M2213" t="s">
        <v>34</v>
      </c>
      <c r="N2213" t="s">
        <v>35</v>
      </c>
      <c r="O2213">
        <v>0.85841692661140001</v>
      </c>
      <c r="P2213" t="s">
        <v>36</v>
      </c>
    </row>
    <row r="2214" spans="1:16">
      <c r="A2214">
        <v>2213</v>
      </c>
      <c r="B2214" t="s">
        <v>2275</v>
      </c>
      <c r="C2214">
        <v>61</v>
      </c>
      <c r="D2214">
        <v>103</v>
      </c>
      <c r="E2214">
        <v>53.141992216883303</v>
      </c>
      <c r="F2214">
        <v>0.59736147594983102</v>
      </c>
      <c r="G2214">
        <v>2218.0204412098301</v>
      </c>
      <c r="H2214">
        <v>582.03148315149804</v>
      </c>
      <c r="I2214">
        <v>0.76827965139024201</v>
      </c>
      <c r="J2214">
        <v>8.2277758972517503E-2</v>
      </c>
      <c r="K2214">
        <v>0.42889578662987898</v>
      </c>
      <c r="L2214" t="s">
        <v>33</v>
      </c>
      <c r="M2214" t="s">
        <v>34</v>
      </c>
      <c r="N2214" t="s">
        <v>35</v>
      </c>
      <c r="O2214">
        <v>0.68007269528328196</v>
      </c>
      <c r="P2214" t="s">
        <v>36</v>
      </c>
    </row>
    <row r="2215" spans="1:16">
      <c r="A2215">
        <v>2214</v>
      </c>
      <c r="B2215" t="s">
        <v>2276</v>
      </c>
      <c r="C2215">
        <v>84</v>
      </c>
      <c r="D2215">
        <v>57</v>
      </c>
      <c r="E2215">
        <v>53.339265979748099</v>
      </c>
      <c r="F2215">
        <v>1.4714473670753501</v>
      </c>
      <c r="G2215">
        <v>2234.5184824196599</v>
      </c>
      <c r="H2215">
        <v>497.93571300776102</v>
      </c>
      <c r="I2215">
        <v>0.70500810277027903</v>
      </c>
      <c r="J2215">
        <v>0.113252360678404</v>
      </c>
      <c r="K2215">
        <v>0.60254098032143</v>
      </c>
      <c r="L2215" t="s">
        <v>38</v>
      </c>
      <c r="M2215" t="s">
        <v>34</v>
      </c>
      <c r="N2215" t="s">
        <v>35</v>
      </c>
      <c r="O2215">
        <v>0.73961751544715204</v>
      </c>
      <c r="P2215" t="s">
        <v>36</v>
      </c>
    </row>
    <row r="2216" spans="1:16">
      <c r="A2216">
        <v>2215</v>
      </c>
      <c r="B2216" t="s">
        <v>2277</v>
      </c>
      <c r="C2216">
        <v>47</v>
      </c>
      <c r="D2216">
        <v>63</v>
      </c>
      <c r="E2216">
        <v>53.374839403457898</v>
      </c>
      <c r="F2216">
        <v>0.75280893087265999</v>
      </c>
      <c r="G2216">
        <v>2237.5</v>
      </c>
      <c r="H2216">
        <v>203.63960921764399</v>
      </c>
      <c r="I2216">
        <v>0.694541081704524</v>
      </c>
      <c r="J2216">
        <v>0.67802920077885498</v>
      </c>
      <c r="K2216">
        <v>0.87317073170731696</v>
      </c>
      <c r="L2216" t="s">
        <v>38</v>
      </c>
      <c r="M2216" t="s">
        <v>34</v>
      </c>
      <c r="N2216" t="s">
        <v>35</v>
      </c>
      <c r="O2216">
        <v>0.82039122675702802</v>
      </c>
      <c r="P2216" t="s">
        <v>36</v>
      </c>
    </row>
    <row r="2217" spans="1:16">
      <c r="A2217">
        <v>2216</v>
      </c>
      <c r="B2217" t="s">
        <v>2278</v>
      </c>
      <c r="C2217">
        <v>73</v>
      </c>
      <c r="D2217">
        <v>44</v>
      </c>
      <c r="E2217">
        <v>53.390685877450103</v>
      </c>
      <c r="F2217">
        <v>1.6543209876543199</v>
      </c>
      <c r="G2217">
        <v>2238.8287814744799</v>
      </c>
      <c r="H2217">
        <v>401.348092443528</v>
      </c>
      <c r="I2217">
        <v>0.65181474097720704</v>
      </c>
      <c r="J2217">
        <v>0.17465794220782399</v>
      </c>
      <c r="K2217">
        <v>0.73245805981035705</v>
      </c>
      <c r="L2217" t="s">
        <v>33</v>
      </c>
      <c r="M2217" t="s">
        <v>34</v>
      </c>
      <c r="N2217" t="s">
        <v>35</v>
      </c>
      <c r="O2217">
        <v>0.68074971458097799</v>
      </c>
      <c r="P2217" t="s">
        <v>36</v>
      </c>
    </row>
    <row r="2218" spans="1:16">
      <c r="A2218">
        <v>2217</v>
      </c>
      <c r="B2218" t="s">
        <v>2279</v>
      </c>
      <c r="C2218">
        <v>53</v>
      </c>
      <c r="D2218">
        <v>73</v>
      </c>
      <c r="E2218">
        <v>53.466838150757603</v>
      </c>
      <c r="F2218">
        <v>0.72388059701492502</v>
      </c>
      <c r="G2218">
        <v>2245.2199145557702</v>
      </c>
      <c r="H2218">
        <v>448.63366374430501</v>
      </c>
      <c r="I2218">
        <v>0.73593226779419196</v>
      </c>
      <c r="J2218">
        <v>0.14017966996546199</v>
      </c>
      <c r="K2218">
        <v>0.68977168949771706</v>
      </c>
      <c r="L2218" t="s">
        <v>49</v>
      </c>
      <c r="M2218" t="s">
        <v>34</v>
      </c>
      <c r="N2218" t="s">
        <v>35</v>
      </c>
      <c r="O2218">
        <v>0.75592505412639399</v>
      </c>
      <c r="P2218" t="s">
        <v>36</v>
      </c>
    </row>
    <row r="2219" spans="1:16">
      <c r="A2219">
        <v>2218</v>
      </c>
      <c r="B2219" t="s">
        <v>2280</v>
      </c>
      <c r="C2219">
        <v>70</v>
      </c>
      <c r="D2219">
        <v>50</v>
      </c>
      <c r="E2219">
        <v>53.672194570031401</v>
      </c>
      <c r="F2219">
        <v>1.4</v>
      </c>
      <c r="G2219">
        <v>2262.5</v>
      </c>
      <c r="H2219">
        <v>234.35028612613701</v>
      </c>
      <c r="I2219">
        <v>0.77758249413373304</v>
      </c>
      <c r="J2219">
        <v>0.517687258012688</v>
      </c>
      <c r="K2219">
        <v>0.84186046511627899</v>
      </c>
      <c r="L2219" t="s">
        <v>33</v>
      </c>
      <c r="M2219" t="s">
        <v>34</v>
      </c>
      <c r="N2219" t="s">
        <v>35</v>
      </c>
      <c r="O2219">
        <v>0.77148714561408704</v>
      </c>
      <c r="P2219" t="s">
        <v>36</v>
      </c>
    </row>
    <row r="2220" spans="1:16">
      <c r="A2220">
        <v>2219</v>
      </c>
      <c r="B2220" t="s">
        <v>2281</v>
      </c>
      <c r="C2220">
        <v>53</v>
      </c>
      <c r="D2220">
        <v>63</v>
      </c>
      <c r="E2220">
        <v>53.703457303133497</v>
      </c>
      <c r="F2220">
        <v>0.84482758620689702</v>
      </c>
      <c r="G2220">
        <v>2265.1364688090698</v>
      </c>
      <c r="H2220">
        <v>311.00639708954401</v>
      </c>
      <c r="I2220">
        <v>0.66082566342885096</v>
      </c>
      <c r="J2220">
        <v>0.29428328281306798</v>
      </c>
      <c r="K2220">
        <v>0.78097775955724102</v>
      </c>
      <c r="L2220" t="s">
        <v>38</v>
      </c>
      <c r="M2220" t="s">
        <v>34</v>
      </c>
      <c r="N2220" t="s">
        <v>35</v>
      </c>
      <c r="O2220">
        <v>0.74018865216617402</v>
      </c>
      <c r="P2220" t="s">
        <v>36</v>
      </c>
    </row>
    <row r="2221" spans="1:16">
      <c r="A2221">
        <v>2220</v>
      </c>
      <c r="B2221" t="s">
        <v>2282</v>
      </c>
      <c r="C2221">
        <v>83</v>
      </c>
      <c r="D2221">
        <v>39</v>
      </c>
      <c r="E2221">
        <v>53.708742816388998</v>
      </c>
      <c r="F2221">
        <v>2.1408450704225399</v>
      </c>
      <c r="G2221">
        <v>2265.5823618147501</v>
      </c>
      <c r="H2221">
        <v>318.58464336695903</v>
      </c>
      <c r="I2221">
        <v>0.88916058551369204</v>
      </c>
      <c r="J2221">
        <v>0.28050463595238001</v>
      </c>
      <c r="K2221">
        <v>0.789547290997617</v>
      </c>
      <c r="L2221" t="s">
        <v>38</v>
      </c>
      <c r="M2221" t="s">
        <v>34</v>
      </c>
      <c r="N2221" t="s">
        <v>35</v>
      </c>
      <c r="O2221">
        <v>0.66455836545446101</v>
      </c>
      <c r="P2221" t="s">
        <v>36</v>
      </c>
    </row>
    <row r="2222" spans="1:16">
      <c r="A2222">
        <v>2221</v>
      </c>
      <c r="B2222" t="s">
        <v>2283</v>
      </c>
      <c r="C2222">
        <v>63</v>
      </c>
      <c r="D2222">
        <v>68</v>
      </c>
      <c r="E2222">
        <v>54.271318538652899</v>
      </c>
      <c r="F2222">
        <v>0.91769615131849502</v>
      </c>
      <c r="G2222">
        <v>2313.2929134215501</v>
      </c>
      <c r="H2222">
        <v>389.56309639972199</v>
      </c>
      <c r="I2222">
        <v>0.71148248419339999</v>
      </c>
      <c r="J2222">
        <v>0.19155119831560699</v>
      </c>
      <c r="K2222">
        <v>0.69756185012549299</v>
      </c>
      <c r="L2222" t="s">
        <v>43</v>
      </c>
      <c r="M2222" t="s">
        <v>34</v>
      </c>
      <c r="N2222" t="s">
        <v>35</v>
      </c>
      <c r="O2222">
        <v>0.75229005466016496</v>
      </c>
      <c r="P2222" t="s">
        <v>36</v>
      </c>
    </row>
    <row r="2223" spans="1:16">
      <c r="A2223">
        <v>2222</v>
      </c>
      <c r="B2223" t="s">
        <v>2284</v>
      </c>
      <c r="C2223">
        <v>78</v>
      </c>
      <c r="D2223">
        <v>64</v>
      </c>
      <c r="E2223">
        <v>54.273061999422097</v>
      </c>
      <c r="F2223">
        <v>1.2222222222222201</v>
      </c>
      <c r="G2223">
        <v>2313.4415444234401</v>
      </c>
      <c r="H2223">
        <v>470.20047311192002</v>
      </c>
      <c r="I2223">
        <v>0.74436129484591396</v>
      </c>
      <c r="J2223">
        <v>0.13149289006661899</v>
      </c>
      <c r="K2223">
        <v>0.59620025280576106</v>
      </c>
      <c r="L2223" t="s">
        <v>331</v>
      </c>
      <c r="M2223" t="s">
        <v>34</v>
      </c>
      <c r="N2223" t="s">
        <v>35</v>
      </c>
      <c r="O2223">
        <v>0.66786817187386804</v>
      </c>
      <c r="P2223" t="s">
        <v>36</v>
      </c>
    </row>
    <row r="2224" spans="1:16">
      <c r="A2224">
        <v>2223</v>
      </c>
      <c r="B2224" t="s">
        <v>2285</v>
      </c>
      <c r="C2224">
        <v>55</v>
      </c>
      <c r="D2224">
        <v>70</v>
      </c>
      <c r="E2224">
        <v>54.408473067246199</v>
      </c>
      <c r="F2224">
        <v>0.78571428571428603</v>
      </c>
      <c r="G2224">
        <v>2325</v>
      </c>
      <c r="H2224">
        <v>244.85281229019199</v>
      </c>
      <c r="I2224">
        <v>0.67481694161523098</v>
      </c>
      <c r="J2224">
        <v>0.48732941744609298</v>
      </c>
      <c r="K2224">
        <v>0.76543209876543195</v>
      </c>
      <c r="L2224" t="s">
        <v>33</v>
      </c>
      <c r="M2224" t="s">
        <v>34</v>
      </c>
      <c r="N2224" t="s">
        <v>35</v>
      </c>
      <c r="O2224">
        <v>0.76366560584929399</v>
      </c>
      <c r="P2224" t="s">
        <v>36</v>
      </c>
    </row>
    <row r="2225" spans="1:16">
      <c r="A2225">
        <v>2224</v>
      </c>
      <c r="B2225" t="s">
        <v>2286</v>
      </c>
      <c r="C2225">
        <v>71</v>
      </c>
      <c r="D2225">
        <v>63</v>
      </c>
      <c r="E2225">
        <v>54.421052017334702</v>
      </c>
      <c r="F2225">
        <v>1.13774115961856</v>
      </c>
      <c r="G2225">
        <v>2326.0751795841202</v>
      </c>
      <c r="H2225">
        <v>319.059013697583</v>
      </c>
      <c r="I2225">
        <v>0.64521092344589004</v>
      </c>
      <c r="J2225">
        <v>0.28713859733218999</v>
      </c>
      <c r="K2225">
        <v>0.73127423952151804</v>
      </c>
      <c r="L2225" t="s">
        <v>298</v>
      </c>
      <c r="M2225" t="s">
        <v>34</v>
      </c>
      <c r="N2225" t="s">
        <v>35</v>
      </c>
      <c r="O2225">
        <v>0.65783390196128699</v>
      </c>
      <c r="P2225" t="s">
        <v>36</v>
      </c>
    </row>
    <row r="2226" spans="1:16">
      <c r="A2226">
        <v>2225</v>
      </c>
      <c r="B2226" t="s">
        <v>2287</v>
      </c>
      <c r="C2226">
        <v>53</v>
      </c>
      <c r="D2226">
        <v>63</v>
      </c>
      <c r="E2226">
        <v>54.497500758451203</v>
      </c>
      <c r="F2226">
        <v>0.84482758620689702</v>
      </c>
      <c r="G2226">
        <v>2332.6149436672999</v>
      </c>
      <c r="H2226">
        <v>301.64415689551299</v>
      </c>
      <c r="I2226">
        <v>0.71447874500173802</v>
      </c>
      <c r="J2226">
        <v>0.322153670147589</v>
      </c>
      <c r="K2226">
        <v>0.832705470366637</v>
      </c>
      <c r="L2226" t="s">
        <v>49</v>
      </c>
      <c r="M2226" t="s">
        <v>34</v>
      </c>
      <c r="N2226" t="s">
        <v>35</v>
      </c>
      <c r="O2226">
        <v>0.81420261452542297</v>
      </c>
      <c r="P2226" t="s">
        <v>36</v>
      </c>
    </row>
    <row r="2227" spans="1:16">
      <c r="A2227">
        <v>2226</v>
      </c>
      <c r="B2227" t="s">
        <v>2288</v>
      </c>
      <c r="C2227">
        <v>83</v>
      </c>
      <c r="D2227">
        <v>53</v>
      </c>
      <c r="E2227">
        <v>54.549563472064499</v>
      </c>
      <c r="F2227">
        <v>1.56122448979592</v>
      </c>
      <c r="G2227">
        <v>2337.0738737240099</v>
      </c>
      <c r="H2227">
        <v>427.83790819271798</v>
      </c>
      <c r="I2227">
        <v>0.70875590330056004</v>
      </c>
      <c r="J2227">
        <v>0.16044411056320201</v>
      </c>
      <c r="K2227">
        <v>0.63095381405240603</v>
      </c>
      <c r="L2227" t="s">
        <v>38</v>
      </c>
      <c r="M2227" t="s">
        <v>34</v>
      </c>
      <c r="N2227" t="s">
        <v>35</v>
      </c>
      <c r="O2227">
        <v>0.71789525653627995</v>
      </c>
      <c r="P2227" t="s">
        <v>36</v>
      </c>
    </row>
    <row r="2228" spans="1:16">
      <c r="A2228">
        <v>2227</v>
      </c>
      <c r="B2228" t="s">
        <v>2289</v>
      </c>
      <c r="C2228">
        <v>41</v>
      </c>
      <c r="D2228">
        <v>96</v>
      </c>
      <c r="E2228">
        <v>54.6570025969407</v>
      </c>
      <c r="F2228">
        <v>0.42624094292416798</v>
      </c>
      <c r="G2228">
        <v>2346.2889958412102</v>
      </c>
      <c r="H2228">
        <v>402.46122470731302</v>
      </c>
      <c r="I2228">
        <v>0.62276815778310102</v>
      </c>
      <c r="J2228">
        <v>0.18203012985643999</v>
      </c>
      <c r="K2228">
        <v>0.703006012024048</v>
      </c>
      <c r="L2228" t="s">
        <v>211</v>
      </c>
      <c r="M2228" t="s">
        <v>34</v>
      </c>
      <c r="N2228" t="s">
        <v>35</v>
      </c>
      <c r="O2228">
        <v>0.63202841180476299</v>
      </c>
      <c r="P2228" t="s">
        <v>36</v>
      </c>
    </row>
    <row r="2229" spans="1:16">
      <c r="A2229">
        <v>2228</v>
      </c>
      <c r="B2229" t="s">
        <v>2290</v>
      </c>
      <c r="C2229">
        <v>71</v>
      </c>
      <c r="D2229">
        <v>64</v>
      </c>
      <c r="E2229">
        <v>54.700209598571298</v>
      </c>
      <c r="F2229">
        <v>1.1111112443159801</v>
      </c>
      <c r="G2229">
        <v>2350</v>
      </c>
      <c r="H2229">
        <v>265.56348919868498</v>
      </c>
      <c r="I2229">
        <v>0.62229348533404505</v>
      </c>
      <c r="J2229">
        <v>0.41873666904509199</v>
      </c>
      <c r="K2229">
        <v>0.73725490196078403</v>
      </c>
      <c r="L2229" t="s">
        <v>38</v>
      </c>
      <c r="M2229" t="s">
        <v>34</v>
      </c>
      <c r="N2229" t="s">
        <v>35</v>
      </c>
      <c r="O2229">
        <v>0.83302055599979197</v>
      </c>
      <c r="P2229" t="s">
        <v>36</v>
      </c>
    </row>
    <row r="2230" spans="1:16">
      <c r="A2230">
        <v>2229</v>
      </c>
      <c r="B2230" t="s">
        <v>2291</v>
      </c>
      <c r="C2230">
        <v>93</v>
      </c>
      <c r="D2230">
        <v>58</v>
      </c>
      <c r="E2230">
        <v>54.759047308765602</v>
      </c>
      <c r="F2230">
        <v>1.5887850467289699</v>
      </c>
      <c r="G2230">
        <v>2355.0582249527401</v>
      </c>
      <c r="H2230">
        <v>502.61683310477599</v>
      </c>
      <c r="I2230">
        <v>0.604375409688927</v>
      </c>
      <c r="J2230">
        <v>0.117148694712</v>
      </c>
      <c r="K2230">
        <v>0.55657030454178202</v>
      </c>
      <c r="L2230" t="s">
        <v>33</v>
      </c>
      <c r="M2230" t="s">
        <v>34</v>
      </c>
      <c r="N2230" t="s">
        <v>35</v>
      </c>
      <c r="O2230">
        <v>0.62817225968044299</v>
      </c>
      <c r="P2230" t="s">
        <v>36</v>
      </c>
    </row>
    <row r="2231" spans="1:16">
      <c r="A2231">
        <v>2230</v>
      </c>
      <c r="B2231" t="s">
        <v>2292</v>
      </c>
      <c r="C2231">
        <v>83</v>
      </c>
      <c r="D2231">
        <v>53</v>
      </c>
      <c r="E2231">
        <v>55.096686511286599</v>
      </c>
      <c r="F2231">
        <v>1.5670103092783501</v>
      </c>
      <c r="G2231">
        <v>2384.1899013232501</v>
      </c>
      <c r="H2231">
        <v>461.77367833645502</v>
      </c>
      <c r="I2231">
        <v>0.789245562387343</v>
      </c>
      <c r="J2231">
        <v>0.14050518793719699</v>
      </c>
      <c r="K2231">
        <v>0.623750826301668</v>
      </c>
      <c r="L2231" t="s">
        <v>33</v>
      </c>
      <c r="M2231" t="s">
        <v>34</v>
      </c>
      <c r="N2231" t="s">
        <v>35</v>
      </c>
      <c r="O2231">
        <v>0.70420122936921603</v>
      </c>
      <c r="P2231" t="s">
        <v>36</v>
      </c>
    </row>
    <row r="2232" spans="1:16">
      <c r="A2232">
        <v>2231</v>
      </c>
      <c r="B2232" t="s">
        <v>2293</v>
      </c>
      <c r="C2232">
        <v>64</v>
      </c>
      <c r="D2232">
        <v>74</v>
      </c>
      <c r="E2232">
        <v>55.119007808761701</v>
      </c>
      <c r="F2232">
        <v>0.86666666666666703</v>
      </c>
      <c r="G2232">
        <v>2386.1221043478299</v>
      </c>
      <c r="H2232">
        <v>536.63009793053504</v>
      </c>
      <c r="I2232">
        <v>0.66462879487445103</v>
      </c>
      <c r="J2232">
        <v>0.104124390784526</v>
      </c>
      <c r="K2232">
        <v>0.61936728395061702</v>
      </c>
      <c r="L2232" t="s">
        <v>47</v>
      </c>
      <c r="M2232" t="s">
        <v>34</v>
      </c>
      <c r="N2232" t="s">
        <v>35</v>
      </c>
      <c r="O2232">
        <v>0.94972094691797004</v>
      </c>
      <c r="P2232" t="s">
        <v>36</v>
      </c>
    </row>
    <row r="2233" spans="1:16">
      <c r="A2233">
        <v>2232</v>
      </c>
      <c r="B2233" t="s">
        <v>2294</v>
      </c>
      <c r="C2233">
        <v>58</v>
      </c>
      <c r="D2233">
        <v>96</v>
      </c>
      <c r="E2233">
        <v>55.428855131095702</v>
      </c>
      <c r="F2233">
        <v>0.60070668968787999</v>
      </c>
      <c r="G2233">
        <v>2413.0243156899801</v>
      </c>
      <c r="H2233">
        <v>416.95625784780702</v>
      </c>
      <c r="I2233">
        <v>0.71253484038798398</v>
      </c>
      <c r="J2233">
        <v>0.17441770579598501</v>
      </c>
      <c r="K2233">
        <v>0.57924218638504399</v>
      </c>
      <c r="L2233" t="s">
        <v>38</v>
      </c>
      <c r="M2233" t="s">
        <v>34</v>
      </c>
      <c r="N2233" t="s">
        <v>35</v>
      </c>
      <c r="O2233">
        <v>0.75166088083674498</v>
      </c>
      <c r="P2233" t="s">
        <v>36</v>
      </c>
    </row>
    <row r="2234" spans="1:16">
      <c r="A2234">
        <v>2233</v>
      </c>
      <c r="B2234" t="s">
        <v>2295</v>
      </c>
      <c r="C2234">
        <v>64</v>
      </c>
      <c r="D2234">
        <v>71</v>
      </c>
      <c r="E2234">
        <v>55.566229816164103</v>
      </c>
      <c r="F2234">
        <v>0.89999989210406806</v>
      </c>
      <c r="G2234">
        <v>2425</v>
      </c>
      <c r="H2234">
        <v>277.27921843528702</v>
      </c>
      <c r="I2234">
        <v>0.69813640456552095</v>
      </c>
      <c r="J2234">
        <v>0.39635739416898103</v>
      </c>
      <c r="K2234">
        <v>0.718518518518519</v>
      </c>
      <c r="L2234" t="s">
        <v>38</v>
      </c>
      <c r="M2234" t="s">
        <v>34</v>
      </c>
      <c r="N2234" t="s">
        <v>35</v>
      </c>
      <c r="O2234">
        <v>0.721244614174124</v>
      </c>
      <c r="P2234" t="s">
        <v>36</v>
      </c>
    </row>
    <row r="2235" spans="1:16">
      <c r="A2235">
        <v>2234</v>
      </c>
      <c r="B2235" t="s">
        <v>2296</v>
      </c>
      <c r="C2235">
        <v>80</v>
      </c>
      <c r="D2235">
        <v>46</v>
      </c>
      <c r="E2235">
        <v>55.743770162614297</v>
      </c>
      <c r="F2235">
        <v>1.72319368392322</v>
      </c>
      <c r="G2235">
        <v>2440.5210510397001</v>
      </c>
      <c r="H2235">
        <v>269.19569718298698</v>
      </c>
      <c r="I2235">
        <v>0.72804319536534601</v>
      </c>
      <c r="J2235">
        <v>0.42321026634556802</v>
      </c>
      <c r="K2235">
        <v>0.83080348107670499</v>
      </c>
      <c r="L2235" t="s">
        <v>33</v>
      </c>
      <c r="M2235" t="s">
        <v>34</v>
      </c>
      <c r="N2235" t="s">
        <v>35</v>
      </c>
      <c r="O2235">
        <v>0.73695129547775096</v>
      </c>
      <c r="P2235" t="s">
        <v>36</v>
      </c>
    </row>
    <row r="2236" spans="1:16">
      <c r="A2236">
        <v>2235</v>
      </c>
      <c r="B2236" t="s">
        <v>2297</v>
      </c>
      <c r="C2236">
        <v>62</v>
      </c>
      <c r="D2236">
        <v>62</v>
      </c>
      <c r="E2236">
        <v>55.760741930449299</v>
      </c>
      <c r="F2236">
        <v>0.98892304136183096</v>
      </c>
      <c r="G2236">
        <v>2442.0073610586001</v>
      </c>
      <c r="H2236">
        <v>262.91767225307001</v>
      </c>
      <c r="I2236">
        <v>0.78840614664206998</v>
      </c>
      <c r="J2236">
        <v>0.44393284240413899</v>
      </c>
      <c r="K2236">
        <v>0.84512113574404601</v>
      </c>
      <c r="L2236" t="s">
        <v>74</v>
      </c>
      <c r="M2236" t="s">
        <v>34</v>
      </c>
      <c r="N2236" t="s">
        <v>35</v>
      </c>
      <c r="O2236">
        <v>0.72278169710918805</v>
      </c>
      <c r="P2236" t="s">
        <v>36</v>
      </c>
    </row>
    <row r="2237" spans="1:16">
      <c r="A2237">
        <v>2236</v>
      </c>
      <c r="B2237" t="s">
        <v>2298</v>
      </c>
      <c r="C2237">
        <v>80</v>
      </c>
      <c r="D2237">
        <v>58</v>
      </c>
      <c r="E2237">
        <v>55.851919256200603</v>
      </c>
      <c r="F2237">
        <v>1.3846153341424701</v>
      </c>
      <c r="G2237">
        <v>2450</v>
      </c>
      <c r="H2237">
        <v>342.13203072547901</v>
      </c>
      <c r="I2237">
        <v>0.52057680988459498</v>
      </c>
      <c r="J2237">
        <v>0.26301982113209199</v>
      </c>
      <c r="K2237">
        <v>0.62222222222222201</v>
      </c>
      <c r="L2237" t="s">
        <v>101</v>
      </c>
      <c r="M2237" t="s">
        <v>34</v>
      </c>
      <c r="N2237" t="s">
        <v>35</v>
      </c>
      <c r="O2237">
        <v>0.65780658450670004</v>
      </c>
      <c r="P2237" t="s">
        <v>36</v>
      </c>
    </row>
    <row r="2238" spans="1:16">
      <c r="A2238">
        <v>2237</v>
      </c>
      <c r="B2238" t="s">
        <v>2299</v>
      </c>
      <c r="C2238">
        <v>88</v>
      </c>
      <c r="D2238">
        <v>52</v>
      </c>
      <c r="E2238">
        <v>56.041722465660499</v>
      </c>
      <c r="F2238">
        <v>1.6797258210660899</v>
      </c>
      <c r="G2238">
        <v>2466.6801073724</v>
      </c>
      <c r="H2238">
        <v>368.84483553015701</v>
      </c>
      <c r="I2238">
        <v>0.77171609815631403</v>
      </c>
      <c r="J2238">
        <v>0.227842785542648</v>
      </c>
      <c r="K2238">
        <v>0.69611174027935097</v>
      </c>
      <c r="L2238" t="s">
        <v>47</v>
      </c>
      <c r="M2238" t="s">
        <v>34</v>
      </c>
      <c r="N2238" t="s">
        <v>35</v>
      </c>
      <c r="O2238">
        <v>0.78625982671919503</v>
      </c>
      <c r="P2238" t="s">
        <v>36</v>
      </c>
    </row>
    <row r="2239" spans="1:16">
      <c r="A2239">
        <v>2238</v>
      </c>
      <c r="B2239" t="s">
        <v>2300</v>
      </c>
      <c r="C2239">
        <v>58</v>
      </c>
      <c r="D2239">
        <v>68</v>
      </c>
      <c r="E2239">
        <v>56.063667505947798</v>
      </c>
      <c r="F2239">
        <v>0.84425848984758201</v>
      </c>
      <c r="G2239">
        <v>2468.6123103969799</v>
      </c>
      <c r="H2239">
        <v>283.58113592178898</v>
      </c>
      <c r="I2239">
        <v>0.76405263631550902</v>
      </c>
      <c r="J2239">
        <v>0.38575190441340101</v>
      </c>
      <c r="K2239">
        <v>0.77387941477960998</v>
      </c>
      <c r="L2239" t="s">
        <v>38</v>
      </c>
      <c r="M2239" t="s">
        <v>34</v>
      </c>
      <c r="N2239" t="s">
        <v>35</v>
      </c>
      <c r="O2239">
        <v>0.75915909114414104</v>
      </c>
      <c r="P2239" t="s">
        <v>36</v>
      </c>
    </row>
    <row r="2240" spans="1:16">
      <c r="A2240">
        <v>2239</v>
      </c>
      <c r="B2240" t="s">
        <v>2301</v>
      </c>
      <c r="C2240">
        <v>88</v>
      </c>
      <c r="D2240">
        <v>88</v>
      </c>
      <c r="E2240">
        <v>56.094038772963302</v>
      </c>
      <c r="F2240">
        <v>1.00621118012422</v>
      </c>
      <c r="G2240">
        <v>2471.2876684309999</v>
      </c>
      <c r="H2240">
        <v>540.36247736630196</v>
      </c>
      <c r="I2240">
        <v>0.47868952215624599</v>
      </c>
      <c r="J2240">
        <v>0.106356196539586</v>
      </c>
      <c r="K2240">
        <v>0.428497796562122</v>
      </c>
      <c r="L2240" t="s">
        <v>38</v>
      </c>
      <c r="M2240" t="s">
        <v>34</v>
      </c>
      <c r="N2240" t="s">
        <v>35</v>
      </c>
      <c r="O2240">
        <v>0.75086739254333901</v>
      </c>
      <c r="P2240" t="s">
        <v>36</v>
      </c>
    </row>
    <row r="2241" spans="1:16">
      <c r="A2241">
        <v>2240</v>
      </c>
      <c r="B2241" t="s">
        <v>2302</v>
      </c>
      <c r="C2241">
        <v>88</v>
      </c>
      <c r="D2241">
        <v>49</v>
      </c>
      <c r="E2241">
        <v>56.178317252492803</v>
      </c>
      <c r="F2241">
        <v>1.80898876404494</v>
      </c>
      <c r="G2241">
        <v>2478.7192185255199</v>
      </c>
      <c r="H2241">
        <v>503.36518943962801</v>
      </c>
      <c r="I2241">
        <v>0.71431238685885801</v>
      </c>
      <c r="J2241">
        <v>0.122933668415505</v>
      </c>
      <c r="K2241">
        <v>0.65471890703517599</v>
      </c>
      <c r="L2241" t="s">
        <v>298</v>
      </c>
      <c r="M2241" t="s">
        <v>34</v>
      </c>
      <c r="N2241" t="s">
        <v>35</v>
      </c>
      <c r="O2241">
        <v>0.79035753172803502</v>
      </c>
      <c r="P2241" t="s">
        <v>36</v>
      </c>
    </row>
    <row r="2242" spans="1:16">
      <c r="A2242">
        <v>2241</v>
      </c>
      <c r="B2242" t="s">
        <v>2303</v>
      </c>
      <c r="C2242">
        <v>66</v>
      </c>
      <c r="D2242">
        <v>78</v>
      </c>
      <c r="E2242">
        <v>56.193473955116502</v>
      </c>
      <c r="F2242">
        <v>0.853011443136656</v>
      </c>
      <c r="G2242">
        <v>2480.0568975425299</v>
      </c>
      <c r="H2242">
        <v>455.33126180400001</v>
      </c>
      <c r="I2242">
        <v>0.70898963676319704</v>
      </c>
      <c r="J2242">
        <v>0.150319932108367</v>
      </c>
      <c r="K2242">
        <v>0.62745835370210201</v>
      </c>
      <c r="L2242" t="s">
        <v>49</v>
      </c>
      <c r="M2242" t="s">
        <v>34</v>
      </c>
      <c r="N2242" t="s">
        <v>35</v>
      </c>
      <c r="O2242">
        <v>0.69617630184821</v>
      </c>
      <c r="P2242" t="s">
        <v>36</v>
      </c>
    </row>
    <row r="2243" spans="1:16">
      <c r="A2243">
        <v>2242</v>
      </c>
      <c r="B2243" t="s">
        <v>2304</v>
      </c>
      <c r="C2243">
        <v>73</v>
      </c>
      <c r="D2243">
        <v>73</v>
      </c>
      <c r="E2243">
        <v>56.311220160701403</v>
      </c>
      <c r="F2243">
        <v>0.99253731173325999</v>
      </c>
      <c r="G2243">
        <v>2490.4610676748598</v>
      </c>
      <c r="H2243">
        <v>569.45273581048696</v>
      </c>
      <c r="I2243">
        <v>0.72569411652998195</v>
      </c>
      <c r="J2243">
        <v>9.6510430634995703E-2</v>
      </c>
      <c r="K2243">
        <v>0.56989320454390902</v>
      </c>
      <c r="L2243" t="s">
        <v>33</v>
      </c>
      <c r="M2243" t="s">
        <v>34</v>
      </c>
      <c r="N2243" t="s">
        <v>35</v>
      </c>
      <c r="O2243">
        <v>0.65737436063235299</v>
      </c>
      <c r="P2243" t="s">
        <v>36</v>
      </c>
    </row>
    <row r="2244" spans="1:16">
      <c r="A2244">
        <v>2243</v>
      </c>
      <c r="B2244" t="s">
        <v>2305</v>
      </c>
      <c r="C2244">
        <v>49</v>
      </c>
      <c r="D2244">
        <v>73</v>
      </c>
      <c r="E2244">
        <v>56.331380512261099</v>
      </c>
      <c r="F2244">
        <v>0.66417910447761197</v>
      </c>
      <c r="G2244">
        <v>2492.2446396975402</v>
      </c>
      <c r="H2244">
        <v>359.77927882153102</v>
      </c>
      <c r="I2244">
        <v>0.67533142736080998</v>
      </c>
      <c r="J2244">
        <v>0.24195145648437399</v>
      </c>
      <c r="K2244">
        <v>0.76142039778403403</v>
      </c>
      <c r="L2244" t="s">
        <v>38</v>
      </c>
      <c r="M2244" t="s">
        <v>34</v>
      </c>
      <c r="N2244" t="s">
        <v>35</v>
      </c>
      <c r="O2244">
        <v>0.77713076708074202</v>
      </c>
      <c r="P2244" t="s">
        <v>36</v>
      </c>
    </row>
    <row r="2245" spans="1:16">
      <c r="A2245">
        <v>2244</v>
      </c>
      <c r="B2245" t="s">
        <v>2306</v>
      </c>
      <c r="C2245">
        <v>80</v>
      </c>
      <c r="D2245">
        <v>75</v>
      </c>
      <c r="E2245">
        <v>56.351533651244303</v>
      </c>
      <c r="F2245">
        <v>1.07177701903253</v>
      </c>
      <c r="G2245">
        <v>2494.02821172023</v>
      </c>
      <c r="H2245">
        <v>502.85871938933502</v>
      </c>
      <c r="I2245">
        <v>0.62398370848043305</v>
      </c>
      <c r="J2245">
        <v>0.123942215703569</v>
      </c>
      <c r="K2245">
        <v>0.54027947710734803</v>
      </c>
      <c r="L2245" t="s">
        <v>38</v>
      </c>
      <c r="M2245" t="s">
        <v>34</v>
      </c>
      <c r="N2245" t="s">
        <v>35</v>
      </c>
      <c r="O2245">
        <v>0.78613968605283002</v>
      </c>
      <c r="P2245" t="s">
        <v>36</v>
      </c>
    </row>
    <row r="2246" spans="1:16">
      <c r="A2246">
        <v>2245</v>
      </c>
      <c r="B2246" t="s">
        <v>2307</v>
      </c>
      <c r="C2246">
        <v>80</v>
      </c>
      <c r="D2246">
        <v>46</v>
      </c>
      <c r="E2246">
        <v>56.550996863713898</v>
      </c>
      <c r="F2246">
        <v>1.7447726976442</v>
      </c>
      <c r="G2246">
        <v>2511.7153009451799</v>
      </c>
      <c r="H2246">
        <v>269.96124176471102</v>
      </c>
      <c r="I2246">
        <v>0.54376164683633499</v>
      </c>
      <c r="J2246">
        <v>0.43308928694304899</v>
      </c>
      <c r="K2246">
        <v>0.80949415596857599</v>
      </c>
      <c r="L2246" t="s">
        <v>47</v>
      </c>
      <c r="M2246" t="s">
        <v>34</v>
      </c>
      <c r="N2246" t="s">
        <v>35</v>
      </c>
      <c r="O2246">
        <v>0.93303653041270895</v>
      </c>
      <c r="P2246" t="s">
        <v>36</v>
      </c>
    </row>
    <row r="2247" spans="1:16">
      <c r="A2247">
        <v>2246</v>
      </c>
      <c r="B2247" t="s">
        <v>2308</v>
      </c>
      <c r="C2247">
        <v>98</v>
      </c>
      <c r="D2247">
        <v>51</v>
      </c>
      <c r="E2247">
        <v>56.6780178229399</v>
      </c>
      <c r="F2247">
        <v>1.91729345693828</v>
      </c>
      <c r="G2247">
        <v>2523.01125708885</v>
      </c>
      <c r="H2247">
        <v>317.19201586464197</v>
      </c>
      <c r="I2247">
        <v>0.573794795213173</v>
      </c>
      <c r="J2247">
        <v>0.31512623318308702</v>
      </c>
      <c r="K2247">
        <v>0.70438607411095899</v>
      </c>
      <c r="L2247" t="s">
        <v>33</v>
      </c>
      <c r="M2247" t="s">
        <v>34</v>
      </c>
      <c r="N2247" t="s">
        <v>35</v>
      </c>
      <c r="O2247">
        <v>0.84495100805191603</v>
      </c>
      <c r="P2247" t="s">
        <v>36</v>
      </c>
    </row>
    <row r="2248" spans="1:16">
      <c r="A2248">
        <v>2247</v>
      </c>
      <c r="B2248" t="s">
        <v>2309</v>
      </c>
      <c r="C2248">
        <v>49</v>
      </c>
      <c r="D2248">
        <v>88</v>
      </c>
      <c r="E2248">
        <v>56.699716592209199</v>
      </c>
      <c r="F2248">
        <v>0.55900621118012395</v>
      </c>
      <c r="G2248">
        <v>2524.9434601134199</v>
      </c>
      <c r="H2248">
        <v>440.43935301490501</v>
      </c>
      <c r="I2248">
        <v>0.73544317207203203</v>
      </c>
      <c r="J2248">
        <v>0.16356459009681701</v>
      </c>
      <c r="K2248">
        <v>0.68386940944406405</v>
      </c>
      <c r="L2248" t="s">
        <v>33</v>
      </c>
      <c r="M2248" t="s">
        <v>34</v>
      </c>
      <c r="N2248" t="s">
        <v>35</v>
      </c>
      <c r="O2248">
        <v>0.70368415275316698</v>
      </c>
      <c r="P2248" t="s">
        <v>36</v>
      </c>
    </row>
    <row r="2249" spans="1:16">
      <c r="A2249">
        <v>2248</v>
      </c>
      <c r="B2249" t="s">
        <v>2310</v>
      </c>
      <c r="C2249">
        <v>60</v>
      </c>
      <c r="D2249">
        <v>74</v>
      </c>
      <c r="E2249">
        <v>56.700351413869399</v>
      </c>
      <c r="F2249">
        <v>0.80952381869863299</v>
      </c>
      <c r="G2249">
        <v>2525</v>
      </c>
      <c r="H2249">
        <v>265.56348919868498</v>
      </c>
      <c r="I2249">
        <v>0.65770918344753604</v>
      </c>
      <c r="J2249">
        <v>0.449919186952705</v>
      </c>
      <c r="K2249">
        <v>0.74814814814814801</v>
      </c>
      <c r="L2249" t="s">
        <v>331</v>
      </c>
      <c r="M2249" t="s">
        <v>34</v>
      </c>
      <c r="N2249" t="s">
        <v>35</v>
      </c>
      <c r="O2249">
        <v>0.68631015520432503</v>
      </c>
      <c r="P2249" t="s">
        <v>36</v>
      </c>
    </row>
    <row r="2250" spans="1:16">
      <c r="A2250">
        <v>2249</v>
      </c>
      <c r="B2250" t="s">
        <v>2311</v>
      </c>
      <c r="C2250">
        <v>50</v>
      </c>
      <c r="D2250">
        <v>85</v>
      </c>
      <c r="E2250">
        <v>56.700351413869399</v>
      </c>
      <c r="F2250">
        <v>0.58823529411764697</v>
      </c>
      <c r="G2250">
        <v>2525</v>
      </c>
      <c r="H2250">
        <v>251.421353816986</v>
      </c>
      <c r="I2250">
        <v>0.63235269574517505</v>
      </c>
      <c r="J2250">
        <v>0.50195747419810499</v>
      </c>
      <c r="K2250">
        <v>0.84166666666666701</v>
      </c>
      <c r="L2250" t="s">
        <v>33</v>
      </c>
      <c r="M2250" t="s">
        <v>34</v>
      </c>
      <c r="N2250" t="s">
        <v>35</v>
      </c>
      <c r="O2250">
        <v>0.82956234599186096</v>
      </c>
      <c r="P2250" t="s">
        <v>36</v>
      </c>
    </row>
    <row r="2251" spans="1:16">
      <c r="A2251">
        <v>2250</v>
      </c>
      <c r="B2251" t="s">
        <v>2312</v>
      </c>
      <c r="C2251">
        <v>54</v>
      </c>
      <c r="D2251">
        <v>103</v>
      </c>
      <c r="E2251">
        <v>56.761429226161297</v>
      </c>
      <c r="F2251">
        <v>0.52680114829804703</v>
      </c>
      <c r="G2251">
        <v>2530.4428071833599</v>
      </c>
      <c r="H2251">
        <v>640.35369416122899</v>
      </c>
      <c r="I2251">
        <v>0.73268273230202996</v>
      </c>
      <c r="J2251">
        <v>7.7547276777431007E-2</v>
      </c>
      <c r="K2251">
        <v>0.58215079500769396</v>
      </c>
      <c r="L2251" t="s">
        <v>38</v>
      </c>
      <c r="M2251" t="s">
        <v>34</v>
      </c>
      <c r="N2251" t="s">
        <v>35</v>
      </c>
      <c r="O2251">
        <v>0.77608361128163295</v>
      </c>
      <c r="P2251" t="s">
        <v>36</v>
      </c>
    </row>
    <row r="2252" spans="1:16">
      <c r="A2252">
        <v>2251</v>
      </c>
      <c r="B2252" t="s">
        <v>2313</v>
      </c>
      <c r="C2252">
        <v>63</v>
      </c>
      <c r="D2252">
        <v>88</v>
      </c>
      <c r="E2252">
        <v>56.809751724530102</v>
      </c>
      <c r="F2252">
        <v>0.72049689440993803</v>
      </c>
      <c r="G2252">
        <v>2534.75310623819</v>
      </c>
      <c r="H2252">
        <v>598.55239649316502</v>
      </c>
      <c r="I2252">
        <v>0.56425238359343799</v>
      </c>
      <c r="J2252">
        <v>8.8908069435492801E-2</v>
      </c>
      <c r="K2252">
        <v>0.57888662593346896</v>
      </c>
      <c r="L2252" t="s">
        <v>38</v>
      </c>
      <c r="M2252" t="s">
        <v>34</v>
      </c>
      <c r="N2252" t="s">
        <v>35</v>
      </c>
      <c r="O2252">
        <v>0.80303399129741804</v>
      </c>
      <c r="P2252" t="s">
        <v>36</v>
      </c>
    </row>
    <row r="2253" spans="1:16">
      <c r="A2253">
        <v>2252</v>
      </c>
      <c r="B2253" t="s">
        <v>2314</v>
      </c>
      <c r="C2253">
        <v>52</v>
      </c>
      <c r="D2253">
        <v>95</v>
      </c>
      <c r="E2253">
        <v>56.834729998834803</v>
      </c>
      <c r="F2253">
        <v>0.55060833687148902</v>
      </c>
      <c r="G2253">
        <v>2536.9825712665402</v>
      </c>
      <c r="H2253">
        <v>368.907418739381</v>
      </c>
      <c r="I2253">
        <v>0.78273519433296901</v>
      </c>
      <c r="J2253">
        <v>0.234256995961552</v>
      </c>
      <c r="K2253">
        <v>0.62089411079989798</v>
      </c>
      <c r="L2253" t="s">
        <v>47</v>
      </c>
      <c r="M2253" t="s">
        <v>34</v>
      </c>
      <c r="N2253" t="s">
        <v>35</v>
      </c>
      <c r="O2253">
        <v>0.92040600140393403</v>
      </c>
      <c r="P2253" t="s">
        <v>36</v>
      </c>
    </row>
    <row r="2254" spans="1:16">
      <c r="A2254">
        <v>2253</v>
      </c>
      <c r="B2254" t="s">
        <v>2315</v>
      </c>
      <c r="C2254">
        <v>55</v>
      </c>
      <c r="D2254">
        <v>112</v>
      </c>
      <c r="E2254">
        <v>56.887980328486101</v>
      </c>
      <c r="F2254">
        <v>0.49157485770548398</v>
      </c>
      <c r="G2254">
        <v>2541.73876332703</v>
      </c>
      <c r="H2254">
        <v>494.37712741302403</v>
      </c>
      <c r="I2254">
        <v>0.69760898688970696</v>
      </c>
      <c r="J2254">
        <v>0.13068448684710601</v>
      </c>
      <c r="K2254">
        <v>0.56463169016409698</v>
      </c>
      <c r="L2254" t="s">
        <v>33</v>
      </c>
      <c r="M2254" t="s">
        <v>34</v>
      </c>
      <c r="N2254" t="s">
        <v>35</v>
      </c>
      <c r="O2254">
        <v>0.73959039077195399</v>
      </c>
      <c r="P2254" t="s">
        <v>36</v>
      </c>
    </row>
    <row r="2255" spans="1:16">
      <c r="A2255">
        <v>2254</v>
      </c>
      <c r="B2255" t="s">
        <v>2316</v>
      </c>
      <c r="C2255">
        <v>59</v>
      </c>
      <c r="D2255">
        <v>59</v>
      </c>
      <c r="E2255">
        <v>56.9029480051504</v>
      </c>
      <c r="F2255">
        <v>1.0096605818028099</v>
      </c>
      <c r="G2255">
        <v>2543.0764423440501</v>
      </c>
      <c r="H2255">
        <v>206.00916999671799</v>
      </c>
      <c r="I2255">
        <v>0.70849661201277403</v>
      </c>
      <c r="J2255">
        <v>0.75300207703066702</v>
      </c>
      <c r="K2255">
        <v>0.95267260579064605</v>
      </c>
      <c r="L2255" t="s">
        <v>33</v>
      </c>
      <c r="M2255" t="s">
        <v>34</v>
      </c>
      <c r="N2255" t="s">
        <v>35</v>
      </c>
      <c r="O2255">
        <v>0.85836357035467103</v>
      </c>
      <c r="P2255" t="s">
        <v>36</v>
      </c>
    </row>
    <row r="2256" spans="1:16">
      <c r="A2256">
        <v>2255</v>
      </c>
      <c r="B2256" t="s">
        <v>2317</v>
      </c>
      <c r="C2256">
        <v>55</v>
      </c>
      <c r="D2256">
        <v>65</v>
      </c>
      <c r="E2256">
        <v>56.957795834809197</v>
      </c>
      <c r="F2256">
        <v>0.85311917550230398</v>
      </c>
      <c r="G2256">
        <v>2547.9812654064299</v>
      </c>
      <c r="H2256">
        <v>256.69444452399802</v>
      </c>
      <c r="I2256">
        <v>0.74625580529926205</v>
      </c>
      <c r="J2256">
        <v>0.48592937697087502</v>
      </c>
      <c r="K2256">
        <v>0.86716576458090999</v>
      </c>
      <c r="L2256" t="s">
        <v>38</v>
      </c>
      <c r="M2256" t="s">
        <v>34</v>
      </c>
      <c r="N2256" t="s">
        <v>35</v>
      </c>
      <c r="O2256">
        <v>0.71595744082577095</v>
      </c>
      <c r="P2256" t="s">
        <v>36</v>
      </c>
    </row>
    <row r="2257" spans="1:16">
      <c r="A2257">
        <v>2256</v>
      </c>
      <c r="B2257" t="s">
        <v>2318</v>
      </c>
      <c r="C2257">
        <v>68</v>
      </c>
      <c r="D2257">
        <v>83</v>
      </c>
      <c r="E2257">
        <v>56.957795834809197</v>
      </c>
      <c r="F2257">
        <v>0.82236842105263197</v>
      </c>
      <c r="G2257">
        <v>2547.9812654064299</v>
      </c>
      <c r="H2257">
        <v>691.94620739159404</v>
      </c>
      <c r="I2257">
        <v>0.70910181260564098</v>
      </c>
      <c r="J2257">
        <v>6.6874635499356697E-2</v>
      </c>
      <c r="K2257">
        <v>0.52437905297932197</v>
      </c>
      <c r="L2257" t="s">
        <v>61</v>
      </c>
      <c r="M2257" t="s">
        <v>34</v>
      </c>
      <c r="N2257" t="s">
        <v>35</v>
      </c>
      <c r="O2257">
        <v>0.73756788140847596</v>
      </c>
      <c r="P2257" t="s">
        <v>36</v>
      </c>
    </row>
    <row r="2258" spans="1:16">
      <c r="A2258">
        <v>2257</v>
      </c>
      <c r="B2258" t="s">
        <v>2319</v>
      </c>
      <c r="C2258">
        <v>53</v>
      </c>
      <c r="D2258">
        <v>83</v>
      </c>
      <c r="E2258">
        <v>57.112083600527001</v>
      </c>
      <c r="F2258">
        <v>0.63815789473684204</v>
      </c>
      <c r="G2258">
        <v>2561.8039485822301</v>
      </c>
      <c r="H2258">
        <v>485.97303011873498</v>
      </c>
      <c r="I2258">
        <v>0.745017743758427</v>
      </c>
      <c r="J2258">
        <v>0.13631116157607701</v>
      </c>
      <c r="K2258">
        <v>0.66312711603570296</v>
      </c>
      <c r="L2258" t="s">
        <v>47</v>
      </c>
      <c r="M2258" t="s">
        <v>34</v>
      </c>
      <c r="N2258" t="s">
        <v>35</v>
      </c>
      <c r="O2258">
        <v>0.86790692835809902</v>
      </c>
      <c r="P2258" t="s">
        <v>36</v>
      </c>
    </row>
    <row r="2259" spans="1:16">
      <c r="A2259">
        <v>2258</v>
      </c>
      <c r="B2259" t="s">
        <v>2320</v>
      </c>
      <c r="C2259">
        <v>74</v>
      </c>
      <c r="D2259">
        <v>58</v>
      </c>
      <c r="E2259">
        <v>57.122023339590001</v>
      </c>
      <c r="F2259">
        <v>1.26168224299065</v>
      </c>
      <c r="G2259">
        <v>2562.6957345935698</v>
      </c>
      <c r="H2259">
        <v>331.61506355741699</v>
      </c>
      <c r="I2259">
        <v>0.78097579729050404</v>
      </c>
      <c r="J2259">
        <v>0.292845402271732</v>
      </c>
      <c r="K2259">
        <v>0.77384318477626701</v>
      </c>
      <c r="L2259" t="s">
        <v>298</v>
      </c>
      <c r="M2259" t="s">
        <v>34</v>
      </c>
      <c r="N2259" t="s">
        <v>35</v>
      </c>
      <c r="O2259">
        <v>0.638013535903593</v>
      </c>
      <c r="P2259" t="s">
        <v>36</v>
      </c>
    </row>
    <row r="2260" spans="1:16">
      <c r="A2260">
        <v>2259</v>
      </c>
      <c r="B2260" t="s">
        <v>2321</v>
      </c>
      <c r="C2260">
        <v>73</v>
      </c>
      <c r="D2260">
        <v>58</v>
      </c>
      <c r="E2260">
        <v>57.128648871519701</v>
      </c>
      <c r="F2260">
        <v>1.2641509433962299</v>
      </c>
      <c r="G2260">
        <v>2563.2902586011301</v>
      </c>
      <c r="H2260">
        <v>413.47516693509101</v>
      </c>
      <c r="I2260">
        <v>0.68330034392608197</v>
      </c>
      <c r="J2260">
        <v>0.18841209935200601</v>
      </c>
      <c r="K2260">
        <v>0.70048740861088499</v>
      </c>
      <c r="L2260" t="s">
        <v>38</v>
      </c>
      <c r="M2260" t="s">
        <v>34</v>
      </c>
      <c r="N2260" t="s">
        <v>35</v>
      </c>
      <c r="O2260">
        <v>0.68586859302606196</v>
      </c>
      <c r="P2260" t="s">
        <v>36</v>
      </c>
    </row>
    <row r="2261" spans="1:16">
      <c r="A2261">
        <v>2260</v>
      </c>
      <c r="B2261" t="s">
        <v>2322</v>
      </c>
      <c r="C2261">
        <v>80</v>
      </c>
      <c r="D2261">
        <v>58</v>
      </c>
      <c r="E2261">
        <v>57.252735629609099</v>
      </c>
      <c r="F2261">
        <v>1.38656859145122</v>
      </c>
      <c r="G2261">
        <v>2574.4375837429102</v>
      </c>
      <c r="H2261">
        <v>341.00000123262402</v>
      </c>
      <c r="I2261">
        <v>0.74624805157555596</v>
      </c>
      <c r="J2261">
        <v>0.27821687607576301</v>
      </c>
      <c r="K2261">
        <v>0.75532007674864798</v>
      </c>
      <c r="L2261" t="s">
        <v>298</v>
      </c>
      <c r="M2261" t="s">
        <v>34</v>
      </c>
      <c r="N2261" t="s">
        <v>35</v>
      </c>
      <c r="O2261">
        <v>0.62933142426546795</v>
      </c>
      <c r="P2261" t="s">
        <v>36</v>
      </c>
    </row>
    <row r="2262" spans="1:16">
      <c r="A2262">
        <v>2261</v>
      </c>
      <c r="B2262" t="s">
        <v>2323</v>
      </c>
      <c r="C2262">
        <v>50</v>
      </c>
      <c r="D2262">
        <v>105</v>
      </c>
      <c r="E2262">
        <v>57.258989055807199</v>
      </c>
      <c r="F2262">
        <v>0.476190476190476</v>
      </c>
      <c r="G2262">
        <v>2575</v>
      </c>
      <c r="H2262">
        <v>420.416301488876</v>
      </c>
      <c r="I2262">
        <v>0.77450577494466299</v>
      </c>
      <c r="J2262">
        <v>0.18307456159483099</v>
      </c>
      <c r="K2262">
        <v>0.59710144927536202</v>
      </c>
      <c r="L2262" t="s">
        <v>33</v>
      </c>
      <c r="M2262" t="s">
        <v>34</v>
      </c>
      <c r="N2262" t="s">
        <v>35</v>
      </c>
      <c r="O2262">
        <v>0.71124685032005197</v>
      </c>
      <c r="P2262" t="s">
        <v>36</v>
      </c>
    </row>
    <row r="2263" spans="1:16">
      <c r="A2263">
        <v>2262</v>
      </c>
      <c r="B2263" t="s">
        <v>2324</v>
      </c>
      <c r="C2263">
        <v>83</v>
      </c>
      <c r="D2263">
        <v>69</v>
      </c>
      <c r="E2263">
        <v>57.605327106774801</v>
      </c>
      <c r="F2263">
        <v>1.2063492063492101</v>
      </c>
      <c r="G2263">
        <v>2606.2446181474502</v>
      </c>
      <c r="H2263">
        <v>583.15401765377601</v>
      </c>
      <c r="I2263">
        <v>0.65167523005197103</v>
      </c>
      <c r="J2263">
        <v>9.6307142098440393E-2</v>
      </c>
      <c r="K2263">
        <v>0.54360293889698397</v>
      </c>
      <c r="L2263" t="s">
        <v>33</v>
      </c>
      <c r="M2263" t="s">
        <v>34</v>
      </c>
      <c r="N2263" t="s">
        <v>35</v>
      </c>
      <c r="O2263">
        <v>0.71574006448504102</v>
      </c>
      <c r="P2263" t="s">
        <v>36</v>
      </c>
    </row>
    <row r="2264" spans="1:16">
      <c r="A2264">
        <v>2263</v>
      </c>
      <c r="B2264" t="s">
        <v>2325</v>
      </c>
      <c r="C2264">
        <v>104</v>
      </c>
      <c r="D2264">
        <v>46</v>
      </c>
      <c r="E2264">
        <v>57.621750578842402</v>
      </c>
      <c r="F2264">
        <v>2.2451798597713899</v>
      </c>
      <c r="G2264">
        <v>2607.7309281663502</v>
      </c>
      <c r="H2264">
        <v>485.124481620685</v>
      </c>
      <c r="I2264">
        <v>0.68450503098790705</v>
      </c>
      <c r="J2264">
        <v>0.13924071941813401</v>
      </c>
      <c r="K2264">
        <v>0.58378252478871395</v>
      </c>
      <c r="L2264" t="s">
        <v>288</v>
      </c>
      <c r="M2264" t="s">
        <v>34</v>
      </c>
      <c r="N2264" t="s">
        <v>35</v>
      </c>
      <c r="O2264">
        <v>0.72887379376946504</v>
      </c>
      <c r="P2264" t="s">
        <v>36</v>
      </c>
    </row>
    <row r="2265" spans="1:16">
      <c r="A2265">
        <v>2264</v>
      </c>
      <c r="B2265" t="s">
        <v>2326</v>
      </c>
      <c r="C2265">
        <v>73</v>
      </c>
      <c r="D2265">
        <v>68</v>
      </c>
      <c r="E2265">
        <v>57.644735578705301</v>
      </c>
      <c r="F2265">
        <v>1.0640000000000001</v>
      </c>
      <c r="G2265">
        <v>2609.81176219282</v>
      </c>
      <c r="H2265">
        <v>372.46762056423302</v>
      </c>
      <c r="I2265">
        <v>0.60023424853632601</v>
      </c>
      <c r="J2265">
        <v>0.236397020813016</v>
      </c>
      <c r="K2265">
        <v>0.66255376952682798</v>
      </c>
      <c r="L2265" t="s">
        <v>331</v>
      </c>
      <c r="M2265" t="s">
        <v>34</v>
      </c>
      <c r="N2265" t="s">
        <v>35</v>
      </c>
      <c r="O2265">
        <v>0.68625731048954997</v>
      </c>
      <c r="P2265" t="s">
        <v>36</v>
      </c>
    </row>
    <row r="2266" spans="1:16">
      <c r="A2266">
        <v>2265</v>
      </c>
      <c r="B2266" t="s">
        <v>2327</v>
      </c>
      <c r="C2266">
        <v>46</v>
      </c>
      <c r="D2266">
        <v>81</v>
      </c>
      <c r="E2266">
        <v>57.674274261442598</v>
      </c>
      <c r="F2266">
        <v>0.57045120533036198</v>
      </c>
      <c r="G2266">
        <v>2612.48712022684</v>
      </c>
      <c r="H2266">
        <v>281.32277167454998</v>
      </c>
      <c r="I2266">
        <v>0.80029708871444205</v>
      </c>
      <c r="J2266">
        <v>0.41481480374457702</v>
      </c>
      <c r="K2266">
        <v>0.86778573191804498</v>
      </c>
      <c r="L2266" t="s">
        <v>33</v>
      </c>
      <c r="M2266" t="s">
        <v>34</v>
      </c>
      <c r="N2266" t="s">
        <v>35</v>
      </c>
      <c r="O2266">
        <v>0.70657296872322894</v>
      </c>
      <c r="P2266" t="s">
        <v>36</v>
      </c>
    </row>
    <row r="2267" spans="1:16">
      <c r="A2267">
        <v>2266</v>
      </c>
      <c r="B2267" t="s">
        <v>2328</v>
      </c>
      <c r="C2267">
        <v>63</v>
      </c>
      <c r="D2267">
        <v>63</v>
      </c>
      <c r="E2267">
        <v>57.761161550393602</v>
      </c>
      <c r="F2267">
        <v>0.99137931034482796</v>
      </c>
      <c r="G2267">
        <v>2620.3645633270298</v>
      </c>
      <c r="H2267">
        <v>379.858777757935</v>
      </c>
      <c r="I2267">
        <v>0.72831635637264902</v>
      </c>
      <c r="J2267">
        <v>0.22820609977001</v>
      </c>
      <c r="K2267">
        <v>0.77074407624376995</v>
      </c>
      <c r="L2267" t="s">
        <v>38</v>
      </c>
      <c r="M2267" t="s">
        <v>34</v>
      </c>
      <c r="N2267" t="s">
        <v>35</v>
      </c>
      <c r="O2267">
        <v>0.82295116268703905</v>
      </c>
      <c r="P2267" t="s">
        <v>36</v>
      </c>
    </row>
    <row r="2268" spans="1:16">
      <c r="A2268">
        <v>2267</v>
      </c>
      <c r="B2268" t="s">
        <v>2329</v>
      </c>
      <c r="C2268">
        <v>73</v>
      </c>
      <c r="D2268">
        <v>63</v>
      </c>
      <c r="E2268">
        <v>57.8021007869106</v>
      </c>
      <c r="F2268">
        <v>1.1551724137931001</v>
      </c>
      <c r="G2268">
        <v>2624.08033837429</v>
      </c>
      <c r="H2268">
        <v>484.29863060381098</v>
      </c>
      <c r="I2268">
        <v>0.66000178844748503</v>
      </c>
      <c r="J2268">
        <v>0.14059196764950799</v>
      </c>
      <c r="K2268">
        <v>0.66630184549194205</v>
      </c>
      <c r="L2268" t="s">
        <v>188</v>
      </c>
      <c r="M2268" t="s">
        <v>34</v>
      </c>
      <c r="N2268" t="s">
        <v>35</v>
      </c>
      <c r="O2268">
        <v>0.83274001960671695</v>
      </c>
      <c r="P2268" t="s">
        <v>36</v>
      </c>
    </row>
    <row r="2269" spans="1:16">
      <c r="A2269">
        <v>2268</v>
      </c>
      <c r="B2269" t="s">
        <v>2330</v>
      </c>
      <c r="C2269">
        <v>65</v>
      </c>
      <c r="D2269">
        <v>85</v>
      </c>
      <c r="E2269">
        <v>57.812228852811103</v>
      </c>
      <c r="F2269">
        <v>0.76470588235294101</v>
      </c>
      <c r="G2269">
        <v>2625</v>
      </c>
      <c r="H2269">
        <v>433.84775996208202</v>
      </c>
      <c r="I2269">
        <v>0.66059217538402604</v>
      </c>
      <c r="J2269">
        <v>0.17525259318195699</v>
      </c>
      <c r="K2269">
        <v>0.59322033898305104</v>
      </c>
      <c r="L2269" t="s">
        <v>38</v>
      </c>
      <c r="M2269" t="s">
        <v>34</v>
      </c>
      <c r="N2269" t="s">
        <v>35</v>
      </c>
      <c r="O2269">
        <v>0.647344422999096</v>
      </c>
      <c r="P2269" t="s">
        <v>36</v>
      </c>
    </row>
    <row r="2270" spans="1:16">
      <c r="A2270">
        <v>2269</v>
      </c>
      <c r="B2270" t="s">
        <v>2331</v>
      </c>
      <c r="C2270">
        <v>63</v>
      </c>
      <c r="D2270">
        <v>93</v>
      </c>
      <c r="E2270">
        <v>57.875718436087602</v>
      </c>
      <c r="F2270">
        <v>0.67874929971864095</v>
      </c>
      <c r="G2270">
        <v>2630.7687334593602</v>
      </c>
      <c r="H2270">
        <v>486.05052480075699</v>
      </c>
      <c r="I2270">
        <v>0.83108898929218</v>
      </c>
      <c r="J2270">
        <v>0.13993607966410701</v>
      </c>
      <c r="K2270">
        <v>0.56585677749360597</v>
      </c>
      <c r="L2270" t="s">
        <v>33</v>
      </c>
      <c r="M2270" t="s">
        <v>34</v>
      </c>
      <c r="N2270" t="s">
        <v>35</v>
      </c>
      <c r="O2270">
        <v>0.71112802114150597</v>
      </c>
      <c r="P2270" t="s">
        <v>36</v>
      </c>
    </row>
    <row r="2271" spans="1:16">
      <c r="A2271">
        <v>2270</v>
      </c>
      <c r="B2271" t="s">
        <v>2332</v>
      </c>
      <c r="C2271">
        <v>59</v>
      </c>
      <c r="D2271">
        <v>97</v>
      </c>
      <c r="E2271">
        <v>57.981890026024701</v>
      </c>
      <c r="F2271">
        <v>0.60721874900975803</v>
      </c>
      <c r="G2271">
        <v>2640.4297485822299</v>
      </c>
      <c r="H2271">
        <v>423.79555002886298</v>
      </c>
      <c r="I2271">
        <v>0.81160419294465702</v>
      </c>
      <c r="J2271">
        <v>0.1847445760685</v>
      </c>
      <c r="K2271">
        <v>0.60811967274843404</v>
      </c>
      <c r="L2271" t="s">
        <v>38</v>
      </c>
      <c r="M2271" t="s">
        <v>34</v>
      </c>
      <c r="N2271" t="s">
        <v>35</v>
      </c>
      <c r="O2271">
        <v>0.85562934822370496</v>
      </c>
      <c r="P2271" t="s">
        <v>36</v>
      </c>
    </row>
    <row r="2272" spans="1:16">
      <c r="A2272">
        <v>2271</v>
      </c>
      <c r="B2272" t="s">
        <v>2333</v>
      </c>
      <c r="C2272">
        <v>83</v>
      </c>
      <c r="D2272">
        <v>93</v>
      </c>
      <c r="E2272">
        <v>57.986785560139097</v>
      </c>
      <c r="F2272">
        <v>0.89411762805133199</v>
      </c>
      <c r="G2272">
        <v>2640.8756415879002</v>
      </c>
      <c r="H2272">
        <v>586.18343571704395</v>
      </c>
      <c r="I2272">
        <v>0.63236922742471402</v>
      </c>
      <c r="J2272">
        <v>9.6580784949155701E-2</v>
      </c>
      <c r="K2272">
        <v>0.452065947486261</v>
      </c>
      <c r="L2272" t="s">
        <v>38</v>
      </c>
      <c r="M2272" t="s">
        <v>34</v>
      </c>
      <c r="N2272" t="s">
        <v>35</v>
      </c>
      <c r="O2272">
        <v>0.69478641771808802</v>
      </c>
      <c r="P2272" t="s">
        <v>36</v>
      </c>
    </row>
    <row r="2273" spans="1:16">
      <c r="A2273">
        <v>2272</v>
      </c>
      <c r="B2273" t="s">
        <v>2334</v>
      </c>
      <c r="C2273">
        <v>88</v>
      </c>
      <c r="D2273">
        <v>58</v>
      </c>
      <c r="E2273">
        <v>58.022673522680201</v>
      </c>
      <c r="F2273">
        <v>1.52476892984336</v>
      </c>
      <c r="G2273">
        <v>2644.1455236294901</v>
      </c>
      <c r="H2273">
        <v>380.46543997142601</v>
      </c>
      <c r="I2273">
        <v>0.57032643038416198</v>
      </c>
      <c r="J2273">
        <v>0.229543389840344</v>
      </c>
      <c r="K2273">
        <v>0.72473214649448003</v>
      </c>
      <c r="L2273" t="s">
        <v>38</v>
      </c>
      <c r="M2273" t="s">
        <v>34</v>
      </c>
      <c r="N2273" t="s">
        <v>35</v>
      </c>
      <c r="O2273">
        <v>0.74177102827156505</v>
      </c>
      <c r="P2273" t="s">
        <v>36</v>
      </c>
    </row>
    <row r="2274" spans="1:16">
      <c r="A2274">
        <v>2273</v>
      </c>
      <c r="B2274" t="s">
        <v>2335</v>
      </c>
      <c r="C2274">
        <v>77</v>
      </c>
      <c r="D2274">
        <v>58</v>
      </c>
      <c r="E2274">
        <v>58.109039871487198</v>
      </c>
      <c r="F2274">
        <v>1.3271028037383199</v>
      </c>
      <c r="G2274">
        <v>2652.0229667296799</v>
      </c>
      <c r="H2274">
        <v>350.73641959408099</v>
      </c>
      <c r="I2274">
        <v>0.77587140253071996</v>
      </c>
      <c r="J2274">
        <v>0.27091023701721501</v>
      </c>
      <c r="K2274">
        <v>0.75112607872026904</v>
      </c>
      <c r="L2274" t="s">
        <v>38</v>
      </c>
      <c r="M2274" t="s">
        <v>34</v>
      </c>
      <c r="N2274" t="s">
        <v>35</v>
      </c>
      <c r="O2274">
        <v>0.70453782627587602</v>
      </c>
      <c r="P2274" t="s">
        <v>36</v>
      </c>
    </row>
    <row r="2275" spans="1:16">
      <c r="A2275">
        <v>2274</v>
      </c>
      <c r="B2275" t="s">
        <v>2336</v>
      </c>
      <c r="C2275">
        <v>87</v>
      </c>
      <c r="D2275">
        <v>83</v>
      </c>
      <c r="E2275">
        <v>58.1334598817566</v>
      </c>
      <c r="F2275">
        <v>1.0526315789473699</v>
      </c>
      <c r="G2275">
        <v>2654.2524317580301</v>
      </c>
      <c r="H2275">
        <v>505.14918335624401</v>
      </c>
      <c r="I2275">
        <v>0.72367940408363496</v>
      </c>
      <c r="J2275">
        <v>0.130711192701499</v>
      </c>
      <c r="K2275">
        <v>0.55325608773777801</v>
      </c>
      <c r="L2275" t="s">
        <v>298</v>
      </c>
      <c r="M2275" t="s">
        <v>34</v>
      </c>
      <c r="N2275" t="s">
        <v>35</v>
      </c>
      <c r="O2275">
        <v>0.735612311429515</v>
      </c>
      <c r="P2275" t="s">
        <v>36</v>
      </c>
    </row>
    <row r="2276" spans="1:16">
      <c r="A2276">
        <v>2275</v>
      </c>
      <c r="B2276" t="s">
        <v>2337</v>
      </c>
      <c r="C2276">
        <v>63</v>
      </c>
      <c r="D2276">
        <v>68</v>
      </c>
      <c r="E2276">
        <v>58.156242639912101</v>
      </c>
      <c r="F2276">
        <v>0.92800000000000005</v>
      </c>
      <c r="G2276">
        <v>2656.3332657844999</v>
      </c>
      <c r="H2276">
        <v>511.34971360413903</v>
      </c>
      <c r="I2276">
        <v>0.66851206062632196</v>
      </c>
      <c r="J2276">
        <v>0.127660455884373</v>
      </c>
      <c r="K2276">
        <v>0.65532414197711897</v>
      </c>
      <c r="L2276" t="s">
        <v>33</v>
      </c>
      <c r="M2276" t="s">
        <v>34</v>
      </c>
      <c r="N2276" t="s">
        <v>35</v>
      </c>
      <c r="O2276">
        <v>0.68504010001059601</v>
      </c>
      <c r="P2276" t="s">
        <v>36</v>
      </c>
    </row>
    <row r="2277" spans="1:16">
      <c r="A2277">
        <v>2276</v>
      </c>
      <c r="B2277" t="s">
        <v>2338</v>
      </c>
      <c r="C2277">
        <v>107</v>
      </c>
      <c r="D2277">
        <v>39</v>
      </c>
      <c r="E2277">
        <v>58.2212871101244</v>
      </c>
      <c r="F2277">
        <v>2.77464788732394</v>
      </c>
      <c r="G2277">
        <v>2662.2785058601098</v>
      </c>
      <c r="H2277">
        <v>483.450082105761</v>
      </c>
      <c r="I2277">
        <v>0.83409091474471297</v>
      </c>
      <c r="J2277">
        <v>0.143139690300598</v>
      </c>
      <c r="K2277">
        <v>0.66005822309024598</v>
      </c>
      <c r="L2277" t="s">
        <v>33</v>
      </c>
      <c r="M2277" t="s">
        <v>34</v>
      </c>
      <c r="N2277" t="s">
        <v>35</v>
      </c>
      <c r="O2277">
        <v>0.71057086696060001</v>
      </c>
      <c r="P2277" t="s">
        <v>36</v>
      </c>
    </row>
    <row r="2278" spans="1:16">
      <c r="A2278">
        <v>2277</v>
      </c>
      <c r="B2278" t="s">
        <v>2339</v>
      </c>
      <c r="C2278">
        <v>97</v>
      </c>
      <c r="D2278">
        <v>46</v>
      </c>
      <c r="E2278">
        <v>58.325207384004102</v>
      </c>
      <c r="F2278">
        <v>2.1281907812614902</v>
      </c>
      <c r="G2278">
        <v>2671.7908899811</v>
      </c>
      <c r="H2278">
        <v>319.88486471445702</v>
      </c>
      <c r="I2278">
        <v>0.66963734854964496</v>
      </c>
      <c r="J2278">
        <v>0.32811413855143601</v>
      </c>
      <c r="K2278">
        <v>0.79441400035354404</v>
      </c>
      <c r="L2278" t="s">
        <v>298</v>
      </c>
      <c r="M2278" t="s">
        <v>34</v>
      </c>
      <c r="N2278" t="s">
        <v>35</v>
      </c>
      <c r="O2278">
        <v>0.678633891092288</v>
      </c>
      <c r="P2278" t="s">
        <v>36</v>
      </c>
    </row>
    <row r="2279" spans="1:16">
      <c r="A2279">
        <v>2278</v>
      </c>
      <c r="B2279" t="s">
        <v>2340</v>
      </c>
      <c r="C2279">
        <v>83</v>
      </c>
      <c r="D2279">
        <v>63</v>
      </c>
      <c r="E2279">
        <v>58.349536925538601</v>
      </c>
      <c r="F2279">
        <v>1.31034482758621</v>
      </c>
      <c r="G2279">
        <v>2674.0203550094502</v>
      </c>
      <c r="H2279">
        <v>455.76023717227201</v>
      </c>
      <c r="I2279">
        <v>0.62973869997309695</v>
      </c>
      <c r="J2279">
        <v>0.16177138658784501</v>
      </c>
      <c r="K2279">
        <v>0.58730780530800097</v>
      </c>
      <c r="L2279" t="s">
        <v>43</v>
      </c>
      <c r="M2279" t="s">
        <v>34</v>
      </c>
      <c r="N2279" t="s">
        <v>35</v>
      </c>
      <c r="O2279">
        <v>0.700717387587518</v>
      </c>
      <c r="P2279" t="s">
        <v>36</v>
      </c>
    </row>
    <row r="2280" spans="1:16">
      <c r="A2280">
        <v>2279</v>
      </c>
      <c r="B2280" t="s">
        <v>2341</v>
      </c>
      <c r="C2280">
        <v>43</v>
      </c>
      <c r="D2280">
        <v>115</v>
      </c>
      <c r="E2280">
        <v>58.354401616607603</v>
      </c>
      <c r="F2280">
        <v>0.37475601085820798</v>
      </c>
      <c r="G2280">
        <v>2674.4662480151201</v>
      </c>
      <c r="H2280">
        <v>394.64109214533897</v>
      </c>
      <c r="I2280">
        <v>0.84713671127489698</v>
      </c>
      <c r="J2280">
        <v>0.21579549637828899</v>
      </c>
      <c r="K2280">
        <v>0.69365097721753199</v>
      </c>
      <c r="L2280" t="s">
        <v>47</v>
      </c>
      <c r="M2280" t="s">
        <v>34</v>
      </c>
      <c r="N2280" t="s">
        <v>35</v>
      </c>
      <c r="O2280">
        <v>0.93606215019446803</v>
      </c>
      <c r="P2280" t="s">
        <v>36</v>
      </c>
    </row>
    <row r="2281" spans="1:16">
      <c r="A2281">
        <v>2280</v>
      </c>
      <c r="B2281" t="s">
        <v>2342</v>
      </c>
      <c r="C2281">
        <v>83</v>
      </c>
      <c r="D2281">
        <v>54</v>
      </c>
      <c r="E2281">
        <v>58.360224315594898</v>
      </c>
      <c r="F2281">
        <v>1.5416666296444299</v>
      </c>
      <c r="G2281">
        <v>2675</v>
      </c>
      <c r="H2281">
        <v>264.85281229019199</v>
      </c>
      <c r="I2281">
        <v>0.42741603843567</v>
      </c>
      <c r="J2281">
        <v>0.47920845592254802</v>
      </c>
      <c r="K2281">
        <v>0.80149812734082404</v>
      </c>
      <c r="L2281" t="s">
        <v>38</v>
      </c>
      <c r="M2281" t="s">
        <v>34</v>
      </c>
      <c r="N2281" t="s">
        <v>35</v>
      </c>
      <c r="O2281">
        <v>0.70143091045366202</v>
      </c>
      <c r="P2281" t="s">
        <v>36</v>
      </c>
    </row>
    <row r="2282" spans="1:16">
      <c r="A2282">
        <v>2281</v>
      </c>
      <c r="B2282" t="s">
        <v>2343</v>
      </c>
      <c r="C2282">
        <v>57</v>
      </c>
      <c r="D2282">
        <v>79</v>
      </c>
      <c r="E2282">
        <v>58.393304555339803</v>
      </c>
      <c r="F2282">
        <v>0.72154100945992194</v>
      </c>
      <c r="G2282">
        <v>2678.0333920604899</v>
      </c>
      <c r="H2282">
        <v>308.23216055351799</v>
      </c>
      <c r="I2282">
        <v>0.72408185760163302</v>
      </c>
      <c r="J2282">
        <v>0.35421744891588802</v>
      </c>
      <c r="K2282">
        <v>0.78485864877815004</v>
      </c>
      <c r="L2282" t="s">
        <v>38</v>
      </c>
      <c r="M2282" t="s">
        <v>34</v>
      </c>
      <c r="N2282" t="s">
        <v>35</v>
      </c>
      <c r="O2282">
        <v>0.65160713973623696</v>
      </c>
      <c r="P2282" t="s">
        <v>36</v>
      </c>
    </row>
    <row r="2283" spans="1:16">
      <c r="A2283">
        <v>2282</v>
      </c>
      <c r="B2283" t="s">
        <v>2344</v>
      </c>
      <c r="C2283">
        <v>65</v>
      </c>
      <c r="D2283">
        <v>55</v>
      </c>
      <c r="E2283">
        <v>58.668128525233598</v>
      </c>
      <c r="F2283">
        <v>1.1901408193860099</v>
      </c>
      <c r="G2283">
        <v>2703.3006623818501</v>
      </c>
      <c r="H2283">
        <v>262.01432655417398</v>
      </c>
      <c r="I2283">
        <v>0.71035247563868897</v>
      </c>
      <c r="J2283">
        <v>0.49482785348568598</v>
      </c>
      <c r="K2283">
        <v>0.88115885858243304</v>
      </c>
      <c r="L2283" t="s">
        <v>49</v>
      </c>
      <c r="M2283" t="s">
        <v>34</v>
      </c>
      <c r="N2283" t="s">
        <v>35</v>
      </c>
      <c r="O2283">
        <v>0.64838715946009395</v>
      </c>
      <c r="P2283" t="s">
        <v>36</v>
      </c>
    </row>
    <row r="2284" spans="1:16">
      <c r="A2284">
        <v>2283</v>
      </c>
      <c r="B2284" t="s">
        <v>2345</v>
      </c>
      <c r="C2284">
        <v>83</v>
      </c>
      <c r="D2284">
        <v>69</v>
      </c>
      <c r="E2284">
        <v>58.788965970170501</v>
      </c>
      <c r="F2284">
        <v>1.2142856191345199</v>
      </c>
      <c r="G2284">
        <v>2714.4479875236302</v>
      </c>
      <c r="H2284">
        <v>367.092941333211</v>
      </c>
      <c r="I2284">
        <v>0.62720495600066095</v>
      </c>
      <c r="J2284">
        <v>0.25312749481445401</v>
      </c>
      <c r="K2284">
        <v>0.68390503295386496</v>
      </c>
      <c r="L2284" t="s">
        <v>47</v>
      </c>
      <c r="M2284" t="s">
        <v>34</v>
      </c>
      <c r="N2284" t="s">
        <v>35</v>
      </c>
      <c r="O2284">
        <v>0.93616655542285798</v>
      </c>
      <c r="P2284" t="s">
        <v>36</v>
      </c>
    </row>
    <row r="2285" spans="1:16">
      <c r="A2285">
        <v>2284</v>
      </c>
      <c r="B2285" t="s">
        <v>2346</v>
      </c>
      <c r="C2285">
        <v>74</v>
      </c>
      <c r="D2285">
        <v>74</v>
      </c>
      <c r="E2285">
        <v>58.9721646790113</v>
      </c>
      <c r="F2285">
        <v>1</v>
      </c>
      <c r="G2285">
        <v>2731.3919217391299</v>
      </c>
      <c r="H2285">
        <v>621.73880817485895</v>
      </c>
      <c r="I2285">
        <v>0.59847876671341405</v>
      </c>
      <c r="J2285">
        <v>8.8792836938811098E-2</v>
      </c>
      <c r="K2285">
        <v>0.61107970604861495</v>
      </c>
      <c r="L2285" t="s">
        <v>33</v>
      </c>
      <c r="M2285" t="s">
        <v>34</v>
      </c>
      <c r="N2285" t="s">
        <v>35</v>
      </c>
      <c r="O2285">
        <v>0.69436877240855599</v>
      </c>
      <c r="P2285" t="s">
        <v>36</v>
      </c>
    </row>
    <row r="2286" spans="1:16">
      <c r="A2286">
        <v>2285</v>
      </c>
      <c r="B2286" t="s">
        <v>2347</v>
      </c>
      <c r="C2286">
        <v>57</v>
      </c>
      <c r="D2286">
        <v>80</v>
      </c>
      <c r="E2286">
        <v>59.002642495424404</v>
      </c>
      <c r="F2286">
        <v>0.706445994387773</v>
      </c>
      <c r="G2286">
        <v>2734.2159107750499</v>
      </c>
      <c r="H2286">
        <v>301.16038432639601</v>
      </c>
      <c r="I2286">
        <v>0.57836077762577598</v>
      </c>
      <c r="J2286">
        <v>0.378832286129128</v>
      </c>
      <c r="K2286">
        <v>0.82062720256947896</v>
      </c>
      <c r="L2286" t="s">
        <v>43</v>
      </c>
      <c r="M2286" t="s">
        <v>34</v>
      </c>
      <c r="N2286" t="s">
        <v>35</v>
      </c>
      <c r="O2286">
        <v>0.67452896783139205</v>
      </c>
      <c r="P2286" t="s">
        <v>36</v>
      </c>
    </row>
    <row r="2287" spans="1:16">
      <c r="A2287">
        <v>2286</v>
      </c>
      <c r="B2287" t="s">
        <v>2348</v>
      </c>
      <c r="C2287">
        <v>102</v>
      </c>
      <c r="D2287">
        <v>78</v>
      </c>
      <c r="E2287">
        <v>59.1163942164495</v>
      </c>
      <c r="F2287">
        <v>1.3076923076923099</v>
      </c>
      <c r="G2287">
        <v>2744.7687119092602</v>
      </c>
      <c r="H2287">
        <v>628.46850595422404</v>
      </c>
      <c r="I2287">
        <v>0.68680505411860004</v>
      </c>
      <c r="J2287">
        <v>8.73270079621071E-2</v>
      </c>
      <c r="K2287">
        <v>0.52364884024272695</v>
      </c>
      <c r="L2287" t="s">
        <v>38</v>
      </c>
      <c r="M2287" t="s">
        <v>34</v>
      </c>
      <c r="N2287" t="s">
        <v>35</v>
      </c>
      <c r="O2287">
        <v>0.74311089039756695</v>
      </c>
      <c r="P2287" t="s">
        <v>36</v>
      </c>
    </row>
    <row r="2288" spans="1:16">
      <c r="A2288">
        <v>2287</v>
      </c>
      <c r="B2288" t="s">
        <v>2349</v>
      </c>
      <c r="C2288">
        <v>98</v>
      </c>
      <c r="D2288">
        <v>78</v>
      </c>
      <c r="E2288">
        <v>59.215547983986902</v>
      </c>
      <c r="F2288">
        <v>1.2517482517482501</v>
      </c>
      <c r="G2288">
        <v>2753.98383402647</v>
      </c>
      <c r="H2288">
        <v>803.763922188489</v>
      </c>
      <c r="I2288">
        <v>0.70165943023988497</v>
      </c>
      <c r="J2288">
        <v>5.35690856454124E-2</v>
      </c>
      <c r="K2288">
        <v>0.430596546675652</v>
      </c>
      <c r="L2288" t="s">
        <v>38</v>
      </c>
      <c r="M2288" t="s">
        <v>34</v>
      </c>
      <c r="N2288" t="s">
        <v>35</v>
      </c>
      <c r="O2288">
        <v>0.73689544179787803</v>
      </c>
      <c r="P2288" t="s">
        <v>36</v>
      </c>
    </row>
    <row r="2289" spans="1:16">
      <c r="A2289">
        <v>2288</v>
      </c>
      <c r="B2289" t="s">
        <v>2350</v>
      </c>
      <c r="C2289">
        <v>68</v>
      </c>
      <c r="D2289">
        <v>74</v>
      </c>
      <c r="E2289">
        <v>59.217145877803297</v>
      </c>
      <c r="F2289">
        <v>0.91851851851851896</v>
      </c>
      <c r="G2289">
        <v>2754.13246502836</v>
      </c>
      <c r="H2289">
        <v>414.48810703567801</v>
      </c>
      <c r="I2289">
        <v>0.48486005552211398</v>
      </c>
      <c r="J2289">
        <v>0.20145151649837501</v>
      </c>
      <c r="K2289">
        <v>0.67452950384041399</v>
      </c>
      <c r="L2289" t="s">
        <v>38</v>
      </c>
      <c r="M2289" t="s">
        <v>34</v>
      </c>
      <c r="N2289" t="s">
        <v>35</v>
      </c>
      <c r="O2289">
        <v>0.87979445478370699</v>
      </c>
      <c r="P2289" t="s">
        <v>36</v>
      </c>
    </row>
    <row r="2290" spans="1:16">
      <c r="A2290">
        <v>2289</v>
      </c>
      <c r="B2290" t="s">
        <v>2351</v>
      </c>
      <c r="C2290">
        <v>141</v>
      </c>
      <c r="D2290">
        <v>49</v>
      </c>
      <c r="E2290">
        <v>59.610513792456103</v>
      </c>
      <c r="F2290">
        <v>2.9101121726924899</v>
      </c>
      <c r="G2290">
        <v>2790.8443224952698</v>
      </c>
      <c r="H2290">
        <v>572.88843176085004</v>
      </c>
      <c r="I2290">
        <v>0.85120083901441201</v>
      </c>
      <c r="J2290">
        <v>0.106857588777322</v>
      </c>
      <c r="K2290">
        <v>0.52906370629173605</v>
      </c>
      <c r="L2290" t="s">
        <v>33</v>
      </c>
      <c r="M2290" t="s">
        <v>34</v>
      </c>
      <c r="N2290" t="s">
        <v>35</v>
      </c>
      <c r="O2290">
        <v>0.78002703430238796</v>
      </c>
      <c r="P2290" t="s">
        <v>36</v>
      </c>
    </row>
    <row r="2291" spans="1:16">
      <c r="A2291">
        <v>2290</v>
      </c>
      <c r="B2291" t="s">
        <v>2352</v>
      </c>
      <c r="C2291">
        <v>57</v>
      </c>
      <c r="D2291">
        <v>115</v>
      </c>
      <c r="E2291">
        <v>59.7199389866906</v>
      </c>
      <c r="F2291">
        <v>0.49687773585602102</v>
      </c>
      <c r="G2291">
        <v>2801.0998616257102</v>
      </c>
      <c r="H2291">
        <v>708.060842846166</v>
      </c>
      <c r="I2291">
        <v>0.79976362154938596</v>
      </c>
      <c r="J2291">
        <v>7.0209729638004703E-2</v>
      </c>
      <c r="K2291">
        <v>0.51413138367525102</v>
      </c>
      <c r="L2291" t="s">
        <v>298</v>
      </c>
      <c r="M2291" t="s">
        <v>34</v>
      </c>
      <c r="N2291" t="s">
        <v>35</v>
      </c>
      <c r="O2291">
        <v>0.68928801893675495</v>
      </c>
      <c r="P2291" t="s">
        <v>36</v>
      </c>
    </row>
    <row r="2292" spans="1:16">
      <c r="A2292">
        <v>2291</v>
      </c>
      <c r="B2292" t="s">
        <v>2353</v>
      </c>
      <c r="C2292">
        <v>128</v>
      </c>
      <c r="D2292">
        <v>54</v>
      </c>
      <c r="E2292">
        <v>59.8418149248578</v>
      </c>
      <c r="F2292">
        <v>2.3636363636363602</v>
      </c>
      <c r="G2292">
        <v>2812.5444487712698</v>
      </c>
      <c r="H2292">
        <v>696.94670845518897</v>
      </c>
      <c r="I2292">
        <v>0.84125207025530502</v>
      </c>
      <c r="J2292">
        <v>7.2762919476212704E-2</v>
      </c>
      <c r="K2292">
        <v>0.53151508342228004</v>
      </c>
      <c r="L2292" t="s">
        <v>298</v>
      </c>
      <c r="M2292" t="s">
        <v>34</v>
      </c>
      <c r="N2292" t="s">
        <v>35</v>
      </c>
      <c r="O2292">
        <v>0.71617256257611595</v>
      </c>
      <c r="P2292" t="s">
        <v>36</v>
      </c>
    </row>
    <row r="2293" spans="1:16">
      <c r="A2293">
        <v>2292</v>
      </c>
      <c r="B2293" t="s">
        <v>2354</v>
      </c>
      <c r="C2293">
        <v>67</v>
      </c>
      <c r="D2293">
        <v>65</v>
      </c>
      <c r="E2293">
        <v>59.9949945563081</v>
      </c>
      <c r="F2293">
        <v>1.0250000031789099</v>
      </c>
      <c r="G2293">
        <v>2826.9616559546298</v>
      </c>
      <c r="H2293">
        <v>339.803865052513</v>
      </c>
      <c r="I2293">
        <v>0.67814572721793498</v>
      </c>
      <c r="J2293">
        <v>0.30766150002566001</v>
      </c>
      <c r="K2293">
        <v>0.74920234765825</v>
      </c>
      <c r="L2293" t="s">
        <v>33</v>
      </c>
      <c r="M2293" t="s">
        <v>34</v>
      </c>
      <c r="N2293" t="s">
        <v>35</v>
      </c>
      <c r="O2293">
        <v>0.71679870288855596</v>
      </c>
      <c r="P2293" t="s">
        <v>36</v>
      </c>
    </row>
    <row r="2294" spans="1:16">
      <c r="A2294">
        <v>2293</v>
      </c>
      <c r="B2294" t="s">
        <v>2355</v>
      </c>
      <c r="C2294">
        <v>98</v>
      </c>
      <c r="D2294">
        <v>53</v>
      </c>
      <c r="E2294">
        <v>60.053320957055398</v>
      </c>
      <c r="F2294">
        <v>1.85189311678988</v>
      </c>
      <c r="G2294">
        <v>2832.4610030245699</v>
      </c>
      <c r="H2294">
        <v>384.35280877123699</v>
      </c>
      <c r="I2294">
        <v>0.53626478644003595</v>
      </c>
      <c r="J2294">
        <v>0.240942651318411</v>
      </c>
      <c r="K2294">
        <v>0.72756079868667201</v>
      </c>
      <c r="L2294" t="s">
        <v>33</v>
      </c>
      <c r="M2294" t="s">
        <v>34</v>
      </c>
      <c r="N2294" t="s">
        <v>35</v>
      </c>
      <c r="O2294">
        <v>0.781883091196519</v>
      </c>
      <c r="P2294" t="s">
        <v>36</v>
      </c>
    </row>
    <row r="2295" spans="1:16">
      <c r="A2295">
        <v>2294</v>
      </c>
      <c r="B2295" t="s">
        <v>2356</v>
      </c>
      <c r="C2295">
        <v>80</v>
      </c>
      <c r="D2295">
        <v>47</v>
      </c>
      <c r="E2295">
        <v>60.1067151671594</v>
      </c>
      <c r="F2295">
        <v>1.7142857723124001</v>
      </c>
      <c r="G2295">
        <v>2837.5</v>
      </c>
      <c r="H2295">
        <v>216.06601536273999</v>
      </c>
      <c r="I2295">
        <v>0.58843110459235104</v>
      </c>
      <c r="J2295">
        <v>0.76378796078237898</v>
      </c>
      <c r="K2295">
        <v>0.94190871369294604</v>
      </c>
      <c r="L2295" t="s">
        <v>49</v>
      </c>
      <c r="M2295" t="s">
        <v>34</v>
      </c>
      <c r="N2295" t="s">
        <v>35</v>
      </c>
      <c r="O2295">
        <v>0.68174360244627996</v>
      </c>
      <c r="P2295" t="s">
        <v>36</v>
      </c>
    </row>
    <row r="2296" spans="1:16">
      <c r="A2296">
        <v>2295</v>
      </c>
      <c r="B2296" t="s">
        <v>2357</v>
      </c>
      <c r="C2296">
        <v>93</v>
      </c>
      <c r="D2296">
        <v>54</v>
      </c>
      <c r="E2296">
        <v>60.1273296664885</v>
      </c>
      <c r="F2296">
        <v>1.7004393280627399</v>
      </c>
      <c r="G2296">
        <v>2839.44666011342</v>
      </c>
      <c r="H2296">
        <v>463.50125882210898</v>
      </c>
      <c r="I2296">
        <v>0.60914904918884005</v>
      </c>
      <c r="J2296">
        <v>0.16608933368298601</v>
      </c>
      <c r="K2296">
        <v>0.64111685348009895</v>
      </c>
      <c r="L2296" t="s">
        <v>47</v>
      </c>
      <c r="M2296" t="s">
        <v>34</v>
      </c>
      <c r="N2296" t="s">
        <v>35</v>
      </c>
      <c r="O2296">
        <v>0.952517589924196</v>
      </c>
      <c r="P2296" t="s">
        <v>36</v>
      </c>
    </row>
    <row r="2297" spans="1:16">
      <c r="A2297">
        <v>2296</v>
      </c>
      <c r="B2297" t="s">
        <v>2358</v>
      </c>
      <c r="C2297">
        <v>78</v>
      </c>
      <c r="D2297">
        <v>73</v>
      </c>
      <c r="E2297">
        <v>60.2153914999869</v>
      </c>
      <c r="F2297">
        <v>1.0751879699248099</v>
      </c>
      <c r="G2297">
        <v>2847.7699962192801</v>
      </c>
      <c r="H2297">
        <v>517.67313349640904</v>
      </c>
      <c r="I2297">
        <v>0.55626135373091501</v>
      </c>
      <c r="J2297">
        <v>0.13353758611279501</v>
      </c>
      <c r="K2297">
        <v>0.66265476931590195</v>
      </c>
      <c r="L2297" t="s">
        <v>101</v>
      </c>
      <c r="M2297" t="s">
        <v>34</v>
      </c>
      <c r="N2297" t="s">
        <v>35</v>
      </c>
      <c r="O2297">
        <v>0.65945015820136499</v>
      </c>
      <c r="P2297" t="s">
        <v>36</v>
      </c>
    </row>
    <row r="2298" spans="1:16">
      <c r="A2298">
        <v>2297</v>
      </c>
      <c r="B2298" t="s">
        <v>2359</v>
      </c>
      <c r="C2298">
        <v>78</v>
      </c>
      <c r="D2298">
        <v>103</v>
      </c>
      <c r="E2298">
        <v>60.287631778657499</v>
      </c>
      <c r="F2298">
        <v>0.75661375661375696</v>
      </c>
      <c r="G2298">
        <v>2854.6070223062402</v>
      </c>
      <c r="H2298">
        <v>668.01143937504798</v>
      </c>
      <c r="I2298">
        <v>0.78397079693038096</v>
      </c>
      <c r="J2298">
        <v>8.0387476307696298E-2</v>
      </c>
      <c r="K2298">
        <v>0.50155380879011802</v>
      </c>
      <c r="L2298" t="s">
        <v>288</v>
      </c>
      <c r="M2298" t="s">
        <v>34</v>
      </c>
      <c r="N2298" t="s">
        <v>35</v>
      </c>
      <c r="O2298">
        <v>0.66497605567385798</v>
      </c>
      <c r="P2298" t="s">
        <v>36</v>
      </c>
    </row>
    <row r="2299" spans="1:16">
      <c r="A2299">
        <v>2298</v>
      </c>
      <c r="B2299" t="s">
        <v>2360</v>
      </c>
      <c r="C2299">
        <v>54</v>
      </c>
      <c r="D2299">
        <v>83</v>
      </c>
      <c r="E2299">
        <v>60.419325935417</v>
      </c>
      <c r="F2299">
        <v>0.64705882352941202</v>
      </c>
      <c r="G2299">
        <v>2867.0920264650299</v>
      </c>
      <c r="H2299">
        <v>327.96958104216498</v>
      </c>
      <c r="I2299">
        <v>0.71939944015409596</v>
      </c>
      <c r="J2299">
        <v>0.334953381729725</v>
      </c>
      <c r="K2299">
        <v>0.81841323716588898</v>
      </c>
      <c r="L2299" t="s">
        <v>38</v>
      </c>
      <c r="M2299" t="s">
        <v>34</v>
      </c>
      <c r="N2299" t="s">
        <v>35</v>
      </c>
      <c r="O2299">
        <v>0.71969518342044903</v>
      </c>
      <c r="P2299" t="s">
        <v>36</v>
      </c>
    </row>
    <row r="2300" spans="1:16">
      <c r="A2300">
        <v>2299</v>
      </c>
      <c r="B2300" t="s">
        <v>2361</v>
      </c>
      <c r="C2300">
        <v>68</v>
      </c>
      <c r="D2300">
        <v>63</v>
      </c>
      <c r="E2300">
        <v>60.477243097299201</v>
      </c>
      <c r="F2300">
        <v>1.07758620689655</v>
      </c>
      <c r="G2300">
        <v>2872.59137353497</v>
      </c>
      <c r="H2300">
        <v>406.00651505936798</v>
      </c>
      <c r="I2300">
        <v>0.55124175800615904</v>
      </c>
      <c r="J2300">
        <v>0.218986685703456</v>
      </c>
      <c r="K2300">
        <v>0.78757131214343901</v>
      </c>
      <c r="L2300" t="s">
        <v>72</v>
      </c>
      <c r="M2300" t="s">
        <v>34</v>
      </c>
      <c r="N2300" t="s">
        <v>35</v>
      </c>
      <c r="O2300">
        <v>0.83928863725637404</v>
      </c>
      <c r="P2300" t="s">
        <v>36</v>
      </c>
    </row>
    <row r="2301" spans="1:16">
      <c r="A2301">
        <v>2300</v>
      </c>
      <c r="B2301" t="s">
        <v>2362</v>
      </c>
      <c r="C2301">
        <v>53</v>
      </c>
      <c r="D2301">
        <v>95</v>
      </c>
      <c r="E2301">
        <v>60.494451019996902</v>
      </c>
      <c r="F2301">
        <v>0.55142781212287595</v>
      </c>
      <c r="G2301">
        <v>2874.2263145557699</v>
      </c>
      <c r="H2301">
        <v>475.862433589852</v>
      </c>
      <c r="I2301">
        <v>0.82138288265306403</v>
      </c>
      <c r="J2301">
        <v>0.15950267929794901</v>
      </c>
      <c r="K2301">
        <v>0.684627911916732</v>
      </c>
      <c r="L2301" t="s">
        <v>33</v>
      </c>
      <c r="M2301" t="s">
        <v>34</v>
      </c>
      <c r="N2301" t="s">
        <v>35</v>
      </c>
      <c r="O2301">
        <v>0.763013864946812</v>
      </c>
      <c r="P2301" t="s">
        <v>36</v>
      </c>
    </row>
    <row r="2302" spans="1:16">
      <c r="A2302">
        <v>2301</v>
      </c>
      <c r="B2302" t="s">
        <v>2363</v>
      </c>
      <c r="C2302">
        <v>76</v>
      </c>
      <c r="D2302">
        <v>54</v>
      </c>
      <c r="E2302">
        <v>60.751984968604702</v>
      </c>
      <c r="F2302">
        <v>1.41857577521372</v>
      </c>
      <c r="G2302">
        <v>2898.7504298676799</v>
      </c>
      <c r="H2302">
        <v>273.68972819628902</v>
      </c>
      <c r="I2302">
        <v>0.68652914654160802</v>
      </c>
      <c r="J2302">
        <v>0.48629935495822002</v>
      </c>
      <c r="K2302">
        <v>0.85554483242674195</v>
      </c>
      <c r="L2302" t="s">
        <v>288</v>
      </c>
      <c r="M2302" t="s">
        <v>34</v>
      </c>
      <c r="N2302" t="s">
        <v>35</v>
      </c>
      <c r="O2302">
        <v>0.62448057864288198</v>
      </c>
      <c r="P2302" t="s">
        <v>36</v>
      </c>
    </row>
    <row r="2303" spans="1:16">
      <c r="A2303">
        <v>2302</v>
      </c>
      <c r="B2303" t="s">
        <v>2364</v>
      </c>
      <c r="C2303">
        <v>69</v>
      </c>
      <c r="D2303">
        <v>66</v>
      </c>
      <c r="E2303">
        <v>60.781570332955397</v>
      </c>
      <c r="F2303">
        <v>1.04230464980799</v>
      </c>
      <c r="G2303">
        <v>2901.57441890359</v>
      </c>
      <c r="H2303">
        <v>302.62499727643097</v>
      </c>
      <c r="I2303">
        <v>0.74259784252174599</v>
      </c>
      <c r="J2303">
        <v>0.39813832102129798</v>
      </c>
      <c r="K2303">
        <v>0.79187117186549305</v>
      </c>
      <c r="L2303" t="s">
        <v>38</v>
      </c>
      <c r="M2303" t="s">
        <v>34</v>
      </c>
      <c r="N2303" t="s">
        <v>35</v>
      </c>
      <c r="O2303">
        <v>0.75814033450484797</v>
      </c>
      <c r="P2303" t="s">
        <v>36</v>
      </c>
    </row>
    <row r="2304" spans="1:16">
      <c r="A2304">
        <v>2303</v>
      </c>
      <c r="B2304" t="s">
        <v>2365</v>
      </c>
      <c r="C2304">
        <v>55</v>
      </c>
      <c r="D2304">
        <v>102</v>
      </c>
      <c r="E2304">
        <v>60.836032025119103</v>
      </c>
      <c r="F2304">
        <v>0.53734731703900696</v>
      </c>
      <c r="G2304">
        <v>2906.7765039697501</v>
      </c>
      <c r="H2304">
        <v>509.79820373358899</v>
      </c>
      <c r="I2304">
        <v>0.55244439139384605</v>
      </c>
      <c r="J2304">
        <v>0.14054807549810999</v>
      </c>
      <c r="K2304">
        <v>0.59041782393430697</v>
      </c>
      <c r="L2304" t="s">
        <v>298</v>
      </c>
      <c r="M2304" t="s">
        <v>34</v>
      </c>
      <c r="N2304" t="s">
        <v>35</v>
      </c>
      <c r="O2304">
        <v>0.625027927496691</v>
      </c>
      <c r="P2304" t="s">
        <v>36</v>
      </c>
    </row>
    <row r="2305" spans="1:16">
      <c r="A2305">
        <v>2304</v>
      </c>
      <c r="B2305" t="s">
        <v>2366</v>
      </c>
      <c r="C2305">
        <v>93</v>
      </c>
      <c r="D2305">
        <v>49</v>
      </c>
      <c r="E2305">
        <v>60.954124147747599</v>
      </c>
      <c r="F2305">
        <v>1.8888888888888899</v>
      </c>
      <c r="G2305">
        <v>2918.0724601134202</v>
      </c>
      <c r="H2305">
        <v>385.63033263755898</v>
      </c>
      <c r="I2305">
        <v>0.68641837045369303</v>
      </c>
      <c r="J2305">
        <v>0.246583244066685</v>
      </c>
      <c r="K2305">
        <v>0.78300231315306701</v>
      </c>
      <c r="L2305" t="s">
        <v>74</v>
      </c>
      <c r="M2305" t="s">
        <v>34</v>
      </c>
      <c r="N2305" t="s">
        <v>35</v>
      </c>
      <c r="O2305">
        <v>0.71437507761027297</v>
      </c>
      <c r="P2305" t="s">
        <v>36</v>
      </c>
    </row>
    <row r="2306" spans="1:16">
      <c r="A2306">
        <v>2305</v>
      </c>
      <c r="B2306" t="s">
        <v>2367</v>
      </c>
      <c r="C2306">
        <v>87</v>
      </c>
      <c r="D2306">
        <v>68</v>
      </c>
      <c r="E2306">
        <v>61.023939398666698</v>
      </c>
      <c r="F2306">
        <v>1.29032249331597</v>
      </c>
      <c r="G2306">
        <v>2924.7608551984899</v>
      </c>
      <c r="H2306">
        <v>592.21017212390905</v>
      </c>
      <c r="I2306">
        <v>0.77541578581238102</v>
      </c>
      <c r="J2306">
        <v>0.104796915442268</v>
      </c>
      <c r="K2306">
        <v>0.604769807609564</v>
      </c>
      <c r="L2306" t="s">
        <v>38</v>
      </c>
      <c r="M2306" t="s">
        <v>34</v>
      </c>
      <c r="N2306" t="s">
        <v>35</v>
      </c>
      <c r="O2306">
        <v>0.79494429504616704</v>
      </c>
      <c r="P2306" t="s">
        <v>36</v>
      </c>
    </row>
    <row r="2307" spans="1:16">
      <c r="A2307">
        <v>2306</v>
      </c>
      <c r="B2307" t="s">
        <v>2368</v>
      </c>
      <c r="C2307">
        <v>79</v>
      </c>
      <c r="D2307">
        <v>98</v>
      </c>
      <c r="E2307">
        <v>61.068889157560299</v>
      </c>
      <c r="F2307">
        <v>0.80446924040712198</v>
      </c>
      <c r="G2307">
        <v>2929.0711542533099</v>
      </c>
      <c r="H2307">
        <v>646.44463000743303</v>
      </c>
      <c r="I2307">
        <v>0.54100229014907497</v>
      </c>
      <c r="J2307">
        <v>8.8079962614247706E-2</v>
      </c>
      <c r="K2307">
        <v>0.530971305402129</v>
      </c>
      <c r="L2307" t="s">
        <v>33</v>
      </c>
      <c r="M2307" t="s">
        <v>34</v>
      </c>
      <c r="N2307" t="s">
        <v>35</v>
      </c>
      <c r="O2307">
        <v>0.70581284213990803</v>
      </c>
      <c r="P2307" t="s">
        <v>36</v>
      </c>
    </row>
    <row r="2308" spans="1:16">
      <c r="A2308">
        <v>2307</v>
      </c>
      <c r="B2308" t="s">
        <v>2369</v>
      </c>
      <c r="C2308">
        <v>63</v>
      </c>
      <c r="D2308">
        <v>63</v>
      </c>
      <c r="E2308">
        <v>61.118450526433897</v>
      </c>
      <c r="F2308">
        <v>1</v>
      </c>
      <c r="G2308">
        <v>2933.8273463137998</v>
      </c>
      <c r="H2308">
        <v>307.11902828973302</v>
      </c>
      <c r="I2308">
        <v>0.68729859105934299</v>
      </c>
      <c r="J2308">
        <v>0.39086876474108101</v>
      </c>
      <c r="K2308">
        <v>0.85832934730617005</v>
      </c>
      <c r="L2308" t="s">
        <v>33</v>
      </c>
      <c r="M2308" t="s">
        <v>34</v>
      </c>
      <c r="N2308" t="s">
        <v>35</v>
      </c>
      <c r="O2308">
        <v>0.68394006198930801</v>
      </c>
      <c r="P2308" t="s">
        <v>36</v>
      </c>
    </row>
    <row r="2309" spans="1:16">
      <c r="A2309">
        <v>2308</v>
      </c>
      <c r="B2309" t="s">
        <v>2370</v>
      </c>
      <c r="C2309">
        <v>78</v>
      </c>
      <c r="D2309">
        <v>59</v>
      </c>
      <c r="E2309">
        <v>61.350235738171499</v>
      </c>
      <c r="F2309">
        <v>1.31560506798837</v>
      </c>
      <c r="G2309">
        <v>2956.1219965973501</v>
      </c>
      <c r="H2309">
        <v>314.30039891854602</v>
      </c>
      <c r="I2309">
        <v>0.60255495951344495</v>
      </c>
      <c r="J2309">
        <v>0.37604719417768001</v>
      </c>
      <c r="K2309">
        <v>0.81693091267559304</v>
      </c>
      <c r="L2309" t="s">
        <v>33</v>
      </c>
      <c r="M2309" t="s">
        <v>34</v>
      </c>
      <c r="N2309" t="s">
        <v>35</v>
      </c>
      <c r="O2309">
        <v>0.74792283156355499</v>
      </c>
      <c r="P2309" t="s">
        <v>36</v>
      </c>
    </row>
    <row r="2310" spans="1:16">
      <c r="A2310">
        <v>2309</v>
      </c>
      <c r="B2310" t="s">
        <v>2371</v>
      </c>
      <c r="C2310">
        <v>93</v>
      </c>
      <c r="D2310">
        <v>49</v>
      </c>
      <c r="E2310">
        <v>61.545817449986899</v>
      </c>
      <c r="F2310">
        <v>1.92500010567519</v>
      </c>
      <c r="G2310">
        <v>2975</v>
      </c>
      <c r="H2310">
        <v>281.42135381698603</v>
      </c>
      <c r="I2310">
        <v>0.60412391006948596</v>
      </c>
      <c r="J2310">
        <v>0.472044278660322</v>
      </c>
      <c r="K2310">
        <v>0.81786941580756001</v>
      </c>
      <c r="L2310" t="s">
        <v>43</v>
      </c>
      <c r="M2310" t="s">
        <v>34</v>
      </c>
      <c r="N2310" t="s">
        <v>35</v>
      </c>
      <c r="O2310">
        <v>0.65090919619008503</v>
      </c>
      <c r="P2310" t="s">
        <v>36</v>
      </c>
    </row>
    <row r="2311" spans="1:16">
      <c r="A2311">
        <v>2310</v>
      </c>
      <c r="B2311" t="s">
        <v>2372</v>
      </c>
      <c r="C2311">
        <v>59</v>
      </c>
      <c r="D2311">
        <v>68</v>
      </c>
      <c r="E2311">
        <v>61.641044178406901</v>
      </c>
      <c r="F2311">
        <v>0.87096772605744999</v>
      </c>
      <c r="G2311">
        <v>2984.2132559546299</v>
      </c>
      <c r="H2311">
        <v>317.813589550931</v>
      </c>
      <c r="I2311">
        <v>0.59752303494347603</v>
      </c>
      <c r="J2311">
        <v>0.37127421818434397</v>
      </c>
      <c r="K2311">
        <v>0.85818088562147399</v>
      </c>
      <c r="L2311" t="s">
        <v>38</v>
      </c>
      <c r="M2311" t="s">
        <v>34</v>
      </c>
      <c r="N2311" t="s">
        <v>35</v>
      </c>
      <c r="O2311">
        <v>0.71012666655152701</v>
      </c>
      <c r="P2311" t="s">
        <v>36</v>
      </c>
    </row>
    <row r="2312" spans="1:16">
      <c r="A2312">
        <v>2311</v>
      </c>
      <c r="B2312" t="s">
        <v>2373</v>
      </c>
      <c r="C2312">
        <v>123</v>
      </c>
      <c r="D2312">
        <v>73</v>
      </c>
      <c r="E2312">
        <v>61.6625309857845</v>
      </c>
      <c r="F2312">
        <v>1.69172932330827</v>
      </c>
      <c r="G2312">
        <v>2986.2940899811001</v>
      </c>
      <c r="H2312">
        <v>658.94588266642199</v>
      </c>
      <c r="I2312">
        <v>0.58085180500713796</v>
      </c>
      <c r="J2312">
        <v>8.6425707090211995E-2</v>
      </c>
      <c r="K2312">
        <v>0.50783540592457799</v>
      </c>
      <c r="L2312" t="s">
        <v>38</v>
      </c>
      <c r="M2312" t="s">
        <v>34</v>
      </c>
      <c r="N2312" t="s">
        <v>35</v>
      </c>
      <c r="O2312">
        <v>0.72736241616938402</v>
      </c>
      <c r="P2312" t="s">
        <v>36</v>
      </c>
    </row>
    <row r="2313" spans="1:16">
      <c r="A2313">
        <v>2312</v>
      </c>
      <c r="B2313" t="s">
        <v>2374</v>
      </c>
      <c r="C2313">
        <v>77</v>
      </c>
      <c r="D2313">
        <v>68</v>
      </c>
      <c r="E2313">
        <v>61.711615595336802</v>
      </c>
      <c r="F2313">
        <v>1.1397317317140301</v>
      </c>
      <c r="G2313">
        <v>2991.05028204159</v>
      </c>
      <c r="H2313">
        <v>422.46322896169602</v>
      </c>
      <c r="I2313">
        <v>0.55917290223347704</v>
      </c>
      <c r="J2313">
        <v>0.21059873091164399</v>
      </c>
      <c r="K2313">
        <v>0.68184590363895103</v>
      </c>
      <c r="L2313" t="s">
        <v>33</v>
      </c>
      <c r="M2313" t="s">
        <v>34</v>
      </c>
      <c r="N2313" t="s">
        <v>35</v>
      </c>
      <c r="O2313">
        <v>0.76965556841364602</v>
      </c>
      <c r="P2313" t="s">
        <v>36</v>
      </c>
    </row>
    <row r="2314" spans="1:16">
      <c r="A2314">
        <v>2313</v>
      </c>
      <c r="B2314" t="s">
        <v>2375</v>
      </c>
      <c r="C2314">
        <v>117</v>
      </c>
      <c r="D2314">
        <v>55</v>
      </c>
      <c r="E2314">
        <v>61.748403446947002</v>
      </c>
      <c r="F2314">
        <v>2.1558489552812001</v>
      </c>
      <c r="G2314">
        <v>2994.6174260869602</v>
      </c>
      <c r="H2314">
        <v>489.74140227836102</v>
      </c>
      <c r="I2314">
        <v>0.72470206753176403</v>
      </c>
      <c r="J2314">
        <v>0.15689805890532499</v>
      </c>
      <c r="K2314">
        <v>0.61449310723435402</v>
      </c>
      <c r="L2314" t="s">
        <v>33</v>
      </c>
      <c r="M2314" t="s">
        <v>34</v>
      </c>
      <c r="N2314" t="s">
        <v>35</v>
      </c>
      <c r="O2314">
        <v>0.66936842256481</v>
      </c>
      <c r="P2314" t="s">
        <v>36</v>
      </c>
    </row>
    <row r="2315" spans="1:16">
      <c r="A2315">
        <v>2314</v>
      </c>
      <c r="B2315" t="s">
        <v>2376</v>
      </c>
      <c r="C2315">
        <v>68</v>
      </c>
      <c r="D2315">
        <v>98</v>
      </c>
      <c r="E2315">
        <v>61.749935798477701</v>
      </c>
      <c r="F2315">
        <v>0.69444444444444398</v>
      </c>
      <c r="G2315">
        <v>2994.7660570888502</v>
      </c>
      <c r="H2315">
        <v>579.805218623928</v>
      </c>
      <c r="I2315">
        <v>0.67062940688096695</v>
      </c>
      <c r="J2315">
        <v>0.111945986092766</v>
      </c>
      <c r="K2315">
        <v>0.59543721741186195</v>
      </c>
      <c r="L2315" t="s">
        <v>38</v>
      </c>
      <c r="M2315" t="s">
        <v>34</v>
      </c>
      <c r="N2315" t="s">
        <v>35</v>
      </c>
      <c r="O2315">
        <v>0.73503071155024202</v>
      </c>
      <c r="P2315" t="s">
        <v>36</v>
      </c>
    </row>
    <row r="2316" spans="1:16">
      <c r="A2316">
        <v>2315</v>
      </c>
      <c r="B2316" t="s">
        <v>2377</v>
      </c>
      <c r="C2316">
        <v>88</v>
      </c>
      <c r="D2316">
        <v>52</v>
      </c>
      <c r="E2316">
        <v>61.795888675473698</v>
      </c>
      <c r="F2316">
        <v>1.6820745964000701</v>
      </c>
      <c r="G2316">
        <v>2999.2249871455601</v>
      </c>
      <c r="H2316">
        <v>322.57220432996797</v>
      </c>
      <c r="I2316">
        <v>0.70288977089943205</v>
      </c>
      <c r="J2316">
        <v>0.36221382761698401</v>
      </c>
      <c r="K2316">
        <v>0.78873514696685398</v>
      </c>
      <c r="L2316" t="s">
        <v>33</v>
      </c>
      <c r="M2316" t="s">
        <v>34</v>
      </c>
      <c r="N2316" t="s">
        <v>35</v>
      </c>
      <c r="O2316">
        <v>0.69987398625644703</v>
      </c>
      <c r="P2316" t="s">
        <v>36</v>
      </c>
    </row>
    <row r="2317" spans="1:16">
      <c r="A2317">
        <v>2316</v>
      </c>
      <c r="B2317" t="s">
        <v>2378</v>
      </c>
      <c r="C2317">
        <v>83</v>
      </c>
      <c r="D2317">
        <v>72</v>
      </c>
      <c r="E2317">
        <v>61.881576077744199</v>
      </c>
      <c r="F2317">
        <v>1.1505376930409199</v>
      </c>
      <c r="G2317">
        <v>3007.5483232514198</v>
      </c>
      <c r="H2317">
        <v>449.48221224235499</v>
      </c>
      <c r="I2317">
        <v>0.67122949225325501</v>
      </c>
      <c r="J2317">
        <v>0.187067119382446</v>
      </c>
      <c r="K2317">
        <v>0.66516551066697305</v>
      </c>
      <c r="L2317" t="s">
        <v>38</v>
      </c>
      <c r="M2317" t="s">
        <v>34</v>
      </c>
      <c r="N2317" t="s">
        <v>35</v>
      </c>
      <c r="O2317">
        <v>0.74156857475480398</v>
      </c>
      <c r="P2317" t="s">
        <v>36</v>
      </c>
    </row>
    <row r="2318" spans="1:16">
      <c r="A2318">
        <v>2317</v>
      </c>
      <c r="B2318" t="s">
        <v>2379</v>
      </c>
      <c r="C2318">
        <v>70</v>
      </c>
      <c r="D2318">
        <v>66</v>
      </c>
      <c r="E2318">
        <v>61.881576077744199</v>
      </c>
      <c r="F2318">
        <v>1.05336422069203</v>
      </c>
      <c r="G2318">
        <v>3007.5483232514198</v>
      </c>
      <c r="H2318">
        <v>312.758291286489</v>
      </c>
      <c r="I2318">
        <v>0.723102346814951</v>
      </c>
      <c r="J2318">
        <v>0.38637126029181301</v>
      </c>
      <c r="K2318">
        <v>0.80949713965675896</v>
      </c>
      <c r="L2318" t="s">
        <v>38</v>
      </c>
      <c r="M2318" t="s">
        <v>34</v>
      </c>
      <c r="N2318" t="s">
        <v>35</v>
      </c>
      <c r="O2318">
        <v>0.79010029385879199</v>
      </c>
      <c r="P2318" t="s">
        <v>36</v>
      </c>
    </row>
    <row r="2319" spans="1:16">
      <c r="A2319">
        <v>2318</v>
      </c>
      <c r="B2319" t="s">
        <v>2380</v>
      </c>
      <c r="C2319">
        <v>73</v>
      </c>
      <c r="D2319">
        <v>98</v>
      </c>
      <c r="E2319">
        <v>62.020565613037199</v>
      </c>
      <c r="F2319">
        <v>0.74860335195530703</v>
      </c>
      <c r="G2319">
        <v>3021.0737444234401</v>
      </c>
      <c r="H2319">
        <v>593.10022258012202</v>
      </c>
      <c r="I2319">
        <v>0.62301569042619498</v>
      </c>
      <c r="J2319">
        <v>0.107923250328087</v>
      </c>
      <c r="K2319">
        <v>0.57491161080469499</v>
      </c>
      <c r="L2319" t="s">
        <v>38</v>
      </c>
      <c r="M2319" t="s">
        <v>34</v>
      </c>
      <c r="N2319" t="s">
        <v>35</v>
      </c>
      <c r="O2319">
        <v>0.69846496033553096</v>
      </c>
      <c r="P2319" t="s">
        <v>36</v>
      </c>
    </row>
    <row r="2320" spans="1:16">
      <c r="A2320">
        <v>2319</v>
      </c>
      <c r="B2320" t="s">
        <v>2381</v>
      </c>
      <c r="C2320">
        <v>54</v>
      </c>
      <c r="D2320">
        <v>94</v>
      </c>
      <c r="E2320">
        <v>62.927792251120003</v>
      </c>
      <c r="F2320">
        <v>0.57864629407479196</v>
      </c>
      <c r="G2320">
        <v>3110.1037145557698</v>
      </c>
      <c r="H2320">
        <v>439.74579388089802</v>
      </c>
      <c r="I2320">
        <v>0.84801257639729399</v>
      </c>
      <c r="J2320">
        <v>0.20210699628536</v>
      </c>
      <c r="K2320">
        <v>0.71808510638297895</v>
      </c>
      <c r="L2320" t="s">
        <v>38</v>
      </c>
      <c r="M2320" t="s">
        <v>34</v>
      </c>
      <c r="N2320" t="s">
        <v>35</v>
      </c>
      <c r="O2320">
        <v>0.80899280673823704</v>
      </c>
      <c r="P2320" t="s">
        <v>36</v>
      </c>
    </row>
    <row r="2321" spans="1:16">
      <c r="A2321">
        <v>2320</v>
      </c>
      <c r="B2321" t="s">
        <v>2382</v>
      </c>
      <c r="C2321">
        <v>107</v>
      </c>
      <c r="D2321">
        <v>69</v>
      </c>
      <c r="E2321">
        <v>63.203858470265203</v>
      </c>
      <c r="F2321">
        <v>1.5634920634920599</v>
      </c>
      <c r="G2321">
        <v>3137.4518189035898</v>
      </c>
      <c r="H2321">
        <v>433.49986867065002</v>
      </c>
      <c r="I2321">
        <v>0.69972294951571001</v>
      </c>
      <c r="J2321">
        <v>0.20980169314484701</v>
      </c>
      <c r="K2321">
        <v>0.61657319780348196</v>
      </c>
      <c r="L2321" t="s">
        <v>38</v>
      </c>
      <c r="M2321" t="s">
        <v>34</v>
      </c>
      <c r="N2321" t="s">
        <v>35</v>
      </c>
      <c r="O2321">
        <v>0.75691969308804796</v>
      </c>
      <c r="P2321" t="s">
        <v>36</v>
      </c>
    </row>
    <row r="2322" spans="1:16">
      <c r="A2322">
        <v>2321</v>
      </c>
      <c r="B2322" t="s">
        <v>2383</v>
      </c>
      <c r="C2322">
        <v>80</v>
      </c>
      <c r="D2322">
        <v>57</v>
      </c>
      <c r="E2322">
        <v>63.204343771663098</v>
      </c>
      <c r="F2322">
        <v>1.40476180722786</v>
      </c>
      <c r="G2322">
        <v>3137.5</v>
      </c>
      <c r="H2322">
        <v>246.06601536273999</v>
      </c>
      <c r="I2322">
        <v>0.62859279993722195</v>
      </c>
      <c r="J2322">
        <v>0.65116391447433597</v>
      </c>
      <c r="K2322">
        <v>0.86851211072664403</v>
      </c>
      <c r="L2322" t="s">
        <v>38</v>
      </c>
      <c r="M2322" t="s">
        <v>34</v>
      </c>
      <c r="N2322" t="s">
        <v>35</v>
      </c>
      <c r="O2322">
        <v>0.75279152226474699</v>
      </c>
      <c r="P2322" t="s">
        <v>36</v>
      </c>
    </row>
    <row r="2323" spans="1:16">
      <c r="A2323">
        <v>2322</v>
      </c>
      <c r="B2323" t="s">
        <v>2384</v>
      </c>
      <c r="C2323">
        <v>63</v>
      </c>
      <c r="D2323">
        <v>122</v>
      </c>
      <c r="E2323">
        <v>63.2532429224959</v>
      </c>
      <c r="F2323">
        <v>0.51339285714285698</v>
      </c>
      <c r="G2323">
        <v>3142.3566419659701</v>
      </c>
      <c r="H2323">
        <v>642.10558835817403</v>
      </c>
      <c r="I2323">
        <v>0.74843908902686695</v>
      </c>
      <c r="J2323">
        <v>9.5775061263088906E-2</v>
      </c>
      <c r="K2323">
        <v>0.54072994194224899</v>
      </c>
      <c r="L2323" t="s">
        <v>38</v>
      </c>
      <c r="M2323" t="s">
        <v>34</v>
      </c>
      <c r="N2323" t="s">
        <v>35</v>
      </c>
      <c r="O2323">
        <v>0.78994531113307798</v>
      </c>
      <c r="P2323" t="s">
        <v>36</v>
      </c>
    </row>
    <row r="2324" spans="1:16">
      <c r="A2324">
        <v>2323</v>
      </c>
      <c r="B2324" t="s">
        <v>2385</v>
      </c>
      <c r="C2324">
        <v>73</v>
      </c>
      <c r="D2324">
        <v>53</v>
      </c>
      <c r="E2324">
        <v>63.3593638219646</v>
      </c>
      <c r="F2324">
        <v>1.3609468165204599</v>
      </c>
      <c r="G2324">
        <v>3152.9094431001899</v>
      </c>
      <c r="H2324">
        <v>223.96259656875</v>
      </c>
      <c r="I2324">
        <v>0.61858914594804204</v>
      </c>
      <c r="J2324">
        <v>0.78989683442483205</v>
      </c>
      <c r="K2324">
        <v>0.96449031554060205</v>
      </c>
      <c r="L2324" t="s">
        <v>43</v>
      </c>
      <c r="M2324" t="s">
        <v>34</v>
      </c>
      <c r="N2324" t="s">
        <v>35</v>
      </c>
      <c r="O2324">
        <v>0.69036912083831803</v>
      </c>
      <c r="P2324" t="s">
        <v>36</v>
      </c>
    </row>
    <row r="2325" spans="1:16">
      <c r="A2325">
        <v>2324</v>
      </c>
      <c r="B2325" t="s">
        <v>2386</v>
      </c>
      <c r="C2325">
        <v>73</v>
      </c>
      <c r="D2325">
        <v>64</v>
      </c>
      <c r="E2325">
        <v>63.419072042180602</v>
      </c>
      <c r="F2325">
        <v>1.13884683415497</v>
      </c>
      <c r="G2325">
        <v>3158.8546831757999</v>
      </c>
      <c r="H2325">
        <v>368.97712741302399</v>
      </c>
      <c r="I2325">
        <v>0.69017249168066697</v>
      </c>
      <c r="J2325">
        <v>0.29156851213384699</v>
      </c>
      <c r="K2325">
        <v>0.80831399992393405</v>
      </c>
      <c r="L2325" t="s">
        <v>33</v>
      </c>
      <c r="M2325" t="s">
        <v>34</v>
      </c>
      <c r="N2325" t="s">
        <v>35</v>
      </c>
      <c r="O2325">
        <v>0.71278806037548603</v>
      </c>
      <c r="P2325" t="s">
        <v>36</v>
      </c>
    </row>
    <row r="2326" spans="1:16">
      <c r="A2326">
        <v>2325</v>
      </c>
      <c r="B2326" t="s">
        <v>2387</v>
      </c>
      <c r="C2326">
        <v>68</v>
      </c>
      <c r="D2326">
        <v>94</v>
      </c>
      <c r="E2326">
        <v>63.422055977630201</v>
      </c>
      <c r="F2326">
        <v>0.72421928155102</v>
      </c>
      <c r="G2326">
        <v>3159.1519451795798</v>
      </c>
      <c r="H2326">
        <v>525.25137977382406</v>
      </c>
      <c r="I2326">
        <v>0.58928552297625403</v>
      </c>
      <c r="J2326">
        <v>0.143895089873226</v>
      </c>
      <c r="K2326">
        <v>0.60338954181570403</v>
      </c>
      <c r="L2326" t="s">
        <v>41</v>
      </c>
      <c r="M2326" t="s">
        <v>34</v>
      </c>
      <c r="N2326" t="s">
        <v>35</v>
      </c>
      <c r="O2326">
        <v>0.63611248224365102</v>
      </c>
      <c r="P2326" t="s">
        <v>36</v>
      </c>
    </row>
    <row r="2327" spans="1:16">
      <c r="A2327">
        <v>2326</v>
      </c>
      <c r="B2327" t="s">
        <v>2388</v>
      </c>
      <c r="C2327">
        <v>99</v>
      </c>
      <c r="D2327">
        <v>53</v>
      </c>
      <c r="E2327">
        <v>63.453378827942998</v>
      </c>
      <c r="F2327">
        <v>1.85438641030346</v>
      </c>
      <c r="G2327">
        <v>3162.2731962192802</v>
      </c>
      <c r="H2327">
        <v>511.73718701424798</v>
      </c>
      <c r="I2327">
        <v>0.74774319224544805</v>
      </c>
      <c r="J2327">
        <v>0.15174531654916801</v>
      </c>
      <c r="K2327">
        <v>0.74085939132251599</v>
      </c>
      <c r="L2327" t="s">
        <v>38</v>
      </c>
      <c r="M2327" t="s">
        <v>34</v>
      </c>
      <c r="N2327" t="s">
        <v>35</v>
      </c>
      <c r="O2327">
        <v>0.69810553175023005</v>
      </c>
      <c r="P2327" t="s">
        <v>36</v>
      </c>
    </row>
    <row r="2328" spans="1:16">
      <c r="A2328">
        <v>2327</v>
      </c>
      <c r="B2328" t="s">
        <v>2389</v>
      </c>
      <c r="C2328">
        <v>70</v>
      </c>
      <c r="D2328">
        <v>68</v>
      </c>
      <c r="E2328">
        <v>63.580937037245199</v>
      </c>
      <c r="F2328">
        <v>1.02409640911994</v>
      </c>
      <c r="G2328">
        <v>3175</v>
      </c>
      <c r="H2328">
        <v>277.27921843528702</v>
      </c>
      <c r="I2328">
        <v>0.67528770830308904</v>
      </c>
      <c r="J2328">
        <v>0.51894215525217102</v>
      </c>
      <c r="K2328">
        <v>0.84385382059800695</v>
      </c>
      <c r="L2328" t="s">
        <v>43</v>
      </c>
      <c r="M2328" t="s">
        <v>34</v>
      </c>
      <c r="N2328" t="s">
        <v>35</v>
      </c>
      <c r="O2328">
        <v>0.76067710800761201</v>
      </c>
      <c r="P2328" t="s">
        <v>36</v>
      </c>
    </row>
    <row r="2329" spans="1:16">
      <c r="A2329">
        <v>2328</v>
      </c>
      <c r="B2329" t="s">
        <v>2390</v>
      </c>
      <c r="C2329">
        <v>101</v>
      </c>
      <c r="D2329">
        <v>66</v>
      </c>
      <c r="E2329">
        <v>63.698950996835201</v>
      </c>
      <c r="F2329">
        <v>1.52880828036373</v>
      </c>
      <c r="G2329">
        <v>3186.7973115311902</v>
      </c>
      <c r="H2329">
        <v>631.33353241495502</v>
      </c>
      <c r="I2329">
        <v>0.76268299177167498</v>
      </c>
      <c r="J2329">
        <v>0.100472357408563</v>
      </c>
      <c r="K2329">
        <v>0.59596408816743995</v>
      </c>
      <c r="L2329" t="s">
        <v>74</v>
      </c>
      <c r="M2329" t="s">
        <v>34</v>
      </c>
      <c r="N2329" t="s">
        <v>35</v>
      </c>
      <c r="O2329">
        <v>0.72523486313991203</v>
      </c>
      <c r="P2329" t="s">
        <v>36</v>
      </c>
    </row>
    <row r="2330" spans="1:16">
      <c r="A2330">
        <v>2329</v>
      </c>
      <c r="B2330" t="s">
        <v>2391</v>
      </c>
      <c r="C2330">
        <v>67</v>
      </c>
      <c r="D2330">
        <v>94</v>
      </c>
      <c r="E2330">
        <v>63.7598252486126</v>
      </c>
      <c r="F2330">
        <v>0.71480316254519805</v>
      </c>
      <c r="G2330">
        <v>3192.8911826087001</v>
      </c>
      <c r="H2330">
        <v>377.86499727643098</v>
      </c>
      <c r="I2330">
        <v>0.83333702810342802</v>
      </c>
      <c r="J2330">
        <v>0.28100927462523001</v>
      </c>
      <c r="K2330">
        <v>0.71990616621983905</v>
      </c>
      <c r="L2330" t="s">
        <v>38</v>
      </c>
      <c r="M2330" t="s">
        <v>34</v>
      </c>
      <c r="N2330" t="s">
        <v>35</v>
      </c>
      <c r="O2330">
        <v>0.70977919639381404</v>
      </c>
      <c r="P2330" t="s">
        <v>36</v>
      </c>
    </row>
    <row r="2331" spans="1:16">
      <c r="A2331">
        <v>2330</v>
      </c>
      <c r="B2331" t="s">
        <v>2392</v>
      </c>
      <c r="C2331">
        <v>64</v>
      </c>
      <c r="D2331">
        <v>88</v>
      </c>
      <c r="E2331">
        <v>63.8562142804468</v>
      </c>
      <c r="F2331">
        <v>0.72222222222222199</v>
      </c>
      <c r="G2331">
        <v>3202.5521977315698</v>
      </c>
      <c r="H2331">
        <v>419.51130558045003</v>
      </c>
      <c r="I2331">
        <v>0.56517441377684896</v>
      </c>
      <c r="J2331">
        <v>0.228675028756329</v>
      </c>
      <c r="K2331">
        <v>0.73816375471051698</v>
      </c>
      <c r="L2331" t="s">
        <v>33</v>
      </c>
      <c r="M2331" t="s">
        <v>34</v>
      </c>
      <c r="N2331" t="s">
        <v>35</v>
      </c>
      <c r="O2331">
        <v>0.75197021417579002</v>
      </c>
      <c r="P2331" t="s">
        <v>36</v>
      </c>
    </row>
    <row r="2332" spans="1:16">
      <c r="A2332">
        <v>2331</v>
      </c>
      <c r="B2332" t="s">
        <v>2393</v>
      </c>
      <c r="C2332">
        <v>88</v>
      </c>
      <c r="D2332">
        <v>57</v>
      </c>
      <c r="E2332">
        <v>63.863622795580902</v>
      </c>
      <c r="F2332">
        <v>1.55282460507097</v>
      </c>
      <c r="G2332">
        <v>3203.29535274102</v>
      </c>
      <c r="H2332">
        <v>343.12607359699598</v>
      </c>
      <c r="I2332">
        <v>0.76530053804611398</v>
      </c>
      <c r="J2332">
        <v>0.34190024058470497</v>
      </c>
      <c r="K2332">
        <v>0.813467200120782</v>
      </c>
      <c r="L2332" t="s">
        <v>38</v>
      </c>
      <c r="M2332" t="s">
        <v>34</v>
      </c>
      <c r="N2332" t="s">
        <v>35</v>
      </c>
      <c r="O2332">
        <v>0.70462136160010802</v>
      </c>
      <c r="P2332" t="s">
        <v>36</v>
      </c>
    </row>
    <row r="2333" spans="1:16">
      <c r="A2333">
        <v>2332</v>
      </c>
      <c r="B2333" t="s">
        <v>2394</v>
      </c>
      <c r="C2333">
        <v>78</v>
      </c>
      <c r="D2333">
        <v>89</v>
      </c>
      <c r="E2333">
        <v>63.882880914025698</v>
      </c>
      <c r="F2333">
        <v>0.877300613496933</v>
      </c>
      <c r="G2333">
        <v>3205.2275557655998</v>
      </c>
      <c r="H2333">
        <v>424.324717560333</v>
      </c>
      <c r="I2333">
        <v>0.67876928490138899</v>
      </c>
      <c r="J2333">
        <v>0.22370313488129001</v>
      </c>
      <c r="K2333">
        <v>0.656688693321965</v>
      </c>
      <c r="L2333" t="s">
        <v>38</v>
      </c>
      <c r="M2333" t="s">
        <v>34</v>
      </c>
      <c r="N2333" t="s">
        <v>35</v>
      </c>
      <c r="O2333">
        <v>0.765203062290015</v>
      </c>
      <c r="P2333" t="s">
        <v>36</v>
      </c>
    </row>
    <row r="2334" spans="1:16">
      <c r="A2334">
        <v>2333</v>
      </c>
      <c r="B2334" t="s">
        <v>2395</v>
      </c>
      <c r="C2334">
        <v>78</v>
      </c>
      <c r="D2334">
        <v>77</v>
      </c>
      <c r="E2334">
        <v>63.939140617500001</v>
      </c>
      <c r="F2334">
        <v>1.0070422550346001</v>
      </c>
      <c r="G2334">
        <v>3210.8755338374299</v>
      </c>
      <c r="H2334">
        <v>774.38087326309005</v>
      </c>
      <c r="I2334">
        <v>0.63513512060292798</v>
      </c>
      <c r="J2334">
        <v>6.7285905252817205E-2</v>
      </c>
      <c r="K2334">
        <v>0.59155508091678299</v>
      </c>
      <c r="L2334" t="s">
        <v>33</v>
      </c>
      <c r="M2334" t="s">
        <v>34</v>
      </c>
      <c r="N2334" t="s">
        <v>35</v>
      </c>
      <c r="O2334">
        <v>0.66318427635062305</v>
      </c>
      <c r="P2334" t="s">
        <v>36</v>
      </c>
    </row>
    <row r="2335" spans="1:16">
      <c r="A2335">
        <v>2334</v>
      </c>
      <c r="B2335" t="s">
        <v>2396</v>
      </c>
      <c r="C2335">
        <v>88</v>
      </c>
      <c r="D2335">
        <v>73</v>
      </c>
      <c r="E2335">
        <v>63.962814109538101</v>
      </c>
      <c r="F2335">
        <v>1.21804511278195</v>
      </c>
      <c r="G2335">
        <v>3213.25362986768</v>
      </c>
      <c r="H2335">
        <v>620.64837339225005</v>
      </c>
      <c r="I2335">
        <v>0.66157130054048097</v>
      </c>
      <c r="J2335">
        <v>0.10482469991264499</v>
      </c>
      <c r="K2335">
        <v>0.63145135379852202</v>
      </c>
      <c r="L2335" t="s">
        <v>43</v>
      </c>
      <c r="M2335" t="s">
        <v>34</v>
      </c>
      <c r="N2335" t="s">
        <v>35</v>
      </c>
      <c r="O2335">
        <v>0.77687302981920003</v>
      </c>
      <c r="P2335" t="s">
        <v>36</v>
      </c>
    </row>
    <row r="2336" spans="1:16">
      <c r="A2336">
        <v>2335</v>
      </c>
      <c r="B2336" t="s">
        <v>2397</v>
      </c>
      <c r="C2336">
        <v>50</v>
      </c>
      <c r="D2336">
        <v>80</v>
      </c>
      <c r="E2336">
        <v>64.079618692458695</v>
      </c>
      <c r="F2336">
        <v>0.625</v>
      </c>
      <c r="G2336">
        <v>3225</v>
      </c>
      <c r="H2336">
        <v>224.85281229019199</v>
      </c>
      <c r="I2336">
        <v>0.66377555135851796</v>
      </c>
      <c r="J2336">
        <v>0.80157273304748</v>
      </c>
      <c r="K2336">
        <v>0.962686567164179</v>
      </c>
      <c r="L2336" t="s">
        <v>38</v>
      </c>
      <c r="M2336" t="s">
        <v>34</v>
      </c>
      <c r="N2336" t="s">
        <v>35</v>
      </c>
      <c r="O2336">
        <v>0.71245769343355103</v>
      </c>
      <c r="P2336" t="s">
        <v>36</v>
      </c>
    </row>
    <row r="2337" spans="1:16">
      <c r="A2337">
        <v>2336</v>
      </c>
      <c r="B2337" t="s">
        <v>2398</v>
      </c>
      <c r="C2337">
        <v>63</v>
      </c>
      <c r="D2337">
        <v>84</v>
      </c>
      <c r="E2337">
        <v>64.190225039838495</v>
      </c>
      <c r="F2337">
        <v>0.75198356834621805</v>
      </c>
      <c r="G2337">
        <v>3236.1428041587901</v>
      </c>
      <c r="H2337">
        <v>384.959470984728</v>
      </c>
      <c r="I2337">
        <v>0.74384103029663695</v>
      </c>
      <c r="J2337">
        <v>0.27441479604399199</v>
      </c>
      <c r="K2337">
        <v>0.80901423104076098</v>
      </c>
      <c r="L2337" t="s">
        <v>38</v>
      </c>
      <c r="M2337" t="s">
        <v>34</v>
      </c>
      <c r="N2337" t="s">
        <v>35</v>
      </c>
      <c r="O2337">
        <v>0.68638587045601995</v>
      </c>
      <c r="P2337" t="s">
        <v>36</v>
      </c>
    </row>
    <row r="2338" spans="1:16">
      <c r="A2338">
        <v>2337</v>
      </c>
      <c r="B2338" t="s">
        <v>2399</v>
      </c>
      <c r="C2338">
        <v>71</v>
      </c>
      <c r="D2338">
        <v>84</v>
      </c>
      <c r="E2338">
        <v>64.271248225548206</v>
      </c>
      <c r="F2338">
        <v>0.84879336271683004</v>
      </c>
      <c r="G2338">
        <v>3244.3175092627598</v>
      </c>
      <c r="H2338">
        <v>320.96979026276102</v>
      </c>
      <c r="I2338">
        <v>0.52583994171516402</v>
      </c>
      <c r="J2338">
        <v>0.39573539659861801</v>
      </c>
      <c r="K2338">
        <v>0.78693489076357304</v>
      </c>
      <c r="L2338" t="s">
        <v>33</v>
      </c>
      <c r="M2338" t="s">
        <v>34</v>
      </c>
      <c r="N2338" t="s">
        <v>35</v>
      </c>
      <c r="O2338">
        <v>0.81176834848368595</v>
      </c>
      <c r="P2338" t="s">
        <v>36</v>
      </c>
    </row>
    <row r="2339" spans="1:16">
      <c r="A2339">
        <v>2338</v>
      </c>
      <c r="B2339" t="s">
        <v>2400</v>
      </c>
      <c r="C2339">
        <v>65</v>
      </c>
      <c r="D2339">
        <v>83</v>
      </c>
      <c r="E2339">
        <v>64.400673295843006</v>
      </c>
      <c r="F2339">
        <v>0.788983779486646</v>
      </c>
      <c r="G2339">
        <v>3257.3970374291098</v>
      </c>
      <c r="H2339">
        <v>288.224647064831</v>
      </c>
      <c r="I2339">
        <v>0.72225406431874795</v>
      </c>
      <c r="J2339">
        <v>0.49274057839325902</v>
      </c>
      <c r="K2339">
        <v>0.81645121633200501</v>
      </c>
      <c r="L2339" t="s">
        <v>33</v>
      </c>
      <c r="M2339" t="s">
        <v>34</v>
      </c>
      <c r="N2339" t="s">
        <v>35</v>
      </c>
      <c r="O2339">
        <v>0.77603184314587603</v>
      </c>
      <c r="P2339" t="s">
        <v>36</v>
      </c>
    </row>
    <row r="2340" spans="1:16">
      <c r="A2340">
        <v>2339</v>
      </c>
      <c r="B2340" t="s">
        <v>2401</v>
      </c>
      <c r="C2340">
        <v>77</v>
      </c>
      <c r="D2340">
        <v>85</v>
      </c>
      <c r="E2340">
        <v>64.594324670900605</v>
      </c>
      <c r="F2340">
        <v>0.902476906520712</v>
      </c>
      <c r="G2340">
        <v>3277.01632967864</v>
      </c>
      <c r="H2340">
        <v>426.528284606726</v>
      </c>
      <c r="I2340">
        <v>0.72953461019187404</v>
      </c>
      <c r="J2340">
        <v>0.22635640998405701</v>
      </c>
      <c r="K2340">
        <v>0.649770128492279</v>
      </c>
      <c r="L2340" t="s">
        <v>33</v>
      </c>
      <c r="M2340" t="s">
        <v>34</v>
      </c>
      <c r="N2340" t="s">
        <v>35</v>
      </c>
      <c r="O2340">
        <v>0.69098052656666198</v>
      </c>
      <c r="P2340" t="s">
        <v>36</v>
      </c>
    </row>
    <row r="2341" spans="1:16">
      <c r="A2341">
        <v>2340</v>
      </c>
      <c r="B2341" t="s">
        <v>2402</v>
      </c>
      <c r="C2341">
        <v>83</v>
      </c>
      <c r="D2341">
        <v>68</v>
      </c>
      <c r="E2341">
        <v>64.638255435656205</v>
      </c>
      <c r="F2341">
        <v>1.2338708734661099</v>
      </c>
      <c r="G2341">
        <v>3281.4752597353499</v>
      </c>
      <c r="H2341">
        <v>496.84527822515201</v>
      </c>
      <c r="I2341">
        <v>0.65204813886002</v>
      </c>
      <c r="J2341">
        <v>0.16704622459511601</v>
      </c>
      <c r="K2341">
        <v>0.67765500306936799</v>
      </c>
      <c r="L2341" t="s">
        <v>33</v>
      </c>
      <c r="M2341" t="s">
        <v>34</v>
      </c>
      <c r="N2341" t="s">
        <v>35</v>
      </c>
      <c r="O2341">
        <v>0.74226330120719297</v>
      </c>
      <c r="P2341" t="s">
        <v>36</v>
      </c>
    </row>
    <row r="2342" spans="1:16">
      <c r="A2342">
        <v>2341</v>
      </c>
      <c r="B2342" t="s">
        <v>2403</v>
      </c>
      <c r="C2342">
        <v>68</v>
      </c>
      <c r="D2342">
        <v>93</v>
      </c>
      <c r="E2342">
        <v>64.651428844131203</v>
      </c>
      <c r="F2342">
        <v>0.72941176470588198</v>
      </c>
      <c r="G2342">
        <v>3282.81293875236</v>
      </c>
      <c r="H2342">
        <v>485.80863851619802</v>
      </c>
      <c r="I2342">
        <v>0.69585274826058097</v>
      </c>
      <c r="J2342">
        <v>0.17479360295272101</v>
      </c>
      <c r="K2342">
        <v>0.66174311651736195</v>
      </c>
      <c r="L2342" t="s">
        <v>38</v>
      </c>
      <c r="M2342" t="s">
        <v>34</v>
      </c>
      <c r="N2342" t="s">
        <v>35</v>
      </c>
      <c r="O2342">
        <v>0.80362168271323198</v>
      </c>
      <c r="P2342" t="s">
        <v>36</v>
      </c>
    </row>
    <row r="2343" spans="1:16">
      <c r="A2343">
        <v>2342</v>
      </c>
      <c r="B2343" t="s">
        <v>2404</v>
      </c>
      <c r="C2343">
        <v>94</v>
      </c>
      <c r="D2343">
        <v>80</v>
      </c>
      <c r="E2343">
        <v>64.905589210985198</v>
      </c>
      <c r="F2343">
        <v>1.17993866537351</v>
      </c>
      <c r="G2343">
        <v>3308.67473308129</v>
      </c>
      <c r="H2343">
        <v>696.30794652202906</v>
      </c>
      <c r="I2343">
        <v>0.77936488898523104</v>
      </c>
      <c r="J2343">
        <v>8.5755352389217998E-2</v>
      </c>
      <c r="K2343">
        <v>0.55079671417260501</v>
      </c>
      <c r="L2343" t="s">
        <v>38</v>
      </c>
      <c r="M2343" t="s">
        <v>34</v>
      </c>
      <c r="N2343" t="s">
        <v>35</v>
      </c>
      <c r="O2343">
        <v>0.64629967638905705</v>
      </c>
      <c r="P2343" t="s">
        <v>36</v>
      </c>
    </row>
    <row r="2344" spans="1:16">
      <c r="A2344">
        <v>2343</v>
      </c>
      <c r="B2344" t="s">
        <v>2405</v>
      </c>
      <c r="C2344">
        <v>65</v>
      </c>
      <c r="D2344">
        <v>74</v>
      </c>
      <c r="E2344">
        <v>65.039571452998899</v>
      </c>
      <c r="F2344">
        <v>0.87908349786680495</v>
      </c>
      <c r="G2344">
        <v>3322.3487852551998</v>
      </c>
      <c r="H2344">
        <v>262.14110920273703</v>
      </c>
      <c r="I2344">
        <v>0.65583162521078497</v>
      </c>
      <c r="J2344">
        <v>0.60755391249524104</v>
      </c>
      <c r="K2344">
        <v>0.88984872611465005</v>
      </c>
      <c r="L2344" t="s">
        <v>144</v>
      </c>
      <c r="M2344" t="s">
        <v>34</v>
      </c>
      <c r="N2344" t="s">
        <v>35</v>
      </c>
      <c r="O2344">
        <v>0.81248509087894205</v>
      </c>
      <c r="P2344" t="s">
        <v>36</v>
      </c>
    </row>
    <row r="2345" spans="1:16">
      <c r="A2345">
        <v>2344</v>
      </c>
      <c r="B2345" t="s">
        <v>2406</v>
      </c>
      <c r="C2345">
        <v>73</v>
      </c>
      <c r="D2345">
        <v>93</v>
      </c>
      <c r="E2345">
        <v>65.134066672413994</v>
      </c>
      <c r="F2345">
        <v>0.78823529411764703</v>
      </c>
      <c r="G2345">
        <v>3332.0098003780699</v>
      </c>
      <c r="H2345">
        <v>514.32433446656103</v>
      </c>
      <c r="I2345">
        <v>0.709706609452458</v>
      </c>
      <c r="J2345">
        <v>0.15828581203363801</v>
      </c>
      <c r="K2345">
        <v>0.66331331183241105</v>
      </c>
      <c r="L2345" t="s">
        <v>49</v>
      </c>
      <c r="M2345" t="s">
        <v>34</v>
      </c>
      <c r="N2345" t="s">
        <v>35</v>
      </c>
      <c r="O2345">
        <v>0.745531219261381</v>
      </c>
      <c r="P2345" t="s">
        <v>36</v>
      </c>
    </row>
    <row r="2346" spans="1:16">
      <c r="A2346">
        <v>2345</v>
      </c>
      <c r="B2346" t="s">
        <v>2407</v>
      </c>
      <c r="C2346">
        <v>92</v>
      </c>
      <c r="D2346">
        <v>59</v>
      </c>
      <c r="E2346">
        <v>65.229875598933802</v>
      </c>
      <c r="F2346">
        <v>1.57380429252915</v>
      </c>
      <c r="G2346">
        <v>3341.81944650284</v>
      </c>
      <c r="H2346">
        <v>363.09597813170899</v>
      </c>
      <c r="I2346">
        <v>0.77037670942168202</v>
      </c>
      <c r="J2346">
        <v>0.31852972676469199</v>
      </c>
      <c r="K2346">
        <v>0.82914776708337901</v>
      </c>
      <c r="L2346" t="s">
        <v>298</v>
      </c>
      <c r="M2346" t="s">
        <v>34</v>
      </c>
      <c r="N2346" t="s">
        <v>35</v>
      </c>
      <c r="O2346">
        <v>0.73129945229443405</v>
      </c>
      <c r="P2346" t="s">
        <v>36</v>
      </c>
    </row>
    <row r="2347" spans="1:16">
      <c r="A2347">
        <v>2346</v>
      </c>
      <c r="B2347" t="s">
        <v>2408</v>
      </c>
      <c r="C2347">
        <v>79</v>
      </c>
      <c r="D2347">
        <v>73</v>
      </c>
      <c r="E2347">
        <v>65.377667772021297</v>
      </c>
      <c r="F2347">
        <v>1.07462686567164</v>
      </c>
      <c r="G2347">
        <v>3356.9798086956498</v>
      </c>
      <c r="H2347">
        <v>492.06396596493897</v>
      </c>
      <c r="I2347">
        <v>0.73829167094668802</v>
      </c>
      <c r="J2347">
        <v>0.17422700369852501</v>
      </c>
      <c r="K2347">
        <v>0.70693918432501801</v>
      </c>
      <c r="L2347" t="s">
        <v>47</v>
      </c>
      <c r="M2347" t="s">
        <v>34</v>
      </c>
      <c r="N2347" t="s">
        <v>35</v>
      </c>
      <c r="O2347">
        <v>0.89698800143967405</v>
      </c>
      <c r="P2347" t="s">
        <v>36</v>
      </c>
    </row>
    <row r="2348" spans="1:16">
      <c r="A2348">
        <v>2347</v>
      </c>
      <c r="B2348" t="s">
        <v>2409</v>
      </c>
      <c r="C2348">
        <v>88</v>
      </c>
      <c r="D2348">
        <v>73</v>
      </c>
      <c r="E2348">
        <v>65.402267331376606</v>
      </c>
      <c r="F2348">
        <v>1.2105263157894699</v>
      </c>
      <c r="G2348">
        <v>3359.5065357277899</v>
      </c>
      <c r="H2348">
        <v>574.58552875695</v>
      </c>
      <c r="I2348">
        <v>0.63510862589094796</v>
      </c>
      <c r="J2348">
        <v>0.127872155685852</v>
      </c>
      <c r="K2348">
        <v>0.62941717022639299</v>
      </c>
      <c r="L2348" t="s">
        <v>893</v>
      </c>
      <c r="M2348" t="s">
        <v>34</v>
      </c>
      <c r="N2348" t="s">
        <v>35</v>
      </c>
      <c r="O2348">
        <v>0.767521099646577</v>
      </c>
      <c r="P2348" t="s">
        <v>36</v>
      </c>
    </row>
    <row r="2349" spans="1:16">
      <c r="A2349">
        <v>2348</v>
      </c>
      <c r="B2349" t="s">
        <v>2410</v>
      </c>
      <c r="C2349">
        <v>58</v>
      </c>
      <c r="D2349">
        <v>122</v>
      </c>
      <c r="E2349">
        <v>65.571319856923395</v>
      </c>
      <c r="F2349">
        <v>0.47982062504114098</v>
      </c>
      <c r="G2349">
        <v>3376.8963629489599</v>
      </c>
      <c r="H2349">
        <v>708.24793192987897</v>
      </c>
      <c r="I2349">
        <v>0.81177414987371799</v>
      </c>
      <c r="J2349">
        <v>8.4597390358398195E-2</v>
      </c>
      <c r="K2349">
        <v>0.57039566177947398</v>
      </c>
      <c r="L2349" t="s">
        <v>33</v>
      </c>
      <c r="M2349" t="s">
        <v>34</v>
      </c>
      <c r="N2349" t="s">
        <v>35</v>
      </c>
      <c r="O2349">
        <v>0.68247983568932802</v>
      </c>
      <c r="P2349" t="s">
        <v>36</v>
      </c>
    </row>
    <row r="2350" spans="1:16">
      <c r="A2350">
        <v>2349</v>
      </c>
      <c r="B2350" t="s">
        <v>2411</v>
      </c>
      <c r="C2350">
        <v>68</v>
      </c>
      <c r="D2350">
        <v>73</v>
      </c>
      <c r="E2350">
        <v>65.695303291243604</v>
      </c>
      <c r="F2350">
        <v>0.93100703625577297</v>
      </c>
      <c r="G2350">
        <v>3389.67862911153</v>
      </c>
      <c r="H2350">
        <v>340.41603650030902</v>
      </c>
      <c r="I2350">
        <v>0.70342232183474596</v>
      </c>
      <c r="J2350">
        <v>0.36757703269952502</v>
      </c>
      <c r="K2350">
        <v>0.8145</v>
      </c>
      <c r="L2350" t="s">
        <v>38</v>
      </c>
      <c r="M2350" t="s">
        <v>34</v>
      </c>
      <c r="N2350" t="s">
        <v>35</v>
      </c>
      <c r="O2350">
        <v>0.84118789317375098</v>
      </c>
      <c r="P2350" t="s">
        <v>36</v>
      </c>
    </row>
    <row r="2351" spans="1:16">
      <c r="A2351">
        <v>2350</v>
      </c>
      <c r="B2351" t="s">
        <v>2412</v>
      </c>
      <c r="C2351">
        <v>98</v>
      </c>
      <c r="D2351">
        <v>68</v>
      </c>
      <c r="E2351">
        <v>65.849235846217496</v>
      </c>
      <c r="F2351">
        <v>1.44</v>
      </c>
      <c r="G2351">
        <v>3405.5821463138</v>
      </c>
      <c r="H2351">
        <v>765.98617820729396</v>
      </c>
      <c r="I2351">
        <v>0.53841499514536695</v>
      </c>
      <c r="J2351">
        <v>7.2938924996142004E-2</v>
      </c>
      <c r="K2351">
        <v>0.58101734455827203</v>
      </c>
      <c r="L2351" t="s">
        <v>38</v>
      </c>
      <c r="M2351" t="s">
        <v>34</v>
      </c>
      <c r="N2351" t="s">
        <v>35</v>
      </c>
      <c r="O2351">
        <v>0.67845362780308105</v>
      </c>
      <c r="P2351" t="s">
        <v>36</v>
      </c>
    </row>
    <row r="2352" spans="1:16">
      <c r="A2352">
        <v>2351</v>
      </c>
      <c r="B2352" t="s">
        <v>2413</v>
      </c>
      <c r="C2352">
        <v>78</v>
      </c>
      <c r="D2352">
        <v>77</v>
      </c>
      <c r="E2352">
        <v>65.991339625587599</v>
      </c>
      <c r="F2352">
        <v>1.00452788533629</v>
      </c>
      <c r="G2352">
        <v>3420.2966155009499</v>
      </c>
      <c r="H2352">
        <v>395.54443784423501</v>
      </c>
      <c r="I2352">
        <v>0.71671719884333596</v>
      </c>
      <c r="J2352">
        <v>0.27471544125012398</v>
      </c>
      <c r="K2352">
        <v>0.74692459995455895</v>
      </c>
      <c r="L2352" t="s">
        <v>74</v>
      </c>
      <c r="M2352" t="s">
        <v>34</v>
      </c>
      <c r="N2352" t="s">
        <v>35</v>
      </c>
      <c r="O2352">
        <v>0.66551552209564702</v>
      </c>
      <c r="P2352" t="s">
        <v>36</v>
      </c>
    </row>
    <row r="2353" spans="1:16">
      <c r="A2353">
        <v>2352</v>
      </c>
      <c r="B2353" t="s">
        <v>2414</v>
      </c>
      <c r="C2353">
        <v>57</v>
      </c>
      <c r="D2353">
        <v>111</v>
      </c>
      <c r="E2353">
        <v>66.036697681803702</v>
      </c>
      <c r="F2353">
        <v>0.51369858541397895</v>
      </c>
      <c r="G2353">
        <v>3425</v>
      </c>
      <c r="H2353">
        <v>353.84775996208202</v>
      </c>
      <c r="I2353">
        <v>0.79911876450222996</v>
      </c>
      <c r="J2353">
        <v>0.343745909265184</v>
      </c>
      <c r="K2353">
        <v>0.66183574879227103</v>
      </c>
      <c r="L2353" t="s">
        <v>38</v>
      </c>
      <c r="M2353" t="s">
        <v>34</v>
      </c>
      <c r="N2353" t="s">
        <v>35</v>
      </c>
      <c r="O2353">
        <v>0.71121479584263403</v>
      </c>
      <c r="P2353" t="s">
        <v>36</v>
      </c>
    </row>
    <row r="2354" spans="1:16">
      <c r="A2354">
        <v>2353</v>
      </c>
      <c r="B2354" t="s">
        <v>2415</v>
      </c>
      <c r="C2354">
        <v>76</v>
      </c>
      <c r="D2354">
        <v>82</v>
      </c>
      <c r="E2354">
        <v>66.094495929393602</v>
      </c>
      <c r="F2354">
        <v>0.92663053852854005</v>
      </c>
      <c r="G2354">
        <v>3430.9980476370501</v>
      </c>
      <c r="H2354">
        <v>362.33432655417403</v>
      </c>
      <c r="I2354">
        <v>0.85632742254940797</v>
      </c>
      <c r="J2354">
        <v>0.32840622091939398</v>
      </c>
      <c r="K2354">
        <v>0.75697655353336601</v>
      </c>
      <c r="L2354" t="s">
        <v>298</v>
      </c>
      <c r="M2354" t="s">
        <v>34</v>
      </c>
      <c r="N2354" t="s">
        <v>35</v>
      </c>
      <c r="O2354">
        <v>0.71791861737207496</v>
      </c>
      <c r="P2354" t="s">
        <v>36</v>
      </c>
    </row>
    <row r="2355" spans="1:16">
      <c r="A2355">
        <v>2354</v>
      </c>
      <c r="B2355" t="s">
        <v>2416</v>
      </c>
      <c r="C2355">
        <v>74</v>
      </c>
      <c r="D2355">
        <v>74</v>
      </c>
      <c r="E2355">
        <v>66.157092855015307</v>
      </c>
      <c r="F2355">
        <v>0.99999993577623003</v>
      </c>
      <c r="G2355">
        <v>3437.5</v>
      </c>
      <c r="H2355">
        <v>300.208150744438</v>
      </c>
      <c r="I2355">
        <v>0.54648435198670697</v>
      </c>
      <c r="J2355">
        <v>0.47930020226668202</v>
      </c>
      <c r="K2355">
        <v>0.79250720461095103</v>
      </c>
      <c r="L2355" t="s">
        <v>38</v>
      </c>
      <c r="M2355" t="s">
        <v>34</v>
      </c>
      <c r="N2355" t="s">
        <v>35</v>
      </c>
      <c r="O2355">
        <v>0.70891302480570395</v>
      </c>
      <c r="P2355" t="s">
        <v>36</v>
      </c>
    </row>
    <row r="2356" spans="1:16">
      <c r="A2356">
        <v>2355</v>
      </c>
      <c r="B2356" t="s">
        <v>2417</v>
      </c>
      <c r="C2356">
        <v>97</v>
      </c>
      <c r="D2356">
        <v>71</v>
      </c>
      <c r="E2356">
        <v>66.2074963944861</v>
      </c>
      <c r="F2356">
        <v>1.3564681062772801</v>
      </c>
      <c r="G2356">
        <v>3442.7398967863901</v>
      </c>
      <c r="H2356">
        <v>553.15101127220203</v>
      </c>
      <c r="I2356">
        <v>0.626217958065586</v>
      </c>
      <c r="J2356">
        <v>0.141392591694707</v>
      </c>
      <c r="K2356">
        <v>0.660441377737226</v>
      </c>
      <c r="L2356" t="s">
        <v>49</v>
      </c>
      <c r="M2356" t="s">
        <v>34</v>
      </c>
      <c r="N2356" t="s">
        <v>35</v>
      </c>
      <c r="O2356">
        <v>0.65958974649931201</v>
      </c>
      <c r="P2356" t="s">
        <v>36</v>
      </c>
    </row>
    <row r="2357" spans="1:16">
      <c r="A2357">
        <v>2356</v>
      </c>
      <c r="B2357" t="s">
        <v>2418</v>
      </c>
      <c r="C2357">
        <v>59</v>
      </c>
      <c r="D2357">
        <v>113</v>
      </c>
      <c r="E2357">
        <v>66.343128139981602</v>
      </c>
      <c r="F2357">
        <v>0.521447708624594</v>
      </c>
      <c r="G2357">
        <v>3456.8598419659702</v>
      </c>
      <c r="H2357">
        <v>536.92678141593899</v>
      </c>
      <c r="I2357">
        <v>0.62819223692145598</v>
      </c>
      <c r="J2357">
        <v>0.15068204375588801</v>
      </c>
      <c r="K2357">
        <v>0.67498621470238296</v>
      </c>
      <c r="L2357" t="s">
        <v>47</v>
      </c>
      <c r="M2357" t="s">
        <v>34</v>
      </c>
      <c r="N2357" t="s">
        <v>35</v>
      </c>
      <c r="O2357">
        <v>0.92877540161026995</v>
      </c>
      <c r="P2357" t="s">
        <v>36</v>
      </c>
    </row>
    <row r="2358" spans="1:16">
      <c r="A2358">
        <v>2357</v>
      </c>
      <c r="B2358" t="s">
        <v>2419</v>
      </c>
      <c r="C2358">
        <v>67</v>
      </c>
      <c r="D2358">
        <v>71</v>
      </c>
      <c r="E2358">
        <v>66.345980565037905</v>
      </c>
      <c r="F2358">
        <v>0.94896021824691401</v>
      </c>
      <c r="G2358">
        <v>3457.1571039697501</v>
      </c>
      <c r="H2358">
        <v>240.34181578905699</v>
      </c>
      <c r="I2358">
        <v>0.752735033211274</v>
      </c>
      <c r="J2358">
        <v>0.75209084782930602</v>
      </c>
      <c r="K2358">
        <v>0.96807757938985295</v>
      </c>
      <c r="L2358" t="s">
        <v>38</v>
      </c>
      <c r="M2358" t="s">
        <v>34</v>
      </c>
      <c r="N2358" t="s">
        <v>35</v>
      </c>
      <c r="O2358">
        <v>0.83587445899346302</v>
      </c>
      <c r="P2358" t="s">
        <v>36</v>
      </c>
    </row>
    <row r="2359" spans="1:16">
      <c r="A2359">
        <v>2358</v>
      </c>
      <c r="B2359" t="s">
        <v>2420</v>
      </c>
      <c r="C2359">
        <v>115</v>
      </c>
      <c r="D2359">
        <v>59</v>
      </c>
      <c r="E2359">
        <v>66.411552527543606</v>
      </c>
      <c r="F2359">
        <v>1.94907394496543</v>
      </c>
      <c r="G2359">
        <v>3463.9941300567102</v>
      </c>
      <c r="H2359">
        <v>538.20430528226098</v>
      </c>
      <c r="I2359">
        <v>0.71746516703394903</v>
      </c>
      <c r="J2359">
        <v>0.150277055296654</v>
      </c>
      <c r="K2359">
        <v>0.61553495496923105</v>
      </c>
      <c r="L2359" t="s">
        <v>33</v>
      </c>
      <c r="M2359" t="s">
        <v>34</v>
      </c>
      <c r="N2359" t="s">
        <v>35</v>
      </c>
      <c r="O2359">
        <v>0.84966365626589702</v>
      </c>
      <c r="P2359" t="s">
        <v>36</v>
      </c>
    </row>
    <row r="2360" spans="1:16">
      <c r="A2360">
        <v>2359</v>
      </c>
      <c r="B2360" t="s">
        <v>2421</v>
      </c>
      <c r="C2360">
        <v>68</v>
      </c>
      <c r="D2360">
        <v>77</v>
      </c>
      <c r="E2360">
        <v>66.495561042827006</v>
      </c>
      <c r="F2360">
        <v>0.88028177186816003</v>
      </c>
      <c r="G2360">
        <v>3472.7633591682402</v>
      </c>
      <c r="H2360">
        <v>296.66635331309402</v>
      </c>
      <c r="I2360">
        <v>0.74650717837579506</v>
      </c>
      <c r="J2360">
        <v>0.49584788858896101</v>
      </c>
      <c r="K2360">
        <v>0.860050796922737</v>
      </c>
      <c r="L2360" t="s">
        <v>2422</v>
      </c>
      <c r="M2360" t="s">
        <v>34</v>
      </c>
      <c r="N2360" t="s">
        <v>35</v>
      </c>
      <c r="O2360">
        <v>0.65949261582034502</v>
      </c>
      <c r="P2360" t="s">
        <v>36</v>
      </c>
    </row>
    <row r="2361" spans="1:16">
      <c r="A2361">
        <v>2360</v>
      </c>
      <c r="B2361" t="s">
        <v>2423</v>
      </c>
      <c r="C2361">
        <v>88</v>
      </c>
      <c r="D2361">
        <v>77</v>
      </c>
      <c r="E2361">
        <v>66.524014429256596</v>
      </c>
      <c r="F2361">
        <v>1.13380281690141</v>
      </c>
      <c r="G2361">
        <v>3475.7359792060502</v>
      </c>
      <c r="H2361">
        <v>498.20969901198902</v>
      </c>
      <c r="I2361">
        <v>0.676640429146249</v>
      </c>
      <c r="J2361">
        <v>0.175967428506454</v>
      </c>
      <c r="K2361">
        <v>0.73825609294102801</v>
      </c>
      <c r="L2361" t="s">
        <v>38</v>
      </c>
      <c r="M2361" t="s">
        <v>34</v>
      </c>
      <c r="N2361" t="s">
        <v>35</v>
      </c>
      <c r="O2361">
        <v>0.703413924615508</v>
      </c>
      <c r="P2361" t="s">
        <v>36</v>
      </c>
    </row>
    <row r="2362" spans="1:16">
      <c r="A2362">
        <v>2361</v>
      </c>
      <c r="B2362" t="s">
        <v>2424</v>
      </c>
      <c r="C2362">
        <v>63</v>
      </c>
      <c r="D2362">
        <v>77</v>
      </c>
      <c r="E2362">
        <v>66.7923004399387</v>
      </c>
      <c r="F2362">
        <v>0.82305841673352498</v>
      </c>
      <c r="G2362">
        <v>3503.82723856333</v>
      </c>
      <c r="H2362">
        <v>253.20784437697901</v>
      </c>
      <c r="I2362">
        <v>0.73611715712498305</v>
      </c>
      <c r="J2362">
        <v>0.68674931755636903</v>
      </c>
      <c r="K2362">
        <v>0.93038124556002799</v>
      </c>
      <c r="L2362" t="s">
        <v>33</v>
      </c>
      <c r="M2362" t="s">
        <v>34</v>
      </c>
      <c r="N2362" t="s">
        <v>35</v>
      </c>
      <c r="O2362">
        <v>0.69865769750304096</v>
      </c>
      <c r="P2362" t="s">
        <v>36</v>
      </c>
    </row>
    <row r="2363" spans="1:16">
      <c r="A2363">
        <v>2362</v>
      </c>
      <c r="B2363" t="s">
        <v>2425</v>
      </c>
      <c r="C2363">
        <v>60</v>
      </c>
      <c r="D2363">
        <v>102</v>
      </c>
      <c r="E2363">
        <v>66.871585884687505</v>
      </c>
      <c r="F2363">
        <v>0.58914930357183104</v>
      </c>
      <c r="G2363">
        <v>3512.1505746691901</v>
      </c>
      <c r="H2363">
        <v>372.83239649316499</v>
      </c>
      <c r="I2363">
        <v>0.70874126294770701</v>
      </c>
      <c r="J2363">
        <v>0.31750875575165399</v>
      </c>
      <c r="K2363">
        <v>0.78359198832736399</v>
      </c>
      <c r="L2363" t="s">
        <v>33</v>
      </c>
      <c r="M2363" t="s">
        <v>34</v>
      </c>
      <c r="N2363" t="s">
        <v>35</v>
      </c>
      <c r="O2363">
        <v>0.64074873634947604</v>
      </c>
      <c r="P2363" t="s">
        <v>36</v>
      </c>
    </row>
    <row r="2364" spans="1:16">
      <c r="A2364">
        <v>2363</v>
      </c>
      <c r="B2364" t="s">
        <v>2426</v>
      </c>
      <c r="C2364">
        <v>88</v>
      </c>
      <c r="D2364">
        <v>69</v>
      </c>
      <c r="E2364">
        <v>67.083495951762998</v>
      </c>
      <c r="F2364">
        <v>1.28571428571429</v>
      </c>
      <c r="G2364">
        <v>3534.4452249527399</v>
      </c>
      <c r="H2364">
        <v>486.08262452042601</v>
      </c>
      <c r="I2364">
        <v>0.61666460044439197</v>
      </c>
      <c r="J2364">
        <v>0.18797968842184301</v>
      </c>
      <c r="K2364">
        <v>0.68390325271059205</v>
      </c>
      <c r="L2364" t="s">
        <v>33</v>
      </c>
      <c r="M2364" t="s">
        <v>34</v>
      </c>
      <c r="N2364" t="s">
        <v>35</v>
      </c>
      <c r="O2364">
        <v>0.64657665903374795</v>
      </c>
      <c r="P2364" t="s">
        <v>36</v>
      </c>
    </row>
    <row r="2365" spans="1:16">
      <c r="A2365">
        <v>2364</v>
      </c>
      <c r="B2365" t="s">
        <v>2427</v>
      </c>
      <c r="C2365">
        <v>88</v>
      </c>
      <c r="D2365">
        <v>73</v>
      </c>
      <c r="E2365">
        <v>67.099009684727704</v>
      </c>
      <c r="F2365">
        <v>1.20149253731343</v>
      </c>
      <c r="G2365">
        <v>3536.0801659735398</v>
      </c>
      <c r="H2365">
        <v>518.21170326637196</v>
      </c>
      <c r="I2365">
        <v>0.58639663827821997</v>
      </c>
      <c r="J2365">
        <v>0.16546933922300899</v>
      </c>
      <c r="K2365">
        <v>0.67605353641556098</v>
      </c>
      <c r="L2365" t="s">
        <v>38</v>
      </c>
      <c r="M2365" t="s">
        <v>34</v>
      </c>
      <c r="N2365" t="s">
        <v>35</v>
      </c>
      <c r="O2365">
        <v>0.74841587616499405</v>
      </c>
      <c r="P2365" t="s">
        <v>36</v>
      </c>
    </row>
    <row r="2366" spans="1:16">
      <c r="A2366">
        <v>2365</v>
      </c>
      <c r="B2366" t="s">
        <v>2428</v>
      </c>
      <c r="C2366">
        <v>78</v>
      </c>
      <c r="D2366">
        <v>58</v>
      </c>
      <c r="E2366">
        <v>67.293332631235302</v>
      </c>
      <c r="F2366">
        <v>1.32762270317788</v>
      </c>
      <c r="G2366">
        <v>3556.5912442344102</v>
      </c>
      <c r="H2366">
        <v>246.113370668681</v>
      </c>
      <c r="I2366">
        <v>0.59969793326493603</v>
      </c>
      <c r="J2366">
        <v>0.737859039616376</v>
      </c>
      <c r="K2366">
        <v>0.941641744057925</v>
      </c>
      <c r="L2366" t="s">
        <v>298</v>
      </c>
      <c r="M2366" t="s">
        <v>34</v>
      </c>
      <c r="N2366" t="s">
        <v>35</v>
      </c>
      <c r="O2366">
        <v>0.66460840813378397</v>
      </c>
      <c r="P2366" t="s">
        <v>36</v>
      </c>
    </row>
    <row r="2367" spans="1:16">
      <c r="A2367">
        <v>2366</v>
      </c>
      <c r="B2367" t="s">
        <v>2429</v>
      </c>
      <c r="C2367">
        <v>83</v>
      </c>
      <c r="D2367">
        <v>112</v>
      </c>
      <c r="E2367">
        <v>67.524941244201401</v>
      </c>
      <c r="F2367">
        <v>0.73786407766990303</v>
      </c>
      <c r="G2367">
        <v>3581.1153595463102</v>
      </c>
      <c r="H2367">
        <v>666.92100459243898</v>
      </c>
      <c r="I2367">
        <v>0.509226453116286</v>
      </c>
      <c r="J2367">
        <v>0.10117643760506401</v>
      </c>
      <c r="K2367">
        <v>0.51892054877129501</v>
      </c>
      <c r="L2367" t="s">
        <v>38</v>
      </c>
      <c r="M2367" t="s">
        <v>34</v>
      </c>
      <c r="N2367" t="s">
        <v>35</v>
      </c>
      <c r="O2367">
        <v>0.72875459377795904</v>
      </c>
      <c r="P2367" t="s">
        <v>36</v>
      </c>
    </row>
    <row r="2368" spans="1:16">
      <c r="A2368">
        <v>2367</v>
      </c>
      <c r="B2368" t="s">
        <v>2430</v>
      </c>
      <c r="C2368">
        <v>126</v>
      </c>
      <c r="D2368">
        <v>55</v>
      </c>
      <c r="E2368">
        <v>67.582369355248602</v>
      </c>
      <c r="F2368">
        <v>2.29419520616573</v>
      </c>
      <c r="G2368">
        <v>3587.2092306238201</v>
      </c>
      <c r="H2368">
        <v>481.446899385763</v>
      </c>
      <c r="I2368">
        <v>0.604427557558878</v>
      </c>
      <c r="J2368">
        <v>0.19447768862186099</v>
      </c>
      <c r="K2368">
        <v>0.71460294901403398</v>
      </c>
      <c r="L2368" t="s">
        <v>49</v>
      </c>
      <c r="M2368" t="s">
        <v>34</v>
      </c>
      <c r="N2368" t="s">
        <v>35</v>
      </c>
      <c r="O2368">
        <v>0.74019007003630299</v>
      </c>
      <c r="P2368" t="s">
        <v>36</v>
      </c>
    </row>
    <row r="2369" spans="1:16">
      <c r="A2369">
        <v>2368</v>
      </c>
      <c r="B2369" t="s">
        <v>2431</v>
      </c>
      <c r="C2369">
        <v>88</v>
      </c>
      <c r="D2369">
        <v>107</v>
      </c>
      <c r="E2369">
        <v>67.797640442149799</v>
      </c>
      <c r="F2369">
        <v>0.81725888324873097</v>
      </c>
      <c r="G2369">
        <v>3610.0984049149301</v>
      </c>
      <c r="H2369">
        <v>699.19177745974605</v>
      </c>
      <c r="I2369">
        <v>0.27100242598948499</v>
      </c>
      <c r="J2369">
        <v>9.2797500688517498E-2</v>
      </c>
      <c r="K2369">
        <v>0.47857269521013501</v>
      </c>
      <c r="L2369" t="s">
        <v>33</v>
      </c>
      <c r="M2369" t="s">
        <v>34</v>
      </c>
      <c r="N2369" t="s">
        <v>35</v>
      </c>
      <c r="O2369">
        <v>0.71819145221597003</v>
      </c>
      <c r="P2369" t="s">
        <v>36</v>
      </c>
    </row>
    <row r="2370" spans="1:16">
      <c r="A2370">
        <v>2369</v>
      </c>
      <c r="B2370" t="s">
        <v>2432</v>
      </c>
      <c r="C2370">
        <v>75</v>
      </c>
      <c r="D2370">
        <v>76</v>
      </c>
      <c r="E2370">
        <v>67.937422306597398</v>
      </c>
      <c r="F2370">
        <v>0.989690725543519</v>
      </c>
      <c r="G2370">
        <v>3625</v>
      </c>
      <c r="H2370">
        <v>281.42135381698603</v>
      </c>
      <c r="I2370">
        <v>0.77157983723871104</v>
      </c>
      <c r="J2370">
        <v>0.57518000340963604</v>
      </c>
      <c r="K2370">
        <v>0.873493975903614</v>
      </c>
      <c r="L2370" t="s">
        <v>38</v>
      </c>
      <c r="M2370" t="s">
        <v>34</v>
      </c>
      <c r="N2370" t="s">
        <v>35</v>
      </c>
      <c r="O2370">
        <v>0.75337995824862503</v>
      </c>
      <c r="P2370" t="s">
        <v>36</v>
      </c>
    </row>
    <row r="2371" spans="1:16">
      <c r="A2371">
        <v>2370</v>
      </c>
      <c r="B2371" t="s">
        <v>2433</v>
      </c>
      <c r="C2371">
        <v>75</v>
      </c>
      <c r="D2371">
        <v>118</v>
      </c>
      <c r="E2371">
        <v>67.957950082965098</v>
      </c>
      <c r="F2371">
        <v>0.63741593831255605</v>
      </c>
      <c r="G2371">
        <v>3627.1909701323302</v>
      </c>
      <c r="H2371">
        <v>622.29067318750504</v>
      </c>
      <c r="I2371">
        <v>0.73580266478238299</v>
      </c>
      <c r="J2371">
        <v>0.11770467211369499</v>
      </c>
      <c r="K2371">
        <v>0.59944486748053305</v>
      </c>
      <c r="L2371" t="s">
        <v>38</v>
      </c>
      <c r="M2371" t="s">
        <v>34</v>
      </c>
      <c r="N2371" t="s">
        <v>35</v>
      </c>
      <c r="O2371">
        <v>0.74279432707614901</v>
      </c>
      <c r="P2371" t="s">
        <v>36</v>
      </c>
    </row>
    <row r="2372" spans="1:16">
      <c r="A2372">
        <v>2371</v>
      </c>
      <c r="B2372" t="s">
        <v>2434</v>
      </c>
      <c r="C2372">
        <v>60</v>
      </c>
      <c r="D2372">
        <v>107</v>
      </c>
      <c r="E2372">
        <v>67.976048258030701</v>
      </c>
      <c r="F2372">
        <v>0.56645152782660702</v>
      </c>
      <c r="G2372">
        <v>3629.1231731569001</v>
      </c>
      <c r="H2372">
        <v>441.28790151295499</v>
      </c>
      <c r="I2372">
        <v>0.64244732726199405</v>
      </c>
      <c r="J2372">
        <v>0.23418956008776301</v>
      </c>
      <c r="K2372">
        <v>0.69311343249687796</v>
      </c>
      <c r="L2372" t="s">
        <v>33</v>
      </c>
      <c r="M2372" t="s">
        <v>34</v>
      </c>
      <c r="N2372" t="s">
        <v>35</v>
      </c>
      <c r="O2372">
        <v>0.66256532283842096</v>
      </c>
      <c r="P2372" t="s">
        <v>36</v>
      </c>
    </row>
    <row r="2373" spans="1:16">
      <c r="A2373">
        <v>2372</v>
      </c>
      <c r="B2373" t="s">
        <v>2435</v>
      </c>
      <c r="C2373">
        <v>61</v>
      </c>
      <c r="D2373">
        <v>112</v>
      </c>
      <c r="E2373">
        <v>68.009447620447901</v>
      </c>
      <c r="F2373">
        <v>0.545874685432441</v>
      </c>
      <c r="G2373">
        <v>3632.6903172022699</v>
      </c>
      <c r="H2373">
        <v>566.15873398148506</v>
      </c>
      <c r="I2373">
        <v>0.73430964865492898</v>
      </c>
      <c r="J2373">
        <v>0.142416994846776</v>
      </c>
      <c r="K2373">
        <v>0.60229176934450501</v>
      </c>
      <c r="L2373" t="s">
        <v>38</v>
      </c>
      <c r="M2373" t="s">
        <v>34</v>
      </c>
      <c r="N2373" t="s">
        <v>35</v>
      </c>
      <c r="O2373">
        <v>0.69378593968067703</v>
      </c>
      <c r="P2373" t="s">
        <v>36</v>
      </c>
    </row>
    <row r="2374" spans="1:16">
      <c r="A2374">
        <v>2373</v>
      </c>
      <c r="B2374" t="s">
        <v>2436</v>
      </c>
      <c r="C2374">
        <v>98</v>
      </c>
      <c r="D2374">
        <v>68</v>
      </c>
      <c r="E2374">
        <v>68.131771869857701</v>
      </c>
      <c r="F2374">
        <v>1.4356719040769399</v>
      </c>
      <c r="G2374">
        <v>3645.7698453686198</v>
      </c>
      <c r="H2374">
        <v>527.77432778679804</v>
      </c>
      <c r="I2374">
        <v>0.72094682670135701</v>
      </c>
      <c r="J2374">
        <v>0.164476020618499</v>
      </c>
      <c r="K2374">
        <v>0.70829603534405605</v>
      </c>
      <c r="L2374" t="s">
        <v>38</v>
      </c>
      <c r="M2374" t="s">
        <v>34</v>
      </c>
      <c r="N2374" t="s">
        <v>35</v>
      </c>
      <c r="O2374">
        <v>0.80737992327396002</v>
      </c>
      <c r="P2374" t="s">
        <v>36</v>
      </c>
    </row>
    <row r="2375" spans="1:16">
      <c r="A2375">
        <v>2374</v>
      </c>
      <c r="B2375" t="s">
        <v>2437</v>
      </c>
      <c r="C2375">
        <v>64</v>
      </c>
      <c r="D2375">
        <v>115</v>
      </c>
      <c r="E2375">
        <v>68.361924010448107</v>
      </c>
      <c r="F2375">
        <v>0.55217575421510801</v>
      </c>
      <c r="G2375">
        <v>3670.4425916824198</v>
      </c>
      <c r="H2375">
        <v>522.16716450971103</v>
      </c>
      <c r="I2375">
        <v>0.73677145790777399</v>
      </c>
      <c r="J2375">
        <v>0.16916448178948701</v>
      </c>
      <c r="K2375">
        <v>0.63491451343360295</v>
      </c>
      <c r="L2375" t="s">
        <v>33</v>
      </c>
      <c r="M2375" t="s">
        <v>34</v>
      </c>
      <c r="N2375" t="s">
        <v>35</v>
      </c>
      <c r="O2375">
        <v>0.65004488115845804</v>
      </c>
      <c r="P2375" t="s">
        <v>36</v>
      </c>
    </row>
    <row r="2376" spans="1:16">
      <c r="A2376">
        <v>2375</v>
      </c>
      <c r="B2376" t="s">
        <v>2438</v>
      </c>
      <c r="C2376">
        <v>103</v>
      </c>
      <c r="D2376">
        <v>58</v>
      </c>
      <c r="E2376">
        <v>68.444921115895099</v>
      </c>
      <c r="F2376">
        <v>1.75700931114258</v>
      </c>
      <c r="G2376">
        <v>3679.3604517958402</v>
      </c>
      <c r="H2376">
        <v>555.51896992113302</v>
      </c>
      <c r="I2376">
        <v>0.77447447821470705</v>
      </c>
      <c r="J2376">
        <v>0.14982504342750899</v>
      </c>
      <c r="K2376">
        <v>0.65043747865156698</v>
      </c>
      <c r="L2376" t="s">
        <v>49</v>
      </c>
      <c r="M2376" t="s">
        <v>34</v>
      </c>
      <c r="N2376" t="s">
        <v>35</v>
      </c>
      <c r="O2376">
        <v>0.79391547265953799</v>
      </c>
      <c r="P2376" t="s">
        <v>36</v>
      </c>
    </row>
    <row r="2377" spans="1:16">
      <c r="A2377">
        <v>2376</v>
      </c>
      <c r="B2377" t="s">
        <v>2439</v>
      </c>
      <c r="C2377">
        <v>71</v>
      </c>
      <c r="D2377">
        <v>138</v>
      </c>
      <c r="E2377">
        <v>68.4476859528462</v>
      </c>
      <c r="F2377">
        <v>0.51068982024007403</v>
      </c>
      <c r="G2377">
        <v>3679.6577137996201</v>
      </c>
      <c r="H2377">
        <v>616.02205049608096</v>
      </c>
      <c r="I2377">
        <v>0.74723336450117195</v>
      </c>
      <c r="J2377">
        <v>0.12184978577050801</v>
      </c>
      <c r="K2377">
        <v>0.49696884535089098</v>
      </c>
      <c r="L2377" t="s">
        <v>38</v>
      </c>
      <c r="M2377" t="s">
        <v>34</v>
      </c>
      <c r="N2377" t="s">
        <v>35</v>
      </c>
      <c r="O2377">
        <v>0.69627260678532898</v>
      </c>
      <c r="P2377" t="s">
        <v>36</v>
      </c>
    </row>
    <row r="2378" spans="1:16">
      <c r="A2378">
        <v>2377</v>
      </c>
      <c r="B2378" t="s">
        <v>2440</v>
      </c>
      <c r="C2378">
        <v>101</v>
      </c>
      <c r="D2378">
        <v>61</v>
      </c>
      <c r="E2378">
        <v>68.479473554420693</v>
      </c>
      <c r="F2378">
        <v>1.64428206753063</v>
      </c>
      <c r="G2378">
        <v>3683.0762268430999</v>
      </c>
      <c r="H2378">
        <v>377.116640941578</v>
      </c>
      <c r="I2378">
        <v>0.78260819148020999</v>
      </c>
      <c r="J2378">
        <v>0.32543868595326297</v>
      </c>
      <c r="K2378">
        <v>0.750317931326833</v>
      </c>
      <c r="L2378" t="s">
        <v>33</v>
      </c>
      <c r="M2378" t="s">
        <v>34</v>
      </c>
      <c r="N2378" t="s">
        <v>35</v>
      </c>
      <c r="O2378">
        <v>0.69960707457585103</v>
      </c>
      <c r="P2378" t="s">
        <v>36</v>
      </c>
    </row>
    <row r="2379" spans="1:16">
      <c r="A2379">
        <v>2378</v>
      </c>
      <c r="B2379" t="s">
        <v>2441</v>
      </c>
      <c r="C2379">
        <v>67</v>
      </c>
      <c r="D2379">
        <v>93</v>
      </c>
      <c r="E2379">
        <v>68.806168751692397</v>
      </c>
      <c r="F2379">
        <v>0.71590559252435204</v>
      </c>
      <c r="G2379">
        <v>3718.3017742911202</v>
      </c>
      <c r="H2379">
        <v>444.48171117875899</v>
      </c>
      <c r="I2379">
        <v>0.57297321346369701</v>
      </c>
      <c r="J2379">
        <v>0.23650847393741201</v>
      </c>
      <c r="K2379">
        <v>0.77284522706209502</v>
      </c>
      <c r="L2379" t="s">
        <v>33</v>
      </c>
      <c r="M2379" t="s">
        <v>34</v>
      </c>
      <c r="N2379" t="s">
        <v>35</v>
      </c>
      <c r="O2379">
        <v>0.63686038672860901</v>
      </c>
      <c r="P2379" t="s">
        <v>36</v>
      </c>
    </row>
    <row r="2380" spans="1:16">
      <c r="A2380">
        <v>2379</v>
      </c>
      <c r="B2380" t="s">
        <v>2442</v>
      </c>
      <c r="C2380">
        <v>88</v>
      </c>
      <c r="D2380">
        <v>78</v>
      </c>
      <c r="E2380">
        <v>69.058739824989303</v>
      </c>
      <c r="F2380">
        <v>1.12587412587413</v>
      </c>
      <c r="G2380">
        <v>3745.6498786389402</v>
      </c>
      <c r="H2380">
        <v>452.48893282444601</v>
      </c>
      <c r="I2380">
        <v>0.67986566303335405</v>
      </c>
      <c r="J2380">
        <v>0.22989055071490599</v>
      </c>
      <c r="K2380">
        <v>0.71267780888549503</v>
      </c>
      <c r="L2380" t="s">
        <v>33</v>
      </c>
      <c r="M2380" t="s">
        <v>34</v>
      </c>
      <c r="N2380" t="s">
        <v>35</v>
      </c>
      <c r="O2380">
        <v>0.72102038953237302</v>
      </c>
      <c r="P2380" t="s">
        <v>36</v>
      </c>
    </row>
    <row r="2381" spans="1:16">
      <c r="A2381">
        <v>2380</v>
      </c>
      <c r="B2381" t="s">
        <v>2443</v>
      </c>
      <c r="C2381">
        <v>73</v>
      </c>
      <c r="D2381">
        <v>105</v>
      </c>
      <c r="E2381">
        <v>69.083398279621505</v>
      </c>
      <c r="F2381">
        <v>0.69630771091843002</v>
      </c>
      <c r="G2381">
        <v>3748.3252366729698</v>
      </c>
      <c r="H2381">
        <v>455.386059004846</v>
      </c>
      <c r="I2381">
        <v>0.54958747871760005</v>
      </c>
      <c r="J2381">
        <v>0.22713688663481599</v>
      </c>
      <c r="K2381">
        <v>0.68288654210668798</v>
      </c>
      <c r="L2381" t="s">
        <v>33</v>
      </c>
      <c r="M2381" t="s">
        <v>34</v>
      </c>
      <c r="N2381" t="s">
        <v>35</v>
      </c>
      <c r="O2381">
        <v>0.77835538506870305</v>
      </c>
      <c r="P2381" t="s">
        <v>36</v>
      </c>
    </row>
    <row r="2382" spans="1:16">
      <c r="A2382">
        <v>2381</v>
      </c>
      <c r="B2382" t="s">
        <v>2444</v>
      </c>
      <c r="C2382">
        <v>88</v>
      </c>
      <c r="D2382">
        <v>69</v>
      </c>
      <c r="E2382">
        <v>69.469933423308206</v>
      </c>
      <c r="F2382">
        <v>1.2777777777777799</v>
      </c>
      <c r="G2382">
        <v>3790.3878102079402</v>
      </c>
      <c r="H2382">
        <v>367.94148983126098</v>
      </c>
      <c r="I2382">
        <v>0.62557238554334704</v>
      </c>
      <c r="J2382">
        <v>0.35183252543967303</v>
      </c>
      <c r="K2382">
        <v>0.82039568923918305</v>
      </c>
      <c r="L2382" t="s">
        <v>72</v>
      </c>
      <c r="M2382" t="s">
        <v>34</v>
      </c>
      <c r="N2382" t="s">
        <v>35</v>
      </c>
      <c r="O2382">
        <v>0.75946866486751996</v>
      </c>
      <c r="P2382" t="s">
        <v>36</v>
      </c>
    </row>
    <row r="2383" spans="1:16">
      <c r="A2383">
        <v>2382</v>
      </c>
      <c r="B2383" t="s">
        <v>2445</v>
      </c>
      <c r="C2383">
        <v>85</v>
      </c>
      <c r="D2383">
        <v>79</v>
      </c>
      <c r="E2383">
        <v>69.831298520368804</v>
      </c>
      <c r="F2383">
        <v>1.07471689976037</v>
      </c>
      <c r="G2383">
        <v>3829.9236567107801</v>
      </c>
      <c r="H2383">
        <v>399.82868229264801</v>
      </c>
      <c r="I2383">
        <v>0.62160562541063302</v>
      </c>
      <c r="J2383">
        <v>0.30105932933859098</v>
      </c>
      <c r="K2383">
        <v>0.75457553661893495</v>
      </c>
      <c r="L2383" t="s">
        <v>47</v>
      </c>
      <c r="M2383" t="s">
        <v>34</v>
      </c>
      <c r="N2383" t="s">
        <v>35</v>
      </c>
      <c r="O2383">
        <v>0.940955027084036</v>
      </c>
      <c r="P2383" t="s">
        <v>36</v>
      </c>
    </row>
    <row r="2384" spans="1:16">
      <c r="A2384">
        <v>2383</v>
      </c>
      <c r="B2384" t="s">
        <v>2446</v>
      </c>
      <c r="C2384">
        <v>58</v>
      </c>
      <c r="D2384">
        <v>98</v>
      </c>
      <c r="E2384">
        <v>70.024795489409698</v>
      </c>
      <c r="F2384">
        <v>0.59776536312849204</v>
      </c>
      <c r="G2384">
        <v>3851.1778899811002</v>
      </c>
      <c r="H2384">
        <v>409.13612528583297</v>
      </c>
      <c r="I2384">
        <v>0.81051319816262302</v>
      </c>
      <c r="J2384">
        <v>0.28911311162164299</v>
      </c>
      <c r="K2384">
        <v>0.78680310943762899</v>
      </c>
      <c r="L2384" t="s">
        <v>49</v>
      </c>
      <c r="M2384" t="s">
        <v>34</v>
      </c>
      <c r="N2384" t="s">
        <v>35</v>
      </c>
      <c r="O2384">
        <v>0.74788600416314399</v>
      </c>
      <c r="P2384" t="s">
        <v>36</v>
      </c>
    </row>
    <row r="2385" spans="1:16">
      <c r="A2385">
        <v>2384</v>
      </c>
      <c r="B2385" t="s">
        <v>2447</v>
      </c>
      <c r="C2385">
        <v>94</v>
      </c>
      <c r="D2385">
        <v>56</v>
      </c>
      <c r="E2385">
        <v>70.036955738783206</v>
      </c>
      <c r="F2385">
        <v>1.6714647578796</v>
      </c>
      <c r="G2385">
        <v>3852.5155689981102</v>
      </c>
      <c r="H2385">
        <v>299.58066774036598</v>
      </c>
      <c r="I2385">
        <v>0.65296759127410098</v>
      </c>
      <c r="J2385">
        <v>0.53941956891513898</v>
      </c>
      <c r="K2385">
        <v>0.86087216446909598</v>
      </c>
      <c r="L2385" t="s">
        <v>47</v>
      </c>
      <c r="M2385" t="s">
        <v>34</v>
      </c>
      <c r="N2385" t="s">
        <v>35</v>
      </c>
      <c r="O2385">
        <v>0.89361036216191703</v>
      </c>
      <c r="P2385" t="s">
        <v>36</v>
      </c>
    </row>
    <row r="2386" spans="1:16">
      <c r="A2386">
        <v>2385</v>
      </c>
      <c r="B2386" t="s">
        <v>2448</v>
      </c>
      <c r="C2386">
        <v>83</v>
      </c>
      <c r="D2386">
        <v>64</v>
      </c>
      <c r="E2386">
        <v>70.103124536258207</v>
      </c>
      <c r="F2386">
        <v>1.3076923076923099</v>
      </c>
      <c r="G2386">
        <v>3859.7984880907402</v>
      </c>
      <c r="H2386">
        <v>396.34759137993302</v>
      </c>
      <c r="I2386">
        <v>0.59831375043711998</v>
      </c>
      <c r="J2386">
        <v>0.30876072289579098</v>
      </c>
      <c r="K2386">
        <v>0.84443794101388503</v>
      </c>
      <c r="L2386" t="s">
        <v>38</v>
      </c>
      <c r="M2386" t="s">
        <v>34</v>
      </c>
      <c r="N2386" t="s">
        <v>35</v>
      </c>
      <c r="O2386">
        <v>0.751910862341582</v>
      </c>
      <c r="P2386" t="s">
        <v>36</v>
      </c>
    </row>
    <row r="2387" spans="1:16">
      <c r="A2387">
        <v>2386</v>
      </c>
      <c r="B2387" t="s">
        <v>2449</v>
      </c>
      <c r="C2387">
        <v>103</v>
      </c>
      <c r="D2387">
        <v>88</v>
      </c>
      <c r="E2387">
        <v>70.117970173894093</v>
      </c>
      <c r="F2387">
        <v>1.1677018633540399</v>
      </c>
      <c r="G2387">
        <v>3861.4334291115301</v>
      </c>
      <c r="H2387">
        <v>703.57621407135696</v>
      </c>
      <c r="I2387">
        <v>0.56916425692193595</v>
      </c>
      <c r="J2387">
        <v>9.8024834679199396E-2</v>
      </c>
      <c r="K2387">
        <v>0.46229403181607898</v>
      </c>
      <c r="L2387" t="s">
        <v>33</v>
      </c>
      <c r="M2387" t="s">
        <v>34</v>
      </c>
      <c r="N2387" t="s">
        <v>35</v>
      </c>
      <c r="O2387">
        <v>0.68580341006777901</v>
      </c>
      <c r="P2387" t="s">
        <v>36</v>
      </c>
    </row>
    <row r="2388" spans="1:16">
      <c r="A2388">
        <v>2387</v>
      </c>
      <c r="B2388" t="s">
        <v>2450</v>
      </c>
      <c r="C2388">
        <v>65</v>
      </c>
      <c r="D2388">
        <v>87</v>
      </c>
      <c r="E2388">
        <v>70.1341618310027</v>
      </c>
      <c r="F2388">
        <v>0.74719101985095104</v>
      </c>
      <c r="G2388">
        <v>3863.21700113422</v>
      </c>
      <c r="H2388">
        <v>317.70399514923901</v>
      </c>
      <c r="I2388">
        <v>0.78548114520013701</v>
      </c>
      <c r="J2388">
        <v>0.48096515682431801</v>
      </c>
      <c r="K2388">
        <v>0.87294710327455904</v>
      </c>
      <c r="L2388" t="s">
        <v>47</v>
      </c>
      <c r="M2388" t="s">
        <v>34</v>
      </c>
      <c r="N2388" t="s">
        <v>35</v>
      </c>
      <c r="O2388">
        <v>0.87943688035922796</v>
      </c>
      <c r="P2388" t="s">
        <v>36</v>
      </c>
    </row>
    <row r="2389" spans="1:16">
      <c r="A2389">
        <v>2388</v>
      </c>
      <c r="B2389" t="s">
        <v>2451</v>
      </c>
      <c r="C2389">
        <v>112</v>
      </c>
      <c r="D2389">
        <v>98</v>
      </c>
      <c r="E2389">
        <v>70.295873278869806</v>
      </c>
      <c r="F2389">
        <v>1.1508379888268201</v>
      </c>
      <c r="G2389">
        <v>3881.0527213610599</v>
      </c>
      <c r="H2389">
        <v>826.49866102073497</v>
      </c>
      <c r="I2389">
        <v>0.606722966527938</v>
      </c>
      <c r="J2389">
        <v>7.1396200047515998E-2</v>
      </c>
      <c r="K2389">
        <v>0.48298313110387697</v>
      </c>
      <c r="L2389" t="s">
        <v>49</v>
      </c>
      <c r="M2389" t="s">
        <v>34</v>
      </c>
      <c r="N2389" t="s">
        <v>35</v>
      </c>
      <c r="O2389">
        <v>0.67650421735780097</v>
      </c>
      <c r="P2389" t="s">
        <v>36</v>
      </c>
    </row>
    <row r="2390" spans="1:16">
      <c r="A2390">
        <v>2389</v>
      </c>
      <c r="B2390" t="s">
        <v>2452</v>
      </c>
      <c r="C2390">
        <v>88</v>
      </c>
      <c r="D2390">
        <v>73</v>
      </c>
      <c r="E2390">
        <v>70.504201610697507</v>
      </c>
      <c r="F2390">
        <v>1.2089552238806001</v>
      </c>
      <c r="G2390">
        <v>3904.0905266540599</v>
      </c>
      <c r="H2390">
        <v>534.53612528583301</v>
      </c>
      <c r="I2390">
        <v>0.51480820075816502</v>
      </c>
      <c r="J2390">
        <v>0.17170210557020099</v>
      </c>
      <c r="K2390">
        <v>0.72622964417042202</v>
      </c>
      <c r="L2390" t="s">
        <v>38</v>
      </c>
      <c r="M2390" t="s">
        <v>34</v>
      </c>
      <c r="N2390" t="s">
        <v>35</v>
      </c>
      <c r="O2390">
        <v>0.71552947065802297</v>
      </c>
      <c r="P2390" t="s">
        <v>36</v>
      </c>
    </row>
    <row r="2391" spans="1:16">
      <c r="A2391">
        <v>2390</v>
      </c>
      <c r="B2391" t="s">
        <v>2453</v>
      </c>
      <c r="C2391">
        <v>67</v>
      </c>
      <c r="D2391">
        <v>104</v>
      </c>
      <c r="E2391">
        <v>70.618185254523596</v>
      </c>
      <c r="F2391">
        <v>0.64237999090924303</v>
      </c>
      <c r="G2391">
        <v>3916.72416181475</v>
      </c>
      <c r="H2391">
        <v>444.878586827361</v>
      </c>
      <c r="I2391">
        <v>0.61951117836174396</v>
      </c>
      <c r="J2391">
        <v>0.24868514630216801</v>
      </c>
      <c r="K2391">
        <v>0.77088696466183004</v>
      </c>
      <c r="L2391" t="s">
        <v>38</v>
      </c>
      <c r="M2391" t="s">
        <v>34</v>
      </c>
      <c r="N2391" t="s">
        <v>35</v>
      </c>
      <c r="O2391">
        <v>0.71543350744740297</v>
      </c>
      <c r="P2391" t="s">
        <v>36</v>
      </c>
    </row>
    <row r="2392" spans="1:16">
      <c r="A2392">
        <v>2391</v>
      </c>
      <c r="B2392" t="s">
        <v>2454</v>
      </c>
      <c r="C2392">
        <v>102</v>
      </c>
      <c r="D2392">
        <v>79</v>
      </c>
      <c r="E2392">
        <v>70.744023905522795</v>
      </c>
      <c r="F2392">
        <v>1.2986111111111101</v>
      </c>
      <c r="G2392">
        <v>3930.6954759924402</v>
      </c>
      <c r="H2392">
        <v>533.84256615182596</v>
      </c>
      <c r="I2392">
        <v>0.57249603657011106</v>
      </c>
      <c r="J2392">
        <v>0.173321669614176</v>
      </c>
      <c r="K2392">
        <v>0.64136392297618505</v>
      </c>
      <c r="L2392" t="s">
        <v>38</v>
      </c>
      <c r="M2392" t="s">
        <v>34</v>
      </c>
      <c r="N2392" t="s">
        <v>35</v>
      </c>
      <c r="O2392">
        <v>0.68556037696021199</v>
      </c>
      <c r="P2392" t="s">
        <v>36</v>
      </c>
    </row>
    <row r="2393" spans="1:16">
      <c r="A2393">
        <v>2392</v>
      </c>
      <c r="B2393" t="s">
        <v>2455</v>
      </c>
      <c r="C2393">
        <v>134</v>
      </c>
      <c r="D2393">
        <v>84</v>
      </c>
      <c r="E2393">
        <v>70.818885327427196</v>
      </c>
      <c r="F2393">
        <v>1.59431879620842</v>
      </c>
      <c r="G2393">
        <v>3939.0188120982998</v>
      </c>
      <c r="H2393">
        <v>696.35172525426594</v>
      </c>
      <c r="I2393">
        <v>0.60208480271705</v>
      </c>
      <c r="J2393">
        <v>0.102079987244429</v>
      </c>
      <c r="K2393">
        <v>0.46039191161142401</v>
      </c>
      <c r="L2393" t="s">
        <v>298</v>
      </c>
      <c r="M2393" t="s">
        <v>34</v>
      </c>
      <c r="N2393" t="s">
        <v>35</v>
      </c>
      <c r="O2393">
        <v>0.88449943514682505</v>
      </c>
      <c r="P2393" t="s">
        <v>36</v>
      </c>
    </row>
    <row r="2394" spans="1:16">
      <c r="A2394">
        <v>2393</v>
      </c>
      <c r="B2394" t="s">
        <v>2456</v>
      </c>
      <c r="C2394">
        <v>71</v>
      </c>
      <c r="D2394">
        <v>136</v>
      </c>
      <c r="E2394">
        <v>70.846937966803296</v>
      </c>
      <c r="F2394">
        <v>0.52478952939657397</v>
      </c>
      <c r="G2394">
        <v>3942.1400631380002</v>
      </c>
      <c r="H2394">
        <v>680.77727579977204</v>
      </c>
      <c r="I2394">
        <v>0.75014768045923697</v>
      </c>
      <c r="J2394">
        <v>0.106888704465948</v>
      </c>
      <c r="K2394">
        <v>0.55972228084244302</v>
      </c>
      <c r="L2394" t="s">
        <v>38</v>
      </c>
      <c r="M2394" t="s">
        <v>34</v>
      </c>
      <c r="N2394" t="s">
        <v>35</v>
      </c>
      <c r="O2394">
        <v>0.80473842002729901</v>
      </c>
      <c r="P2394" t="s">
        <v>36</v>
      </c>
    </row>
    <row r="2395" spans="1:16">
      <c r="A2395">
        <v>2394</v>
      </c>
      <c r="B2395" t="s">
        <v>2457</v>
      </c>
      <c r="C2395">
        <v>83</v>
      </c>
      <c r="D2395">
        <v>69</v>
      </c>
      <c r="E2395">
        <v>70.908347824881403</v>
      </c>
      <c r="F2395">
        <v>1.20634911023689</v>
      </c>
      <c r="G2395">
        <v>3948.9770892249499</v>
      </c>
      <c r="H2395">
        <v>352.80769475760701</v>
      </c>
      <c r="I2395">
        <v>0.69379015134103506</v>
      </c>
      <c r="J2395">
        <v>0.398674429120842</v>
      </c>
      <c r="K2395">
        <v>0.84738789309179097</v>
      </c>
      <c r="L2395" t="s">
        <v>38</v>
      </c>
      <c r="M2395" t="s">
        <v>34</v>
      </c>
      <c r="N2395" t="s">
        <v>35</v>
      </c>
      <c r="O2395">
        <v>0.85276012689672498</v>
      </c>
      <c r="P2395" t="s">
        <v>36</v>
      </c>
    </row>
    <row r="2396" spans="1:16">
      <c r="A2396">
        <v>2395</v>
      </c>
      <c r="B2396" t="s">
        <v>2458</v>
      </c>
      <c r="C2396">
        <v>105</v>
      </c>
      <c r="D2396">
        <v>60</v>
      </c>
      <c r="E2396">
        <v>71.008358708273903</v>
      </c>
      <c r="F2396">
        <v>1.7600900032090301</v>
      </c>
      <c r="G2396">
        <v>3960.12441436673</v>
      </c>
      <c r="H2396">
        <v>378.69084829330399</v>
      </c>
      <c r="I2396">
        <v>0.65906333944002404</v>
      </c>
      <c r="J2396">
        <v>0.34701566064447797</v>
      </c>
      <c r="K2396">
        <v>0.76706492010939997</v>
      </c>
      <c r="L2396" t="s">
        <v>38</v>
      </c>
      <c r="M2396" t="s">
        <v>34</v>
      </c>
      <c r="N2396" t="s">
        <v>35</v>
      </c>
      <c r="O2396">
        <v>0.767493508605677</v>
      </c>
      <c r="P2396" t="s">
        <v>36</v>
      </c>
    </row>
    <row r="2397" spans="1:16">
      <c r="A2397">
        <v>2396</v>
      </c>
      <c r="B2397" t="s">
        <v>2459</v>
      </c>
      <c r="C2397">
        <v>78</v>
      </c>
      <c r="D2397">
        <v>84</v>
      </c>
      <c r="E2397">
        <v>71.1055675449755</v>
      </c>
      <c r="F2397">
        <v>0.92753621038456902</v>
      </c>
      <c r="G2397">
        <v>3970.9744775047302</v>
      </c>
      <c r="H2397">
        <v>424.21512315864197</v>
      </c>
      <c r="I2397">
        <v>0.84554896209104502</v>
      </c>
      <c r="J2397">
        <v>0.27729029250919301</v>
      </c>
      <c r="K2397">
        <v>0.80356713185755502</v>
      </c>
      <c r="L2397" t="s">
        <v>38</v>
      </c>
      <c r="M2397" t="s">
        <v>34</v>
      </c>
      <c r="N2397" t="s">
        <v>35</v>
      </c>
      <c r="O2397">
        <v>0.750873381188087</v>
      </c>
      <c r="P2397" t="s">
        <v>36</v>
      </c>
    </row>
    <row r="2398" spans="1:16">
      <c r="A2398">
        <v>2397</v>
      </c>
      <c r="B2398" t="s">
        <v>2460</v>
      </c>
      <c r="C2398">
        <v>116</v>
      </c>
      <c r="D2398">
        <v>74</v>
      </c>
      <c r="E2398">
        <v>71.184036589496003</v>
      </c>
      <c r="F2398">
        <v>1.5686530718368701</v>
      </c>
      <c r="G2398">
        <v>3979.7437066162602</v>
      </c>
      <c r="H2398">
        <v>583.17671513495202</v>
      </c>
      <c r="I2398">
        <v>0.629942450570389</v>
      </c>
      <c r="J2398">
        <v>0.14704986090753699</v>
      </c>
      <c r="K2398">
        <v>0.65825896698379904</v>
      </c>
      <c r="L2398" t="s">
        <v>38</v>
      </c>
      <c r="M2398" t="s">
        <v>34</v>
      </c>
      <c r="N2398" t="s">
        <v>35</v>
      </c>
      <c r="O2398">
        <v>0.72582154446565805</v>
      </c>
      <c r="P2398" t="s">
        <v>36</v>
      </c>
    </row>
    <row r="2399" spans="1:16">
      <c r="A2399">
        <v>2398</v>
      </c>
      <c r="B2399" t="s">
        <v>2461</v>
      </c>
      <c r="C2399">
        <v>88</v>
      </c>
      <c r="D2399">
        <v>103</v>
      </c>
      <c r="E2399">
        <v>71.340715750109993</v>
      </c>
      <c r="F2399">
        <v>0.861702105210017</v>
      </c>
      <c r="G2399">
        <v>3997.2821648393201</v>
      </c>
      <c r="H2399">
        <v>809.50337734844402</v>
      </c>
      <c r="I2399">
        <v>0.38620609121101301</v>
      </c>
      <c r="J2399">
        <v>7.6654444334779304E-2</v>
      </c>
      <c r="K2399">
        <v>0.56810308407266596</v>
      </c>
      <c r="L2399" t="s">
        <v>33</v>
      </c>
      <c r="M2399" t="s">
        <v>34</v>
      </c>
      <c r="N2399" t="s">
        <v>35</v>
      </c>
      <c r="O2399">
        <v>0.75415116521622905</v>
      </c>
      <c r="P2399" t="s">
        <v>36</v>
      </c>
    </row>
    <row r="2400" spans="1:16">
      <c r="A2400">
        <v>2399</v>
      </c>
      <c r="B2400" t="s">
        <v>2462</v>
      </c>
      <c r="C2400">
        <v>75</v>
      </c>
      <c r="D2400">
        <v>152</v>
      </c>
      <c r="E2400">
        <v>71.440121352966202</v>
      </c>
      <c r="F2400">
        <v>0.49640287769784203</v>
      </c>
      <c r="G2400">
        <v>4008.4294899810998</v>
      </c>
      <c r="H2400">
        <v>675.53327222150301</v>
      </c>
      <c r="I2400">
        <v>0.71938167106878304</v>
      </c>
      <c r="J2400">
        <v>0.11038005953673501</v>
      </c>
      <c r="K2400">
        <v>0.46936893034912502</v>
      </c>
      <c r="L2400" t="s">
        <v>101</v>
      </c>
      <c r="M2400" t="s">
        <v>34</v>
      </c>
      <c r="N2400" t="s">
        <v>35</v>
      </c>
      <c r="O2400">
        <v>0.65207659268469997</v>
      </c>
      <c r="P2400" t="s">
        <v>36</v>
      </c>
    </row>
    <row r="2401" spans="1:16">
      <c r="A2401">
        <v>2400</v>
      </c>
      <c r="B2401" t="s">
        <v>2463</v>
      </c>
      <c r="C2401">
        <v>106</v>
      </c>
      <c r="D2401">
        <v>160</v>
      </c>
      <c r="E2401">
        <v>71.497051563692395</v>
      </c>
      <c r="F2401">
        <v>0.66211604095563104</v>
      </c>
      <c r="G2401">
        <v>4014.82062306238</v>
      </c>
      <c r="H2401">
        <v>778.96018496679199</v>
      </c>
      <c r="I2401">
        <v>0.55609732400521295</v>
      </c>
      <c r="J2401">
        <v>8.3146790534349896E-2</v>
      </c>
      <c r="K2401">
        <v>0.37111022572712199</v>
      </c>
      <c r="L2401" t="s">
        <v>298</v>
      </c>
      <c r="M2401" t="s">
        <v>34</v>
      </c>
      <c r="N2401" t="s">
        <v>35</v>
      </c>
      <c r="O2401">
        <v>0.75701803676368096</v>
      </c>
      <c r="P2401" t="s">
        <v>36</v>
      </c>
    </row>
    <row r="2402" spans="1:16">
      <c r="A2402">
        <v>2401</v>
      </c>
      <c r="B2402" t="s">
        <v>2464</v>
      </c>
      <c r="C2402">
        <v>113</v>
      </c>
      <c r="D2402">
        <v>61</v>
      </c>
      <c r="E2402">
        <v>71.5817010550101</v>
      </c>
      <c r="F2402">
        <v>1.8458194470296501</v>
      </c>
      <c r="G2402">
        <v>4024.3330071833698</v>
      </c>
      <c r="H2402">
        <v>441.607282479535</v>
      </c>
      <c r="I2402">
        <v>0.74472849614829695</v>
      </c>
      <c r="J2402">
        <v>0.25931719867617198</v>
      </c>
      <c r="K2402">
        <v>0.80790117562809605</v>
      </c>
      <c r="L2402" t="s">
        <v>38</v>
      </c>
      <c r="M2402" t="s">
        <v>34</v>
      </c>
      <c r="N2402" t="s">
        <v>35</v>
      </c>
      <c r="O2402">
        <v>0.727960902650997</v>
      </c>
      <c r="P2402" t="s">
        <v>36</v>
      </c>
    </row>
    <row r="2403" spans="1:16">
      <c r="A2403">
        <v>2402</v>
      </c>
      <c r="B2403" t="s">
        <v>2465</v>
      </c>
      <c r="C2403">
        <v>70</v>
      </c>
      <c r="D2403">
        <v>93</v>
      </c>
      <c r="E2403">
        <v>71.798159840447298</v>
      </c>
      <c r="F2403">
        <v>0.75202597485048395</v>
      </c>
      <c r="G2403">
        <v>4048.7084914933798</v>
      </c>
      <c r="H2403">
        <v>421.63737794482199</v>
      </c>
      <c r="I2403">
        <v>0.80456903201430197</v>
      </c>
      <c r="J2403">
        <v>0.28618585513218803</v>
      </c>
      <c r="K2403">
        <v>0.79861620100266795</v>
      </c>
      <c r="L2403" t="s">
        <v>33</v>
      </c>
      <c r="M2403" t="s">
        <v>34</v>
      </c>
      <c r="N2403" t="s">
        <v>35</v>
      </c>
      <c r="O2403">
        <v>0.65536512228904498</v>
      </c>
      <c r="P2403" t="s">
        <v>36</v>
      </c>
    </row>
    <row r="2404" spans="1:16">
      <c r="A2404">
        <v>2403</v>
      </c>
      <c r="B2404" t="s">
        <v>2466</v>
      </c>
      <c r="C2404">
        <v>65</v>
      </c>
      <c r="D2404">
        <v>85</v>
      </c>
      <c r="E2404">
        <v>71.809610472257901</v>
      </c>
      <c r="F2404">
        <v>0.76470588235294101</v>
      </c>
      <c r="G2404">
        <v>4050</v>
      </c>
      <c r="H2404">
        <v>287.27921843528702</v>
      </c>
      <c r="I2404">
        <v>0.714392015893348</v>
      </c>
      <c r="J2404">
        <v>0.61667517546432404</v>
      </c>
      <c r="K2404">
        <v>0.90502793296089401</v>
      </c>
      <c r="L2404" t="s">
        <v>38</v>
      </c>
      <c r="M2404" t="s">
        <v>34</v>
      </c>
      <c r="N2404" t="s">
        <v>35</v>
      </c>
      <c r="O2404">
        <v>0.80565600365526802</v>
      </c>
      <c r="P2404" t="s">
        <v>36</v>
      </c>
    </row>
    <row r="2405" spans="1:16">
      <c r="A2405">
        <v>2404</v>
      </c>
      <c r="B2405" t="s">
        <v>2467</v>
      </c>
      <c r="C2405">
        <v>73</v>
      </c>
      <c r="D2405">
        <v>103</v>
      </c>
      <c r="E2405">
        <v>71.965336106075</v>
      </c>
      <c r="F2405">
        <v>0.71272578696276301</v>
      </c>
      <c r="G2405">
        <v>4067.5846287334598</v>
      </c>
      <c r="H2405">
        <v>422.48592644287203</v>
      </c>
      <c r="I2405">
        <v>0.63847749259285103</v>
      </c>
      <c r="J2405">
        <v>0.28636633958942398</v>
      </c>
      <c r="K2405">
        <v>0.74730345976352397</v>
      </c>
      <c r="L2405" t="s">
        <v>33</v>
      </c>
      <c r="M2405" t="s">
        <v>34</v>
      </c>
      <c r="N2405" t="s">
        <v>35</v>
      </c>
      <c r="O2405">
        <v>0.67069509958956197</v>
      </c>
      <c r="P2405" t="s">
        <v>36</v>
      </c>
    </row>
    <row r="2406" spans="1:16">
      <c r="A2406">
        <v>2405</v>
      </c>
      <c r="B2406" t="s">
        <v>2468</v>
      </c>
      <c r="C2406">
        <v>103</v>
      </c>
      <c r="D2406">
        <v>87</v>
      </c>
      <c r="E2406">
        <v>72.040241840263306</v>
      </c>
      <c r="F2406">
        <v>1.1895020804409</v>
      </c>
      <c r="G2406">
        <v>4076.0565958412099</v>
      </c>
      <c r="H2406">
        <v>640.29889696038299</v>
      </c>
      <c r="I2406">
        <v>0.57727962066418204</v>
      </c>
      <c r="J2406">
        <v>0.124935126886806</v>
      </c>
      <c r="K2406">
        <v>0.57967828531568999</v>
      </c>
      <c r="L2406" t="s">
        <v>74</v>
      </c>
      <c r="M2406" t="s">
        <v>34</v>
      </c>
      <c r="N2406" t="s">
        <v>35</v>
      </c>
      <c r="O2406">
        <v>0.71483287090437797</v>
      </c>
      <c r="P2406" t="s">
        <v>36</v>
      </c>
    </row>
    <row r="2407" spans="1:16">
      <c r="A2407">
        <v>2406</v>
      </c>
      <c r="B2407" t="s">
        <v>2469</v>
      </c>
      <c r="C2407">
        <v>103</v>
      </c>
      <c r="D2407">
        <v>78</v>
      </c>
      <c r="E2407">
        <v>72.100635339682796</v>
      </c>
      <c r="F2407">
        <v>1.3146853146853099</v>
      </c>
      <c r="G2407">
        <v>4082.89362192817</v>
      </c>
      <c r="H2407">
        <v>725.64949348926598</v>
      </c>
      <c r="I2407">
        <v>0.72050054337359604</v>
      </c>
      <c r="J2407">
        <v>9.7437052022495599E-2</v>
      </c>
      <c r="K2407">
        <v>0.56508680984119197</v>
      </c>
      <c r="L2407" t="s">
        <v>38</v>
      </c>
      <c r="M2407" t="s">
        <v>34</v>
      </c>
      <c r="N2407" t="s">
        <v>35</v>
      </c>
      <c r="O2407">
        <v>0.79023614328360503</v>
      </c>
      <c r="P2407" t="s">
        <v>36</v>
      </c>
    </row>
    <row r="2408" spans="1:16">
      <c r="A2408">
        <v>2407</v>
      </c>
      <c r="B2408" t="s">
        <v>2470</v>
      </c>
      <c r="C2408">
        <v>84</v>
      </c>
      <c r="D2408">
        <v>90</v>
      </c>
      <c r="E2408">
        <v>72.622376174213002</v>
      </c>
      <c r="F2408">
        <v>0.93457091586344099</v>
      </c>
      <c r="G2408">
        <v>4142.1973916824199</v>
      </c>
      <c r="H2408">
        <v>500.39056857720698</v>
      </c>
      <c r="I2408">
        <v>0.68918648085495804</v>
      </c>
      <c r="J2408">
        <v>0.20788465063190201</v>
      </c>
      <c r="K2408">
        <v>0.70649225543133798</v>
      </c>
      <c r="L2408" t="s">
        <v>38</v>
      </c>
      <c r="M2408" t="s">
        <v>34</v>
      </c>
      <c r="N2408" t="s">
        <v>35</v>
      </c>
      <c r="O2408">
        <v>0.79436080492373795</v>
      </c>
      <c r="P2408" t="s">
        <v>36</v>
      </c>
    </row>
    <row r="2409" spans="1:16">
      <c r="A2409">
        <v>2408</v>
      </c>
      <c r="B2409" t="s">
        <v>2471</v>
      </c>
      <c r="C2409">
        <v>107</v>
      </c>
      <c r="D2409">
        <v>78</v>
      </c>
      <c r="E2409">
        <v>72.683587803852802</v>
      </c>
      <c r="F2409">
        <v>1.37062937062937</v>
      </c>
      <c r="G2409">
        <v>4149.1830487712696</v>
      </c>
      <c r="H2409">
        <v>1054.07074738088</v>
      </c>
      <c r="I2409">
        <v>0.63286733829388997</v>
      </c>
      <c r="J2409">
        <v>4.6928096326520799E-2</v>
      </c>
      <c r="K2409">
        <v>0.54328195547252101</v>
      </c>
      <c r="L2409" t="s">
        <v>38</v>
      </c>
      <c r="M2409" t="s">
        <v>34</v>
      </c>
      <c r="N2409" t="s">
        <v>35</v>
      </c>
      <c r="O2409">
        <v>0.77574778171252501</v>
      </c>
      <c r="P2409" t="s">
        <v>36</v>
      </c>
    </row>
    <row r="2410" spans="1:16">
      <c r="A2410">
        <v>2409</v>
      </c>
      <c r="B2410" t="s">
        <v>2472</v>
      </c>
      <c r="C2410">
        <v>123</v>
      </c>
      <c r="D2410">
        <v>73</v>
      </c>
      <c r="E2410">
        <v>73.032939608439094</v>
      </c>
      <c r="F2410">
        <v>1.6973366186826699</v>
      </c>
      <c r="G2410">
        <v>4189.1647882797697</v>
      </c>
      <c r="H2410">
        <v>607.18897783351997</v>
      </c>
      <c r="I2410">
        <v>0.74756339766651903</v>
      </c>
      <c r="J2410">
        <v>0.142787289597233</v>
      </c>
      <c r="K2410">
        <v>0.61657770388519395</v>
      </c>
      <c r="L2410" t="s">
        <v>74</v>
      </c>
      <c r="M2410" t="s">
        <v>34</v>
      </c>
      <c r="N2410" t="s">
        <v>35</v>
      </c>
      <c r="O2410">
        <v>0.69988617065355896</v>
      </c>
      <c r="P2410" t="s">
        <v>36</v>
      </c>
    </row>
    <row r="2411" spans="1:16">
      <c r="A2411">
        <v>2410</v>
      </c>
      <c r="B2411" t="s">
        <v>2473</v>
      </c>
      <c r="C2411">
        <v>86</v>
      </c>
      <c r="D2411">
        <v>79</v>
      </c>
      <c r="E2411">
        <v>73.285146021141898</v>
      </c>
      <c r="F2411">
        <v>1.0882350701122601</v>
      </c>
      <c r="G2411">
        <v>4218.1478336483897</v>
      </c>
      <c r="H2411">
        <v>378.01998664047397</v>
      </c>
      <c r="I2411">
        <v>0.65508310818033999</v>
      </c>
      <c r="J2411">
        <v>0.370938691448988</v>
      </c>
      <c r="K2411">
        <v>0.82600849874847204</v>
      </c>
      <c r="L2411" t="s">
        <v>38</v>
      </c>
      <c r="M2411" t="s">
        <v>34</v>
      </c>
      <c r="N2411" t="s">
        <v>35</v>
      </c>
      <c r="O2411">
        <v>0.74957369622749803</v>
      </c>
      <c r="P2411" t="s">
        <v>36</v>
      </c>
    </row>
    <row r="2412" spans="1:16">
      <c r="A2412">
        <v>2411</v>
      </c>
      <c r="B2412" t="s">
        <v>2474</v>
      </c>
      <c r="C2412">
        <v>81</v>
      </c>
      <c r="D2412">
        <v>101</v>
      </c>
      <c r="E2412">
        <v>73.321289048114394</v>
      </c>
      <c r="F2412">
        <v>0.80570415423334996</v>
      </c>
      <c r="G2412">
        <v>4222.3095017013202</v>
      </c>
      <c r="H2412">
        <v>535.38467378388304</v>
      </c>
      <c r="I2412">
        <v>0.69596003493459901</v>
      </c>
      <c r="J2412">
        <v>0.18510922359513199</v>
      </c>
      <c r="K2412">
        <v>0.62627865961199303</v>
      </c>
      <c r="L2412" t="s">
        <v>33</v>
      </c>
      <c r="M2412" t="s">
        <v>34</v>
      </c>
      <c r="N2412" t="s">
        <v>35</v>
      </c>
      <c r="O2412">
        <v>0.66652904319808803</v>
      </c>
      <c r="P2412" t="s">
        <v>36</v>
      </c>
    </row>
    <row r="2413" spans="1:16">
      <c r="A2413">
        <v>2412</v>
      </c>
      <c r="B2413" t="s">
        <v>2475</v>
      </c>
      <c r="C2413">
        <v>79</v>
      </c>
      <c r="D2413">
        <v>102</v>
      </c>
      <c r="E2413">
        <v>73.384496511640606</v>
      </c>
      <c r="F2413">
        <v>0.77005347593582896</v>
      </c>
      <c r="G2413">
        <v>4229.5924207939497</v>
      </c>
      <c r="H2413">
        <v>627.72014961937202</v>
      </c>
      <c r="I2413">
        <v>0.57793980739212902</v>
      </c>
      <c r="J2413">
        <v>0.13488890960722599</v>
      </c>
      <c r="K2413">
        <v>0.67400108950522297</v>
      </c>
      <c r="L2413" t="s">
        <v>38</v>
      </c>
      <c r="M2413" t="s">
        <v>34</v>
      </c>
      <c r="N2413" t="s">
        <v>35</v>
      </c>
      <c r="O2413">
        <v>0.71245253854941004</v>
      </c>
      <c r="P2413" t="s">
        <v>36</v>
      </c>
    </row>
    <row r="2414" spans="1:16">
      <c r="A2414">
        <v>2413</v>
      </c>
      <c r="B2414" t="s">
        <v>2476</v>
      </c>
      <c r="C2414">
        <v>114</v>
      </c>
      <c r="D2414">
        <v>66</v>
      </c>
      <c r="E2414">
        <v>73.437342584705405</v>
      </c>
      <c r="F2414">
        <v>1.7111357316458999</v>
      </c>
      <c r="G2414">
        <v>4235.6862918714596</v>
      </c>
      <c r="H2414">
        <v>445.62694316221302</v>
      </c>
      <c r="I2414">
        <v>0.50969095758150096</v>
      </c>
      <c r="J2414">
        <v>0.26803454431863899</v>
      </c>
      <c r="K2414">
        <v>0.748725763228417</v>
      </c>
      <c r="L2414" t="s">
        <v>38</v>
      </c>
      <c r="M2414" t="s">
        <v>34</v>
      </c>
      <c r="N2414" t="s">
        <v>35</v>
      </c>
      <c r="O2414">
        <v>0.72531885436410704</v>
      </c>
      <c r="P2414" t="s">
        <v>36</v>
      </c>
    </row>
    <row r="2415" spans="1:16">
      <c r="A2415">
        <v>2414</v>
      </c>
      <c r="B2415" t="s">
        <v>2477</v>
      </c>
      <c r="C2415">
        <v>93</v>
      </c>
      <c r="D2415">
        <v>93</v>
      </c>
      <c r="E2415">
        <v>73.443784626401794</v>
      </c>
      <c r="F2415">
        <v>1</v>
      </c>
      <c r="G2415">
        <v>4236.4294468809103</v>
      </c>
      <c r="H2415">
        <v>878.45595018003303</v>
      </c>
      <c r="I2415">
        <v>0.69571487111159502</v>
      </c>
      <c r="J2415">
        <v>6.8987413798661607E-2</v>
      </c>
      <c r="K2415">
        <v>0.58550563875023098</v>
      </c>
      <c r="L2415" t="s">
        <v>38</v>
      </c>
      <c r="M2415" t="s">
        <v>34</v>
      </c>
      <c r="N2415" t="s">
        <v>35</v>
      </c>
      <c r="O2415">
        <v>0.69056743900932704</v>
      </c>
      <c r="P2415" t="s">
        <v>36</v>
      </c>
    </row>
    <row r="2416" spans="1:16">
      <c r="A2416">
        <v>2415</v>
      </c>
      <c r="B2416" t="s">
        <v>2478</v>
      </c>
      <c r="C2416">
        <v>76</v>
      </c>
      <c r="D2416">
        <v>117</v>
      </c>
      <c r="E2416">
        <v>73.479849622779795</v>
      </c>
      <c r="F2416">
        <v>0.64651162790697703</v>
      </c>
      <c r="G2416">
        <v>4240.5911149338399</v>
      </c>
      <c r="H2416">
        <v>474.41500888668998</v>
      </c>
      <c r="I2416">
        <v>0.70887320515981</v>
      </c>
      <c r="J2416">
        <v>0.23676604667477</v>
      </c>
      <c r="K2416">
        <v>0.67609004739336498</v>
      </c>
      <c r="L2416" t="s">
        <v>298</v>
      </c>
      <c r="M2416" t="s">
        <v>34</v>
      </c>
      <c r="N2416" t="s">
        <v>35</v>
      </c>
      <c r="O2416">
        <v>0.87254338508268603</v>
      </c>
      <c r="P2416" t="s">
        <v>36</v>
      </c>
    </row>
    <row r="2417" spans="1:16">
      <c r="A2417">
        <v>2416</v>
      </c>
      <c r="B2417" t="s">
        <v>2479</v>
      </c>
      <c r="C2417">
        <v>83</v>
      </c>
      <c r="D2417">
        <v>77</v>
      </c>
      <c r="E2417">
        <v>73.537774168786598</v>
      </c>
      <c r="F2417">
        <v>1.0730217139965601</v>
      </c>
      <c r="G2417">
        <v>4247.2795100188996</v>
      </c>
      <c r="H2417">
        <v>393.208578914974</v>
      </c>
      <c r="I2417">
        <v>0.68238933317754102</v>
      </c>
      <c r="J2417">
        <v>0.345203139934884</v>
      </c>
      <c r="K2417">
        <v>0.80725444221588205</v>
      </c>
      <c r="L2417" t="s">
        <v>38</v>
      </c>
      <c r="M2417" t="s">
        <v>34</v>
      </c>
      <c r="N2417" t="s">
        <v>35</v>
      </c>
      <c r="O2417">
        <v>0.78395315689447798</v>
      </c>
      <c r="P2417" t="s">
        <v>36</v>
      </c>
    </row>
    <row r="2418" spans="1:16">
      <c r="A2418">
        <v>2417</v>
      </c>
      <c r="B2418" t="s">
        <v>2480</v>
      </c>
      <c r="C2418">
        <v>91</v>
      </c>
      <c r="D2418">
        <v>90</v>
      </c>
      <c r="E2418">
        <v>73.627788439841694</v>
      </c>
      <c r="F2418">
        <v>1.01296114562006</v>
      </c>
      <c r="G2418">
        <v>4257.68368015123</v>
      </c>
      <c r="H2418">
        <v>566.07183706096998</v>
      </c>
      <c r="I2418">
        <v>0.70614434052609198</v>
      </c>
      <c r="J2418">
        <v>0.16697065840039901</v>
      </c>
      <c r="K2418">
        <v>0.729184166984854</v>
      </c>
      <c r="L2418" t="s">
        <v>38</v>
      </c>
      <c r="M2418" t="s">
        <v>34</v>
      </c>
      <c r="N2418" t="s">
        <v>35</v>
      </c>
      <c r="O2418">
        <v>0.77056510398709699</v>
      </c>
      <c r="P2418" t="s">
        <v>36</v>
      </c>
    </row>
    <row r="2419" spans="1:16">
      <c r="A2419">
        <v>2418</v>
      </c>
      <c r="B2419" t="s">
        <v>2481</v>
      </c>
      <c r="C2419">
        <v>96</v>
      </c>
      <c r="D2419">
        <v>100</v>
      </c>
      <c r="E2419">
        <v>73.941975450290002</v>
      </c>
      <c r="F2419">
        <v>0.96525092761341003</v>
      </c>
      <c r="G2419">
        <v>4294.0982756143703</v>
      </c>
      <c r="H2419">
        <v>779.41347404635496</v>
      </c>
      <c r="I2419">
        <v>0.73444772866934804</v>
      </c>
      <c r="J2419">
        <v>8.8827210704689505E-2</v>
      </c>
      <c r="K2419">
        <v>0.59716825134353002</v>
      </c>
      <c r="L2419" t="s">
        <v>38</v>
      </c>
      <c r="M2419" t="s">
        <v>34</v>
      </c>
      <c r="N2419" t="s">
        <v>35</v>
      </c>
      <c r="O2419">
        <v>0.77488462899948995</v>
      </c>
      <c r="P2419" t="s">
        <v>36</v>
      </c>
    </row>
    <row r="2420" spans="1:16">
      <c r="A2420">
        <v>2419</v>
      </c>
      <c r="B2420" t="s">
        <v>2482</v>
      </c>
      <c r="C2420">
        <v>91</v>
      </c>
      <c r="D2420">
        <v>115</v>
      </c>
      <c r="E2420">
        <v>73.949653080365195</v>
      </c>
      <c r="F2420">
        <v>0.78738308234634002</v>
      </c>
      <c r="G2420">
        <v>4294.99006162571</v>
      </c>
      <c r="H2420">
        <v>754.92684101716304</v>
      </c>
      <c r="I2420">
        <v>0.700050716467988</v>
      </c>
      <c r="J2420">
        <v>9.47026853282293E-2</v>
      </c>
      <c r="K2420">
        <v>0.51730187429512497</v>
      </c>
      <c r="L2420" t="s">
        <v>67</v>
      </c>
      <c r="M2420" t="s">
        <v>34</v>
      </c>
      <c r="N2420" t="s">
        <v>35</v>
      </c>
      <c r="O2420">
        <v>0.70820985229348099</v>
      </c>
      <c r="P2420" t="s">
        <v>36</v>
      </c>
    </row>
    <row r="2421" spans="1:16">
      <c r="A2421">
        <v>2420</v>
      </c>
      <c r="B2421" t="s">
        <v>2483</v>
      </c>
      <c r="C2421">
        <v>85</v>
      </c>
      <c r="D2421">
        <v>84</v>
      </c>
      <c r="E2421">
        <v>74.003374188018896</v>
      </c>
      <c r="F2421">
        <v>1.00469469284975</v>
      </c>
      <c r="G2421">
        <v>4301.2325637050999</v>
      </c>
      <c r="H2421">
        <v>367.809197948394</v>
      </c>
      <c r="I2421">
        <v>0.71570349836916702</v>
      </c>
      <c r="J2421">
        <v>0.39953756448461702</v>
      </c>
      <c r="K2421">
        <v>0.81048003136727698</v>
      </c>
      <c r="L2421" t="s">
        <v>72</v>
      </c>
      <c r="M2421" t="s">
        <v>34</v>
      </c>
      <c r="N2421" t="s">
        <v>35</v>
      </c>
      <c r="O2421">
        <v>0.77303043753898004</v>
      </c>
      <c r="P2421" t="s">
        <v>36</v>
      </c>
    </row>
    <row r="2422" spans="1:16">
      <c r="A2422">
        <v>2421</v>
      </c>
      <c r="B2422" t="s">
        <v>2484</v>
      </c>
      <c r="C2422">
        <v>119</v>
      </c>
      <c r="D2422">
        <v>105</v>
      </c>
      <c r="E2422">
        <v>74.345251900523493</v>
      </c>
      <c r="F2422">
        <v>1.1405800919992499</v>
      </c>
      <c r="G2422">
        <v>4341.0656722117201</v>
      </c>
      <c r="H2422">
        <v>607.880920737412</v>
      </c>
      <c r="I2422">
        <v>0.83179172061325102</v>
      </c>
      <c r="J2422">
        <v>0.147628155888851</v>
      </c>
      <c r="K2422">
        <v>0.55816308980067697</v>
      </c>
      <c r="L2422" t="s">
        <v>49</v>
      </c>
      <c r="M2422" t="s">
        <v>34</v>
      </c>
      <c r="N2422" t="s">
        <v>35</v>
      </c>
      <c r="O2422">
        <v>0.81541679983583404</v>
      </c>
      <c r="P2422" t="s">
        <v>36</v>
      </c>
    </row>
    <row r="2423" spans="1:16">
      <c r="A2423">
        <v>2422</v>
      </c>
      <c r="B2423" t="s">
        <v>2485</v>
      </c>
      <c r="C2423">
        <v>107</v>
      </c>
      <c r="D2423">
        <v>87</v>
      </c>
      <c r="E2423">
        <v>74.361795550212705</v>
      </c>
      <c r="F2423">
        <v>1.23125</v>
      </c>
      <c r="G2423">
        <v>4342.9978752363004</v>
      </c>
      <c r="H2423">
        <v>573.36280209147401</v>
      </c>
      <c r="I2423">
        <v>0.72573790394860804</v>
      </c>
      <c r="J2423">
        <v>0.16601237132218899</v>
      </c>
      <c r="K2423">
        <v>0.63755973031354296</v>
      </c>
      <c r="L2423" t="s">
        <v>38</v>
      </c>
      <c r="M2423" t="s">
        <v>34</v>
      </c>
      <c r="N2423" t="s">
        <v>35</v>
      </c>
      <c r="O2423">
        <v>0.72672094466617698</v>
      </c>
      <c r="P2423" t="s">
        <v>36</v>
      </c>
    </row>
    <row r="2424" spans="1:16">
      <c r="A2424">
        <v>2423</v>
      </c>
      <c r="B2424" t="s">
        <v>2486</v>
      </c>
      <c r="C2424">
        <v>68</v>
      </c>
      <c r="D2424">
        <v>152</v>
      </c>
      <c r="E2424">
        <v>74.486390962586697</v>
      </c>
      <c r="F2424">
        <v>0.44604320850909301</v>
      </c>
      <c r="G2424">
        <v>4357.5637134215503</v>
      </c>
      <c r="H2424">
        <v>715.72598604409598</v>
      </c>
      <c r="I2424">
        <v>0.79549425156511999</v>
      </c>
      <c r="J2424">
        <v>0.106895651551381</v>
      </c>
      <c r="K2424">
        <v>0.59158965252835105</v>
      </c>
      <c r="L2424" t="s">
        <v>38</v>
      </c>
      <c r="M2424" t="s">
        <v>34</v>
      </c>
      <c r="N2424" t="s">
        <v>35</v>
      </c>
      <c r="O2424">
        <v>0.72421212906801202</v>
      </c>
      <c r="P2424" t="s">
        <v>36</v>
      </c>
    </row>
    <row r="2425" spans="1:16">
      <c r="A2425">
        <v>2424</v>
      </c>
      <c r="B2425" t="s">
        <v>2487</v>
      </c>
      <c r="C2425">
        <v>73</v>
      </c>
      <c r="D2425">
        <v>93</v>
      </c>
      <c r="E2425">
        <v>74.710898980511899</v>
      </c>
      <c r="F2425">
        <v>0.78823525610266398</v>
      </c>
      <c r="G2425">
        <v>4383.8714007561402</v>
      </c>
      <c r="H2425">
        <v>420.86632412879402</v>
      </c>
      <c r="I2425">
        <v>0.73487862773044099</v>
      </c>
      <c r="J2425">
        <v>0.31101355412454001</v>
      </c>
      <c r="K2425">
        <v>0.79561394044022404</v>
      </c>
      <c r="L2425" t="s">
        <v>38</v>
      </c>
      <c r="M2425" t="s">
        <v>34</v>
      </c>
      <c r="N2425" t="s">
        <v>35</v>
      </c>
      <c r="O2425">
        <v>0.71160578775579797</v>
      </c>
      <c r="P2425" t="s">
        <v>36</v>
      </c>
    </row>
    <row r="2426" spans="1:16">
      <c r="A2426">
        <v>2425</v>
      </c>
      <c r="B2426" t="s">
        <v>2488</v>
      </c>
      <c r="C2426">
        <v>139</v>
      </c>
      <c r="D2426">
        <v>86</v>
      </c>
      <c r="E2426">
        <v>74.9460979647627</v>
      </c>
      <c r="F2426">
        <v>1.6266980207127699</v>
      </c>
      <c r="G2426">
        <v>4411.5167671077497</v>
      </c>
      <c r="H2426">
        <v>741.31245609438895</v>
      </c>
      <c r="I2426">
        <v>0.73792470242782504</v>
      </c>
      <c r="J2426">
        <v>0.100877707285629</v>
      </c>
      <c r="K2426">
        <v>0.51845447082045104</v>
      </c>
      <c r="L2426" t="s">
        <v>33</v>
      </c>
      <c r="M2426" t="s">
        <v>34</v>
      </c>
      <c r="N2426" t="s">
        <v>35</v>
      </c>
      <c r="O2426">
        <v>0.69701427892856405</v>
      </c>
      <c r="P2426" t="s">
        <v>36</v>
      </c>
    </row>
    <row r="2427" spans="1:16">
      <c r="A2427">
        <v>2426</v>
      </c>
      <c r="B2427" t="s">
        <v>2489</v>
      </c>
      <c r="C2427">
        <v>82</v>
      </c>
      <c r="D2427">
        <v>97</v>
      </c>
      <c r="E2427">
        <v>75.2572959176143</v>
      </c>
      <c r="F2427">
        <v>0.85247201287867902</v>
      </c>
      <c r="G2427">
        <v>4448.22862457467</v>
      </c>
      <c r="H2427">
        <v>665.56598604409601</v>
      </c>
      <c r="I2427">
        <v>0.62477175950876496</v>
      </c>
      <c r="J2427">
        <v>0.12618703221012401</v>
      </c>
      <c r="K2427">
        <v>0.672191900815309</v>
      </c>
      <c r="L2427" t="s">
        <v>38</v>
      </c>
      <c r="M2427" t="s">
        <v>34</v>
      </c>
      <c r="N2427" t="s">
        <v>35</v>
      </c>
      <c r="O2427">
        <v>0.79169963262009901</v>
      </c>
      <c r="P2427" t="s">
        <v>36</v>
      </c>
    </row>
    <row r="2428" spans="1:16">
      <c r="A2428">
        <v>2427</v>
      </c>
      <c r="B2428" t="s">
        <v>2490</v>
      </c>
      <c r="C2428">
        <v>89</v>
      </c>
      <c r="D2428">
        <v>118</v>
      </c>
      <c r="E2428">
        <v>75.512097648489402</v>
      </c>
      <c r="F2428">
        <v>0.75971274294576496</v>
      </c>
      <c r="G2428">
        <v>4478.4007179584096</v>
      </c>
      <c r="H2428">
        <v>767.37329647530703</v>
      </c>
      <c r="I2428">
        <v>0.608134732125021</v>
      </c>
      <c r="J2428">
        <v>9.5569530000831501E-2</v>
      </c>
      <c r="K2428">
        <v>0.56737468459307805</v>
      </c>
      <c r="L2428" t="s">
        <v>38</v>
      </c>
      <c r="M2428" t="s">
        <v>34</v>
      </c>
      <c r="N2428" t="s">
        <v>35</v>
      </c>
      <c r="O2428">
        <v>0.75570893286853902</v>
      </c>
      <c r="P2428" t="s">
        <v>36</v>
      </c>
    </row>
    <row r="2429" spans="1:16">
      <c r="A2429">
        <v>2428</v>
      </c>
      <c r="B2429" t="s">
        <v>2491</v>
      </c>
      <c r="C2429">
        <v>103</v>
      </c>
      <c r="D2429">
        <v>92</v>
      </c>
      <c r="E2429">
        <v>75.631044973920197</v>
      </c>
      <c r="F2429">
        <v>1.11242603550296</v>
      </c>
      <c r="G2429">
        <v>4492.5206631379997</v>
      </c>
      <c r="H2429">
        <v>976.24359992856603</v>
      </c>
      <c r="I2429">
        <v>0.644393862313967</v>
      </c>
      <c r="J2429">
        <v>5.92357031202616E-2</v>
      </c>
      <c r="K2429">
        <v>0.55540038954834403</v>
      </c>
      <c r="L2429" t="s">
        <v>33</v>
      </c>
      <c r="M2429" t="s">
        <v>34</v>
      </c>
      <c r="N2429" t="s">
        <v>35</v>
      </c>
      <c r="O2429">
        <v>0.72143188886783005</v>
      </c>
      <c r="P2429" t="s">
        <v>36</v>
      </c>
    </row>
    <row r="2430" spans="1:16">
      <c r="A2430">
        <v>2429</v>
      </c>
      <c r="B2430" t="s">
        <v>2492</v>
      </c>
      <c r="C2430">
        <v>63</v>
      </c>
      <c r="D2430">
        <v>127</v>
      </c>
      <c r="E2430">
        <v>76.008712883693804</v>
      </c>
      <c r="F2430">
        <v>0.49756093517625699</v>
      </c>
      <c r="G2430">
        <v>4537.5</v>
      </c>
      <c r="H2430">
        <v>356.776692271233</v>
      </c>
      <c r="I2430">
        <v>0.855765050156584</v>
      </c>
      <c r="J2430">
        <v>0.44795413775142401</v>
      </c>
      <c r="K2430">
        <v>0.79084967320261401</v>
      </c>
      <c r="L2430" t="s">
        <v>33</v>
      </c>
      <c r="M2430" t="s">
        <v>34</v>
      </c>
      <c r="N2430" t="s">
        <v>35</v>
      </c>
      <c r="O2430">
        <v>0.66809151407523004</v>
      </c>
      <c r="P2430" t="s">
        <v>36</v>
      </c>
    </row>
    <row r="2431" spans="1:16">
      <c r="A2431">
        <v>2430</v>
      </c>
      <c r="B2431" t="s">
        <v>2493</v>
      </c>
      <c r="C2431">
        <v>186</v>
      </c>
      <c r="D2431">
        <v>78</v>
      </c>
      <c r="E2431">
        <v>76.304884221612795</v>
      </c>
      <c r="F2431">
        <v>2.3846153846153801</v>
      </c>
      <c r="G2431">
        <v>4572.9300351606798</v>
      </c>
      <c r="H2431">
        <v>965.20696021961101</v>
      </c>
      <c r="I2431">
        <v>0.79229895251274096</v>
      </c>
      <c r="J2431">
        <v>6.1682722054079903E-2</v>
      </c>
      <c r="K2431">
        <v>0.47003376262279101</v>
      </c>
      <c r="L2431" t="s">
        <v>38</v>
      </c>
      <c r="M2431" t="s">
        <v>34</v>
      </c>
      <c r="N2431" t="s">
        <v>35</v>
      </c>
      <c r="O2431">
        <v>0.74924072116745499</v>
      </c>
      <c r="P2431" t="s">
        <v>36</v>
      </c>
    </row>
    <row r="2432" spans="1:16">
      <c r="A2432">
        <v>2431</v>
      </c>
      <c r="B2432" t="s">
        <v>2494</v>
      </c>
      <c r="C2432">
        <v>97</v>
      </c>
      <c r="D2432">
        <v>83</v>
      </c>
      <c r="E2432">
        <v>76.323482619122203</v>
      </c>
      <c r="F2432">
        <v>1.16341772410347</v>
      </c>
      <c r="G2432">
        <v>4575.15950018904</v>
      </c>
      <c r="H2432">
        <v>557.909626051239</v>
      </c>
      <c r="I2432">
        <v>0.77685871387137395</v>
      </c>
      <c r="J2432">
        <v>0.18470914319253301</v>
      </c>
      <c r="K2432">
        <v>0.73757607705947204</v>
      </c>
      <c r="L2432" t="s">
        <v>33</v>
      </c>
      <c r="M2432" t="s">
        <v>34</v>
      </c>
      <c r="N2432" t="s">
        <v>35</v>
      </c>
      <c r="O2432">
        <v>0.68133485758549195</v>
      </c>
      <c r="P2432" t="s">
        <v>36</v>
      </c>
    </row>
    <row r="2433" spans="1:16">
      <c r="A2433">
        <v>2432</v>
      </c>
      <c r="B2433" t="s">
        <v>2495</v>
      </c>
      <c r="C2433">
        <v>95</v>
      </c>
      <c r="D2433">
        <v>119</v>
      </c>
      <c r="E2433">
        <v>76.337118564119393</v>
      </c>
      <c r="F2433">
        <v>0.798165137614679</v>
      </c>
      <c r="G2433">
        <v>4576.7944412098304</v>
      </c>
      <c r="H2433">
        <v>660.26718526498098</v>
      </c>
      <c r="I2433">
        <v>0.61924876826201602</v>
      </c>
      <c r="J2433">
        <v>0.131926440171869</v>
      </c>
      <c r="K2433">
        <v>0.55453906967530497</v>
      </c>
      <c r="L2433" t="s">
        <v>33</v>
      </c>
      <c r="M2433" t="s">
        <v>34</v>
      </c>
      <c r="N2433" t="s">
        <v>35</v>
      </c>
      <c r="O2433">
        <v>0.79471483137188503</v>
      </c>
      <c r="P2433" t="s">
        <v>36</v>
      </c>
    </row>
    <row r="2434" spans="1:16">
      <c r="A2434">
        <v>2433</v>
      </c>
      <c r="B2434" t="s">
        <v>2496</v>
      </c>
      <c r="C2434">
        <v>112</v>
      </c>
      <c r="D2434">
        <v>112</v>
      </c>
      <c r="E2434">
        <v>76.4523070777214</v>
      </c>
      <c r="F2434">
        <v>0.99514563106796095</v>
      </c>
      <c r="G2434">
        <v>4590.6171243856297</v>
      </c>
      <c r="H2434">
        <v>995.26476380203098</v>
      </c>
      <c r="I2434">
        <v>0.41488093777528401</v>
      </c>
      <c r="J2434">
        <v>5.8237628152481097E-2</v>
      </c>
      <c r="K2434">
        <v>0.45888925207262399</v>
      </c>
      <c r="L2434" t="s">
        <v>33</v>
      </c>
      <c r="M2434" t="s">
        <v>34</v>
      </c>
      <c r="N2434" t="s">
        <v>35</v>
      </c>
      <c r="O2434">
        <v>0.69320301604496204</v>
      </c>
      <c r="P2434" t="s">
        <v>36</v>
      </c>
    </row>
    <row r="2435" spans="1:16">
      <c r="A2435">
        <v>2434</v>
      </c>
      <c r="B2435" t="s">
        <v>2497</v>
      </c>
      <c r="C2435">
        <v>71</v>
      </c>
      <c r="D2435">
        <v>98</v>
      </c>
      <c r="E2435">
        <v>76.945200519710795</v>
      </c>
      <c r="F2435">
        <v>0.71875004250036201</v>
      </c>
      <c r="G2435">
        <v>4650</v>
      </c>
      <c r="H2435">
        <v>363.84775996208202</v>
      </c>
      <c r="I2435">
        <v>0.758888416381723</v>
      </c>
      <c r="J2435">
        <v>0.44139093114905098</v>
      </c>
      <c r="K2435">
        <v>0.79487179487179505</v>
      </c>
      <c r="L2435" t="s">
        <v>41</v>
      </c>
      <c r="M2435" t="s">
        <v>34</v>
      </c>
      <c r="N2435" t="s">
        <v>35</v>
      </c>
      <c r="O2435">
        <v>0.71252817332706597</v>
      </c>
      <c r="P2435" t="s">
        <v>36</v>
      </c>
    </row>
    <row r="2436" spans="1:16">
      <c r="A2436">
        <v>2435</v>
      </c>
      <c r="B2436" t="s">
        <v>2498</v>
      </c>
      <c r="C2436">
        <v>113</v>
      </c>
      <c r="D2436">
        <v>63</v>
      </c>
      <c r="E2436">
        <v>77.040405671993099</v>
      </c>
      <c r="F2436">
        <v>1.7852080782554101</v>
      </c>
      <c r="G2436">
        <v>4661.5141122873401</v>
      </c>
      <c r="H2436">
        <v>351.78924542271602</v>
      </c>
      <c r="I2436">
        <v>0.67918348473481505</v>
      </c>
      <c r="J2436">
        <v>0.47333841307402102</v>
      </c>
      <c r="K2436">
        <v>0.82054837528125202</v>
      </c>
      <c r="L2436" t="s">
        <v>33</v>
      </c>
      <c r="M2436" t="s">
        <v>34</v>
      </c>
      <c r="N2436" t="s">
        <v>35</v>
      </c>
      <c r="O2436">
        <v>0.71649109186914195</v>
      </c>
      <c r="P2436" t="s">
        <v>36</v>
      </c>
    </row>
    <row r="2437" spans="1:16">
      <c r="A2437">
        <v>2436</v>
      </c>
      <c r="B2437" t="s">
        <v>2499</v>
      </c>
      <c r="C2437">
        <v>109</v>
      </c>
      <c r="D2437">
        <v>123</v>
      </c>
      <c r="E2437">
        <v>77.232993186633607</v>
      </c>
      <c r="F2437">
        <v>0.88324754380536397</v>
      </c>
      <c r="G2437">
        <v>4684.8491795841201</v>
      </c>
      <c r="H2437">
        <v>823.19525695324</v>
      </c>
      <c r="I2437">
        <v>0.66389844866487202</v>
      </c>
      <c r="J2437">
        <v>8.6875988509365107E-2</v>
      </c>
      <c r="K2437">
        <v>0.49701193648591102</v>
      </c>
      <c r="L2437" t="s">
        <v>43</v>
      </c>
      <c r="M2437" t="s">
        <v>34</v>
      </c>
      <c r="N2437" t="s">
        <v>35</v>
      </c>
      <c r="O2437">
        <v>0.66625182325907395</v>
      </c>
      <c r="P2437" t="s">
        <v>36</v>
      </c>
    </row>
    <row r="2438" spans="1:16">
      <c r="A2438">
        <v>2437</v>
      </c>
      <c r="B2438" t="s">
        <v>2500</v>
      </c>
      <c r="C2438">
        <v>88</v>
      </c>
      <c r="D2438">
        <v>103</v>
      </c>
      <c r="E2438">
        <v>77.268514155332497</v>
      </c>
      <c r="F2438">
        <v>0.85638297872340396</v>
      </c>
      <c r="G2438">
        <v>4689.1594786389396</v>
      </c>
      <c r="H2438">
        <v>813.09406266284998</v>
      </c>
      <c r="I2438">
        <v>0.71143928029171599</v>
      </c>
      <c r="J2438">
        <v>8.9129873022900499E-2</v>
      </c>
      <c r="K2438">
        <v>0.60032728864194196</v>
      </c>
      <c r="L2438" t="s">
        <v>38</v>
      </c>
      <c r="M2438" t="s">
        <v>34</v>
      </c>
      <c r="N2438" t="s">
        <v>35</v>
      </c>
      <c r="O2438">
        <v>0.75168730337593004</v>
      </c>
      <c r="P2438" t="s">
        <v>36</v>
      </c>
    </row>
    <row r="2439" spans="1:16">
      <c r="A2439">
        <v>2438</v>
      </c>
      <c r="B2439" t="s">
        <v>2501</v>
      </c>
      <c r="C2439">
        <v>110</v>
      </c>
      <c r="D2439">
        <v>71</v>
      </c>
      <c r="E2439">
        <v>77.448318132431694</v>
      </c>
      <c r="F2439">
        <v>1.5589645819503899</v>
      </c>
      <c r="G2439">
        <v>4711.00823591682</v>
      </c>
      <c r="H2439">
        <v>552.83163030562196</v>
      </c>
      <c r="I2439">
        <v>0.74672412745316297</v>
      </c>
      <c r="J2439">
        <v>0.19370371987544899</v>
      </c>
      <c r="K2439">
        <v>0.70310559006211204</v>
      </c>
      <c r="L2439" t="s">
        <v>38</v>
      </c>
      <c r="M2439" t="s">
        <v>34</v>
      </c>
      <c r="N2439" t="s">
        <v>35</v>
      </c>
      <c r="O2439">
        <v>0.73434904808986601</v>
      </c>
      <c r="P2439" t="s">
        <v>36</v>
      </c>
    </row>
    <row r="2440" spans="1:16">
      <c r="A2440">
        <v>2439</v>
      </c>
      <c r="B2440" t="s">
        <v>2502</v>
      </c>
      <c r="C2440">
        <v>119</v>
      </c>
      <c r="D2440">
        <v>146</v>
      </c>
      <c r="E2440">
        <v>77.7129827258901</v>
      </c>
      <c r="F2440">
        <v>0.81535325421895899</v>
      </c>
      <c r="G2440">
        <v>4743.2611633270299</v>
      </c>
      <c r="H2440">
        <v>724.42904359786405</v>
      </c>
      <c r="I2440">
        <v>0.58458444078238803</v>
      </c>
      <c r="J2440">
        <v>0.11357825561993</v>
      </c>
      <c r="K2440">
        <v>0.41213694419691899</v>
      </c>
      <c r="L2440" t="s">
        <v>33</v>
      </c>
      <c r="M2440" t="s">
        <v>34</v>
      </c>
      <c r="N2440" t="s">
        <v>35</v>
      </c>
      <c r="O2440">
        <v>0.731894238582667</v>
      </c>
      <c r="P2440" t="s">
        <v>36</v>
      </c>
    </row>
    <row r="2441" spans="1:16">
      <c r="A2441">
        <v>2440</v>
      </c>
      <c r="B2441" t="s">
        <v>2503</v>
      </c>
      <c r="C2441">
        <v>68</v>
      </c>
      <c r="D2441">
        <v>136</v>
      </c>
      <c r="E2441">
        <v>77.979175890137498</v>
      </c>
      <c r="F2441">
        <v>0.49780585216265599</v>
      </c>
      <c r="G2441">
        <v>4775.8113527410196</v>
      </c>
      <c r="H2441">
        <v>621.49692189029997</v>
      </c>
      <c r="I2441">
        <v>0.824039663923397</v>
      </c>
      <c r="J2441">
        <v>0.155374256524628</v>
      </c>
      <c r="K2441">
        <v>0.66261109850906297</v>
      </c>
      <c r="L2441" t="s">
        <v>33</v>
      </c>
      <c r="M2441" t="s">
        <v>34</v>
      </c>
      <c r="N2441" t="s">
        <v>35</v>
      </c>
      <c r="O2441">
        <v>0.68944502666709895</v>
      </c>
      <c r="P2441" t="s">
        <v>36</v>
      </c>
    </row>
    <row r="2442" spans="1:16">
      <c r="A2442">
        <v>2441</v>
      </c>
      <c r="B2442" t="s">
        <v>2504</v>
      </c>
      <c r="C2442">
        <v>117</v>
      </c>
      <c r="D2442">
        <v>65</v>
      </c>
      <c r="E2442">
        <v>78.096788863662596</v>
      </c>
      <c r="F2442">
        <v>1.7924080987512001</v>
      </c>
      <c r="G2442">
        <v>4790.2285599243896</v>
      </c>
      <c r="H2442">
        <v>445.12047311191998</v>
      </c>
      <c r="I2442">
        <v>0.79269939585099403</v>
      </c>
      <c r="J2442">
        <v>0.30381622270731401</v>
      </c>
      <c r="K2442">
        <v>0.80477938422353701</v>
      </c>
      <c r="L2442" t="s">
        <v>38</v>
      </c>
      <c r="M2442" t="s">
        <v>34</v>
      </c>
      <c r="N2442" t="s">
        <v>35</v>
      </c>
      <c r="O2442">
        <v>0.70369712097521997</v>
      </c>
      <c r="P2442" t="s">
        <v>36</v>
      </c>
    </row>
    <row r="2443" spans="1:16">
      <c r="A2443">
        <v>2442</v>
      </c>
      <c r="B2443" t="s">
        <v>2505</v>
      </c>
      <c r="C2443">
        <v>83</v>
      </c>
      <c r="D2443">
        <v>93</v>
      </c>
      <c r="E2443">
        <v>78.196076283201705</v>
      </c>
      <c r="F2443">
        <v>0.9</v>
      </c>
      <c r="G2443">
        <v>4802.4163020794003</v>
      </c>
      <c r="H2443">
        <v>613.544497445459</v>
      </c>
      <c r="I2443">
        <v>0.510983205518169</v>
      </c>
      <c r="J2443">
        <v>0.16031624704373301</v>
      </c>
      <c r="K2443">
        <v>0.71304674052169303</v>
      </c>
      <c r="L2443" t="s">
        <v>49</v>
      </c>
      <c r="M2443" t="s">
        <v>34</v>
      </c>
      <c r="N2443" t="s">
        <v>35</v>
      </c>
      <c r="O2443">
        <v>0.65859282842357902</v>
      </c>
      <c r="P2443" t="s">
        <v>36</v>
      </c>
    </row>
    <row r="2444" spans="1:16">
      <c r="A2444">
        <v>2443</v>
      </c>
      <c r="B2444" t="s">
        <v>2506</v>
      </c>
      <c r="C2444">
        <v>83</v>
      </c>
      <c r="D2444">
        <v>83</v>
      </c>
      <c r="E2444">
        <v>78.238416692246602</v>
      </c>
      <c r="F2444">
        <v>1</v>
      </c>
      <c r="G2444">
        <v>4807.6183871455596</v>
      </c>
      <c r="H2444">
        <v>402.648313791026</v>
      </c>
      <c r="I2444">
        <v>0.674232215962137</v>
      </c>
      <c r="J2444">
        <v>0.372638808141805</v>
      </c>
      <c r="K2444">
        <v>0.84436671191396095</v>
      </c>
      <c r="L2444" t="s">
        <v>38</v>
      </c>
      <c r="M2444" t="s">
        <v>34</v>
      </c>
      <c r="N2444" t="s">
        <v>35</v>
      </c>
      <c r="O2444">
        <v>0.87103360168533395</v>
      </c>
      <c r="P2444" t="s">
        <v>36</v>
      </c>
    </row>
    <row r="2445" spans="1:16">
      <c r="A2445">
        <v>2444</v>
      </c>
      <c r="B2445" t="s">
        <v>2507</v>
      </c>
      <c r="C2445">
        <v>89</v>
      </c>
      <c r="D2445">
        <v>92</v>
      </c>
      <c r="E2445">
        <v>78.255346441493302</v>
      </c>
      <c r="F2445">
        <v>0.97023809523809501</v>
      </c>
      <c r="G2445">
        <v>4809.6992211720199</v>
      </c>
      <c r="H2445">
        <v>379.54328979554401</v>
      </c>
      <c r="I2445">
        <v>0.76283827734064302</v>
      </c>
      <c r="J2445">
        <v>0.41957069478217701</v>
      </c>
      <c r="K2445">
        <v>0.873555771514955</v>
      </c>
      <c r="L2445" t="s">
        <v>331</v>
      </c>
      <c r="M2445" t="s">
        <v>34</v>
      </c>
      <c r="N2445" t="s">
        <v>35</v>
      </c>
      <c r="O2445">
        <v>0.64636637791970697</v>
      </c>
      <c r="P2445" t="s">
        <v>36</v>
      </c>
    </row>
    <row r="2446" spans="1:16">
      <c r="A2446">
        <v>2445</v>
      </c>
      <c r="B2446" t="s">
        <v>2508</v>
      </c>
      <c r="C2446">
        <v>102</v>
      </c>
      <c r="D2446">
        <v>98</v>
      </c>
      <c r="E2446">
        <v>78.272272528952797</v>
      </c>
      <c r="F2446">
        <v>1.0446927450498</v>
      </c>
      <c r="G2446">
        <v>4811.7800551984901</v>
      </c>
      <c r="H2446">
        <v>933.37456495906997</v>
      </c>
      <c r="I2446">
        <v>0.60438001988942502</v>
      </c>
      <c r="J2446">
        <v>6.9407069471894706E-2</v>
      </c>
      <c r="K2446">
        <v>0.57749870671970605</v>
      </c>
      <c r="L2446" t="s">
        <v>43</v>
      </c>
      <c r="M2446" t="s">
        <v>34</v>
      </c>
      <c r="N2446" t="s">
        <v>35</v>
      </c>
      <c r="O2446">
        <v>0.67335895111859401</v>
      </c>
      <c r="P2446" t="s">
        <v>36</v>
      </c>
    </row>
    <row r="2447" spans="1:16">
      <c r="A2447">
        <v>2446</v>
      </c>
      <c r="B2447" t="s">
        <v>2509</v>
      </c>
      <c r="C2447">
        <v>89</v>
      </c>
      <c r="D2447">
        <v>92</v>
      </c>
      <c r="E2447">
        <v>78.303696984531697</v>
      </c>
      <c r="F2447">
        <v>0.96621344026939004</v>
      </c>
      <c r="G2447">
        <v>4815.6444612476398</v>
      </c>
      <c r="H2447">
        <v>495.41276499478698</v>
      </c>
      <c r="I2447">
        <v>0.613332948547061</v>
      </c>
      <c r="J2447">
        <v>0.24656412907921799</v>
      </c>
      <c r="K2447">
        <v>0.75935127027280402</v>
      </c>
      <c r="L2447" t="s">
        <v>38</v>
      </c>
      <c r="M2447" t="s">
        <v>34</v>
      </c>
      <c r="N2447" t="s">
        <v>35</v>
      </c>
      <c r="O2447">
        <v>0.77329922825237496</v>
      </c>
      <c r="P2447" t="s">
        <v>36</v>
      </c>
    </row>
    <row r="2448" spans="1:16">
      <c r="A2448">
        <v>2447</v>
      </c>
      <c r="B2448" t="s">
        <v>2510</v>
      </c>
      <c r="C2448">
        <v>151</v>
      </c>
      <c r="D2448">
        <v>78</v>
      </c>
      <c r="E2448">
        <v>78.481129344670293</v>
      </c>
      <c r="F2448">
        <v>1.9276307168339399</v>
      </c>
      <c r="G2448">
        <v>4837.4932185255202</v>
      </c>
      <c r="H2448">
        <v>679.15767348569398</v>
      </c>
      <c r="I2448">
        <v>0.59326688841817099</v>
      </c>
      <c r="J2448">
        <v>0.131791988073198</v>
      </c>
      <c r="K2448">
        <v>0.59502001864750698</v>
      </c>
      <c r="L2448" t="s">
        <v>33</v>
      </c>
      <c r="M2448" t="s">
        <v>34</v>
      </c>
      <c r="N2448" t="s">
        <v>35</v>
      </c>
      <c r="O2448">
        <v>0.76139744223140204</v>
      </c>
      <c r="P2448" t="s">
        <v>36</v>
      </c>
    </row>
    <row r="2449" spans="1:16">
      <c r="A2449">
        <v>2448</v>
      </c>
      <c r="B2449" t="s">
        <v>2511</v>
      </c>
      <c r="C2449">
        <v>83</v>
      </c>
      <c r="D2449">
        <v>111</v>
      </c>
      <c r="E2449">
        <v>79.078071354816998</v>
      </c>
      <c r="F2449">
        <v>0.74592353891878005</v>
      </c>
      <c r="G2449">
        <v>4911.3628264650297</v>
      </c>
      <c r="H2449">
        <v>433.93663004730098</v>
      </c>
      <c r="I2449">
        <v>0.76160588376843696</v>
      </c>
      <c r="J2449">
        <v>0.32776249653762402</v>
      </c>
      <c r="K2449">
        <v>0.74829593061437105</v>
      </c>
      <c r="L2449" t="s">
        <v>47</v>
      </c>
      <c r="M2449" t="s">
        <v>34</v>
      </c>
      <c r="N2449" t="s">
        <v>35</v>
      </c>
      <c r="O2449">
        <v>0.89726591890210705</v>
      </c>
      <c r="P2449" t="s">
        <v>36</v>
      </c>
    </row>
    <row r="2450" spans="1:16">
      <c r="A2450">
        <v>2449</v>
      </c>
      <c r="B2450" t="s">
        <v>2512</v>
      </c>
      <c r="C2450">
        <v>84</v>
      </c>
      <c r="D2450">
        <v>97</v>
      </c>
      <c r="E2450">
        <v>79.100802674258404</v>
      </c>
      <c r="F2450">
        <v>0.86821228824430197</v>
      </c>
      <c r="G2450">
        <v>4914.1868155009497</v>
      </c>
      <c r="H2450">
        <v>418.95003832931098</v>
      </c>
      <c r="I2450">
        <v>0.60013178854578497</v>
      </c>
      <c r="J2450">
        <v>0.35183339370285899</v>
      </c>
      <c r="K2450">
        <v>0.81780405154715696</v>
      </c>
      <c r="L2450" t="s">
        <v>38</v>
      </c>
      <c r="M2450" t="s">
        <v>34</v>
      </c>
      <c r="N2450" t="s">
        <v>35</v>
      </c>
      <c r="O2450">
        <v>0.671870915271226</v>
      </c>
      <c r="P2450" t="s">
        <v>36</v>
      </c>
    </row>
    <row r="2451" spans="1:16">
      <c r="A2451">
        <v>2450</v>
      </c>
      <c r="B2451" t="s">
        <v>2513</v>
      </c>
      <c r="C2451">
        <v>111</v>
      </c>
      <c r="D2451">
        <v>72</v>
      </c>
      <c r="E2451">
        <v>79.5433597994069</v>
      </c>
      <c r="F2451">
        <v>1.5483496915211901</v>
      </c>
      <c r="G2451">
        <v>4969.3289172022696</v>
      </c>
      <c r="H2451">
        <v>428.63165948992201</v>
      </c>
      <c r="I2451">
        <v>0.59799014250292504</v>
      </c>
      <c r="J2451">
        <v>0.33989057043569099</v>
      </c>
      <c r="K2451">
        <v>0.76880978660779997</v>
      </c>
      <c r="L2451" t="s">
        <v>38</v>
      </c>
      <c r="M2451" t="s">
        <v>34</v>
      </c>
      <c r="N2451" t="s">
        <v>35</v>
      </c>
      <c r="O2451">
        <v>0.68279154726608304</v>
      </c>
      <c r="P2451" t="s">
        <v>36</v>
      </c>
    </row>
    <row r="2452" spans="1:16">
      <c r="A2452">
        <v>2451</v>
      </c>
      <c r="B2452" t="s">
        <v>2514</v>
      </c>
      <c r="C2452">
        <v>121</v>
      </c>
      <c r="D2452">
        <v>82</v>
      </c>
      <c r="E2452">
        <v>79.685978895157902</v>
      </c>
      <c r="F2452">
        <v>1.4788388462961299</v>
      </c>
      <c r="G2452">
        <v>4987.1646374291104</v>
      </c>
      <c r="H2452">
        <v>482.66962605123899</v>
      </c>
      <c r="I2452">
        <v>0.76589511277524602</v>
      </c>
      <c r="J2452">
        <v>0.26900703000617598</v>
      </c>
      <c r="K2452">
        <v>0.71297437422973997</v>
      </c>
      <c r="L2452" t="s">
        <v>33</v>
      </c>
      <c r="M2452" t="s">
        <v>34</v>
      </c>
      <c r="N2452" t="s">
        <v>35</v>
      </c>
      <c r="O2452">
        <v>0.701817415755566</v>
      </c>
      <c r="P2452" t="s">
        <v>36</v>
      </c>
    </row>
    <row r="2453" spans="1:16">
      <c r="A2453">
        <v>2452</v>
      </c>
      <c r="B2453" t="s">
        <v>2515</v>
      </c>
      <c r="C2453">
        <v>76</v>
      </c>
      <c r="D2453">
        <v>203</v>
      </c>
      <c r="E2453">
        <v>79.821231007584103</v>
      </c>
      <c r="F2453">
        <v>0.37459849983931798</v>
      </c>
      <c r="G2453">
        <v>5004.1085716446096</v>
      </c>
      <c r="H2453">
        <v>1163.7662828175901</v>
      </c>
      <c r="I2453">
        <v>0.64860756780102202</v>
      </c>
      <c r="J2453">
        <v>4.6430680292496203E-2</v>
      </c>
      <c r="K2453">
        <v>0.43728082707743499</v>
      </c>
      <c r="L2453" t="s">
        <v>38</v>
      </c>
      <c r="M2453" t="s">
        <v>34</v>
      </c>
      <c r="N2453" t="s">
        <v>35</v>
      </c>
      <c r="O2453">
        <v>0.682951905919566</v>
      </c>
      <c r="P2453" t="s">
        <v>36</v>
      </c>
    </row>
    <row r="2454" spans="1:16">
      <c r="A2454">
        <v>2453</v>
      </c>
      <c r="B2454" t="s">
        <v>2516</v>
      </c>
      <c r="C2454">
        <v>108</v>
      </c>
      <c r="D2454">
        <v>87</v>
      </c>
      <c r="E2454">
        <v>79.855600697586297</v>
      </c>
      <c r="F2454">
        <v>1.2473582025844501</v>
      </c>
      <c r="G2454">
        <v>5008.41887069943</v>
      </c>
      <c r="H2454">
        <v>549.61512315864104</v>
      </c>
      <c r="I2454">
        <v>0.68235340080335205</v>
      </c>
      <c r="J2454">
        <v>0.20834983400618601</v>
      </c>
      <c r="K2454">
        <v>0.73622460126720601</v>
      </c>
      <c r="L2454" t="s">
        <v>38</v>
      </c>
      <c r="M2454" t="s">
        <v>34</v>
      </c>
      <c r="N2454" t="s">
        <v>35</v>
      </c>
      <c r="O2454">
        <v>0.71027060986749002</v>
      </c>
      <c r="P2454" t="s">
        <v>36</v>
      </c>
    </row>
    <row r="2455" spans="1:16">
      <c r="A2455">
        <v>2454</v>
      </c>
      <c r="B2455" t="s">
        <v>2517</v>
      </c>
      <c r="C2455">
        <v>137</v>
      </c>
      <c r="D2455">
        <v>76</v>
      </c>
      <c r="E2455">
        <v>79.897061668084305</v>
      </c>
      <c r="F2455">
        <v>1.8134519756810901</v>
      </c>
      <c r="G2455">
        <v>5013.6209557656002</v>
      </c>
      <c r="H2455">
        <v>708.43502101359195</v>
      </c>
      <c r="I2455">
        <v>0.83322164601479998</v>
      </c>
      <c r="J2455">
        <v>0.125533985374332</v>
      </c>
      <c r="K2455">
        <v>0.59897720008523303</v>
      </c>
      <c r="L2455" t="s">
        <v>33</v>
      </c>
      <c r="M2455" t="s">
        <v>34</v>
      </c>
      <c r="N2455" t="s">
        <v>35</v>
      </c>
      <c r="O2455">
        <v>0.73387100004633898</v>
      </c>
      <c r="P2455" t="s">
        <v>36</v>
      </c>
    </row>
    <row r="2456" spans="1:16">
      <c r="A2456">
        <v>2455</v>
      </c>
      <c r="B2456" t="s">
        <v>2518</v>
      </c>
      <c r="C2456">
        <v>124</v>
      </c>
      <c r="D2456">
        <v>109</v>
      </c>
      <c r="E2456">
        <v>79.936133743611904</v>
      </c>
      <c r="F2456">
        <v>1.13690452831842</v>
      </c>
      <c r="G2456">
        <v>5018.5257788279796</v>
      </c>
      <c r="H2456">
        <v>975.65963519625097</v>
      </c>
      <c r="I2456">
        <v>0.62614958408228905</v>
      </c>
      <c r="J2456">
        <v>6.6250528595176397E-2</v>
      </c>
      <c r="K2456">
        <v>0.51846449136276396</v>
      </c>
      <c r="L2456" t="s">
        <v>38</v>
      </c>
      <c r="M2456" t="s">
        <v>34</v>
      </c>
      <c r="N2456" t="s">
        <v>35</v>
      </c>
      <c r="O2456">
        <v>0.71344674918705797</v>
      </c>
      <c r="P2456" t="s">
        <v>36</v>
      </c>
    </row>
    <row r="2457" spans="1:16">
      <c r="A2457">
        <v>2456</v>
      </c>
      <c r="B2457" t="s">
        <v>2519</v>
      </c>
      <c r="C2457">
        <v>89</v>
      </c>
      <c r="D2457">
        <v>87</v>
      </c>
      <c r="E2457">
        <v>80.282212466688307</v>
      </c>
      <c r="F2457">
        <v>1.0251572327044001</v>
      </c>
      <c r="G2457">
        <v>5062.0746623818504</v>
      </c>
      <c r="H2457">
        <v>370.14894988184398</v>
      </c>
      <c r="I2457">
        <v>0.43962774018871098</v>
      </c>
      <c r="J2457">
        <v>0.46428576373434</v>
      </c>
      <c r="K2457">
        <v>0.86192235663309202</v>
      </c>
      <c r="L2457" t="s">
        <v>49</v>
      </c>
      <c r="M2457" t="s">
        <v>34</v>
      </c>
      <c r="N2457" t="s">
        <v>35</v>
      </c>
      <c r="O2457">
        <v>0.74647532464972399</v>
      </c>
      <c r="P2457" t="s">
        <v>36</v>
      </c>
    </row>
    <row r="2458" spans="1:16">
      <c r="A2458">
        <v>2457</v>
      </c>
      <c r="B2458" t="s">
        <v>2520</v>
      </c>
      <c r="C2458">
        <v>62</v>
      </c>
      <c r="D2458">
        <v>133</v>
      </c>
      <c r="E2458">
        <v>80.314028637681602</v>
      </c>
      <c r="F2458">
        <v>0.46311474948504699</v>
      </c>
      <c r="G2458">
        <v>5066.0876994328901</v>
      </c>
      <c r="H2458">
        <v>429.333004632307</v>
      </c>
      <c r="I2458">
        <v>0.85385906671878298</v>
      </c>
      <c r="J2458">
        <v>0.34537747970476801</v>
      </c>
      <c r="K2458">
        <v>0.75287699070085901</v>
      </c>
      <c r="L2458" t="s">
        <v>298</v>
      </c>
      <c r="M2458" t="s">
        <v>34</v>
      </c>
      <c r="N2458" t="s">
        <v>35</v>
      </c>
      <c r="O2458">
        <v>0.64114797857526296</v>
      </c>
      <c r="P2458" t="s">
        <v>36</v>
      </c>
    </row>
    <row r="2459" spans="1:16">
      <c r="A2459">
        <v>2458</v>
      </c>
      <c r="B2459" t="s">
        <v>2521</v>
      </c>
      <c r="C2459">
        <v>116</v>
      </c>
      <c r="D2459">
        <v>72</v>
      </c>
      <c r="E2459">
        <v>80.652620182721293</v>
      </c>
      <c r="F2459">
        <v>1.61125655188464</v>
      </c>
      <c r="G2459">
        <v>5108.8934279773202</v>
      </c>
      <c r="H2459">
        <v>410.531029562225</v>
      </c>
      <c r="I2459">
        <v>0.63696604515917399</v>
      </c>
      <c r="J2459">
        <v>0.38092960869501502</v>
      </c>
      <c r="K2459">
        <v>0.75385998771822105</v>
      </c>
      <c r="L2459" t="s">
        <v>72</v>
      </c>
      <c r="M2459" t="s">
        <v>34</v>
      </c>
      <c r="N2459" t="s">
        <v>35</v>
      </c>
      <c r="O2459">
        <v>0.87777891522749296</v>
      </c>
      <c r="P2459" t="s">
        <v>36</v>
      </c>
    </row>
    <row r="2460" spans="1:16">
      <c r="A2460">
        <v>2459</v>
      </c>
      <c r="B2460" t="s">
        <v>2522</v>
      </c>
      <c r="C2460">
        <v>93</v>
      </c>
      <c r="D2460">
        <v>103</v>
      </c>
      <c r="E2460">
        <v>80.8635199505363</v>
      </c>
      <c r="F2460">
        <v>0.90425530360693496</v>
      </c>
      <c r="G2460">
        <v>5135.64700831758</v>
      </c>
      <c r="H2460">
        <v>867.92578052137196</v>
      </c>
      <c r="I2460">
        <v>0.715195584954462</v>
      </c>
      <c r="J2460">
        <v>8.5672186727912894E-2</v>
      </c>
      <c r="K2460">
        <v>0.61863071579475104</v>
      </c>
      <c r="L2460" t="s">
        <v>38</v>
      </c>
      <c r="M2460" t="s">
        <v>34</v>
      </c>
      <c r="N2460" t="s">
        <v>35</v>
      </c>
      <c r="O2460">
        <v>0.72013223938975102</v>
      </c>
      <c r="P2460" t="s">
        <v>36</v>
      </c>
    </row>
    <row r="2461" spans="1:16">
      <c r="A2461">
        <v>2460</v>
      </c>
      <c r="B2461" t="s">
        <v>2523</v>
      </c>
      <c r="C2461">
        <v>74</v>
      </c>
      <c r="D2461">
        <v>113</v>
      </c>
      <c r="E2461">
        <v>80.912650798848205</v>
      </c>
      <c r="F2461">
        <v>0.65433722291744301</v>
      </c>
      <c r="G2461">
        <v>5141.8895103969799</v>
      </c>
      <c r="H2461">
        <v>452.75351659018099</v>
      </c>
      <c r="I2461">
        <v>0.78406614751728498</v>
      </c>
      <c r="J2461">
        <v>0.31521649802108798</v>
      </c>
      <c r="K2461">
        <v>0.80416085541608595</v>
      </c>
      <c r="L2461" t="s">
        <v>38</v>
      </c>
      <c r="M2461" t="s">
        <v>34</v>
      </c>
      <c r="N2461" t="s">
        <v>35</v>
      </c>
      <c r="O2461">
        <v>0.81580798077903904</v>
      </c>
      <c r="P2461" t="s">
        <v>36</v>
      </c>
    </row>
    <row r="2462" spans="1:16">
      <c r="A2462">
        <v>2461</v>
      </c>
      <c r="B2462" t="s">
        <v>2524</v>
      </c>
      <c r="C2462">
        <v>138</v>
      </c>
      <c r="D2462">
        <v>80</v>
      </c>
      <c r="E2462">
        <v>81.187001013424293</v>
      </c>
      <c r="F2462">
        <v>1.7240763694594701</v>
      </c>
      <c r="G2462">
        <v>5176.8177958412098</v>
      </c>
      <c r="H2462">
        <v>733.25043724785701</v>
      </c>
      <c r="I2462">
        <v>0.59458943971088596</v>
      </c>
      <c r="J2462">
        <v>0.12099518349261799</v>
      </c>
      <c r="K2462">
        <v>0.62372407865047796</v>
      </c>
      <c r="L2462" t="s">
        <v>33</v>
      </c>
      <c r="M2462" t="s">
        <v>34</v>
      </c>
      <c r="N2462" t="s">
        <v>35</v>
      </c>
      <c r="O2462">
        <v>0.67719733551081396</v>
      </c>
      <c r="P2462" t="s">
        <v>36</v>
      </c>
    </row>
    <row r="2463" spans="1:16">
      <c r="A2463">
        <v>2462</v>
      </c>
      <c r="B2463" t="s">
        <v>2525</v>
      </c>
      <c r="C2463">
        <v>83</v>
      </c>
      <c r="D2463">
        <v>93</v>
      </c>
      <c r="E2463">
        <v>81.702833289120704</v>
      </c>
      <c r="F2463">
        <v>0.9</v>
      </c>
      <c r="G2463">
        <v>5242.8099606805299</v>
      </c>
      <c r="H2463">
        <v>466.60978779751298</v>
      </c>
      <c r="I2463">
        <v>0.64275375994647299</v>
      </c>
      <c r="J2463">
        <v>0.30259816557994801</v>
      </c>
      <c r="K2463">
        <v>0.79618093174431204</v>
      </c>
      <c r="L2463" t="s">
        <v>49</v>
      </c>
      <c r="M2463" t="s">
        <v>34</v>
      </c>
      <c r="N2463" t="s">
        <v>35</v>
      </c>
      <c r="O2463">
        <v>0.82524077686105102</v>
      </c>
      <c r="P2463" t="s">
        <v>36</v>
      </c>
    </row>
    <row r="2464" spans="1:16">
      <c r="A2464">
        <v>2463</v>
      </c>
      <c r="B2464" t="s">
        <v>2526</v>
      </c>
      <c r="C2464">
        <v>107</v>
      </c>
      <c r="D2464">
        <v>97</v>
      </c>
      <c r="E2464">
        <v>81.938748542937006</v>
      </c>
      <c r="F2464">
        <v>1.0966176156365</v>
      </c>
      <c r="G2464">
        <v>5273.1306850661604</v>
      </c>
      <c r="H2464">
        <v>758.06585348212195</v>
      </c>
      <c r="I2464">
        <v>0.58008979097166002</v>
      </c>
      <c r="J2464">
        <v>0.11530935145014801</v>
      </c>
      <c r="K2464">
        <v>0.66699253633133404</v>
      </c>
      <c r="L2464" t="s">
        <v>38</v>
      </c>
      <c r="M2464" t="s">
        <v>34</v>
      </c>
      <c r="N2464" t="s">
        <v>35</v>
      </c>
      <c r="O2464">
        <v>0.70237636291300798</v>
      </c>
      <c r="P2464" t="s">
        <v>36</v>
      </c>
    </row>
    <row r="2465" spans="1:16">
      <c r="A2465">
        <v>2464</v>
      </c>
      <c r="B2465" t="s">
        <v>2527</v>
      </c>
      <c r="C2465">
        <v>81</v>
      </c>
      <c r="D2465">
        <v>118</v>
      </c>
      <c r="E2465">
        <v>82.476268906212695</v>
      </c>
      <c r="F2465">
        <v>0.68173975200489201</v>
      </c>
      <c r="G2465">
        <v>5342.5413629489603</v>
      </c>
      <c r="H2465">
        <v>534.42653088414204</v>
      </c>
      <c r="I2465">
        <v>0.70735561432107197</v>
      </c>
      <c r="J2465">
        <v>0.23506162672536299</v>
      </c>
      <c r="K2465">
        <v>0.70479010215486004</v>
      </c>
      <c r="L2465" t="s">
        <v>38</v>
      </c>
      <c r="M2465" t="s">
        <v>34</v>
      </c>
      <c r="N2465" t="s">
        <v>35</v>
      </c>
      <c r="O2465">
        <v>0.79913318396142596</v>
      </c>
      <c r="P2465" t="s">
        <v>36</v>
      </c>
    </row>
    <row r="2466" spans="1:16">
      <c r="A2466">
        <v>2465</v>
      </c>
      <c r="B2466" t="s">
        <v>2528</v>
      </c>
      <c r="C2466">
        <v>98</v>
      </c>
      <c r="D2466">
        <v>117</v>
      </c>
      <c r="E2466">
        <v>82.748865463852994</v>
      </c>
      <c r="F2466">
        <v>0.837209302325581</v>
      </c>
      <c r="G2466">
        <v>5377.9155413988701</v>
      </c>
      <c r="H2466">
        <v>695.93376835460299</v>
      </c>
      <c r="I2466">
        <v>0.63713032534499503</v>
      </c>
      <c r="J2466">
        <v>0.13953656301728701</v>
      </c>
      <c r="K2466">
        <v>0.65293417063663906</v>
      </c>
      <c r="L2466" t="s">
        <v>38</v>
      </c>
      <c r="M2466" t="s">
        <v>34</v>
      </c>
      <c r="N2466" t="s">
        <v>35</v>
      </c>
      <c r="O2466">
        <v>0.745974214767124</v>
      </c>
      <c r="P2466" t="s">
        <v>36</v>
      </c>
    </row>
    <row r="2467" spans="1:16">
      <c r="A2467">
        <v>2466</v>
      </c>
      <c r="B2467" t="s">
        <v>2529</v>
      </c>
      <c r="C2467">
        <v>102</v>
      </c>
      <c r="D2467">
        <v>122</v>
      </c>
      <c r="E2467">
        <v>82.839150902336598</v>
      </c>
      <c r="F2467">
        <v>0.83482142857142905</v>
      </c>
      <c r="G2467">
        <v>5389.6573905482001</v>
      </c>
      <c r="H2467">
        <v>985.37335607653097</v>
      </c>
      <c r="I2467">
        <v>0.43991321138168499</v>
      </c>
      <c r="J2467">
        <v>6.9754044300018497E-2</v>
      </c>
      <c r="K2467">
        <v>0.61098567818028604</v>
      </c>
      <c r="L2467" t="s">
        <v>33</v>
      </c>
      <c r="M2467" t="s">
        <v>34</v>
      </c>
      <c r="N2467" t="s">
        <v>35</v>
      </c>
      <c r="O2467">
        <v>0.789494040610905</v>
      </c>
      <c r="P2467" t="s">
        <v>36</v>
      </c>
    </row>
    <row r="2468" spans="1:16">
      <c r="A2468">
        <v>2467</v>
      </c>
      <c r="B2468" t="s">
        <v>2530</v>
      </c>
      <c r="C2468">
        <v>108</v>
      </c>
      <c r="D2468">
        <v>103</v>
      </c>
      <c r="E2468">
        <v>83.092339232796604</v>
      </c>
      <c r="F2468">
        <v>1.0476190476190499</v>
      </c>
      <c r="G2468">
        <v>5422.6534729678597</v>
      </c>
      <c r="H2468">
        <v>712.45468169626997</v>
      </c>
      <c r="I2468">
        <v>0.64039328949705598</v>
      </c>
      <c r="J2468">
        <v>0.134247815352429</v>
      </c>
      <c r="K2468">
        <v>0.63204213152241695</v>
      </c>
      <c r="L2468" t="s">
        <v>33</v>
      </c>
      <c r="M2468" t="s">
        <v>34</v>
      </c>
      <c r="N2468" t="s">
        <v>35</v>
      </c>
      <c r="O2468">
        <v>0.667996015587767</v>
      </c>
      <c r="P2468" t="s">
        <v>36</v>
      </c>
    </row>
    <row r="2469" spans="1:16">
      <c r="A2469">
        <v>2468</v>
      </c>
      <c r="B2469" t="s">
        <v>2531</v>
      </c>
      <c r="C2469">
        <v>112</v>
      </c>
      <c r="D2469">
        <v>88</v>
      </c>
      <c r="E2469">
        <v>83.243655258398803</v>
      </c>
      <c r="F2469">
        <v>1.2795031055900601</v>
      </c>
      <c r="G2469">
        <v>5442.4213962192798</v>
      </c>
      <c r="H2469">
        <v>538.41409184714996</v>
      </c>
      <c r="I2469">
        <v>0.82889056576259101</v>
      </c>
      <c r="J2469">
        <v>0.23592240846213999</v>
      </c>
      <c r="K2469">
        <v>0.71172834706888499</v>
      </c>
      <c r="L2469" t="s">
        <v>38</v>
      </c>
      <c r="M2469" t="s">
        <v>34</v>
      </c>
      <c r="N2469" t="s">
        <v>35</v>
      </c>
      <c r="O2469">
        <v>0.76533261117177398</v>
      </c>
      <c r="P2469" t="s">
        <v>36</v>
      </c>
    </row>
    <row r="2470" spans="1:16">
      <c r="A2470">
        <v>2469</v>
      </c>
      <c r="B2470" t="s">
        <v>2532</v>
      </c>
      <c r="C2470">
        <v>131</v>
      </c>
      <c r="D2470">
        <v>128</v>
      </c>
      <c r="E2470">
        <v>83.358380925773602</v>
      </c>
      <c r="F2470">
        <v>1.02991452991453</v>
      </c>
      <c r="G2470">
        <v>5457.4331274102096</v>
      </c>
      <c r="H2470">
        <v>741.89642082670503</v>
      </c>
      <c r="I2470">
        <v>0.59374198182298499</v>
      </c>
      <c r="J2470">
        <v>0.12459819043607399</v>
      </c>
      <c r="K2470">
        <v>0.48394664698439499</v>
      </c>
      <c r="L2470" t="s">
        <v>49</v>
      </c>
      <c r="M2470" t="s">
        <v>34</v>
      </c>
      <c r="N2470" t="s">
        <v>35</v>
      </c>
      <c r="O2470">
        <v>0.64236760149246097</v>
      </c>
      <c r="P2470" t="s">
        <v>36</v>
      </c>
    </row>
    <row r="2471" spans="1:16">
      <c r="A2471">
        <v>2470</v>
      </c>
      <c r="B2471" t="s">
        <v>2533</v>
      </c>
      <c r="C2471">
        <v>120</v>
      </c>
      <c r="D2471">
        <v>80</v>
      </c>
      <c r="E2471">
        <v>83.542067339596002</v>
      </c>
      <c r="F2471">
        <v>1.500304602935</v>
      </c>
      <c r="G2471">
        <v>5481.5113497164502</v>
      </c>
      <c r="H2471">
        <v>572.34986199088701</v>
      </c>
      <c r="I2471">
        <v>0.76647069693394998</v>
      </c>
      <c r="J2471">
        <v>0.21027469747549499</v>
      </c>
      <c r="K2471">
        <v>0.74485488659543997</v>
      </c>
      <c r="L2471" t="s">
        <v>33</v>
      </c>
      <c r="M2471" t="s">
        <v>34</v>
      </c>
      <c r="N2471" t="s">
        <v>35</v>
      </c>
      <c r="O2471">
        <v>0.69112945549544202</v>
      </c>
      <c r="P2471" t="s">
        <v>36</v>
      </c>
    </row>
    <row r="2472" spans="1:16">
      <c r="A2472">
        <v>2471</v>
      </c>
      <c r="B2472" t="s">
        <v>2534</v>
      </c>
      <c r="C2472">
        <v>117</v>
      </c>
      <c r="D2472">
        <v>112</v>
      </c>
      <c r="E2472">
        <v>83.712918289949997</v>
      </c>
      <c r="F2472">
        <v>1.0487804878048801</v>
      </c>
      <c r="G2472">
        <v>5503.9546310018904</v>
      </c>
      <c r="H2472">
        <v>947.83749837989399</v>
      </c>
      <c r="I2472">
        <v>0.59934209102998504</v>
      </c>
      <c r="J2472">
        <v>7.6986918508081204E-2</v>
      </c>
      <c r="K2472">
        <v>0.56432490094483401</v>
      </c>
      <c r="L2472" t="s">
        <v>288</v>
      </c>
      <c r="M2472" t="s">
        <v>34</v>
      </c>
      <c r="N2472" t="s">
        <v>35</v>
      </c>
      <c r="O2472">
        <v>0.67090772381205099</v>
      </c>
      <c r="P2472" t="s">
        <v>36</v>
      </c>
    </row>
    <row r="2473" spans="1:16">
      <c r="A2473">
        <v>2472</v>
      </c>
      <c r="B2473" t="s">
        <v>2535</v>
      </c>
      <c r="C2473">
        <v>126</v>
      </c>
      <c r="D2473">
        <v>73</v>
      </c>
      <c r="E2473">
        <v>83.741171238222805</v>
      </c>
      <c r="F2473">
        <v>1.72447341678468</v>
      </c>
      <c r="G2473">
        <v>5507.6704060491502</v>
      </c>
      <c r="H2473">
        <v>479.43042142308298</v>
      </c>
      <c r="I2473">
        <v>0.59921916649513796</v>
      </c>
      <c r="J2473">
        <v>0.30111100686382303</v>
      </c>
      <c r="K2473">
        <v>0.786234113428529</v>
      </c>
      <c r="L2473" t="s">
        <v>38</v>
      </c>
      <c r="M2473" t="s">
        <v>34</v>
      </c>
      <c r="N2473" t="s">
        <v>35</v>
      </c>
      <c r="O2473">
        <v>0.66871010081590998</v>
      </c>
      <c r="P2473" t="s">
        <v>36</v>
      </c>
    </row>
    <row r="2474" spans="1:16">
      <c r="A2474">
        <v>2473</v>
      </c>
      <c r="B2474" t="s">
        <v>2536</v>
      </c>
      <c r="C2474">
        <v>87</v>
      </c>
      <c r="D2474">
        <v>112</v>
      </c>
      <c r="E2474">
        <v>84.036690749187699</v>
      </c>
      <c r="F2474">
        <v>0.78048780487804903</v>
      </c>
      <c r="G2474">
        <v>5546.6117285444197</v>
      </c>
      <c r="H2474">
        <v>565.31018548343502</v>
      </c>
      <c r="I2474">
        <v>0.75125385868873995</v>
      </c>
      <c r="J2474">
        <v>0.21810418995495401</v>
      </c>
      <c r="K2474">
        <v>0.70186195222869996</v>
      </c>
      <c r="L2474" t="s">
        <v>38</v>
      </c>
      <c r="M2474" t="s">
        <v>34</v>
      </c>
      <c r="N2474" t="s">
        <v>35</v>
      </c>
      <c r="O2474">
        <v>0.71322776486843598</v>
      </c>
      <c r="P2474" t="s">
        <v>36</v>
      </c>
    </row>
    <row r="2475" spans="1:16">
      <c r="A2475">
        <v>2474</v>
      </c>
      <c r="B2475" t="s">
        <v>2537</v>
      </c>
      <c r="C2475">
        <v>75</v>
      </c>
      <c r="D2475">
        <v>153</v>
      </c>
      <c r="E2475">
        <v>84.215527121038093</v>
      </c>
      <c r="F2475">
        <v>0.48710654783990698</v>
      </c>
      <c r="G2475">
        <v>5570.2440578449896</v>
      </c>
      <c r="H2475">
        <v>611.36362788024201</v>
      </c>
      <c r="I2475">
        <v>0.58510729625679603</v>
      </c>
      <c r="J2475">
        <v>0.18727719374792001</v>
      </c>
      <c r="K2475">
        <v>0.647159385252979</v>
      </c>
      <c r="L2475" t="s">
        <v>38</v>
      </c>
      <c r="M2475" t="s">
        <v>34</v>
      </c>
      <c r="N2475" t="s">
        <v>35</v>
      </c>
      <c r="O2475">
        <v>0.76814248642974803</v>
      </c>
      <c r="P2475" t="s">
        <v>36</v>
      </c>
    </row>
    <row r="2476" spans="1:16">
      <c r="A2476">
        <v>2475</v>
      </c>
      <c r="B2476" t="s">
        <v>2538</v>
      </c>
      <c r="C2476">
        <v>90</v>
      </c>
      <c r="D2476">
        <v>85</v>
      </c>
      <c r="E2476">
        <v>84.2514715711158</v>
      </c>
      <c r="F2476">
        <v>1.0588235294117601</v>
      </c>
      <c r="G2476">
        <v>5575</v>
      </c>
      <c r="H2476">
        <v>319.70562458038302</v>
      </c>
      <c r="I2476">
        <v>0.61222825254033997</v>
      </c>
      <c r="J2476">
        <v>0.68541591133603597</v>
      </c>
      <c r="K2476">
        <v>0.90650406504064995</v>
      </c>
      <c r="L2476" t="s">
        <v>38</v>
      </c>
      <c r="M2476" t="s">
        <v>34</v>
      </c>
      <c r="N2476" t="s">
        <v>35</v>
      </c>
      <c r="O2476">
        <v>0.88317442626575005</v>
      </c>
      <c r="P2476" t="s">
        <v>36</v>
      </c>
    </row>
    <row r="2477" spans="1:16">
      <c r="A2477">
        <v>2476</v>
      </c>
      <c r="B2477" t="s">
        <v>2539</v>
      </c>
      <c r="C2477">
        <v>98</v>
      </c>
      <c r="D2477">
        <v>167</v>
      </c>
      <c r="E2477">
        <v>84.331174685283997</v>
      </c>
      <c r="F2477">
        <v>0.58384179142707904</v>
      </c>
      <c r="G2477">
        <v>5585.5530510397002</v>
      </c>
      <c r="H2477">
        <v>1026.74567837632</v>
      </c>
      <c r="I2477">
        <v>0.76418325002067999</v>
      </c>
      <c r="J2477">
        <v>6.6580994524328099E-2</v>
      </c>
      <c r="K2477">
        <v>0.47767340764938399</v>
      </c>
      <c r="L2477" t="s">
        <v>33</v>
      </c>
      <c r="M2477" t="s">
        <v>34</v>
      </c>
      <c r="N2477" t="s">
        <v>35</v>
      </c>
      <c r="O2477">
        <v>0.70535284500991802</v>
      </c>
      <c r="P2477" t="s">
        <v>36</v>
      </c>
    </row>
    <row r="2478" spans="1:16">
      <c r="A2478">
        <v>2477</v>
      </c>
      <c r="B2478" t="s">
        <v>2540</v>
      </c>
      <c r="C2478">
        <v>74</v>
      </c>
      <c r="D2478">
        <v>103</v>
      </c>
      <c r="E2478">
        <v>84.354733856806604</v>
      </c>
      <c r="F2478">
        <v>0.71808510638297895</v>
      </c>
      <c r="G2478">
        <v>5588.6743020794001</v>
      </c>
      <c r="H2478">
        <v>481.18231562002802</v>
      </c>
      <c r="I2478">
        <v>0.687825844166286</v>
      </c>
      <c r="J2478">
        <v>0.30331881377610798</v>
      </c>
      <c r="K2478">
        <v>0.80700963664069703</v>
      </c>
      <c r="L2478" t="s">
        <v>33</v>
      </c>
      <c r="M2478" t="s">
        <v>34</v>
      </c>
      <c r="N2478" t="s">
        <v>35</v>
      </c>
      <c r="O2478">
        <v>0.70197174581821098</v>
      </c>
      <c r="P2478" t="s">
        <v>36</v>
      </c>
    </row>
    <row r="2479" spans="1:16">
      <c r="A2479">
        <v>2478</v>
      </c>
      <c r="B2479" t="s">
        <v>2541</v>
      </c>
      <c r="C2479">
        <v>74</v>
      </c>
      <c r="D2479">
        <v>132</v>
      </c>
      <c r="E2479">
        <v>84.385014555432406</v>
      </c>
      <c r="F2479">
        <v>0.55854020741018495</v>
      </c>
      <c r="G2479">
        <v>5592.6873391304398</v>
      </c>
      <c r="H2479">
        <v>501.31661175727902</v>
      </c>
      <c r="I2479">
        <v>0.761090434333627</v>
      </c>
      <c r="J2479">
        <v>0.279644455605354</v>
      </c>
      <c r="K2479">
        <v>0.75865962337190995</v>
      </c>
      <c r="L2479" t="s">
        <v>47</v>
      </c>
      <c r="M2479" t="s">
        <v>34</v>
      </c>
      <c r="N2479" t="s">
        <v>35</v>
      </c>
      <c r="O2479">
        <v>0.89277903183705598</v>
      </c>
      <c r="P2479" t="s">
        <v>36</v>
      </c>
    </row>
    <row r="2480" spans="1:16">
      <c r="A2480">
        <v>2479</v>
      </c>
      <c r="B2480" t="s">
        <v>2542</v>
      </c>
      <c r="C2480">
        <v>107</v>
      </c>
      <c r="D2480">
        <v>118</v>
      </c>
      <c r="E2480">
        <v>84.507148539405904</v>
      </c>
      <c r="F2480">
        <v>0.91203703703703698</v>
      </c>
      <c r="G2480">
        <v>5608.8881183364801</v>
      </c>
      <c r="H2480">
        <v>856.00849259469805</v>
      </c>
      <c r="I2480">
        <v>0.52750359825599402</v>
      </c>
      <c r="J2480">
        <v>9.6190126161843997E-2</v>
      </c>
      <c r="K2480">
        <v>0.58933674823918902</v>
      </c>
      <c r="L2480" t="s">
        <v>33</v>
      </c>
      <c r="M2480" t="s">
        <v>34</v>
      </c>
      <c r="N2480" t="s">
        <v>35</v>
      </c>
      <c r="O2480">
        <v>0.73685459613762105</v>
      </c>
      <c r="P2480" t="s">
        <v>36</v>
      </c>
    </row>
    <row r="2481" spans="1:16">
      <c r="A2481">
        <v>2480</v>
      </c>
      <c r="B2481" t="s">
        <v>2543</v>
      </c>
      <c r="C2481">
        <v>75</v>
      </c>
      <c r="D2481">
        <v>167</v>
      </c>
      <c r="E2481">
        <v>84.693929613723398</v>
      </c>
      <c r="F2481">
        <v>0.44875792460064301</v>
      </c>
      <c r="G2481">
        <v>5633.7094956521796</v>
      </c>
      <c r="H2481">
        <v>609.35493592594003</v>
      </c>
      <c r="I2481">
        <v>0.642551878230471</v>
      </c>
      <c r="J2481">
        <v>0.19066178118755001</v>
      </c>
      <c r="K2481">
        <v>0.58004193000443804</v>
      </c>
      <c r="L2481" t="s">
        <v>41</v>
      </c>
      <c r="M2481" t="s">
        <v>34</v>
      </c>
      <c r="N2481" t="s">
        <v>35</v>
      </c>
      <c r="O2481">
        <v>0.76224050806284904</v>
      </c>
      <c r="P2481" t="s">
        <v>36</v>
      </c>
    </row>
    <row r="2482" spans="1:16">
      <c r="A2482">
        <v>2481</v>
      </c>
      <c r="B2482" t="s">
        <v>2544</v>
      </c>
      <c r="C2482">
        <v>96</v>
      </c>
      <c r="D2482">
        <v>107</v>
      </c>
      <c r="E2482">
        <v>84.718504805835096</v>
      </c>
      <c r="F2482">
        <v>0.90500736980498997</v>
      </c>
      <c r="G2482">
        <v>5636.9793776937604</v>
      </c>
      <c r="H2482">
        <v>583.25420981697403</v>
      </c>
      <c r="I2482">
        <v>0.62378797967061395</v>
      </c>
      <c r="J2482">
        <v>0.20822867985764801</v>
      </c>
      <c r="K2482">
        <v>0.68826219512195097</v>
      </c>
      <c r="L2482" t="s">
        <v>33</v>
      </c>
      <c r="M2482" t="s">
        <v>34</v>
      </c>
      <c r="N2482" t="s">
        <v>35</v>
      </c>
      <c r="O2482">
        <v>0.73542296274966401</v>
      </c>
      <c r="P2482" t="s">
        <v>36</v>
      </c>
    </row>
    <row r="2483" spans="1:16">
      <c r="A2483">
        <v>2482</v>
      </c>
      <c r="B2483" t="s">
        <v>2545</v>
      </c>
      <c r="C2483">
        <v>96</v>
      </c>
      <c r="D2483">
        <v>154</v>
      </c>
      <c r="E2483">
        <v>84.782143757276998</v>
      </c>
      <c r="F2483">
        <v>0.626674646411434</v>
      </c>
      <c r="G2483">
        <v>5645.4513448015095</v>
      </c>
      <c r="H2483">
        <v>912.41441780494597</v>
      </c>
      <c r="I2483">
        <v>0.76185666169059896</v>
      </c>
      <c r="J2483">
        <v>8.5216610131442702E-2</v>
      </c>
      <c r="K2483">
        <v>0.46973200925044201</v>
      </c>
      <c r="L2483" t="s">
        <v>49</v>
      </c>
      <c r="M2483" t="s">
        <v>34</v>
      </c>
      <c r="N2483" t="s">
        <v>35</v>
      </c>
      <c r="O2483">
        <v>0.65957001676284799</v>
      </c>
      <c r="P2483" t="s">
        <v>36</v>
      </c>
    </row>
    <row r="2484" spans="1:16">
      <c r="A2484">
        <v>2483</v>
      </c>
      <c r="B2484" t="s">
        <v>2546</v>
      </c>
      <c r="C2484">
        <v>69</v>
      </c>
      <c r="D2484">
        <v>149</v>
      </c>
      <c r="E2484">
        <v>85.748716836671804</v>
      </c>
      <c r="F2484">
        <v>0.46350364963503599</v>
      </c>
      <c r="G2484">
        <v>5774.9089474480197</v>
      </c>
      <c r="H2484">
        <v>637.97082403950105</v>
      </c>
      <c r="I2484">
        <v>0.78890792629875595</v>
      </c>
      <c r="J2484">
        <v>0.1783008319079</v>
      </c>
      <c r="K2484">
        <v>0.60872017421548197</v>
      </c>
      <c r="L2484" t="s">
        <v>2547</v>
      </c>
      <c r="M2484" t="s">
        <v>34</v>
      </c>
      <c r="N2484" t="s">
        <v>35</v>
      </c>
      <c r="O2484">
        <v>0.63370930241062395</v>
      </c>
      <c r="P2484" t="s">
        <v>36</v>
      </c>
    </row>
    <row r="2485" spans="1:16">
      <c r="A2485">
        <v>2484</v>
      </c>
      <c r="B2485" t="s">
        <v>2548</v>
      </c>
      <c r="C2485">
        <v>79</v>
      </c>
      <c r="D2485">
        <v>97</v>
      </c>
      <c r="E2485">
        <v>85.777402348954496</v>
      </c>
      <c r="F2485">
        <v>0.80898876404494402</v>
      </c>
      <c r="G2485">
        <v>5778.7733534971603</v>
      </c>
      <c r="H2485">
        <v>415.546442098618</v>
      </c>
      <c r="I2485">
        <v>0.71895881929138805</v>
      </c>
      <c r="J2485">
        <v>0.42053910789704901</v>
      </c>
      <c r="K2485">
        <v>0.90277939025239695</v>
      </c>
      <c r="L2485" t="s">
        <v>38</v>
      </c>
      <c r="M2485" t="s">
        <v>34</v>
      </c>
      <c r="N2485" t="s">
        <v>35</v>
      </c>
      <c r="O2485">
        <v>0.78894180744310505</v>
      </c>
      <c r="P2485" t="s">
        <v>36</v>
      </c>
    </row>
    <row r="2486" spans="1:16">
      <c r="A2486">
        <v>2485</v>
      </c>
      <c r="B2486" t="s">
        <v>2549</v>
      </c>
      <c r="C2486">
        <v>80</v>
      </c>
      <c r="D2486">
        <v>108</v>
      </c>
      <c r="E2486">
        <v>85.850176371981505</v>
      </c>
      <c r="F2486">
        <v>0.74622284135725203</v>
      </c>
      <c r="G2486">
        <v>5788.58299962193</v>
      </c>
      <c r="H2486">
        <v>485.33426818557399</v>
      </c>
      <c r="I2486">
        <v>0.66354415416472701</v>
      </c>
      <c r="J2486">
        <v>0.30881629996485899</v>
      </c>
      <c r="K2486">
        <v>0.82542441133459099</v>
      </c>
      <c r="L2486" t="s">
        <v>38</v>
      </c>
      <c r="M2486" t="s">
        <v>34</v>
      </c>
      <c r="N2486" t="s">
        <v>35</v>
      </c>
      <c r="O2486">
        <v>0.74269282540694204</v>
      </c>
      <c r="P2486" t="s">
        <v>36</v>
      </c>
    </row>
    <row r="2487" spans="1:16">
      <c r="A2487">
        <v>2486</v>
      </c>
      <c r="B2487" t="s">
        <v>2550</v>
      </c>
      <c r="C2487">
        <v>103</v>
      </c>
      <c r="D2487">
        <v>134</v>
      </c>
      <c r="E2487">
        <v>86.444393544792305</v>
      </c>
      <c r="F2487">
        <v>0.769625355871004</v>
      </c>
      <c r="G2487">
        <v>5868.9923716446101</v>
      </c>
      <c r="H2487">
        <v>953.61845549801103</v>
      </c>
      <c r="I2487">
        <v>0.72052434985008695</v>
      </c>
      <c r="J2487">
        <v>8.1100608768743795E-2</v>
      </c>
      <c r="K2487">
        <v>0.53318300274105801</v>
      </c>
      <c r="L2487" t="s">
        <v>38</v>
      </c>
      <c r="M2487" t="s">
        <v>34</v>
      </c>
      <c r="N2487" t="s">
        <v>35</v>
      </c>
      <c r="O2487">
        <v>0.73224493389054701</v>
      </c>
      <c r="P2487" t="s">
        <v>36</v>
      </c>
    </row>
    <row r="2488" spans="1:16">
      <c r="A2488">
        <v>2487</v>
      </c>
      <c r="B2488" t="s">
        <v>2551</v>
      </c>
      <c r="C2488">
        <v>128</v>
      </c>
      <c r="D2488">
        <v>98</v>
      </c>
      <c r="E2488">
        <v>86.750338205089705</v>
      </c>
      <c r="F2488">
        <v>1.3072625698324001</v>
      </c>
      <c r="G2488">
        <v>5910.6090521739097</v>
      </c>
      <c r="H2488">
        <v>948.32127094901102</v>
      </c>
      <c r="I2488">
        <v>0.55220043784867801</v>
      </c>
      <c r="J2488">
        <v>8.2590693860751699E-2</v>
      </c>
      <c r="K2488">
        <v>0.59183248255026599</v>
      </c>
      <c r="L2488" t="s">
        <v>33</v>
      </c>
      <c r="M2488" t="s">
        <v>34</v>
      </c>
      <c r="N2488" t="s">
        <v>35</v>
      </c>
      <c r="O2488">
        <v>0.72580061844672505</v>
      </c>
      <c r="P2488" t="s">
        <v>36</v>
      </c>
    </row>
    <row r="2489" spans="1:16">
      <c r="A2489">
        <v>2488</v>
      </c>
      <c r="B2489" t="s">
        <v>2552</v>
      </c>
      <c r="C2489">
        <v>128</v>
      </c>
      <c r="D2489">
        <v>111</v>
      </c>
      <c r="E2489">
        <v>86.869146717566593</v>
      </c>
      <c r="F2489">
        <v>1.16126415738636</v>
      </c>
      <c r="G2489">
        <v>5926.8098313799601</v>
      </c>
      <c r="H2489">
        <v>616.07684769692605</v>
      </c>
      <c r="I2489">
        <v>0.48245502450173999</v>
      </c>
      <c r="J2489">
        <v>0.196228046428127</v>
      </c>
      <c r="K2489">
        <v>0.63216969466374995</v>
      </c>
      <c r="L2489" t="s">
        <v>38</v>
      </c>
      <c r="M2489" t="s">
        <v>34</v>
      </c>
      <c r="N2489" t="s">
        <v>35</v>
      </c>
      <c r="O2489">
        <v>0.77306057036940001</v>
      </c>
      <c r="P2489" t="s">
        <v>36</v>
      </c>
    </row>
    <row r="2490" spans="1:16">
      <c r="A2490">
        <v>2489</v>
      </c>
      <c r="B2490" t="s">
        <v>2553</v>
      </c>
      <c r="C2490">
        <v>92</v>
      </c>
      <c r="D2490">
        <v>142</v>
      </c>
      <c r="E2490">
        <v>87.099759699463903</v>
      </c>
      <c r="F2490">
        <v>0.65091912368160698</v>
      </c>
      <c r="G2490">
        <v>5958.3196037807202</v>
      </c>
      <c r="H2490">
        <v>693.278528458761</v>
      </c>
      <c r="I2490">
        <v>0.56060613672996096</v>
      </c>
      <c r="J2490">
        <v>0.15578231713083299</v>
      </c>
      <c r="K2490">
        <v>0.61667205070223197</v>
      </c>
      <c r="L2490" t="s">
        <v>33</v>
      </c>
      <c r="M2490" t="s">
        <v>34</v>
      </c>
      <c r="N2490" t="s">
        <v>35</v>
      </c>
      <c r="O2490">
        <v>0.87366153899173704</v>
      </c>
      <c r="P2490" t="s">
        <v>36</v>
      </c>
    </row>
    <row r="2491" spans="1:16">
      <c r="A2491">
        <v>2490</v>
      </c>
      <c r="B2491" t="s">
        <v>2554</v>
      </c>
      <c r="C2491">
        <v>89</v>
      </c>
      <c r="D2491">
        <v>130</v>
      </c>
      <c r="E2491">
        <v>88.020469575241805</v>
      </c>
      <c r="F2491">
        <v>0.68550260236259297</v>
      </c>
      <c r="G2491">
        <v>6084.9532173913003</v>
      </c>
      <c r="H2491">
        <v>726.86281791624799</v>
      </c>
      <c r="I2491">
        <v>0.64753301877458103</v>
      </c>
      <c r="J2491">
        <v>0.144731212597102</v>
      </c>
      <c r="K2491">
        <v>0.70987654320987703</v>
      </c>
      <c r="L2491" t="s">
        <v>74</v>
      </c>
      <c r="M2491" t="s">
        <v>34</v>
      </c>
      <c r="N2491" t="s">
        <v>35</v>
      </c>
      <c r="O2491">
        <v>0.66459873644093403</v>
      </c>
      <c r="P2491" t="s">
        <v>36</v>
      </c>
    </row>
    <row r="2492" spans="1:16">
      <c r="A2492">
        <v>2491</v>
      </c>
      <c r="B2492" t="s">
        <v>2555</v>
      </c>
      <c r="C2492">
        <v>123</v>
      </c>
      <c r="D2492">
        <v>171</v>
      </c>
      <c r="E2492">
        <v>88.227699380624699</v>
      </c>
      <c r="F2492">
        <v>0.71656050955413997</v>
      </c>
      <c r="G2492">
        <v>6113.6390007561404</v>
      </c>
      <c r="H2492">
        <v>1180.8484634104</v>
      </c>
      <c r="I2492">
        <v>0.56567305928943101</v>
      </c>
      <c r="J2492">
        <v>5.5096158235660199E-2</v>
      </c>
      <c r="K2492">
        <v>0.44353029976277802</v>
      </c>
      <c r="L2492" t="s">
        <v>33</v>
      </c>
      <c r="M2492" t="s">
        <v>34</v>
      </c>
      <c r="N2492" t="s">
        <v>35</v>
      </c>
      <c r="O2492">
        <v>0.77685847224645199</v>
      </c>
      <c r="P2492" t="s">
        <v>36</v>
      </c>
    </row>
    <row r="2493" spans="1:16">
      <c r="A2493">
        <v>2492</v>
      </c>
      <c r="B2493" t="s">
        <v>2556</v>
      </c>
      <c r="C2493">
        <v>98</v>
      </c>
      <c r="D2493">
        <v>108</v>
      </c>
      <c r="E2493">
        <v>88.275947273937604</v>
      </c>
      <c r="F2493">
        <v>0.90404040404040398</v>
      </c>
      <c r="G2493">
        <v>6120.3273958412101</v>
      </c>
      <c r="H2493">
        <v>786.57214719399201</v>
      </c>
      <c r="I2493">
        <v>0.61326567070499005</v>
      </c>
      <c r="J2493">
        <v>0.124310379115551</v>
      </c>
      <c r="K2493">
        <v>0.72998989522948499</v>
      </c>
      <c r="L2493" t="s">
        <v>38</v>
      </c>
      <c r="M2493" t="s">
        <v>34</v>
      </c>
      <c r="N2493" t="s">
        <v>35</v>
      </c>
      <c r="O2493">
        <v>0.71525792649962305</v>
      </c>
      <c r="P2493" t="s">
        <v>36</v>
      </c>
    </row>
    <row r="2494" spans="1:16">
      <c r="A2494">
        <v>2493</v>
      </c>
      <c r="B2494" t="s">
        <v>2557</v>
      </c>
      <c r="C2494">
        <v>98</v>
      </c>
      <c r="D2494">
        <v>112</v>
      </c>
      <c r="E2494">
        <v>88.897593988667694</v>
      </c>
      <c r="F2494">
        <v>0.86893201941807097</v>
      </c>
      <c r="G2494">
        <v>6206.8306389414001</v>
      </c>
      <c r="H2494">
        <v>965.29385714012699</v>
      </c>
      <c r="I2494">
        <v>0.66697814738302896</v>
      </c>
      <c r="J2494">
        <v>8.3706787398898905E-2</v>
      </c>
      <c r="K2494">
        <v>0.64112996085054097</v>
      </c>
      <c r="L2494" t="s">
        <v>38</v>
      </c>
      <c r="M2494" t="s">
        <v>34</v>
      </c>
      <c r="N2494" t="s">
        <v>35</v>
      </c>
      <c r="O2494">
        <v>0.71790690867117402</v>
      </c>
      <c r="P2494" t="s">
        <v>36</v>
      </c>
    </row>
    <row r="2495" spans="1:16">
      <c r="A2495">
        <v>2494</v>
      </c>
      <c r="B2495" t="s">
        <v>2558</v>
      </c>
      <c r="C2495">
        <v>133</v>
      </c>
      <c r="D2495">
        <v>88</v>
      </c>
      <c r="E2495">
        <v>88.940159274318901</v>
      </c>
      <c r="F2495">
        <v>1.5091458464750001</v>
      </c>
      <c r="G2495">
        <v>6212.7758790170101</v>
      </c>
      <c r="H2495">
        <v>662.18508729457903</v>
      </c>
      <c r="I2495">
        <v>0.58535250175166098</v>
      </c>
      <c r="J2495">
        <v>0.17804786036751399</v>
      </c>
      <c r="K2495">
        <v>0.70295814203790596</v>
      </c>
      <c r="L2495" t="s">
        <v>211</v>
      </c>
      <c r="M2495" t="s">
        <v>34</v>
      </c>
      <c r="N2495" t="s">
        <v>35</v>
      </c>
      <c r="O2495">
        <v>0.67282476122724899</v>
      </c>
      <c r="P2495" t="s">
        <v>36</v>
      </c>
    </row>
    <row r="2496" spans="1:16">
      <c r="A2496">
        <v>2495</v>
      </c>
      <c r="B2496" t="s">
        <v>2559</v>
      </c>
      <c r="C2496">
        <v>147</v>
      </c>
      <c r="D2496">
        <v>98</v>
      </c>
      <c r="E2496">
        <v>88.964625091844098</v>
      </c>
      <c r="F2496">
        <v>1.5083798882681601</v>
      </c>
      <c r="G2496">
        <v>6216.1943920604899</v>
      </c>
      <c r="H2496">
        <v>1013.40527945778</v>
      </c>
      <c r="I2496">
        <v>0.65543425019979196</v>
      </c>
      <c r="J2496">
        <v>7.6062067529838503E-2</v>
      </c>
      <c r="K2496">
        <v>0.54632024453327099</v>
      </c>
      <c r="L2496" t="s">
        <v>38</v>
      </c>
      <c r="M2496" t="s">
        <v>34</v>
      </c>
      <c r="N2496" t="s">
        <v>35</v>
      </c>
      <c r="O2496">
        <v>0.89575470130289803</v>
      </c>
      <c r="P2496" t="s">
        <v>36</v>
      </c>
    </row>
    <row r="2497" spans="1:16">
      <c r="A2497">
        <v>2496</v>
      </c>
      <c r="B2497" t="s">
        <v>2560</v>
      </c>
      <c r="C2497">
        <v>112</v>
      </c>
      <c r="D2497">
        <v>136</v>
      </c>
      <c r="E2497">
        <v>89.223762405607999</v>
      </c>
      <c r="F2497">
        <v>0.82399999999999995</v>
      </c>
      <c r="G2497">
        <v>6252.4603565217403</v>
      </c>
      <c r="H2497">
        <v>1141.06364370502</v>
      </c>
      <c r="I2497">
        <v>0.69209518245405499</v>
      </c>
      <c r="J2497">
        <v>6.03449698163291E-2</v>
      </c>
      <c r="K2497">
        <v>0.50343465773097196</v>
      </c>
      <c r="L2497" t="s">
        <v>38</v>
      </c>
      <c r="M2497" t="s">
        <v>34</v>
      </c>
      <c r="N2497" t="s">
        <v>35</v>
      </c>
      <c r="O2497">
        <v>0.79930670444964103</v>
      </c>
      <c r="P2497" t="s">
        <v>36</v>
      </c>
    </row>
    <row r="2498" spans="1:16">
      <c r="A2498">
        <v>2497</v>
      </c>
      <c r="B2498" t="s">
        <v>2561</v>
      </c>
      <c r="C2498">
        <v>103</v>
      </c>
      <c r="D2498">
        <v>117</v>
      </c>
      <c r="E2498">
        <v>89.272531888564103</v>
      </c>
      <c r="F2498">
        <v>0.87906975027675205</v>
      </c>
      <c r="G2498">
        <v>6259.2973826087</v>
      </c>
      <c r="H2498">
        <v>653.438911552533</v>
      </c>
      <c r="I2498">
        <v>0.72059855595450595</v>
      </c>
      <c r="J2498">
        <v>0.184215201012635</v>
      </c>
      <c r="K2498">
        <v>0.68656156768124699</v>
      </c>
      <c r="L2498" t="s">
        <v>38</v>
      </c>
      <c r="M2498" t="s">
        <v>34</v>
      </c>
      <c r="N2498" t="s">
        <v>35</v>
      </c>
      <c r="O2498">
        <v>0.78895917614282296</v>
      </c>
      <c r="P2498" t="s">
        <v>36</v>
      </c>
    </row>
    <row r="2499" spans="1:16">
      <c r="A2499">
        <v>2498</v>
      </c>
      <c r="B2499" t="s">
        <v>2562</v>
      </c>
      <c r="C2499">
        <v>107</v>
      </c>
      <c r="D2499">
        <v>92</v>
      </c>
      <c r="E2499">
        <v>89.639568413732903</v>
      </c>
      <c r="F2499">
        <v>1.1679340266254099</v>
      </c>
      <c r="G2499">
        <v>6310.8723402646501</v>
      </c>
      <c r="H2499">
        <v>461.609286733918</v>
      </c>
      <c r="I2499">
        <v>0.80203157251948098</v>
      </c>
      <c r="J2499">
        <v>0.37217755994202001</v>
      </c>
      <c r="K2499">
        <v>0.82344271196959096</v>
      </c>
      <c r="L2499" t="s">
        <v>47</v>
      </c>
      <c r="M2499" t="s">
        <v>34</v>
      </c>
      <c r="N2499" t="s">
        <v>35</v>
      </c>
      <c r="O2499">
        <v>0.88868599469767595</v>
      </c>
      <c r="P2499" t="s">
        <v>36</v>
      </c>
    </row>
    <row r="2500" spans="1:16">
      <c r="A2500">
        <v>2499</v>
      </c>
      <c r="B2500" t="s">
        <v>2563</v>
      </c>
      <c r="C2500">
        <v>240</v>
      </c>
      <c r="D2500">
        <v>80</v>
      </c>
      <c r="E2500">
        <v>89.888339302308097</v>
      </c>
      <c r="F2500">
        <v>2.99800560018415</v>
      </c>
      <c r="G2500">
        <v>6345.94925671078</v>
      </c>
      <c r="H2500">
        <v>735.63396791354501</v>
      </c>
      <c r="I2500">
        <v>0.63373693149270605</v>
      </c>
      <c r="J2500">
        <v>0.14736111873425201</v>
      </c>
      <c r="K2500">
        <v>0.49018392229799501</v>
      </c>
      <c r="L2500" t="s">
        <v>38</v>
      </c>
      <c r="M2500" t="s">
        <v>34</v>
      </c>
      <c r="N2500" t="s">
        <v>35</v>
      </c>
      <c r="O2500">
        <v>0.84192264126877503</v>
      </c>
      <c r="P2500" t="s">
        <v>36</v>
      </c>
    </row>
    <row r="2501" spans="1:16">
      <c r="A2501">
        <v>2500</v>
      </c>
      <c r="B2501" t="s">
        <v>2564</v>
      </c>
      <c r="C2501">
        <v>137</v>
      </c>
      <c r="D2501">
        <v>103</v>
      </c>
      <c r="E2501">
        <v>90.160564803269693</v>
      </c>
      <c r="F2501">
        <v>1.33510643737573</v>
      </c>
      <c r="G2501">
        <v>6384.4446862003797</v>
      </c>
      <c r="H2501">
        <v>1186.33273704311</v>
      </c>
      <c r="I2501">
        <v>0.70362557427359496</v>
      </c>
      <c r="J2501">
        <v>5.7005920484906103E-2</v>
      </c>
      <c r="K2501">
        <v>0.55944101482118203</v>
      </c>
      <c r="L2501" t="s">
        <v>38</v>
      </c>
      <c r="M2501" t="s">
        <v>34</v>
      </c>
      <c r="N2501" t="s">
        <v>35</v>
      </c>
      <c r="O2501">
        <v>0.84403115329901202</v>
      </c>
      <c r="P2501" t="s">
        <v>36</v>
      </c>
    </row>
    <row r="2502" spans="1:16">
      <c r="A2502">
        <v>2501</v>
      </c>
      <c r="B2502" t="s">
        <v>2565</v>
      </c>
      <c r="C2502">
        <v>183</v>
      </c>
      <c r="D2502">
        <v>84</v>
      </c>
      <c r="E2502">
        <v>90.6483018190781</v>
      </c>
      <c r="F2502">
        <v>2.1842665286584499</v>
      </c>
      <c r="G2502">
        <v>6453.7067330812897</v>
      </c>
      <c r="H2502">
        <v>856.56975984583698</v>
      </c>
      <c r="I2502">
        <v>0.72994568278012195</v>
      </c>
      <c r="J2502">
        <v>0.110533421686879</v>
      </c>
      <c r="K2502">
        <v>0.54255904035986502</v>
      </c>
      <c r="L2502" t="s">
        <v>33</v>
      </c>
      <c r="M2502" t="s">
        <v>34</v>
      </c>
      <c r="N2502" t="s">
        <v>35</v>
      </c>
      <c r="O2502">
        <v>0.74832327738398596</v>
      </c>
      <c r="P2502" t="s">
        <v>36</v>
      </c>
    </row>
    <row r="2503" spans="1:16">
      <c r="A2503">
        <v>2502</v>
      </c>
      <c r="B2503" t="s">
        <v>2566</v>
      </c>
      <c r="C2503">
        <v>112</v>
      </c>
      <c r="D2503">
        <v>107</v>
      </c>
      <c r="E2503">
        <v>90.673350282996594</v>
      </c>
      <c r="F2503">
        <v>1.0510204081632699</v>
      </c>
      <c r="G2503">
        <v>6457.2738771266504</v>
      </c>
      <c r="H2503">
        <v>1003.52716697496</v>
      </c>
      <c r="I2503">
        <v>0.55113429900113398</v>
      </c>
      <c r="J2503">
        <v>8.0575090673538394E-2</v>
      </c>
      <c r="K2503">
        <v>0.59374615626409399</v>
      </c>
      <c r="L2503" t="s">
        <v>38</v>
      </c>
      <c r="M2503" t="s">
        <v>34</v>
      </c>
      <c r="N2503" t="s">
        <v>35</v>
      </c>
      <c r="O2503">
        <v>0.69374146445775198</v>
      </c>
      <c r="P2503" t="s">
        <v>36</v>
      </c>
    </row>
    <row r="2504" spans="1:16">
      <c r="A2504">
        <v>2503</v>
      </c>
      <c r="B2504" t="s">
        <v>2567</v>
      </c>
      <c r="C2504">
        <v>146</v>
      </c>
      <c r="D2504">
        <v>75</v>
      </c>
      <c r="E2504">
        <v>90.685871920455</v>
      </c>
      <c r="F2504">
        <v>1.9463845208136401</v>
      </c>
      <c r="G2504">
        <v>6459.0574491493398</v>
      </c>
      <c r="H2504">
        <v>526.52890364014604</v>
      </c>
      <c r="I2504">
        <v>0.69718314215518296</v>
      </c>
      <c r="J2504">
        <v>0.29277539668450903</v>
      </c>
      <c r="K2504">
        <v>0.75404289283731296</v>
      </c>
      <c r="L2504" t="s">
        <v>33</v>
      </c>
      <c r="M2504" t="s">
        <v>34</v>
      </c>
      <c r="N2504" t="s">
        <v>35</v>
      </c>
      <c r="O2504">
        <v>0.668150810631579</v>
      </c>
      <c r="P2504" t="s">
        <v>36</v>
      </c>
    </row>
    <row r="2505" spans="1:16">
      <c r="A2505">
        <v>2504</v>
      </c>
      <c r="B2505" t="s">
        <v>2568</v>
      </c>
      <c r="C2505">
        <v>108</v>
      </c>
      <c r="D2505">
        <v>106</v>
      </c>
      <c r="E2505">
        <v>90.780771461078601</v>
      </c>
      <c r="F2505">
        <v>1.01739589642006</v>
      </c>
      <c r="G2505">
        <v>6472.5828703213601</v>
      </c>
      <c r="H2505">
        <v>553.09621407135705</v>
      </c>
      <c r="I2505">
        <v>0.62199800274197004</v>
      </c>
      <c r="J2505">
        <v>0.26588027057777802</v>
      </c>
      <c r="K2505">
        <v>0.73047504025764898</v>
      </c>
      <c r="L2505" t="s">
        <v>38</v>
      </c>
      <c r="M2505" t="s">
        <v>34</v>
      </c>
      <c r="N2505" t="s">
        <v>35</v>
      </c>
      <c r="O2505">
        <v>0.86910966806061496</v>
      </c>
      <c r="P2505" t="s">
        <v>36</v>
      </c>
    </row>
    <row r="2506" spans="1:16">
      <c r="A2506">
        <v>2505</v>
      </c>
      <c r="B2506" t="s">
        <v>2569</v>
      </c>
      <c r="C2506">
        <v>85</v>
      </c>
      <c r="D2506">
        <v>149</v>
      </c>
      <c r="E2506">
        <v>90.814119160416695</v>
      </c>
      <c r="F2506">
        <v>0.57337330897672101</v>
      </c>
      <c r="G2506">
        <v>6477.3390623818505</v>
      </c>
      <c r="H2506">
        <v>694.17085568904895</v>
      </c>
      <c r="I2506">
        <v>0.68660294991441995</v>
      </c>
      <c r="J2506">
        <v>0.16891714906900401</v>
      </c>
      <c r="K2506">
        <v>0.62767351759300605</v>
      </c>
      <c r="L2506" t="s">
        <v>41</v>
      </c>
      <c r="M2506" t="s">
        <v>34</v>
      </c>
      <c r="N2506" t="s">
        <v>35</v>
      </c>
      <c r="O2506">
        <v>0.73583486885227101</v>
      </c>
      <c r="P2506" t="s">
        <v>36</v>
      </c>
    </row>
    <row r="2507" spans="1:16">
      <c r="A2507">
        <v>2506</v>
      </c>
      <c r="B2507" t="s">
        <v>2570</v>
      </c>
      <c r="C2507">
        <v>147</v>
      </c>
      <c r="D2507">
        <v>80</v>
      </c>
      <c r="E2507">
        <v>90.960911843696906</v>
      </c>
      <c r="F2507">
        <v>1.8453313480739699</v>
      </c>
      <c r="G2507">
        <v>6498.2960336483902</v>
      </c>
      <c r="H2507">
        <v>711.94821164597602</v>
      </c>
      <c r="I2507">
        <v>0.61539390057154897</v>
      </c>
      <c r="J2507">
        <v>0.161106309441895</v>
      </c>
      <c r="K2507">
        <v>0.65454518234624803</v>
      </c>
      <c r="L2507" t="s">
        <v>38</v>
      </c>
      <c r="M2507" t="s">
        <v>34</v>
      </c>
      <c r="N2507" t="s">
        <v>35</v>
      </c>
      <c r="O2507">
        <v>0.718055062368673</v>
      </c>
      <c r="P2507" t="s">
        <v>36</v>
      </c>
    </row>
    <row r="2508" spans="1:16">
      <c r="A2508">
        <v>2507</v>
      </c>
      <c r="B2508" t="s">
        <v>2571</v>
      </c>
      <c r="C2508">
        <v>142</v>
      </c>
      <c r="D2508">
        <v>112</v>
      </c>
      <c r="E2508">
        <v>91.217489946415199</v>
      </c>
      <c r="F2508">
        <v>1.2621359223301001</v>
      </c>
      <c r="G2508">
        <v>6535.0078911153096</v>
      </c>
      <c r="H2508">
        <v>1249.80103624199</v>
      </c>
      <c r="I2508">
        <v>0.57455029949653202</v>
      </c>
      <c r="J2508">
        <v>5.25743872258694E-2</v>
      </c>
      <c r="K2508">
        <v>0.49935831184908402</v>
      </c>
      <c r="L2508" t="s">
        <v>49</v>
      </c>
      <c r="M2508" t="s">
        <v>34</v>
      </c>
      <c r="N2508" t="s">
        <v>35</v>
      </c>
      <c r="O2508">
        <v>0.71802379888244605</v>
      </c>
      <c r="P2508" t="s">
        <v>36</v>
      </c>
    </row>
    <row r="2509" spans="1:16">
      <c r="A2509">
        <v>2508</v>
      </c>
      <c r="B2509" t="s">
        <v>2572</v>
      </c>
      <c r="C2509">
        <v>93</v>
      </c>
      <c r="D2509">
        <v>96</v>
      </c>
      <c r="E2509">
        <v>91.260010024987196</v>
      </c>
      <c r="F2509">
        <v>0.97528165790683696</v>
      </c>
      <c r="G2509">
        <v>6541.1017621928204</v>
      </c>
      <c r="H2509">
        <v>386.985351185902</v>
      </c>
      <c r="I2509">
        <v>0.747909423898798</v>
      </c>
      <c r="J2509">
        <v>0.54887281127644405</v>
      </c>
      <c r="K2509">
        <v>0.90650490236466996</v>
      </c>
      <c r="L2509" t="s">
        <v>288</v>
      </c>
      <c r="M2509" t="s">
        <v>34</v>
      </c>
      <c r="N2509" t="s">
        <v>35</v>
      </c>
      <c r="O2509">
        <v>0.68409507441821005</v>
      </c>
      <c r="P2509" t="s">
        <v>36</v>
      </c>
    </row>
    <row r="2510" spans="1:16">
      <c r="A2510">
        <v>2509</v>
      </c>
      <c r="B2510" t="s">
        <v>2573</v>
      </c>
      <c r="C2510">
        <v>142</v>
      </c>
      <c r="D2510">
        <v>113</v>
      </c>
      <c r="E2510">
        <v>91.261046852586205</v>
      </c>
      <c r="F2510">
        <v>1.26086956521739</v>
      </c>
      <c r="G2510">
        <v>6541.2503931947103</v>
      </c>
      <c r="H2510">
        <v>960.68082948664005</v>
      </c>
      <c r="I2510">
        <v>0.71434895198912296</v>
      </c>
      <c r="J2510">
        <v>8.9066090388417604E-2</v>
      </c>
      <c r="K2510">
        <v>0.477777536530821</v>
      </c>
      <c r="L2510" t="s">
        <v>298</v>
      </c>
      <c r="M2510" t="s">
        <v>34</v>
      </c>
      <c r="N2510" t="s">
        <v>35</v>
      </c>
      <c r="O2510">
        <v>0.66573963192362495</v>
      </c>
      <c r="P2510" t="s">
        <v>36</v>
      </c>
    </row>
    <row r="2511" spans="1:16">
      <c r="A2511">
        <v>2510</v>
      </c>
      <c r="B2511" t="s">
        <v>2574</v>
      </c>
      <c r="C2511">
        <v>93</v>
      </c>
      <c r="D2511">
        <v>161</v>
      </c>
      <c r="E2511">
        <v>91.330487488379404</v>
      </c>
      <c r="F2511">
        <v>0.57432433964999197</v>
      </c>
      <c r="G2511">
        <v>6551.2086703213599</v>
      </c>
      <c r="H2511">
        <v>947.60501433382899</v>
      </c>
      <c r="I2511">
        <v>0.69203539327482899</v>
      </c>
      <c r="J2511">
        <v>9.1680420504184595E-2</v>
      </c>
      <c r="K2511">
        <v>0.57599675914431003</v>
      </c>
      <c r="L2511" t="s">
        <v>49</v>
      </c>
      <c r="M2511" t="s">
        <v>34</v>
      </c>
      <c r="N2511" t="s">
        <v>35</v>
      </c>
      <c r="O2511">
        <v>0.76027682214397696</v>
      </c>
      <c r="P2511" t="s">
        <v>36</v>
      </c>
    </row>
    <row r="2512" spans="1:16">
      <c r="A2512">
        <v>2511</v>
      </c>
      <c r="B2512" t="s">
        <v>2575</v>
      </c>
      <c r="C2512">
        <v>145</v>
      </c>
      <c r="D2512">
        <v>86</v>
      </c>
      <c r="E2512">
        <v>91.491965944869506</v>
      </c>
      <c r="F2512">
        <v>1.69134737982252</v>
      </c>
      <c r="G2512">
        <v>6574.3951066162599</v>
      </c>
      <c r="H2512">
        <v>662.349478897116</v>
      </c>
      <c r="I2512">
        <v>0.66938623417557896</v>
      </c>
      <c r="J2512">
        <v>0.18831775439091999</v>
      </c>
      <c r="K2512">
        <v>0.66803093001480096</v>
      </c>
      <c r="L2512" t="s">
        <v>38</v>
      </c>
      <c r="M2512" t="s">
        <v>34</v>
      </c>
      <c r="N2512" t="s">
        <v>35</v>
      </c>
      <c r="O2512">
        <v>0.70669977218737001</v>
      </c>
      <c r="P2512" t="s">
        <v>36</v>
      </c>
    </row>
    <row r="2513" spans="1:16">
      <c r="A2513">
        <v>2512</v>
      </c>
      <c r="B2513" t="s">
        <v>2576</v>
      </c>
      <c r="C2513">
        <v>83</v>
      </c>
      <c r="D2513">
        <v>122</v>
      </c>
      <c r="E2513">
        <v>91.649030265314806</v>
      </c>
      <c r="F2513">
        <v>0.67857142857142905</v>
      </c>
      <c r="G2513">
        <v>6596.9870189035901</v>
      </c>
      <c r="H2513">
        <v>911.80775559145502</v>
      </c>
      <c r="I2513">
        <v>0.70133489583211495</v>
      </c>
      <c r="J2513">
        <v>9.9712344958645796E-2</v>
      </c>
      <c r="K2513">
        <v>0.66856962101584605</v>
      </c>
      <c r="L2513" t="s">
        <v>33</v>
      </c>
      <c r="M2513" t="s">
        <v>34</v>
      </c>
      <c r="N2513" t="s">
        <v>35</v>
      </c>
      <c r="O2513">
        <v>0.800313383956341</v>
      </c>
      <c r="P2513" t="s">
        <v>36</v>
      </c>
    </row>
    <row r="2514" spans="1:16">
      <c r="A2514">
        <v>2513</v>
      </c>
      <c r="B2514" t="s">
        <v>2577</v>
      </c>
      <c r="C2514">
        <v>98</v>
      </c>
      <c r="D2514">
        <v>118</v>
      </c>
      <c r="E2514">
        <v>92.312547355134498</v>
      </c>
      <c r="F2514">
        <v>0.82644631361762699</v>
      </c>
      <c r="G2514">
        <v>6692.8540151228699</v>
      </c>
      <c r="H2514">
        <v>590.24849136207399</v>
      </c>
      <c r="I2514">
        <v>0.64289931806365397</v>
      </c>
      <c r="J2514">
        <v>0.24140788147922199</v>
      </c>
      <c r="K2514">
        <v>0.73606093793419103</v>
      </c>
      <c r="L2514" t="s">
        <v>33</v>
      </c>
      <c r="M2514" t="s">
        <v>34</v>
      </c>
      <c r="N2514" t="s">
        <v>35</v>
      </c>
      <c r="O2514">
        <v>0.71098912904893896</v>
      </c>
      <c r="P2514" t="s">
        <v>36</v>
      </c>
    </row>
    <row r="2515" spans="1:16">
      <c r="A2515">
        <v>2514</v>
      </c>
      <c r="B2515" t="s">
        <v>2578</v>
      </c>
      <c r="C2515">
        <v>129</v>
      </c>
      <c r="D2515">
        <v>87</v>
      </c>
      <c r="E2515">
        <v>92.887836311018305</v>
      </c>
      <c r="F2515">
        <v>1.48341567564319</v>
      </c>
      <c r="G2515">
        <v>6776.5332691871499</v>
      </c>
      <c r="H2515">
        <v>590.00660507751604</v>
      </c>
      <c r="I2515">
        <v>0.76838761428092095</v>
      </c>
      <c r="J2515">
        <v>0.24462660704619399</v>
      </c>
      <c r="K2515">
        <v>0.783223390366248</v>
      </c>
      <c r="L2515" t="s">
        <v>49</v>
      </c>
      <c r="M2515" t="s">
        <v>34</v>
      </c>
      <c r="N2515" t="s">
        <v>35</v>
      </c>
      <c r="O2515">
        <v>0.65311616349104196</v>
      </c>
      <c r="P2515" t="s">
        <v>36</v>
      </c>
    </row>
    <row r="2516" spans="1:16">
      <c r="A2516">
        <v>2515</v>
      </c>
      <c r="B2516" t="s">
        <v>2579</v>
      </c>
      <c r="C2516">
        <v>122</v>
      </c>
      <c r="D2516">
        <v>117</v>
      </c>
      <c r="E2516">
        <v>93.037459317804107</v>
      </c>
      <c r="F2516">
        <v>1.0418604651162799</v>
      </c>
      <c r="G2516">
        <v>6798.3820264650303</v>
      </c>
      <c r="H2516">
        <v>1267.2346975210401</v>
      </c>
      <c r="I2516">
        <v>0.56259037833298497</v>
      </c>
      <c r="J2516">
        <v>5.3198736584143903E-2</v>
      </c>
      <c r="K2516">
        <v>0.53159466778238795</v>
      </c>
      <c r="L2516" t="s">
        <v>33</v>
      </c>
      <c r="M2516" t="s">
        <v>34</v>
      </c>
      <c r="N2516" t="s">
        <v>35</v>
      </c>
      <c r="O2516">
        <v>0.69719018514521602</v>
      </c>
      <c r="P2516" t="s">
        <v>36</v>
      </c>
    </row>
    <row r="2517" spans="1:16">
      <c r="A2517">
        <v>2516</v>
      </c>
      <c r="B2517" t="s">
        <v>2580</v>
      </c>
      <c r="C2517">
        <v>123</v>
      </c>
      <c r="D2517">
        <v>113</v>
      </c>
      <c r="E2517">
        <v>93.046612093803105</v>
      </c>
      <c r="F2517">
        <v>1.0869565217391299</v>
      </c>
      <c r="G2517">
        <v>6799.7197054820399</v>
      </c>
      <c r="H2517">
        <v>720.56209550515496</v>
      </c>
      <c r="I2517">
        <v>0.64502106565675699</v>
      </c>
      <c r="J2517">
        <v>0.16457279666221999</v>
      </c>
      <c r="K2517">
        <v>0.63095976940157505</v>
      </c>
      <c r="L2517" t="s">
        <v>41</v>
      </c>
      <c r="M2517" t="s">
        <v>34</v>
      </c>
      <c r="N2517" t="s">
        <v>35</v>
      </c>
      <c r="O2517">
        <v>0.77064943873851599</v>
      </c>
      <c r="P2517" t="s">
        <v>36</v>
      </c>
    </row>
    <row r="2518" spans="1:16">
      <c r="A2518">
        <v>2517</v>
      </c>
      <c r="B2518" t="s">
        <v>2581</v>
      </c>
      <c r="C2518">
        <v>171</v>
      </c>
      <c r="D2518">
        <v>98</v>
      </c>
      <c r="E2518">
        <v>93.138090383907397</v>
      </c>
      <c r="F2518">
        <v>1.7541899022261001</v>
      </c>
      <c r="G2518">
        <v>6813.0964956521702</v>
      </c>
      <c r="H2518">
        <v>964.63239772579004</v>
      </c>
      <c r="I2518">
        <v>0.68894303529575596</v>
      </c>
      <c r="J2518">
        <v>9.2009085955038206E-2</v>
      </c>
      <c r="K2518">
        <v>0.52917205393424505</v>
      </c>
      <c r="L2518" t="s">
        <v>38</v>
      </c>
      <c r="M2518" t="s">
        <v>34</v>
      </c>
      <c r="N2518" t="s">
        <v>35</v>
      </c>
      <c r="O2518">
        <v>0.70361383296046898</v>
      </c>
      <c r="P2518" t="s">
        <v>36</v>
      </c>
    </row>
    <row r="2519" spans="1:16">
      <c r="A2519">
        <v>2518</v>
      </c>
      <c r="B2519" t="s">
        <v>2582</v>
      </c>
      <c r="C2519">
        <v>182</v>
      </c>
      <c r="D2519">
        <v>96</v>
      </c>
      <c r="E2519">
        <v>93.777957824229304</v>
      </c>
      <c r="F2519">
        <v>1.9013145860379299</v>
      </c>
      <c r="G2519">
        <v>6907.0312888468798</v>
      </c>
      <c r="H2519">
        <v>813.70072487634195</v>
      </c>
      <c r="I2519">
        <v>0.41021558459695501</v>
      </c>
      <c r="J2519">
        <v>0.13109069972833001</v>
      </c>
      <c r="K2519">
        <v>0.53683359325362401</v>
      </c>
      <c r="L2519" t="s">
        <v>38</v>
      </c>
      <c r="M2519" t="s">
        <v>34</v>
      </c>
      <c r="N2519" t="s">
        <v>35</v>
      </c>
      <c r="O2519">
        <v>0.73429759679744999</v>
      </c>
      <c r="P2519" t="s">
        <v>36</v>
      </c>
    </row>
    <row r="2520" spans="1:16">
      <c r="A2520">
        <v>2519</v>
      </c>
      <c r="B2520" t="s">
        <v>2583</v>
      </c>
      <c r="C2520">
        <v>140</v>
      </c>
      <c r="D2520">
        <v>116</v>
      </c>
      <c r="E2520">
        <v>93.970478139128303</v>
      </c>
      <c r="F2520">
        <v>1.2122641509434</v>
      </c>
      <c r="G2520">
        <v>6935.4198102079399</v>
      </c>
      <c r="H2520">
        <v>784.567348243879</v>
      </c>
      <c r="I2520">
        <v>0.70528333294431</v>
      </c>
      <c r="J2520">
        <v>0.14158660193011299</v>
      </c>
      <c r="K2520">
        <v>0.52352743184113104</v>
      </c>
      <c r="L2520" t="s">
        <v>1038</v>
      </c>
      <c r="M2520" t="s">
        <v>34</v>
      </c>
      <c r="N2520" t="s">
        <v>35</v>
      </c>
      <c r="O2520">
        <v>0.696721618101244</v>
      </c>
      <c r="P2520" t="s">
        <v>36</v>
      </c>
    </row>
    <row r="2521" spans="1:16">
      <c r="A2521">
        <v>2520</v>
      </c>
      <c r="B2521" t="s">
        <v>2584</v>
      </c>
      <c r="C2521">
        <v>103</v>
      </c>
      <c r="D2521">
        <v>132</v>
      </c>
      <c r="E2521">
        <v>94.153560548113205</v>
      </c>
      <c r="F2521">
        <v>0.77366255144032903</v>
      </c>
      <c r="G2521">
        <v>6962.4706525519896</v>
      </c>
      <c r="H2521">
        <v>723.84280209147403</v>
      </c>
      <c r="I2521">
        <v>0.69695134722479501</v>
      </c>
      <c r="J2521">
        <v>0.166987791649472</v>
      </c>
      <c r="K2521">
        <v>0.69262046634039598</v>
      </c>
      <c r="L2521" t="s">
        <v>38</v>
      </c>
      <c r="M2521" t="s">
        <v>34</v>
      </c>
      <c r="N2521" t="s">
        <v>35</v>
      </c>
      <c r="O2521">
        <v>0.72993718151678399</v>
      </c>
      <c r="P2521" t="s">
        <v>36</v>
      </c>
    </row>
    <row r="2522" spans="1:16">
      <c r="A2522">
        <v>2521</v>
      </c>
      <c r="B2522" t="s">
        <v>2585</v>
      </c>
      <c r="C2522">
        <v>87</v>
      </c>
      <c r="D2522">
        <v>143</v>
      </c>
      <c r="E2522">
        <v>94.289133791898706</v>
      </c>
      <c r="F2522">
        <v>0.605424094840049</v>
      </c>
      <c r="G2522">
        <v>6982.5358378071796</v>
      </c>
      <c r="H2522">
        <v>622.08088662261605</v>
      </c>
      <c r="I2522">
        <v>0.80380440147721699</v>
      </c>
      <c r="J2522">
        <v>0.22674061571652801</v>
      </c>
      <c r="K2522">
        <v>0.74804942517754203</v>
      </c>
      <c r="L2522" t="s">
        <v>298</v>
      </c>
      <c r="M2522" t="s">
        <v>34</v>
      </c>
      <c r="N2522" t="s">
        <v>35</v>
      </c>
      <c r="O2522">
        <v>0.64777324565666095</v>
      </c>
      <c r="P2522" t="s">
        <v>36</v>
      </c>
    </row>
    <row r="2523" spans="1:16">
      <c r="A2523">
        <v>2522</v>
      </c>
      <c r="B2523" t="s">
        <v>2586</v>
      </c>
      <c r="C2523">
        <v>122</v>
      </c>
      <c r="D2523">
        <v>120</v>
      </c>
      <c r="E2523">
        <v>94.304185454646102</v>
      </c>
      <c r="F2523">
        <v>1.01511873361924</v>
      </c>
      <c r="G2523">
        <v>6984.7653028355398</v>
      </c>
      <c r="H2523">
        <v>763.221343909761</v>
      </c>
      <c r="I2523">
        <v>0.61567235518437802</v>
      </c>
      <c r="J2523">
        <v>0.15068175421529201</v>
      </c>
      <c r="K2523">
        <v>0.63730183484994396</v>
      </c>
      <c r="L2523" t="s">
        <v>38</v>
      </c>
      <c r="M2523" t="s">
        <v>34</v>
      </c>
      <c r="N2523" t="s">
        <v>35</v>
      </c>
      <c r="O2523">
        <v>0.72293548024293597</v>
      </c>
      <c r="P2523" t="s">
        <v>36</v>
      </c>
    </row>
    <row r="2524" spans="1:16">
      <c r="A2524">
        <v>2523</v>
      </c>
      <c r="B2524" t="s">
        <v>2587</v>
      </c>
      <c r="C2524">
        <v>187</v>
      </c>
      <c r="D2524">
        <v>85</v>
      </c>
      <c r="E2524">
        <v>94.376400020583901</v>
      </c>
      <c r="F2524">
        <v>2.2098661192970899</v>
      </c>
      <c r="G2524">
        <v>6995.4667349716501</v>
      </c>
      <c r="H2524">
        <v>937.84589849119595</v>
      </c>
      <c r="I2524">
        <v>0.77033185971557905</v>
      </c>
      <c r="J2524">
        <v>9.9945580067821005E-2</v>
      </c>
      <c r="K2524">
        <v>0.57096758540372705</v>
      </c>
      <c r="L2524" t="s">
        <v>298</v>
      </c>
      <c r="M2524" t="s">
        <v>34</v>
      </c>
      <c r="N2524" t="s">
        <v>35</v>
      </c>
      <c r="O2524">
        <v>0.65220441390335304</v>
      </c>
      <c r="P2524" t="s">
        <v>36</v>
      </c>
    </row>
    <row r="2525" spans="1:16">
      <c r="A2525">
        <v>2524</v>
      </c>
      <c r="B2525" t="s">
        <v>2588</v>
      </c>
      <c r="C2525">
        <v>161</v>
      </c>
      <c r="D2525">
        <v>108</v>
      </c>
      <c r="E2525">
        <v>94.4455538329821</v>
      </c>
      <c r="F2525">
        <v>1.48989891127753</v>
      </c>
      <c r="G2525">
        <v>7005.7222741020796</v>
      </c>
      <c r="H2525">
        <v>1047.36374708269</v>
      </c>
      <c r="I2525">
        <v>0.67658993779632703</v>
      </c>
      <c r="J2525">
        <v>8.0254188184987599E-2</v>
      </c>
      <c r="K2525">
        <v>0.51683680742113403</v>
      </c>
      <c r="L2525" t="s">
        <v>47</v>
      </c>
      <c r="M2525" t="s">
        <v>34</v>
      </c>
      <c r="N2525" t="s">
        <v>35</v>
      </c>
      <c r="O2525">
        <v>0.89339188458585095</v>
      </c>
      <c r="P2525" t="s">
        <v>36</v>
      </c>
    </row>
    <row r="2526" spans="1:16">
      <c r="A2526">
        <v>2525</v>
      </c>
      <c r="B2526" t="s">
        <v>2589</v>
      </c>
      <c r="C2526">
        <v>146</v>
      </c>
      <c r="D2526">
        <v>132</v>
      </c>
      <c r="E2526">
        <v>94.890335206510898</v>
      </c>
      <c r="F2526">
        <v>1.1074380165289299</v>
      </c>
      <c r="G2526">
        <v>7071.8630699432897</v>
      </c>
      <c r="H2526">
        <v>1181.89739623484</v>
      </c>
      <c r="I2526">
        <v>0.67697123734742803</v>
      </c>
      <c r="J2526">
        <v>6.3618606960806595E-2</v>
      </c>
      <c r="K2526">
        <v>0.47090261282660301</v>
      </c>
      <c r="L2526" t="s">
        <v>298</v>
      </c>
      <c r="M2526" t="s">
        <v>34</v>
      </c>
      <c r="N2526" t="s">
        <v>35</v>
      </c>
      <c r="O2526">
        <v>0.78155438242891495</v>
      </c>
      <c r="P2526" t="s">
        <v>36</v>
      </c>
    </row>
    <row r="2527" spans="1:16">
      <c r="A2527">
        <v>2526</v>
      </c>
      <c r="B2527" t="s">
        <v>2590</v>
      </c>
      <c r="C2527">
        <v>153</v>
      </c>
      <c r="D2527">
        <v>73</v>
      </c>
      <c r="E2527">
        <v>94.965093222681205</v>
      </c>
      <c r="F2527">
        <v>2.0987082150707299</v>
      </c>
      <c r="G2527">
        <v>7083.0103950850698</v>
      </c>
      <c r="H2527">
        <v>538.41409184714996</v>
      </c>
      <c r="I2527">
        <v>0.74389486698289498</v>
      </c>
      <c r="J2527">
        <v>0.30703996436800701</v>
      </c>
      <c r="K2527">
        <v>0.844437750292377</v>
      </c>
      <c r="L2527" t="s">
        <v>38</v>
      </c>
      <c r="M2527" t="s">
        <v>34</v>
      </c>
      <c r="N2527" t="s">
        <v>35</v>
      </c>
      <c r="O2527">
        <v>0.72724087985599695</v>
      </c>
      <c r="P2527" t="s">
        <v>36</v>
      </c>
    </row>
    <row r="2528" spans="1:16">
      <c r="A2528">
        <v>2527</v>
      </c>
      <c r="B2528" t="s">
        <v>2591</v>
      </c>
      <c r="C2528">
        <v>120</v>
      </c>
      <c r="D2528">
        <v>166</v>
      </c>
      <c r="E2528">
        <v>95.201936606654598</v>
      </c>
      <c r="F2528">
        <v>0.72398189977031002</v>
      </c>
      <c r="G2528">
        <v>7118.3845735349696</v>
      </c>
      <c r="H2528">
        <v>858.75290618512997</v>
      </c>
      <c r="I2528">
        <v>0.60026404796409005</v>
      </c>
      <c r="J2528">
        <v>0.12129834395771399</v>
      </c>
      <c r="K2528">
        <v>0.49820557364429802</v>
      </c>
      <c r="L2528" t="s">
        <v>101</v>
      </c>
      <c r="M2528" t="s">
        <v>34</v>
      </c>
      <c r="N2528" t="s">
        <v>35</v>
      </c>
      <c r="O2528">
        <v>0.72147729455637899</v>
      </c>
      <c r="P2528" t="s">
        <v>36</v>
      </c>
    </row>
    <row r="2529" spans="1:16">
      <c r="A2529">
        <v>2528</v>
      </c>
      <c r="B2529" t="s">
        <v>2592</v>
      </c>
      <c r="C2529">
        <v>102</v>
      </c>
      <c r="D2529">
        <v>189</v>
      </c>
      <c r="E2529">
        <v>95.215850223720594</v>
      </c>
      <c r="F2529">
        <v>0.53691885508944504</v>
      </c>
      <c r="G2529">
        <v>7120.4654075614399</v>
      </c>
      <c r="H2529">
        <v>955.79932506322905</v>
      </c>
      <c r="I2529">
        <v>0.69467558588654199</v>
      </c>
      <c r="J2529">
        <v>9.7945571787517199E-2</v>
      </c>
      <c r="K2529">
        <v>0.54816009886035999</v>
      </c>
      <c r="L2529" t="s">
        <v>38</v>
      </c>
      <c r="M2529" t="s">
        <v>34</v>
      </c>
      <c r="N2529" t="s">
        <v>35</v>
      </c>
      <c r="O2529">
        <v>0.76456034090540204</v>
      </c>
      <c r="P2529" t="s">
        <v>36</v>
      </c>
    </row>
    <row r="2530" spans="1:16">
      <c r="A2530">
        <v>2529</v>
      </c>
      <c r="B2530" t="s">
        <v>2593</v>
      </c>
      <c r="C2530">
        <v>171</v>
      </c>
      <c r="D2530">
        <v>90</v>
      </c>
      <c r="E2530">
        <v>95.251618763758998</v>
      </c>
      <c r="F2530">
        <v>1.9041764839144999</v>
      </c>
      <c r="G2530">
        <v>7125.81612362949</v>
      </c>
      <c r="H2530">
        <v>726.20135850191105</v>
      </c>
      <c r="I2530">
        <v>0.65510362237867703</v>
      </c>
      <c r="J2530">
        <v>0.169797136340851</v>
      </c>
      <c r="K2530">
        <v>0.65683440424161899</v>
      </c>
      <c r="L2530" t="s">
        <v>38</v>
      </c>
      <c r="M2530" t="s">
        <v>34</v>
      </c>
      <c r="N2530" t="s">
        <v>35</v>
      </c>
      <c r="O2530">
        <v>0.66008871610714503</v>
      </c>
      <c r="P2530" t="s">
        <v>36</v>
      </c>
    </row>
    <row r="2531" spans="1:16">
      <c r="A2531">
        <v>2530</v>
      </c>
      <c r="B2531" t="s">
        <v>2594</v>
      </c>
      <c r="C2531">
        <v>162</v>
      </c>
      <c r="D2531">
        <v>94</v>
      </c>
      <c r="E2531">
        <v>95.712427674181299</v>
      </c>
      <c r="F2531">
        <v>1.72498202003214</v>
      </c>
      <c r="G2531">
        <v>7194.9295395085101</v>
      </c>
      <c r="H2531">
        <v>697.70674380261005</v>
      </c>
      <c r="I2531">
        <v>0.52605895661392399</v>
      </c>
      <c r="J2531">
        <v>0.185733638992158</v>
      </c>
      <c r="K2531">
        <v>0.64754668521590197</v>
      </c>
      <c r="L2531" t="s">
        <v>144</v>
      </c>
      <c r="M2531" t="s">
        <v>34</v>
      </c>
      <c r="N2531" t="s">
        <v>35</v>
      </c>
      <c r="O2531">
        <v>0.748714801151113</v>
      </c>
      <c r="P2531" t="s">
        <v>36</v>
      </c>
    </row>
    <row r="2532" spans="1:16">
      <c r="A2532">
        <v>2531</v>
      </c>
      <c r="B2532" t="s">
        <v>2595</v>
      </c>
      <c r="C2532">
        <v>91</v>
      </c>
      <c r="D2532">
        <v>154</v>
      </c>
      <c r="E2532">
        <v>95.746034219896103</v>
      </c>
      <c r="F2532">
        <v>0.58942458850113</v>
      </c>
      <c r="G2532">
        <v>7199.9829935727803</v>
      </c>
      <c r="H2532">
        <v>580.08148140223102</v>
      </c>
      <c r="I2532">
        <v>0.562302068121877</v>
      </c>
      <c r="J2532">
        <v>0.26888299206836802</v>
      </c>
      <c r="K2532">
        <v>0.73868159014318602</v>
      </c>
      <c r="L2532" t="s">
        <v>188</v>
      </c>
      <c r="M2532" t="s">
        <v>34</v>
      </c>
      <c r="N2532" t="s">
        <v>35</v>
      </c>
      <c r="O2532">
        <v>0.77795911353659397</v>
      </c>
      <c r="P2532" t="s">
        <v>36</v>
      </c>
    </row>
    <row r="2533" spans="1:16">
      <c r="A2533">
        <v>2532</v>
      </c>
      <c r="B2533" t="s">
        <v>2596</v>
      </c>
      <c r="C2533">
        <v>109</v>
      </c>
      <c r="D2533">
        <v>119</v>
      </c>
      <c r="E2533">
        <v>96.222177145664602</v>
      </c>
      <c r="F2533">
        <v>0.91743119266055095</v>
      </c>
      <c r="G2533">
        <v>7271.7717674858204</v>
      </c>
      <c r="H2533">
        <v>700.34868845576796</v>
      </c>
      <c r="I2533">
        <v>0.60531538427569598</v>
      </c>
      <c r="J2533">
        <v>0.186303693216023</v>
      </c>
      <c r="K2533">
        <v>0.71606293450420799</v>
      </c>
      <c r="L2533" t="s">
        <v>33</v>
      </c>
      <c r="M2533" t="s">
        <v>34</v>
      </c>
      <c r="N2533" t="s">
        <v>35</v>
      </c>
      <c r="O2533">
        <v>0.72658576936709696</v>
      </c>
      <c r="P2533" t="s">
        <v>36</v>
      </c>
    </row>
    <row r="2534" spans="1:16">
      <c r="A2534">
        <v>2533</v>
      </c>
      <c r="B2534" t="s">
        <v>2597</v>
      </c>
      <c r="C2534">
        <v>93</v>
      </c>
      <c r="D2534">
        <v>176</v>
      </c>
      <c r="E2534">
        <v>96.606886811295098</v>
      </c>
      <c r="F2534">
        <v>0.52631578947368396</v>
      </c>
      <c r="G2534">
        <v>7330.0351202268403</v>
      </c>
      <c r="H2534">
        <v>1066.80448408593</v>
      </c>
      <c r="I2534">
        <v>0.74408299874845296</v>
      </c>
      <c r="J2534">
        <v>8.0936841901331796E-2</v>
      </c>
      <c r="K2534">
        <v>0.59251027224451502</v>
      </c>
      <c r="L2534" t="s">
        <v>33</v>
      </c>
      <c r="M2534" t="s">
        <v>34</v>
      </c>
      <c r="N2534" t="s">
        <v>35</v>
      </c>
      <c r="O2534">
        <v>0.77527279558534201</v>
      </c>
      <c r="P2534" t="s">
        <v>36</v>
      </c>
    </row>
    <row r="2535" spans="1:16">
      <c r="A2535">
        <v>2534</v>
      </c>
      <c r="B2535" t="s">
        <v>2598</v>
      </c>
      <c r="C2535">
        <v>92</v>
      </c>
      <c r="D2535">
        <v>127</v>
      </c>
      <c r="E2535">
        <v>96.882697466984595</v>
      </c>
      <c r="F2535">
        <v>0.72489669054309502</v>
      </c>
      <c r="G2535">
        <v>7371.9490627599298</v>
      </c>
      <c r="H2535">
        <v>474.29762847661999</v>
      </c>
      <c r="I2535">
        <v>0.76054258681932896</v>
      </c>
      <c r="J2535">
        <v>0.41180373707107798</v>
      </c>
      <c r="K2535">
        <v>0.82067276668266098</v>
      </c>
      <c r="L2535" t="s">
        <v>38</v>
      </c>
      <c r="M2535" t="s">
        <v>34</v>
      </c>
      <c r="N2535" t="s">
        <v>35</v>
      </c>
      <c r="O2535">
        <v>0.71406480243514003</v>
      </c>
      <c r="P2535" t="s">
        <v>36</v>
      </c>
    </row>
    <row r="2536" spans="1:16">
      <c r="A2536">
        <v>2535</v>
      </c>
      <c r="B2536" t="s">
        <v>2599</v>
      </c>
      <c r="C2536">
        <v>132</v>
      </c>
      <c r="D2536">
        <v>93</v>
      </c>
      <c r="E2536">
        <v>96.957871105991998</v>
      </c>
      <c r="F2536">
        <v>1.4294117647058799</v>
      </c>
      <c r="G2536">
        <v>7383.3936499054798</v>
      </c>
      <c r="H2536">
        <v>928.93533114661398</v>
      </c>
      <c r="I2536">
        <v>0.6758561888479</v>
      </c>
      <c r="J2536">
        <v>0.107521403678321</v>
      </c>
      <c r="K2536">
        <v>0.67899563975342103</v>
      </c>
      <c r="L2536" t="s">
        <v>49</v>
      </c>
      <c r="M2536" t="s">
        <v>34</v>
      </c>
      <c r="N2536" t="s">
        <v>35</v>
      </c>
      <c r="O2536">
        <v>0.65491140420697502</v>
      </c>
      <c r="P2536" t="s">
        <v>36</v>
      </c>
    </row>
    <row r="2537" spans="1:16">
      <c r="A2537">
        <v>2536</v>
      </c>
      <c r="B2537" t="s">
        <v>2600</v>
      </c>
      <c r="C2537">
        <v>137</v>
      </c>
      <c r="D2537">
        <v>92</v>
      </c>
      <c r="E2537">
        <v>97.331896268240001</v>
      </c>
      <c r="F2537">
        <v>1.48520710059172</v>
      </c>
      <c r="G2537">
        <v>7440.4679546313801</v>
      </c>
      <c r="H2537">
        <v>851.66945094543996</v>
      </c>
      <c r="I2537">
        <v>0.73962705329686995</v>
      </c>
      <c r="J2537">
        <v>0.12890446937960801</v>
      </c>
      <c r="K2537">
        <v>0.74074074074074103</v>
      </c>
      <c r="L2537" t="s">
        <v>33</v>
      </c>
      <c r="M2537" t="s">
        <v>34</v>
      </c>
      <c r="N2537" t="s">
        <v>35</v>
      </c>
      <c r="O2537">
        <v>0.68916855289197099</v>
      </c>
      <c r="P2537" t="s">
        <v>36</v>
      </c>
    </row>
    <row r="2538" spans="1:16">
      <c r="A2538">
        <v>2537</v>
      </c>
      <c r="B2538" t="s">
        <v>2601</v>
      </c>
      <c r="C2538">
        <v>160</v>
      </c>
      <c r="D2538">
        <v>114</v>
      </c>
      <c r="E2538">
        <v>98.005213255478495</v>
      </c>
      <c r="F2538">
        <v>1.40875021400044</v>
      </c>
      <c r="G2538">
        <v>7543.7665009451803</v>
      </c>
      <c r="H2538">
        <v>938.119884495424</v>
      </c>
      <c r="I2538">
        <v>0.670128436862788</v>
      </c>
      <c r="J2538">
        <v>0.107716297864889</v>
      </c>
      <c r="K2538">
        <v>0.607975371936465</v>
      </c>
      <c r="L2538" t="s">
        <v>49</v>
      </c>
      <c r="M2538" t="s">
        <v>34</v>
      </c>
      <c r="N2538" t="s">
        <v>35</v>
      </c>
      <c r="O2538">
        <v>0.78367873813022304</v>
      </c>
      <c r="P2538" t="s">
        <v>36</v>
      </c>
    </row>
    <row r="2539" spans="1:16">
      <c r="A2539">
        <v>2538</v>
      </c>
      <c r="B2539" t="s">
        <v>2602</v>
      </c>
      <c r="C2539">
        <v>90</v>
      </c>
      <c r="D2539">
        <v>150</v>
      </c>
      <c r="E2539">
        <v>98.232800745873007</v>
      </c>
      <c r="F2539">
        <v>0.60145773137438696</v>
      </c>
      <c r="G2539">
        <v>7578.8434173913101</v>
      </c>
      <c r="H2539">
        <v>620.009611459089</v>
      </c>
      <c r="I2539">
        <v>0.75061173475159804</v>
      </c>
      <c r="J2539">
        <v>0.247751307066398</v>
      </c>
      <c r="K2539">
        <v>0.72515892316225095</v>
      </c>
      <c r="L2539" t="s">
        <v>61</v>
      </c>
      <c r="M2539" t="s">
        <v>34</v>
      </c>
      <c r="N2539" t="s">
        <v>35</v>
      </c>
      <c r="O2539">
        <v>0.71445705714990204</v>
      </c>
      <c r="P2539" t="s">
        <v>36</v>
      </c>
    </row>
    <row r="2540" spans="1:16">
      <c r="A2540">
        <v>2539</v>
      </c>
      <c r="B2540" t="s">
        <v>2603</v>
      </c>
      <c r="C2540">
        <v>151</v>
      </c>
      <c r="D2540">
        <v>105</v>
      </c>
      <c r="E2540">
        <v>98.598151263940807</v>
      </c>
      <c r="F2540">
        <v>1.4410639769334499</v>
      </c>
      <c r="G2540">
        <v>7635.3231981096396</v>
      </c>
      <c r="H2540">
        <v>894.57998787309805</v>
      </c>
      <c r="I2540">
        <v>0.62742451385252995</v>
      </c>
      <c r="J2540">
        <v>0.119894409209044</v>
      </c>
      <c r="K2540">
        <v>0.65831560601788996</v>
      </c>
      <c r="L2540" t="s">
        <v>33</v>
      </c>
      <c r="M2540" t="s">
        <v>34</v>
      </c>
      <c r="N2540" t="s">
        <v>35</v>
      </c>
      <c r="O2540">
        <v>0.69339097950600803</v>
      </c>
      <c r="P2540" t="s">
        <v>36</v>
      </c>
    </row>
    <row r="2541" spans="1:16">
      <c r="A2541">
        <v>2540</v>
      </c>
      <c r="B2541" t="s">
        <v>2604</v>
      </c>
      <c r="C2541">
        <v>118</v>
      </c>
      <c r="D2541">
        <v>96</v>
      </c>
      <c r="E2541">
        <v>98.773468155842295</v>
      </c>
      <c r="F2541">
        <v>1.23300968162892</v>
      </c>
      <c r="G2541">
        <v>7662.5</v>
      </c>
      <c r="H2541">
        <v>415.06096303462999</v>
      </c>
      <c r="I2541">
        <v>0.64141044366354505</v>
      </c>
      <c r="J2541">
        <v>0.55892890888812397</v>
      </c>
      <c r="K2541">
        <v>0.84087791495198905</v>
      </c>
      <c r="L2541" t="s">
        <v>38</v>
      </c>
      <c r="M2541" t="s">
        <v>34</v>
      </c>
      <c r="N2541" t="s">
        <v>35</v>
      </c>
      <c r="O2541">
        <v>0.69274621812866</v>
      </c>
      <c r="P2541" t="s">
        <v>36</v>
      </c>
    </row>
    <row r="2542" spans="1:16">
      <c r="A2542">
        <v>2541</v>
      </c>
      <c r="B2542" t="s">
        <v>2605</v>
      </c>
      <c r="C2542">
        <v>84</v>
      </c>
      <c r="D2542">
        <v>150</v>
      </c>
      <c r="E2542">
        <v>99.516118442940297</v>
      </c>
      <c r="F2542">
        <v>0.55830262264202002</v>
      </c>
      <c r="G2542">
        <v>7778.1575909262801</v>
      </c>
      <c r="H2542">
        <v>500.60035514209602</v>
      </c>
      <c r="I2542">
        <v>0.80602066653076199</v>
      </c>
      <c r="J2542">
        <v>0.390035642008353</v>
      </c>
      <c r="K2542">
        <v>0.85192420394608304</v>
      </c>
      <c r="L2542" t="s">
        <v>47</v>
      </c>
      <c r="M2542" t="s">
        <v>34</v>
      </c>
      <c r="N2542" t="s">
        <v>35</v>
      </c>
      <c r="O2542">
        <v>0.84423725719374998</v>
      </c>
      <c r="P2542" t="s">
        <v>36</v>
      </c>
    </row>
    <row r="2543" spans="1:16">
      <c r="A2543">
        <v>2542</v>
      </c>
      <c r="B2543" t="s">
        <v>2606</v>
      </c>
      <c r="C2543">
        <v>128</v>
      </c>
      <c r="D2543">
        <v>97</v>
      </c>
      <c r="E2543">
        <v>99.642496614397999</v>
      </c>
      <c r="F2543">
        <v>1.3216367732113801</v>
      </c>
      <c r="G2543">
        <v>7797.9255141776903</v>
      </c>
      <c r="H2543">
        <v>650.50968565246296</v>
      </c>
      <c r="I2543">
        <v>0.69089204090760303</v>
      </c>
      <c r="J2543">
        <v>0.231569528783519</v>
      </c>
      <c r="K2543">
        <v>0.79719504041816103</v>
      </c>
      <c r="L2543" t="s">
        <v>38</v>
      </c>
      <c r="M2543" t="s">
        <v>34</v>
      </c>
      <c r="N2543" t="s">
        <v>35</v>
      </c>
      <c r="O2543">
        <v>0.81186181793346901</v>
      </c>
      <c r="P2543" t="s">
        <v>36</v>
      </c>
    </row>
    <row r="2544" spans="1:16">
      <c r="A2544">
        <v>2543</v>
      </c>
      <c r="B2544" t="s">
        <v>2607</v>
      </c>
      <c r="C2544">
        <v>118</v>
      </c>
      <c r="D2544">
        <v>118</v>
      </c>
      <c r="E2544">
        <v>100.386114710781</v>
      </c>
      <c r="F2544">
        <v>1</v>
      </c>
      <c r="G2544">
        <v>7914.7494816635199</v>
      </c>
      <c r="H2544">
        <v>872.84878690294602</v>
      </c>
      <c r="I2544">
        <v>0.70673157100647299</v>
      </c>
      <c r="J2544">
        <v>0.13054763597229199</v>
      </c>
      <c r="K2544">
        <v>0.73403082182339496</v>
      </c>
      <c r="L2544" t="s">
        <v>38</v>
      </c>
      <c r="M2544" t="s">
        <v>34</v>
      </c>
      <c r="N2544" t="s">
        <v>35</v>
      </c>
      <c r="O2544">
        <v>0.74417621626288699</v>
      </c>
      <c r="P2544" t="s">
        <v>36</v>
      </c>
    </row>
    <row r="2545" spans="1:16">
      <c r="A2545">
        <v>2544</v>
      </c>
      <c r="B2545" t="s">
        <v>2608</v>
      </c>
      <c r="C2545">
        <v>143</v>
      </c>
      <c r="D2545">
        <v>93</v>
      </c>
      <c r="E2545">
        <v>100.55563506427001</v>
      </c>
      <c r="F2545">
        <v>1.5445488094109101</v>
      </c>
      <c r="G2545">
        <v>7941.5030620037796</v>
      </c>
      <c r="H2545">
        <v>643.06373125791595</v>
      </c>
      <c r="I2545">
        <v>0.78857441697272201</v>
      </c>
      <c r="J2545">
        <v>0.241326236175162</v>
      </c>
      <c r="K2545">
        <v>0.79207495145055395</v>
      </c>
      <c r="L2545" t="s">
        <v>33</v>
      </c>
      <c r="M2545" t="s">
        <v>34</v>
      </c>
      <c r="N2545" t="s">
        <v>35</v>
      </c>
      <c r="O2545">
        <v>0.671114022353552</v>
      </c>
      <c r="P2545" t="s">
        <v>36</v>
      </c>
    </row>
    <row r="2546" spans="1:16">
      <c r="A2546">
        <v>2545</v>
      </c>
      <c r="B2546" t="s">
        <v>2609</v>
      </c>
      <c r="C2546">
        <v>121</v>
      </c>
      <c r="D2546">
        <v>114</v>
      </c>
      <c r="E2546">
        <v>100.671309796226</v>
      </c>
      <c r="F2546">
        <v>1.0641898580660301</v>
      </c>
      <c r="G2546">
        <v>7959.7846752363002</v>
      </c>
      <c r="H2546">
        <v>715.69388632442599</v>
      </c>
      <c r="I2546">
        <v>0.71356974317159605</v>
      </c>
      <c r="J2546">
        <v>0.19527946152352299</v>
      </c>
      <c r="K2546">
        <v>0.73637026138848005</v>
      </c>
      <c r="L2546" t="s">
        <v>38</v>
      </c>
      <c r="M2546" t="s">
        <v>34</v>
      </c>
      <c r="N2546" t="s">
        <v>35</v>
      </c>
      <c r="O2546">
        <v>0.74704509153216603</v>
      </c>
      <c r="P2546" t="s">
        <v>36</v>
      </c>
    </row>
    <row r="2547" spans="1:16">
      <c r="A2547">
        <v>2546</v>
      </c>
      <c r="B2547" t="s">
        <v>2610</v>
      </c>
      <c r="C2547">
        <v>73</v>
      </c>
      <c r="D2547">
        <v>185</v>
      </c>
      <c r="E2547">
        <v>100.922889896337</v>
      </c>
      <c r="F2547">
        <v>0.39411762805133199</v>
      </c>
      <c r="G2547">
        <v>7999.6177837429104</v>
      </c>
      <c r="H2547">
        <v>1072.2339605177999</v>
      </c>
      <c r="I2547">
        <v>0.81695466458875099</v>
      </c>
      <c r="J2547">
        <v>8.7437953528477497E-2</v>
      </c>
      <c r="K2547">
        <v>0.69068976580044905</v>
      </c>
      <c r="L2547" t="s">
        <v>38</v>
      </c>
      <c r="M2547" t="s">
        <v>34</v>
      </c>
      <c r="N2547" t="s">
        <v>35</v>
      </c>
      <c r="O2547">
        <v>0.66220924623542698</v>
      </c>
      <c r="P2547" t="s">
        <v>36</v>
      </c>
    </row>
    <row r="2548" spans="1:16">
      <c r="A2548">
        <v>2547</v>
      </c>
      <c r="B2548" t="s">
        <v>2611</v>
      </c>
      <c r="C2548">
        <v>132</v>
      </c>
      <c r="D2548">
        <v>133</v>
      </c>
      <c r="E2548">
        <v>100.95663647486801</v>
      </c>
      <c r="F2548">
        <v>0.99419545895120698</v>
      </c>
      <c r="G2548">
        <v>8004.9684998109697</v>
      </c>
      <c r="H2548">
        <v>817.85267744188695</v>
      </c>
      <c r="I2548">
        <v>0.66567895498099705</v>
      </c>
      <c r="J2548">
        <v>0.15039012895272599</v>
      </c>
      <c r="K2548">
        <v>0.61399728672891196</v>
      </c>
      <c r="L2548" t="s">
        <v>47</v>
      </c>
      <c r="M2548" t="s">
        <v>34</v>
      </c>
      <c r="N2548" t="s">
        <v>35</v>
      </c>
      <c r="O2548">
        <v>0.92812959159509401</v>
      </c>
      <c r="P2548" t="s">
        <v>36</v>
      </c>
    </row>
    <row r="2549" spans="1:16">
      <c r="A2549">
        <v>2548</v>
      </c>
      <c r="B2549" t="s">
        <v>2612</v>
      </c>
      <c r="C2549">
        <v>171</v>
      </c>
      <c r="D2549">
        <v>98</v>
      </c>
      <c r="E2549">
        <v>100.962259807978</v>
      </c>
      <c r="F2549">
        <v>1.74444444444444</v>
      </c>
      <c r="G2549">
        <v>8005.8602858223103</v>
      </c>
      <c r="H2549">
        <v>736.52174159568301</v>
      </c>
      <c r="I2549">
        <v>0.74646910843816605</v>
      </c>
      <c r="J2549">
        <v>0.18545849361611</v>
      </c>
      <c r="K2549">
        <v>0.68522287807856697</v>
      </c>
      <c r="L2549" t="s">
        <v>298</v>
      </c>
      <c r="M2549" t="s">
        <v>34</v>
      </c>
      <c r="N2549" t="s">
        <v>35</v>
      </c>
      <c r="O2549">
        <v>0.64783779294639299</v>
      </c>
      <c r="P2549" t="s">
        <v>36</v>
      </c>
    </row>
    <row r="2550" spans="1:16">
      <c r="A2550">
        <v>2549</v>
      </c>
      <c r="B2550" t="s">
        <v>2613</v>
      </c>
      <c r="C2550">
        <v>151</v>
      </c>
      <c r="D2550">
        <v>93</v>
      </c>
      <c r="E2550">
        <v>101.72878796648899</v>
      </c>
      <c r="F2550">
        <v>1.62242814064987</v>
      </c>
      <c r="G2550">
        <v>8127.8863383742901</v>
      </c>
      <c r="H2550">
        <v>615.46078324494204</v>
      </c>
      <c r="I2550">
        <v>0.73730601800710904</v>
      </c>
      <c r="J2550">
        <v>0.26964148817377898</v>
      </c>
      <c r="K2550">
        <v>0.75984104267115005</v>
      </c>
      <c r="L2550" t="s">
        <v>38</v>
      </c>
      <c r="M2550" t="s">
        <v>34</v>
      </c>
      <c r="N2550" t="s">
        <v>35</v>
      </c>
      <c r="O2550">
        <v>0.74269463838272498</v>
      </c>
      <c r="P2550" t="s">
        <v>36</v>
      </c>
    </row>
    <row r="2551" spans="1:16">
      <c r="A2551">
        <v>2550</v>
      </c>
      <c r="B2551" t="s">
        <v>2614</v>
      </c>
      <c r="C2551">
        <v>112</v>
      </c>
      <c r="D2551">
        <v>146</v>
      </c>
      <c r="E2551">
        <v>102.25944074901901</v>
      </c>
      <c r="F2551">
        <v>0.76743650157379495</v>
      </c>
      <c r="G2551">
        <v>8212.9032714555797</v>
      </c>
      <c r="H2551">
        <v>769.85312630000305</v>
      </c>
      <c r="I2551">
        <v>0.65273358331451803</v>
      </c>
      <c r="J2551">
        <v>0.174136903043796</v>
      </c>
      <c r="K2551">
        <v>0.665722925677385</v>
      </c>
      <c r="L2551" t="s">
        <v>41</v>
      </c>
      <c r="M2551" t="s">
        <v>34</v>
      </c>
      <c r="N2551" t="s">
        <v>35</v>
      </c>
      <c r="O2551">
        <v>0.68629894079208298</v>
      </c>
      <c r="P2551" t="s">
        <v>36</v>
      </c>
    </row>
    <row r="2552" spans="1:16">
      <c r="A2552">
        <v>2551</v>
      </c>
      <c r="B2552" t="s">
        <v>2615</v>
      </c>
      <c r="C2552">
        <v>259</v>
      </c>
      <c r="D2552">
        <v>73</v>
      </c>
      <c r="E2552">
        <v>102.469270289224</v>
      </c>
      <c r="F2552">
        <v>3.5651504473973299</v>
      </c>
      <c r="G2552">
        <v>8246.64250888469</v>
      </c>
      <c r="H2552">
        <v>943.67225057166604</v>
      </c>
      <c r="I2552">
        <v>0.49139597550984099</v>
      </c>
      <c r="J2552">
        <v>0.116370972434528</v>
      </c>
      <c r="K2552">
        <v>0.54944445544750597</v>
      </c>
      <c r="L2552" t="s">
        <v>33</v>
      </c>
      <c r="M2552" t="s">
        <v>34</v>
      </c>
      <c r="N2552" t="s">
        <v>35</v>
      </c>
      <c r="O2552">
        <v>0.66409857465089395</v>
      </c>
      <c r="P2552" t="s">
        <v>36</v>
      </c>
    </row>
    <row r="2553" spans="1:16">
      <c r="A2553">
        <v>2552</v>
      </c>
      <c r="B2553" t="s">
        <v>2616</v>
      </c>
      <c r="C2553">
        <v>173</v>
      </c>
      <c r="D2553">
        <v>107</v>
      </c>
      <c r="E2553">
        <v>102.872010223568</v>
      </c>
      <c r="F2553">
        <v>1.61421319796954</v>
      </c>
      <c r="G2553">
        <v>8311.5942567107795</v>
      </c>
      <c r="H2553">
        <v>781.80251394634695</v>
      </c>
      <c r="I2553">
        <v>0.65839239249481396</v>
      </c>
      <c r="J2553">
        <v>0.17088347739652501</v>
      </c>
      <c r="K2553">
        <v>0.53987179239636196</v>
      </c>
      <c r="L2553" t="s">
        <v>49</v>
      </c>
      <c r="M2553" t="s">
        <v>34</v>
      </c>
      <c r="N2553" t="s">
        <v>35</v>
      </c>
      <c r="O2553">
        <v>0.66577423413949899</v>
      </c>
      <c r="P2553" t="s">
        <v>36</v>
      </c>
    </row>
    <row r="2554" spans="1:16">
      <c r="A2554">
        <v>2553</v>
      </c>
      <c r="B2554" t="s">
        <v>2617</v>
      </c>
      <c r="C2554">
        <v>100</v>
      </c>
      <c r="D2554">
        <v>148</v>
      </c>
      <c r="E2554">
        <v>103.130149489262</v>
      </c>
      <c r="F2554">
        <v>0.67074415749951899</v>
      </c>
      <c r="G2554">
        <v>8353.3595682419691</v>
      </c>
      <c r="H2554">
        <v>643.30561754247401</v>
      </c>
      <c r="I2554">
        <v>0.57443301696018001</v>
      </c>
      <c r="J2554">
        <v>0.253650867698067</v>
      </c>
      <c r="K2554">
        <v>0.76980604865220204</v>
      </c>
      <c r="L2554" t="s">
        <v>38</v>
      </c>
      <c r="M2554" t="s">
        <v>34</v>
      </c>
      <c r="N2554" t="s">
        <v>35</v>
      </c>
      <c r="O2554">
        <v>0.68455311355705695</v>
      </c>
      <c r="P2554" t="s">
        <v>36</v>
      </c>
    </row>
    <row r="2555" spans="1:16">
      <c r="A2555">
        <v>2554</v>
      </c>
      <c r="B2555" t="s">
        <v>2618</v>
      </c>
      <c r="C2555">
        <v>127</v>
      </c>
      <c r="D2555">
        <v>152</v>
      </c>
      <c r="E2555">
        <v>103.199855580012</v>
      </c>
      <c r="F2555">
        <v>0.83812957063953697</v>
      </c>
      <c r="G2555">
        <v>8364.6555243856292</v>
      </c>
      <c r="H2555">
        <v>906.55434977469201</v>
      </c>
      <c r="I2555">
        <v>0.60356442652304798</v>
      </c>
      <c r="J2555">
        <v>0.12789990807900001</v>
      </c>
      <c r="K2555">
        <v>0.57082868445075596</v>
      </c>
      <c r="L2555" t="s">
        <v>33</v>
      </c>
      <c r="M2555" t="s">
        <v>34</v>
      </c>
      <c r="N2555" t="s">
        <v>35</v>
      </c>
      <c r="O2555">
        <v>0.68789473461446105</v>
      </c>
      <c r="P2555" t="s">
        <v>36</v>
      </c>
    </row>
    <row r="2556" spans="1:16">
      <c r="A2556">
        <v>2555</v>
      </c>
      <c r="B2556" t="s">
        <v>2619</v>
      </c>
      <c r="C2556">
        <v>158</v>
      </c>
      <c r="D2556">
        <v>105</v>
      </c>
      <c r="E2556">
        <v>103.577833037319</v>
      </c>
      <c r="F2556">
        <v>1.50565377704173</v>
      </c>
      <c r="G2556">
        <v>8426.0401281663508</v>
      </c>
      <c r="H2556">
        <v>676.26282407936799</v>
      </c>
      <c r="I2556">
        <v>0.56803971933766695</v>
      </c>
      <c r="J2556">
        <v>0.231527381211175</v>
      </c>
      <c r="K2556">
        <v>0.63695605766097796</v>
      </c>
      <c r="L2556" t="s">
        <v>33</v>
      </c>
      <c r="M2556" t="s">
        <v>34</v>
      </c>
      <c r="N2556" t="s">
        <v>35</v>
      </c>
      <c r="O2556">
        <v>0.820753109572113</v>
      </c>
      <c r="P2556" t="s">
        <v>36</v>
      </c>
    </row>
    <row r="2557" spans="1:16">
      <c r="A2557">
        <v>2556</v>
      </c>
      <c r="B2557" t="s">
        <v>2620</v>
      </c>
      <c r="C2557">
        <v>122</v>
      </c>
      <c r="D2557">
        <v>130</v>
      </c>
      <c r="E2557">
        <v>104.183559186235</v>
      </c>
      <c r="F2557">
        <v>0.93576126284315697</v>
      </c>
      <c r="G2557">
        <v>8524.8797444234406</v>
      </c>
      <c r="H2557">
        <v>841.73264825758702</v>
      </c>
      <c r="I2557">
        <v>0.67231597579615099</v>
      </c>
      <c r="J2557">
        <v>0.151199299969208</v>
      </c>
      <c r="K2557">
        <v>0.68033117453087599</v>
      </c>
      <c r="L2557" t="s">
        <v>33</v>
      </c>
      <c r="M2557" t="s">
        <v>34</v>
      </c>
      <c r="N2557" t="s">
        <v>35</v>
      </c>
      <c r="O2557">
        <v>0.67314736644581696</v>
      </c>
      <c r="P2557" t="s">
        <v>36</v>
      </c>
    </row>
    <row r="2558" spans="1:16">
      <c r="A2558">
        <v>2557</v>
      </c>
      <c r="B2558" t="s">
        <v>2621</v>
      </c>
      <c r="C2558">
        <v>99</v>
      </c>
      <c r="D2558">
        <v>168</v>
      </c>
      <c r="E2558">
        <v>104.26889677374901</v>
      </c>
      <c r="F2558">
        <v>0.59001457679041902</v>
      </c>
      <c r="G2558">
        <v>8538.8510586011398</v>
      </c>
      <c r="H2558">
        <v>748.51652420437904</v>
      </c>
      <c r="I2558">
        <v>0.76908311455391398</v>
      </c>
      <c r="J2558">
        <v>0.191516641788919</v>
      </c>
      <c r="K2558">
        <v>0.66771269177126902</v>
      </c>
      <c r="L2558" t="s">
        <v>298</v>
      </c>
      <c r="M2558" t="s">
        <v>34</v>
      </c>
      <c r="N2558" t="s">
        <v>35</v>
      </c>
      <c r="O2558">
        <v>0.65393723531946002</v>
      </c>
      <c r="P2558" t="s">
        <v>36</v>
      </c>
    </row>
    <row r="2559" spans="1:16">
      <c r="A2559">
        <v>2558</v>
      </c>
      <c r="B2559" t="s">
        <v>2622</v>
      </c>
      <c r="C2559">
        <v>94</v>
      </c>
      <c r="D2559">
        <v>171</v>
      </c>
      <c r="E2559">
        <v>104.332400697278</v>
      </c>
      <c r="F2559">
        <v>0.55095541401273895</v>
      </c>
      <c r="G2559">
        <v>8549.2552287334602</v>
      </c>
      <c r="H2559">
        <v>984.92168322708301</v>
      </c>
      <c r="I2559">
        <v>0.72044642788971203</v>
      </c>
      <c r="J2559">
        <v>0.110747708630412</v>
      </c>
      <c r="K2559">
        <v>0.63323608741124005</v>
      </c>
      <c r="L2559" t="s">
        <v>74</v>
      </c>
      <c r="M2559" t="s">
        <v>34</v>
      </c>
      <c r="N2559" t="s">
        <v>35</v>
      </c>
      <c r="O2559">
        <v>0.70512939683280196</v>
      </c>
      <c r="P2559" t="s">
        <v>36</v>
      </c>
    </row>
    <row r="2560" spans="1:16">
      <c r="A2560">
        <v>2559</v>
      </c>
      <c r="B2560" t="s">
        <v>2623</v>
      </c>
      <c r="C2560">
        <v>117</v>
      </c>
      <c r="D2560">
        <v>143</v>
      </c>
      <c r="E2560">
        <v>104.41318691523</v>
      </c>
      <c r="F2560">
        <v>0.81797240417043304</v>
      </c>
      <c r="G2560">
        <v>8562.5</v>
      </c>
      <c r="H2560">
        <v>714.76658761501301</v>
      </c>
      <c r="I2560">
        <v>0.61537864262008501</v>
      </c>
      <c r="J2560">
        <v>0.210611442588681</v>
      </c>
      <c r="K2560">
        <v>0.664403491755577</v>
      </c>
      <c r="L2560" t="s">
        <v>33</v>
      </c>
      <c r="M2560" t="s">
        <v>34</v>
      </c>
      <c r="N2560" t="s">
        <v>35</v>
      </c>
      <c r="O2560">
        <v>0.69671394287530697</v>
      </c>
      <c r="P2560" t="s">
        <v>36</v>
      </c>
    </row>
    <row r="2561" spans="1:16">
      <c r="A2561">
        <v>2560</v>
      </c>
      <c r="B2561" t="s">
        <v>2624</v>
      </c>
      <c r="C2561">
        <v>132</v>
      </c>
      <c r="D2561">
        <v>152</v>
      </c>
      <c r="E2561">
        <v>104.548930558813</v>
      </c>
      <c r="F2561">
        <v>0.87410071942445999</v>
      </c>
      <c r="G2561">
        <v>8584.7780381852608</v>
      </c>
      <c r="H2561">
        <v>1177.3125752968399</v>
      </c>
      <c r="I2561">
        <v>0.62534405724912301</v>
      </c>
      <c r="J2561">
        <v>7.7831494379215202E-2</v>
      </c>
      <c r="K2561">
        <v>0.55330542490109103</v>
      </c>
      <c r="L2561" t="s">
        <v>38</v>
      </c>
      <c r="M2561" t="s">
        <v>34</v>
      </c>
      <c r="N2561" t="s">
        <v>35</v>
      </c>
      <c r="O2561">
        <v>0.70393081147098702</v>
      </c>
      <c r="P2561" t="s">
        <v>36</v>
      </c>
    </row>
    <row r="2562" spans="1:16">
      <c r="A2562">
        <v>2561</v>
      </c>
      <c r="B2562" t="s">
        <v>2625</v>
      </c>
      <c r="C2562">
        <v>122</v>
      </c>
      <c r="D2562">
        <v>137</v>
      </c>
      <c r="E2562">
        <v>105.445604630188</v>
      </c>
      <c r="F2562">
        <v>0.89243027888446202</v>
      </c>
      <c r="G2562">
        <v>8732.6658850661606</v>
      </c>
      <c r="H2562">
        <v>759.65335607653105</v>
      </c>
      <c r="I2562">
        <v>0.59846950838415602</v>
      </c>
      <c r="J2562">
        <v>0.190162897694682</v>
      </c>
      <c r="K2562">
        <v>0.696310693418979</v>
      </c>
      <c r="L2562" t="s">
        <v>38</v>
      </c>
      <c r="M2562" t="s">
        <v>34</v>
      </c>
      <c r="N2562" t="s">
        <v>35</v>
      </c>
      <c r="O2562">
        <v>0.71612143830642205</v>
      </c>
      <c r="P2562" t="s">
        <v>36</v>
      </c>
    </row>
    <row r="2563" spans="1:16">
      <c r="A2563">
        <v>2562</v>
      </c>
      <c r="B2563" t="s">
        <v>2626</v>
      </c>
      <c r="C2563">
        <v>101</v>
      </c>
      <c r="D2563">
        <v>247</v>
      </c>
      <c r="E2563">
        <v>105.48508056625801</v>
      </c>
      <c r="F2563">
        <v>0.40719429889228198</v>
      </c>
      <c r="G2563">
        <v>8739.2056491493404</v>
      </c>
      <c r="H2563">
        <v>983.51803725615798</v>
      </c>
      <c r="I2563">
        <v>0.56252638060337001</v>
      </c>
      <c r="J2563">
        <v>0.113531706302805</v>
      </c>
      <c r="K2563">
        <v>0.50137285331787096</v>
      </c>
      <c r="L2563" t="s">
        <v>38</v>
      </c>
      <c r="M2563" t="s">
        <v>34</v>
      </c>
      <c r="N2563" t="s">
        <v>35</v>
      </c>
      <c r="O2563">
        <v>0.68119425879014295</v>
      </c>
      <c r="P2563" t="s">
        <v>36</v>
      </c>
    </row>
    <row r="2564" spans="1:16">
      <c r="A2564">
        <v>2563</v>
      </c>
      <c r="B2564" t="s">
        <v>2627</v>
      </c>
      <c r="C2564">
        <v>112</v>
      </c>
      <c r="D2564">
        <v>116</v>
      </c>
      <c r="E2564">
        <v>106.00159896099601</v>
      </c>
      <c r="F2564">
        <v>0.96995710096472398</v>
      </c>
      <c r="G2564">
        <v>8825</v>
      </c>
      <c r="H2564">
        <v>490.416301488876</v>
      </c>
      <c r="I2564">
        <v>0.59086683456149103</v>
      </c>
      <c r="J2564">
        <v>0.46109963941223397</v>
      </c>
      <c r="K2564">
        <v>0.83451536643026003</v>
      </c>
      <c r="L2564" t="s">
        <v>38</v>
      </c>
      <c r="M2564" t="s">
        <v>34</v>
      </c>
      <c r="N2564" t="s">
        <v>35</v>
      </c>
      <c r="O2564">
        <v>0.72946433420910195</v>
      </c>
      <c r="P2564" t="s">
        <v>36</v>
      </c>
    </row>
    <row r="2565" spans="1:16">
      <c r="A2565">
        <v>2564</v>
      </c>
      <c r="B2565" t="s">
        <v>2628</v>
      </c>
      <c r="C2565">
        <v>107</v>
      </c>
      <c r="D2565">
        <v>136</v>
      </c>
      <c r="E2565">
        <v>106.709571648726</v>
      </c>
      <c r="F2565">
        <v>0.78988653536485698</v>
      </c>
      <c r="G2565">
        <v>8943.2760147448007</v>
      </c>
      <c r="H2565">
        <v>722.02670845518901</v>
      </c>
      <c r="I2565">
        <v>0.66338144695263701</v>
      </c>
      <c r="J2565">
        <v>0.21557578333648</v>
      </c>
      <c r="K2565">
        <v>0.71137567388631395</v>
      </c>
      <c r="L2565" t="s">
        <v>38</v>
      </c>
      <c r="M2565" t="s">
        <v>34</v>
      </c>
      <c r="N2565" t="s">
        <v>35</v>
      </c>
      <c r="O2565">
        <v>0.74474862538464104</v>
      </c>
      <c r="P2565" t="s">
        <v>36</v>
      </c>
    </row>
    <row r="2566" spans="1:16">
      <c r="A2566">
        <v>2565</v>
      </c>
      <c r="B2566" t="s">
        <v>2629</v>
      </c>
      <c r="C2566">
        <v>124</v>
      </c>
      <c r="D2566">
        <v>116</v>
      </c>
      <c r="E2566">
        <v>107.24822417544</v>
      </c>
      <c r="F2566">
        <v>1.0728605510428899</v>
      </c>
      <c r="G2566">
        <v>9033.7922948960295</v>
      </c>
      <c r="H2566">
        <v>566.97518275986602</v>
      </c>
      <c r="I2566">
        <v>0.63596788828720097</v>
      </c>
      <c r="J2566">
        <v>0.35314402750170698</v>
      </c>
      <c r="K2566">
        <v>0.86299677689588095</v>
      </c>
      <c r="L2566" t="s">
        <v>38</v>
      </c>
      <c r="M2566" t="s">
        <v>34</v>
      </c>
      <c r="N2566" t="s">
        <v>35</v>
      </c>
      <c r="O2566">
        <v>0.81605811620186797</v>
      </c>
      <c r="P2566" t="s">
        <v>36</v>
      </c>
    </row>
    <row r="2567" spans="1:16">
      <c r="A2567">
        <v>2566</v>
      </c>
      <c r="B2567" t="s">
        <v>2630</v>
      </c>
      <c r="C2567">
        <v>182</v>
      </c>
      <c r="D2567">
        <v>122</v>
      </c>
      <c r="E2567">
        <v>107.41220024956699</v>
      </c>
      <c r="F2567">
        <v>1.49235406081205</v>
      </c>
      <c r="G2567">
        <v>9061.4376612476408</v>
      </c>
      <c r="H2567">
        <v>1313.6208161271099</v>
      </c>
      <c r="I2567">
        <v>0.56191861396266196</v>
      </c>
      <c r="J2567">
        <v>6.5988298064971404E-2</v>
      </c>
      <c r="K2567">
        <v>0.58227557949628905</v>
      </c>
      <c r="L2567" t="s">
        <v>74</v>
      </c>
      <c r="M2567" t="s">
        <v>34</v>
      </c>
      <c r="N2567" t="s">
        <v>35</v>
      </c>
      <c r="O2567">
        <v>0.65597111127430696</v>
      </c>
      <c r="P2567" t="s">
        <v>36</v>
      </c>
    </row>
    <row r="2568" spans="1:16">
      <c r="A2568">
        <v>2567</v>
      </c>
      <c r="B2568" t="s">
        <v>2631</v>
      </c>
      <c r="C2568">
        <v>140</v>
      </c>
      <c r="D2568">
        <v>103</v>
      </c>
      <c r="E2568">
        <v>107.491453709954</v>
      </c>
      <c r="F2568">
        <v>1.3567919897542799</v>
      </c>
      <c r="G2568">
        <v>9074.8144514177693</v>
      </c>
      <c r="H2568">
        <v>612.13468169627004</v>
      </c>
      <c r="I2568">
        <v>0.62651251071773095</v>
      </c>
      <c r="J2568">
        <v>0.30433622267546301</v>
      </c>
      <c r="K2568">
        <v>0.81462308205470302</v>
      </c>
      <c r="L2568" t="s">
        <v>38</v>
      </c>
      <c r="M2568" t="s">
        <v>34</v>
      </c>
      <c r="N2568" t="s">
        <v>35</v>
      </c>
      <c r="O2568">
        <v>0.77904317736240802</v>
      </c>
      <c r="P2568" t="s">
        <v>36</v>
      </c>
    </row>
    <row r="2569" spans="1:16">
      <c r="A2569">
        <v>2568</v>
      </c>
      <c r="B2569" t="s">
        <v>2632</v>
      </c>
      <c r="C2569">
        <v>133</v>
      </c>
      <c r="D2569">
        <v>118</v>
      </c>
      <c r="E2569">
        <v>107.680545306722</v>
      </c>
      <c r="F2569">
        <v>1.12839796018728</v>
      </c>
      <c r="G2569">
        <v>9106.7701168242002</v>
      </c>
      <c r="H2569">
        <v>755.45600854863301</v>
      </c>
      <c r="I2569">
        <v>0.74153298403526402</v>
      </c>
      <c r="J2569">
        <v>0.200519160790011</v>
      </c>
      <c r="K2569">
        <v>0.73238106622041599</v>
      </c>
      <c r="L2569" t="s">
        <v>74</v>
      </c>
      <c r="M2569" t="s">
        <v>34</v>
      </c>
      <c r="N2569" t="s">
        <v>35</v>
      </c>
      <c r="O2569">
        <v>0.65155193691219504</v>
      </c>
      <c r="P2569" t="s">
        <v>36</v>
      </c>
    </row>
    <row r="2570" spans="1:16">
      <c r="A2570">
        <v>2569</v>
      </c>
      <c r="B2570" t="s">
        <v>2633</v>
      </c>
      <c r="C2570">
        <v>145</v>
      </c>
      <c r="D2570">
        <v>102</v>
      </c>
      <c r="E2570">
        <v>107.83245733043999</v>
      </c>
      <c r="F2570">
        <v>1.4236233830032701</v>
      </c>
      <c r="G2570">
        <v>9132.4832801512293</v>
      </c>
      <c r="H2570">
        <v>638.86638373001801</v>
      </c>
      <c r="I2570">
        <v>0.558750026474644</v>
      </c>
      <c r="J2570">
        <v>0.28117627703910397</v>
      </c>
      <c r="K2570">
        <v>0.75490521297900304</v>
      </c>
      <c r="L2570" t="s">
        <v>38</v>
      </c>
      <c r="M2570" t="s">
        <v>34</v>
      </c>
      <c r="N2570" t="s">
        <v>35</v>
      </c>
      <c r="O2570">
        <v>0.75490557992582896</v>
      </c>
      <c r="P2570" t="s">
        <v>36</v>
      </c>
    </row>
    <row r="2571" spans="1:16">
      <c r="A2571">
        <v>2570</v>
      </c>
      <c r="B2571" t="s">
        <v>2634</v>
      </c>
      <c r="C2571">
        <v>63</v>
      </c>
      <c r="D2571">
        <v>362</v>
      </c>
      <c r="E2571">
        <v>108.033214665507</v>
      </c>
      <c r="F2571">
        <v>0.17442295035057701</v>
      </c>
      <c r="G2571">
        <v>9166.5197795841195</v>
      </c>
      <c r="H2571">
        <v>1236.4606373234401</v>
      </c>
      <c r="I2571">
        <v>0.78187534084407895</v>
      </c>
      <c r="J2571">
        <v>7.5344881398048694E-2</v>
      </c>
      <c r="K2571">
        <v>0.462326738982136</v>
      </c>
      <c r="L2571" t="s">
        <v>33</v>
      </c>
      <c r="M2571" t="s">
        <v>34</v>
      </c>
      <c r="N2571" t="s">
        <v>35</v>
      </c>
      <c r="O2571">
        <v>0.73398743536536004</v>
      </c>
      <c r="P2571" t="s">
        <v>36</v>
      </c>
    </row>
    <row r="2572" spans="1:16">
      <c r="A2572">
        <v>2571</v>
      </c>
      <c r="B2572" t="s">
        <v>2635</v>
      </c>
      <c r="C2572">
        <v>117</v>
      </c>
      <c r="D2572">
        <v>126</v>
      </c>
      <c r="E2572">
        <v>109.50513415186001</v>
      </c>
      <c r="F2572">
        <v>0.92672412829223205</v>
      </c>
      <c r="G2572">
        <v>9418.0034347826095</v>
      </c>
      <c r="H2572">
        <v>719.42626576019404</v>
      </c>
      <c r="I2572">
        <v>0.60812936000319495</v>
      </c>
      <c r="J2572">
        <v>0.22866312234136699</v>
      </c>
      <c r="K2572">
        <v>0.75102819689229705</v>
      </c>
      <c r="L2572" t="s">
        <v>38</v>
      </c>
      <c r="M2572" t="s">
        <v>34</v>
      </c>
      <c r="N2572" t="s">
        <v>35</v>
      </c>
      <c r="O2572">
        <v>0.72253960987291599</v>
      </c>
      <c r="P2572" t="s">
        <v>36</v>
      </c>
    </row>
    <row r="2573" spans="1:16">
      <c r="A2573">
        <v>2572</v>
      </c>
      <c r="B2573" t="s">
        <v>2636</v>
      </c>
      <c r="C2573">
        <v>132</v>
      </c>
      <c r="D2573">
        <v>109</v>
      </c>
      <c r="E2573">
        <v>109.607048423813</v>
      </c>
      <c r="F2573">
        <v>1.2096374276810899</v>
      </c>
      <c r="G2573">
        <v>9435.5418930056694</v>
      </c>
      <c r="H2573">
        <v>658.70399638186302</v>
      </c>
      <c r="I2573">
        <v>0.72859825841273795</v>
      </c>
      <c r="J2573">
        <v>0.27327261619446702</v>
      </c>
      <c r="K2573">
        <v>0.79920184306270703</v>
      </c>
      <c r="L2573" t="s">
        <v>38</v>
      </c>
      <c r="M2573" t="s">
        <v>34</v>
      </c>
      <c r="N2573" t="s">
        <v>35</v>
      </c>
      <c r="O2573">
        <v>0.79832329291871595</v>
      </c>
      <c r="P2573" t="s">
        <v>36</v>
      </c>
    </row>
    <row r="2574" spans="1:16">
      <c r="A2574">
        <v>2573</v>
      </c>
      <c r="B2574" t="s">
        <v>2637</v>
      </c>
      <c r="C2574">
        <v>137</v>
      </c>
      <c r="D2574">
        <v>141</v>
      </c>
      <c r="E2574">
        <v>110.538881550211</v>
      </c>
      <c r="F2574">
        <v>0.96911196911196895</v>
      </c>
      <c r="G2574">
        <v>9596.6578990548205</v>
      </c>
      <c r="H2574">
        <v>1275.6520900580199</v>
      </c>
      <c r="I2574">
        <v>0.63209225174189798</v>
      </c>
      <c r="J2574">
        <v>7.4108050284195107E-2</v>
      </c>
      <c r="K2574">
        <v>0.60985907510956605</v>
      </c>
      <c r="L2574" t="s">
        <v>38</v>
      </c>
      <c r="M2574" t="s">
        <v>34</v>
      </c>
      <c r="N2574" t="s">
        <v>35</v>
      </c>
      <c r="O2574">
        <v>0.71296996766087095</v>
      </c>
      <c r="P2574" t="s">
        <v>36</v>
      </c>
    </row>
    <row r="2575" spans="1:16">
      <c r="A2575">
        <v>2574</v>
      </c>
      <c r="B2575" t="s">
        <v>2638</v>
      </c>
      <c r="C2575">
        <v>142</v>
      </c>
      <c r="D2575">
        <v>128</v>
      </c>
      <c r="E2575">
        <v>110.786843832803</v>
      </c>
      <c r="F2575">
        <v>1.1111111111111101</v>
      </c>
      <c r="G2575">
        <v>9639.7608896030306</v>
      </c>
      <c r="H2575">
        <v>1335.06473585035</v>
      </c>
      <c r="I2575">
        <v>0.63379208160565603</v>
      </c>
      <c r="J2575">
        <v>6.7962833352023896E-2</v>
      </c>
      <c r="K2575">
        <v>0.63840656744625601</v>
      </c>
      <c r="L2575" t="s">
        <v>38</v>
      </c>
      <c r="M2575" t="s">
        <v>34</v>
      </c>
      <c r="N2575" t="s">
        <v>35</v>
      </c>
      <c r="O2575">
        <v>0.69544617860272895</v>
      </c>
      <c r="P2575" t="s">
        <v>36</v>
      </c>
    </row>
    <row r="2576" spans="1:16">
      <c r="A2576">
        <v>2575</v>
      </c>
      <c r="B2576" t="s">
        <v>2639</v>
      </c>
      <c r="C2576">
        <v>114</v>
      </c>
      <c r="D2576">
        <v>144</v>
      </c>
      <c r="E2576">
        <v>110.91573576224501</v>
      </c>
      <c r="F2576">
        <v>0.79300277623747895</v>
      </c>
      <c r="G2576">
        <v>9662.2041708884699</v>
      </c>
      <c r="H2576">
        <v>706.81541869951297</v>
      </c>
      <c r="I2576">
        <v>0.73870867633914905</v>
      </c>
      <c r="J2576">
        <v>0.24303792282152401</v>
      </c>
      <c r="K2576">
        <v>0.78812860676009899</v>
      </c>
      <c r="L2576" t="s">
        <v>298</v>
      </c>
      <c r="M2576" t="s">
        <v>34</v>
      </c>
      <c r="N2576" t="s">
        <v>35</v>
      </c>
      <c r="O2576">
        <v>0.61856900293972605</v>
      </c>
      <c r="P2576" t="s">
        <v>36</v>
      </c>
    </row>
    <row r="2577" spans="1:16">
      <c r="A2577">
        <v>2576</v>
      </c>
      <c r="B2577" t="s">
        <v>2640</v>
      </c>
      <c r="C2577">
        <v>201</v>
      </c>
      <c r="D2577">
        <v>128</v>
      </c>
      <c r="E2577">
        <v>111.04788644725799</v>
      </c>
      <c r="F2577">
        <v>1.5769230217466501</v>
      </c>
      <c r="G2577">
        <v>9685.2419761814799</v>
      </c>
      <c r="H2577">
        <v>1545.7511329398999</v>
      </c>
      <c r="I2577">
        <v>0.74456076133403304</v>
      </c>
      <c r="J2577">
        <v>5.0937918318772597E-2</v>
      </c>
      <c r="K2577">
        <v>0.47771008819195498</v>
      </c>
      <c r="L2577" t="s">
        <v>33</v>
      </c>
      <c r="M2577" t="s">
        <v>34</v>
      </c>
      <c r="N2577" t="s">
        <v>35</v>
      </c>
      <c r="O2577">
        <v>0.65112107490516302</v>
      </c>
      <c r="P2577" t="s">
        <v>36</v>
      </c>
    </row>
    <row r="2578" spans="1:16">
      <c r="A2578">
        <v>2577</v>
      </c>
      <c r="B2578" t="s">
        <v>2641</v>
      </c>
      <c r="C2578">
        <v>151</v>
      </c>
      <c r="D2578">
        <v>115</v>
      </c>
      <c r="E2578">
        <v>111.484145403249</v>
      </c>
      <c r="F2578">
        <v>1.30957320614705</v>
      </c>
      <c r="G2578">
        <v>9761.4896801512295</v>
      </c>
      <c r="H2578">
        <v>751.226561301066</v>
      </c>
      <c r="I2578">
        <v>0.56609640492373003</v>
      </c>
      <c r="J2578">
        <v>0.21736223626110099</v>
      </c>
      <c r="K2578">
        <v>0.75613069607865702</v>
      </c>
      <c r="L2578" t="s">
        <v>38</v>
      </c>
      <c r="M2578" t="s">
        <v>34</v>
      </c>
      <c r="N2578" t="s">
        <v>35</v>
      </c>
      <c r="O2578">
        <v>0.76489218086718602</v>
      </c>
      <c r="P2578" t="s">
        <v>36</v>
      </c>
    </row>
    <row r="2579" spans="1:16">
      <c r="A2579">
        <v>2578</v>
      </c>
      <c r="B2579" t="s">
        <v>2642</v>
      </c>
      <c r="C2579">
        <v>149</v>
      </c>
      <c r="D2579">
        <v>110</v>
      </c>
      <c r="E2579">
        <v>112.349897081989</v>
      </c>
      <c r="F2579">
        <v>1.3511079618421999</v>
      </c>
      <c r="G2579">
        <v>9913.6878260869598</v>
      </c>
      <c r="H2579">
        <v>725.72698817128696</v>
      </c>
      <c r="I2579">
        <v>0.70035471998762699</v>
      </c>
      <c r="J2579">
        <v>0.23653671200429499</v>
      </c>
      <c r="K2579">
        <v>0.76136337693765299</v>
      </c>
      <c r="L2579" t="s">
        <v>33</v>
      </c>
      <c r="M2579" t="s">
        <v>34</v>
      </c>
      <c r="N2579" t="s">
        <v>35</v>
      </c>
      <c r="O2579">
        <v>0.67856228442097399</v>
      </c>
      <c r="P2579" t="s">
        <v>36</v>
      </c>
    </row>
    <row r="2580" spans="1:16">
      <c r="A2580">
        <v>2579</v>
      </c>
      <c r="B2580" t="s">
        <v>2643</v>
      </c>
      <c r="C2580">
        <v>121</v>
      </c>
      <c r="D2580">
        <v>223</v>
      </c>
      <c r="E2580">
        <v>112.711462629499</v>
      </c>
      <c r="F2580">
        <v>0.54307352395824904</v>
      </c>
      <c r="G2580">
        <v>9977.5991568998106</v>
      </c>
      <c r="H2580">
        <v>1464.87576294733</v>
      </c>
      <c r="I2580">
        <v>0.72706882139707496</v>
      </c>
      <c r="J2580">
        <v>5.8429790557848797E-2</v>
      </c>
      <c r="K2580">
        <v>0.49553406658300703</v>
      </c>
      <c r="L2580" t="s">
        <v>33</v>
      </c>
      <c r="M2580" t="s">
        <v>34</v>
      </c>
      <c r="N2580" t="s">
        <v>35</v>
      </c>
      <c r="O2580">
        <v>0.70845193744188895</v>
      </c>
      <c r="P2580" t="s">
        <v>36</v>
      </c>
    </row>
    <row r="2581" spans="1:16">
      <c r="A2581">
        <v>2580</v>
      </c>
      <c r="B2581" t="s">
        <v>2644</v>
      </c>
      <c r="C2581">
        <v>124</v>
      </c>
      <c r="D2581">
        <v>196</v>
      </c>
      <c r="E2581">
        <v>112.747555412327</v>
      </c>
      <c r="F2581">
        <v>0.63229820256603797</v>
      </c>
      <c r="G2581">
        <v>9983.9902899811004</v>
      </c>
      <c r="H2581">
        <v>1045.13748255512</v>
      </c>
      <c r="I2581">
        <v>0.62304383941235097</v>
      </c>
      <c r="J2581">
        <v>0.11485956497637401</v>
      </c>
      <c r="K2581">
        <v>0.54699803750722698</v>
      </c>
      <c r="L2581" t="s">
        <v>38</v>
      </c>
      <c r="M2581" t="s">
        <v>34</v>
      </c>
      <c r="N2581" t="s">
        <v>35</v>
      </c>
      <c r="O2581">
        <v>0.77249590917877797</v>
      </c>
      <c r="P2581" t="s">
        <v>36</v>
      </c>
    </row>
    <row r="2582" spans="1:16">
      <c r="A2582">
        <v>2581</v>
      </c>
      <c r="B2582" t="s">
        <v>2645</v>
      </c>
      <c r="C2582">
        <v>100</v>
      </c>
      <c r="D2582">
        <v>174</v>
      </c>
      <c r="E2582">
        <v>112.79622040595299</v>
      </c>
      <c r="F2582">
        <v>0.57581763165503497</v>
      </c>
      <c r="G2582">
        <v>9992.6108880907395</v>
      </c>
      <c r="H2582">
        <v>750.98467501650703</v>
      </c>
      <c r="I2582">
        <v>0.75587163086534603</v>
      </c>
      <c r="J2582">
        <v>0.22265204637087299</v>
      </c>
      <c r="K2582">
        <v>0.71997986699365002</v>
      </c>
      <c r="L2582" t="s">
        <v>38</v>
      </c>
      <c r="M2582" t="s">
        <v>34</v>
      </c>
      <c r="N2582" t="s">
        <v>35</v>
      </c>
      <c r="O2582">
        <v>0.73200164525238398</v>
      </c>
      <c r="P2582" t="s">
        <v>36</v>
      </c>
    </row>
    <row r="2583" spans="1:16">
      <c r="A2583">
        <v>2582</v>
      </c>
      <c r="B2583" t="s">
        <v>2646</v>
      </c>
      <c r="C2583">
        <v>171</v>
      </c>
      <c r="D2583">
        <v>104</v>
      </c>
      <c r="E2583">
        <v>112.94879167153201</v>
      </c>
      <c r="F2583">
        <v>1.6383328202520999</v>
      </c>
      <c r="G2583">
        <v>10019.6617304348</v>
      </c>
      <c r="H2583">
        <v>797.531292220924</v>
      </c>
      <c r="I2583">
        <v>0.482261251397264</v>
      </c>
      <c r="J2583">
        <v>0.19795544834449</v>
      </c>
      <c r="K2583">
        <v>0.69568223566077103</v>
      </c>
      <c r="L2583" t="s">
        <v>38</v>
      </c>
      <c r="M2583" t="s">
        <v>34</v>
      </c>
      <c r="N2583" t="s">
        <v>35</v>
      </c>
      <c r="O2583">
        <v>0.74091909362387298</v>
      </c>
      <c r="P2583" t="s">
        <v>36</v>
      </c>
    </row>
    <row r="2584" spans="1:16">
      <c r="A2584">
        <v>2583</v>
      </c>
      <c r="B2584" t="s">
        <v>2647</v>
      </c>
      <c r="C2584">
        <v>96</v>
      </c>
      <c r="D2584">
        <v>155</v>
      </c>
      <c r="E2584">
        <v>113.600347613992</v>
      </c>
      <c r="F2584">
        <v>0.622066921959195</v>
      </c>
      <c r="G2584">
        <v>10135.5939119093</v>
      </c>
      <c r="H2584">
        <v>771.81253028776302</v>
      </c>
      <c r="I2584">
        <v>0.790799425205993</v>
      </c>
      <c r="J2584">
        <v>0.21381364437709199</v>
      </c>
      <c r="K2584">
        <v>0.79364321958940498</v>
      </c>
      <c r="L2584" t="s">
        <v>38</v>
      </c>
      <c r="M2584" t="s">
        <v>34</v>
      </c>
      <c r="N2584" t="s">
        <v>35</v>
      </c>
      <c r="O2584">
        <v>0.74803109624086095</v>
      </c>
      <c r="P2584" t="s">
        <v>36</v>
      </c>
    </row>
    <row r="2585" spans="1:16">
      <c r="A2585">
        <v>2584</v>
      </c>
      <c r="B2585" t="s">
        <v>2648</v>
      </c>
      <c r="C2585">
        <v>185</v>
      </c>
      <c r="D2585">
        <v>124</v>
      </c>
      <c r="E2585">
        <v>113.72438685492099</v>
      </c>
      <c r="F2585">
        <v>1.4908129106947401</v>
      </c>
      <c r="G2585">
        <v>10157.739931190899</v>
      </c>
      <c r="H2585">
        <v>1106.5024068708001</v>
      </c>
      <c r="I2585">
        <v>0.57987488419371003</v>
      </c>
      <c r="J2585">
        <v>0.104256280682818</v>
      </c>
      <c r="K2585">
        <v>0.56238376590246997</v>
      </c>
      <c r="L2585" t="s">
        <v>33</v>
      </c>
      <c r="M2585" t="s">
        <v>34</v>
      </c>
      <c r="N2585" t="s">
        <v>35</v>
      </c>
      <c r="O2585">
        <v>0.67915617747189805</v>
      </c>
      <c r="P2585" t="s">
        <v>36</v>
      </c>
    </row>
    <row r="2586" spans="1:16">
      <c r="A2586">
        <v>2585</v>
      </c>
      <c r="B2586" t="s">
        <v>2649</v>
      </c>
      <c r="C2586">
        <v>162</v>
      </c>
      <c r="D2586">
        <v>151</v>
      </c>
      <c r="E2586">
        <v>113.807558854611</v>
      </c>
      <c r="F2586">
        <v>1.07220218197427</v>
      </c>
      <c r="G2586">
        <v>10172.60303138</v>
      </c>
      <c r="H2586">
        <v>1454.73857593308</v>
      </c>
      <c r="I2586">
        <v>0.53218385233166998</v>
      </c>
      <c r="J2586">
        <v>6.0404883424420797E-2</v>
      </c>
      <c r="K2586">
        <v>0.562632556763067</v>
      </c>
      <c r="L2586" t="s">
        <v>38</v>
      </c>
      <c r="M2586" t="s">
        <v>34</v>
      </c>
      <c r="N2586" t="s">
        <v>35</v>
      </c>
      <c r="O2586">
        <v>0.68830770926076901</v>
      </c>
      <c r="P2586" t="s">
        <v>36</v>
      </c>
    </row>
    <row r="2587" spans="1:16">
      <c r="A2587">
        <v>2586</v>
      </c>
      <c r="B2587" t="s">
        <v>2650</v>
      </c>
      <c r="C2587">
        <v>110</v>
      </c>
      <c r="D2587">
        <v>152</v>
      </c>
      <c r="E2587">
        <v>113.96541842853</v>
      </c>
      <c r="F2587">
        <v>0.72226395360620299</v>
      </c>
      <c r="G2587">
        <v>10200.8429217391</v>
      </c>
      <c r="H2587">
        <v>721.41064400320499</v>
      </c>
      <c r="I2587">
        <v>0.78501088311338396</v>
      </c>
      <c r="J2587">
        <v>0.24630931279173701</v>
      </c>
      <c r="K2587">
        <v>0.77630983621391703</v>
      </c>
      <c r="L2587" t="s">
        <v>33</v>
      </c>
      <c r="M2587" t="s">
        <v>34</v>
      </c>
      <c r="N2587" t="s">
        <v>35</v>
      </c>
      <c r="O2587">
        <v>0.67069343240110602</v>
      </c>
      <c r="P2587" t="s">
        <v>36</v>
      </c>
    </row>
    <row r="2588" spans="1:16">
      <c r="A2588">
        <v>2587</v>
      </c>
      <c r="B2588" t="s">
        <v>2651</v>
      </c>
      <c r="C2588">
        <v>121</v>
      </c>
      <c r="D2588">
        <v>185</v>
      </c>
      <c r="E2588">
        <v>116.87003073113399</v>
      </c>
      <c r="F2588">
        <v>0.65270087502437601</v>
      </c>
      <c r="G2588">
        <v>10727.442561436699</v>
      </c>
      <c r="H2588">
        <v>823.59213260184197</v>
      </c>
      <c r="I2588">
        <v>0.78576048376114005</v>
      </c>
      <c r="J2588">
        <v>0.19873835152918001</v>
      </c>
      <c r="K2588">
        <v>0.677648627333158</v>
      </c>
      <c r="L2588" t="s">
        <v>47</v>
      </c>
      <c r="M2588" t="s">
        <v>34</v>
      </c>
      <c r="N2588" t="s">
        <v>35</v>
      </c>
      <c r="O2588">
        <v>0.93213318967753001</v>
      </c>
      <c r="P2588" t="s">
        <v>36</v>
      </c>
    </row>
    <row r="2589" spans="1:16">
      <c r="A2589">
        <v>2588</v>
      </c>
      <c r="B2589" t="s">
        <v>2652</v>
      </c>
      <c r="C2589">
        <v>95</v>
      </c>
      <c r="D2589">
        <v>158</v>
      </c>
      <c r="E2589">
        <v>117.718679832361</v>
      </c>
      <c r="F2589">
        <v>0.59843063557264498</v>
      </c>
      <c r="G2589">
        <v>10883.802375425301</v>
      </c>
      <c r="H2589">
        <v>536.52990576733703</v>
      </c>
      <c r="I2589">
        <v>0.72790942047788898</v>
      </c>
      <c r="J2589">
        <v>0.475119267799121</v>
      </c>
      <c r="K2589">
        <v>0.90666749210672903</v>
      </c>
      <c r="L2589" t="s">
        <v>43</v>
      </c>
      <c r="M2589" t="s">
        <v>34</v>
      </c>
      <c r="N2589" t="s">
        <v>35</v>
      </c>
      <c r="O2589">
        <v>0.70291500685887698</v>
      </c>
      <c r="P2589" t="s">
        <v>36</v>
      </c>
    </row>
    <row r="2590" spans="1:16">
      <c r="A2590">
        <v>2589</v>
      </c>
      <c r="B2590" t="s">
        <v>2653</v>
      </c>
      <c r="C2590">
        <v>98</v>
      </c>
      <c r="D2590">
        <v>215</v>
      </c>
      <c r="E2590">
        <v>118.235189301774</v>
      </c>
      <c r="F2590">
        <v>0.45316455696202501</v>
      </c>
      <c r="G2590">
        <v>10979.5207406427</v>
      </c>
      <c r="H2590">
        <v>1017.88990823259</v>
      </c>
      <c r="I2590">
        <v>0.745329152836258</v>
      </c>
      <c r="J2590">
        <v>0.133165471223608</v>
      </c>
      <c r="K2590">
        <v>0.68487854626367495</v>
      </c>
      <c r="L2590" t="s">
        <v>33</v>
      </c>
      <c r="M2590" t="s">
        <v>34</v>
      </c>
      <c r="N2590" t="s">
        <v>35</v>
      </c>
      <c r="O2590">
        <v>0.70022219274991604</v>
      </c>
      <c r="P2590" t="s">
        <v>36</v>
      </c>
    </row>
    <row r="2591" spans="1:16">
      <c r="A2591">
        <v>2590</v>
      </c>
      <c r="B2591" t="s">
        <v>2654</v>
      </c>
      <c r="C2591">
        <v>185</v>
      </c>
      <c r="D2591">
        <v>132</v>
      </c>
      <c r="E2591">
        <v>118.247993112497</v>
      </c>
      <c r="F2591">
        <v>1.40495867768595</v>
      </c>
      <c r="G2591">
        <v>10981.898836672999</v>
      </c>
      <c r="H2591">
        <v>1831.6266258327901</v>
      </c>
      <c r="I2591">
        <v>0.68802704609968601</v>
      </c>
      <c r="J2591">
        <v>4.1135180425970398E-2</v>
      </c>
      <c r="K2591">
        <v>0.57484848249087805</v>
      </c>
      <c r="L2591" t="s">
        <v>33</v>
      </c>
      <c r="M2591" t="s">
        <v>34</v>
      </c>
      <c r="N2591" t="s">
        <v>35</v>
      </c>
      <c r="O2591">
        <v>0.64502730248531104</v>
      </c>
      <c r="P2591" t="s">
        <v>36</v>
      </c>
    </row>
    <row r="2592" spans="1:16">
      <c r="A2592">
        <v>2591</v>
      </c>
      <c r="B2592" t="s">
        <v>2655</v>
      </c>
      <c r="C2592">
        <v>148</v>
      </c>
      <c r="D2592">
        <v>141</v>
      </c>
      <c r="E2592">
        <v>118.36636270398699</v>
      </c>
      <c r="F2592">
        <v>1.0499325686577701</v>
      </c>
      <c r="G2592">
        <v>11003.896224952699</v>
      </c>
      <c r="H2592">
        <v>957.07684892955001</v>
      </c>
      <c r="I2592">
        <v>0.58952587441409399</v>
      </c>
      <c r="J2592">
        <v>0.150960292250372</v>
      </c>
      <c r="K2592">
        <v>0.69783772574746405</v>
      </c>
      <c r="L2592" t="s">
        <v>38</v>
      </c>
      <c r="M2592" t="s">
        <v>34</v>
      </c>
      <c r="N2592" t="s">
        <v>35</v>
      </c>
      <c r="O2592">
        <v>0.78835064581689096</v>
      </c>
      <c r="P2592" t="s">
        <v>36</v>
      </c>
    </row>
    <row r="2593" spans="1:16">
      <c r="A2593">
        <v>2592</v>
      </c>
      <c r="B2593" t="s">
        <v>2656</v>
      </c>
      <c r="C2593">
        <v>123</v>
      </c>
      <c r="D2593">
        <v>172</v>
      </c>
      <c r="E2593">
        <v>118.779727335969</v>
      </c>
      <c r="F2593">
        <v>0.712025316455696</v>
      </c>
      <c r="G2593">
        <v>11080.887083931901</v>
      </c>
      <c r="H2593">
        <v>1118.8032752033901</v>
      </c>
      <c r="I2593">
        <v>0.62659572984477996</v>
      </c>
      <c r="J2593">
        <v>0.111244086800322</v>
      </c>
      <c r="K2593">
        <v>0.63100830307493105</v>
      </c>
      <c r="L2593" t="s">
        <v>38</v>
      </c>
      <c r="M2593" t="s">
        <v>34</v>
      </c>
      <c r="N2593" t="s">
        <v>35</v>
      </c>
      <c r="O2593">
        <v>0.74932458604337204</v>
      </c>
      <c r="P2593" t="s">
        <v>36</v>
      </c>
    </row>
    <row r="2594" spans="1:16">
      <c r="A2594">
        <v>2593</v>
      </c>
      <c r="B2594" t="s">
        <v>2657</v>
      </c>
      <c r="C2594">
        <v>181</v>
      </c>
      <c r="D2594">
        <v>130</v>
      </c>
      <c r="E2594">
        <v>119.22975756900399</v>
      </c>
      <c r="F2594">
        <v>1.3918480403450799</v>
      </c>
      <c r="G2594">
        <v>11165.0122310019</v>
      </c>
      <c r="H2594">
        <v>1079.8897014772399</v>
      </c>
      <c r="I2594">
        <v>0.74419960850764999</v>
      </c>
      <c r="J2594">
        <v>0.120312366205125</v>
      </c>
      <c r="K2594">
        <v>0.60654189005878201</v>
      </c>
      <c r="L2594" t="s">
        <v>38</v>
      </c>
      <c r="M2594" t="s">
        <v>34</v>
      </c>
      <c r="N2594" t="s">
        <v>35</v>
      </c>
      <c r="O2594">
        <v>0.74897633527813301</v>
      </c>
      <c r="P2594" t="s">
        <v>36</v>
      </c>
    </row>
    <row r="2595" spans="1:16">
      <c r="A2595">
        <v>2594</v>
      </c>
      <c r="B2595" t="s">
        <v>2658</v>
      </c>
      <c r="C2595">
        <v>162</v>
      </c>
      <c r="D2595">
        <v>117</v>
      </c>
      <c r="E2595">
        <v>120.311298629311</v>
      </c>
      <c r="F2595">
        <v>1.38194973535486</v>
      </c>
      <c r="G2595">
        <v>11368.4880725898</v>
      </c>
      <c r="H2595">
        <v>763.48592767549599</v>
      </c>
      <c r="I2595">
        <v>0.68475775466409206</v>
      </c>
      <c r="J2595">
        <v>0.245081483852016</v>
      </c>
      <c r="K2595">
        <v>0.80969671306833202</v>
      </c>
      <c r="L2595" t="s">
        <v>957</v>
      </c>
      <c r="M2595" t="s">
        <v>34</v>
      </c>
      <c r="N2595" t="s">
        <v>35</v>
      </c>
      <c r="O2595">
        <v>0.66503184059269405</v>
      </c>
      <c r="P2595" t="s">
        <v>36</v>
      </c>
    </row>
    <row r="2596" spans="1:16">
      <c r="A2596">
        <v>2595</v>
      </c>
      <c r="B2596" t="s">
        <v>2659</v>
      </c>
      <c r="C2596">
        <v>137</v>
      </c>
      <c r="D2596">
        <v>152</v>
      </c>
      <c r="E2596">
        <v>120.32781340207301</v>
      </c>
      <c r="F2596">
        <v>0.90287778629391602</v>
      </c>
      <c r="G2596">
        <v>11371.6093236295</v>
      </c>
      <c r="H2596">
        <v>1833.0004488581201</v>
      </c>
      <c r="I2596">
        <v>0.55310640177256498</v>
      </c>
      <c r="J2596">
        <v>4.2531103633751503E-2</v>
      </c>
      <c r="K2596">
        <v>0.57231659971724202</v>
      </c>
      <c r="L2596" t="s">
        <v>38</v>
      </c>
      <c r="M2596" t="s">
        <v>34</v>
      </c>
      <c r="N2596" t="s">
        <v>35</v>
      </c>
      <c r="O2596">
        <v>0.69011105466317801</v>
      </c>
      <c r="P2596" t="s">
        <v>36</v>
      </c>
    </row>
    <row r="2597" spans="1:16">
      <c r="A2597">
        <v>2596</v>
      </c>
      <c r="B2597" t="s">
        <v>2660</v>
      </c>
      <c r="C2597">
        <v>103</v>
      </c>
      <c r="D2597">
        <v>165</v>
      </c>
      <c r="E2597">
        <v>120.67880609555201</v>
      </c>
      <c r="F2597">
        <v>0.62269132819701301</v>
      </c>
      <c r="G2597">
        <v>11438.0473814745</v>
      </c>
      <c r="H2597">
        <v>757.42709154896102</v>
      </c>
      <c r="I2597">
        <v>0.73644079312035904</v>
      </c>
      <c r="J2597">
        <v>0.25054173788210499</v>
      </c>
      <c r="K2597">
        <v>0.82064516129032306</v>
      </c>
      <c r="L2597" t="s">
        <v>38</v>
      </c>
      <c r="M2597" t="s">
        <v>34</v>
      </c>
      <c r="N2597" t="s">
        <v>35</v>
      </c>
      <c r="O2597">
        <v>0.65158905241554299</v>
      </c>
      <c r="P2597" t="s">
        <v>36</v>
      </c>
    </row>
    <row r="2598" spans="1:16">
      <c r="A2598">
        <v>2597</v>
      </c>
      <c r="B2598" t="s">
        <v>2661</v>
      </c>
      <c r="C2598">
        <v>174</v>
      </c>
      <c r="D2598">
        <v>100</v>
      </c>
      <c r="E2598">
        <v>121.059267613304</v>
      </c>
      <c r="F2598">
        <v>1.74294081601822</v>
      </c>
      <c r="G2598">
        <v>11510.282048393199</v>
      </c>
      <c r="H2598">
        <v>743.48392342111299</v>
      </c>
      <c r="I2598">
        <v>0.79114672697699895</v>
      </c>
      <c r="J2598">
        <v>0.26166923552156401</v>
      </c>
      <c r="K2598">
        <v>0.83870688254724601</v>
      </c>
      <c r="L2598" t="s">
        <v>38</v>
      </c>
      <c r="M2598" t="s">
        <v>34</v>
      </c>
      <c r="N2598" t="s">
        <v>35</v>
      </c>
      <c r="O2598">
        <v>0.63916202326561899</v>
      </c>
      <c r="P2598" t="s">
        <v>36</v>
      </c>
    </row>
    <row r="2599" spans="1:16">
      <c r="A2599">
        <v>2598</v>
      </c>
      <c r="B2599" t="s">
        <v>2662</v>
      </c>
      <c r="C2599">
        <v>147</v>
      </c>
      <c r="D2599">
        <v>142</v>
      </c>
      <c r="E2599">
        <v>121.78943650206899</v>
      </c>
      <c r="F2599">
        <v>1.03448276668453</v>
      </c>
      <c r="G2599">
        <v>11649.5492971645</v>
      </c>
      <c r="H2599">
        <v>1184.01017335653</v>
      </c>
      <c r="I2599">
        <v>0.61554203707233501</v>
      </c>
      <c r="J2599">
        <v>0.10442587418053099</v>
      </c>
      <c r="K2599">
        <v>0.69015039447731796</v>
      </c>
      <c r="L2599" t="s">
        <v>33</v>
      </c>
      <c r="M2599" t="s">
        <v>34</v>
      </c>
      <c r="N2599" t="s">
        <v>35</v>
      </c>
      <c r="O2599">
        <v>0.72878284658238801</v>
      </c>
      <c r="P2599" t="s">
        <v>36</v>
      </c>
    </row>
    <row r="2600" spans="1:16">
      <c r="A2600">
        <v>2599</v>
      </c>
      <c r="B2600" t="s">
        <v>2663</v>
      </c>
      <c r="C2600">
        <v>156</v>
      </c>
      <c r="D2600">
        <v>181</v>
      </c>
      <c r="E2600">
        <v>122.309643155033</v>
      </c>
      <c r="F2600">
        <v>0.86445783132530096</v>
      </c>
      <c r="G2600">
        <v>11749.2806994329</v>
      </c>
      <c r="H2600">
        <v>1521.30049263457</v>
      </c>
      <c r="I2600">
        <v>0.70041539292709298</v>
      </c>
      <c r="J2600">
        <v>6.3795659555616002E-2</v>
      </c>
      <c r="K2600">
        <v>0.515376541076912</v>
      </c>
      <c r="L2600" t="s">
        <v>331</v>
      </c>
      <c r="M2600" t="s">
        <v>34</v>
      </c>
      <c r="N2600" t="s">
        <v>35</v>
      </c>
      <c r="O2600">
        <v>0.63944690317054498</v>
      </c>
      <c r="P2600" t="s">
        <v>36</v>
      </c>
    </row>
    <row r="2601" spans="1:16">
      <c r="A2601">
        <v>2600</v>
      </c>
      <c r="B2601" t="s">
        <v>2664</v>
      </c>
      <c r="C2601">
        <v>186</v>
      </c>
      <c r="D2601">
        <v>159</v>
      </c>
      <c r="E2601">
        <v>122.911587113145</v>
      </c>
      <c r="F2601">
        <v>1.1710077191217101</v>
      </c>
      <c r="G2601">
        <v>11865.2128809074</v>
      </c>
      <c r="H2601">
        <v>1472.4501162205599</v>
      </c>
      <c r="I2601">
        <v>0.56571958890237295</v>
      </c>
      <c r="J2601">
        <v>6.8770822302044704E-2</v>
      </c>
      <c r="K2601">
        <v>0.56893418380073402</v>
      </c>
      <c r="L2601" t="s">
        <v>49</v>
      </c>
      <c r="M2601" t="s">
        <v>34</v>
      </c>
      <c r="N2601" t="s">
        <v>35</v>
      </c>
      <c r="O2601">
        <v>0.66845727561826196</v>
      </c>
      <c r="P2601" t="s">
        <v>36</v>
      </c>
    </row>
    <row r="2602" spans="1:16">
      <c r="A2602">
        <v>2601</v>
      </c>
      <c r="B2602" t="s">
        <v>2665</v>
      </c>
      <c r="C2602">
        <v>142</v>
      </c>
      <c r="D2602">
        <v>121</v>
      </c>
      <c r="E2602">
        <v>123.031622497082</v>
      </c>
      <c r="F2602">
        <v>1.169421479113</v>
      </c>
      <c r="G2602">
        <v>11888.3993172023</v>
      </c>
      <c r="H2602">
        <v>686.17465251196995</v>
      </c>
      <c r="I2602">
        <v>0.57457060418499994</v>
      </c>
      <c r="J2602">
        <v>0.31729549502384702</v>
      </c>
      <c r="K2602">
        <v>0.86498469790528898</v>
      </c>
      <c r="L2602" t="s">
        <v>38</v>
      </c>
      <c r="M2602" t="s">
        <v>34</v>
      </c>
      <c r="N2602" t="s">
        <v>35</v>
      </c>
      <c r="O2602">
        <v>0.66923155759441</v>
      </c>
      <c r="P2602" t="s">
        <v>36</v>
      </c>
    </row>
    <row r="2603" spans="1:16">
      <c r="A2603">
        <v>2602</v>
      </c>
      <c r="B2603" t="s">
        <v>2666</v>
      </c>
      <c r="C2603">
        <v>147</v>
      </c>
      <c r="D2603">
        <v>186</v>
      </c>
      <c r="E2603">
        <v>123.297437795766</v>
      </c>
      <c r="F2603">
        <v>0.786549707602339</v>
      </c>
      <c r="G2603">
        <v>11939.8256438563</v>
      </c>
      <c r="H2603">
        <v>1078.8540638954701</v>
      </c>
      <c r="I2603">
        <v>0.52693780542357604</v>
      </c>
      <c r="J2603">
        <v>0.12890876426606099</v>
      </c>
      <c r="K2603">
        <v>0.61667664624690999</v>
      </c>
      <c r="L2603" t="s">
        <v>74</v>
      </c>
      <c r="M2603" t="s">
        <v>34</v>
      </c>
      <c r="N2603" t="s">
        <v>35</v>
      </c>
      <c r="O2603">
        <v>0.66568637182370205</v>
      </c>
      <c r="P2603" t="s">
        <v>36</v>
      </c>
    </row>
    <row r="2604" spans="1:16">
      <c r="A2604">
        <v>2603</v>
      </c>
      <c r="B2604" t="s">
        <v>2667</v>
      </c>
      <c r="C2604">
        <v>230</v>
      </c>
      <c r="D2604">
        <v>132</v>
      </c>
      <c r="E2604">
        <v>123.355748244898</v>
      </c>
      <c r="F2604">
        <v>1.73966938865843</v>
      </c>
      <c r="G2604">
        <v>11951.1216</v>
      </c>
      <c r="H2604">
        <v>1458.6353469713899</v>
      </c>
      <c r="I2604">
        <v>0.75958339735110103</v>
      </c>
      <c r="J2604">
        <v>7.0587054887315398E-2</v>
      </c>
      <c r="K2604">
        <v>0.59627734519836895</v>
      </c>
      <c r="L2604" t="s">
        <v>38</v>
      </c>
      <c r="M2604" t="s">
        <v>34</v>
      </c>
      <c r="N2604" t="s">
        <v>35</v>
      </c>
      <c r="O2604">
        <v>0.77629918955942701</v>
      </c>
      <c r="P2604" t="s">
        <v>36</v>
      </c>
    </row>
    <row r="2605" spans="1:16">
      <c r="A2605">
        <v>2604</v>
      </c>
      <c r="B2605" t="s">
        <v>2668</v>
      </c>
      <c r="C2605">
        <v>166</v>
      </c>
      <c r="D2605">
        <v>126</v>
      </c>
      <c r="E2605">
        <v>123.796022855491</v>
      </c>
      <c r="F2605">
        <v>1.3144691968005899</v>
      </c>
      <c r="G2605">
        <v>12036.584426087</v>
      </c>
      <c r="H2605">
        <v>754.84934633514195</v>
      </c>
      <c r="I2605">
        <v>0.53248136696343695</v>
      </c>
      <c r="J2605">
        <v>0.26545601088524201</v>
      </c>
      <c r="K2605">
        <v>0.76549266485178502</v>
      </c>
      <c r="L2605" t="s">
        <v>38</v>
      </c>
      <c r="M2605" t="s">
        <v>34</v>
      </c>
      <c r="N2605" t="s">
        <v>35</v>
      </c>
      <c r="O2605">
        <v>0.67429007703726895</v>
      </c>
      <c r="P2605" t="s">
        <v>36</v>
      </c>
    </row>
    <row r="2606" spans="1:16">
      <c r="A2606">
        <v>2605</v>
      </c>
      <c r="B2606" t="s">
        <v>2669</v>
      </c>
      <c r="C2606">
        <v>123</v>
      </c>
      <c r="D2606">
        <v>196</v>
      </c>
      <c r="E2606">
        <v>123.892291432333</v>
      </c>
      <c r="F2606">
        <v>0.625</v>
      </c>
      <c r="G2606">
        <v>12055.311932325099</v>
      </c>
      <c r="H2606">
        <v>1474.6082883045999</v>
      </c>
      <c r="I2606">
        <v>0.68366694718265997</v>
      </c>
      <c r="J2606">
        <v>6.96682617862521E-2</v>
      </c>
      <c r="K2606">
        <v>0.60363330554894001</v>
      </c>
      <c r="L2606" t="s">
        <v>331</v>
      </c>
      <c r="M2606" t="s">
        <v>34</v>
      </c>
      <c r="N2606" t="s">
        <v>35</v>
      </c>
      <c r="O2606">
        <v>0.70043577050805805</v>
      </c>
      <c r="P2606" t="s">
        <v>36</v>
      </c>
    </row>
    <row r="2607" spans="1:16">
      <c r="A2607">
        <v>2606</v>
      </c>
      <c r="B2607" t="s">
        <v>2670</v>
      </c>
      <c r="C2607">
        <v>170</v>
      </c>
      <c r="D2607">
        <v>110</v>
      </c>
      <c r="E2607">
        <v>124.012140562186</v>
      </c>
      <c r="F2607">
        <v>1.54395609212275</v>
      </c>
      <c r="G2607">
        <v>12078.6469996219</v>
      </c>
      <c r="H2607">
        <v>661.57842508108695</v>
      </c>
      <c r="I2607">
        <v>0.70354566446782096</v>
      </c>
      <c r="J2607">
        <v>0.34678913735197697</v>
      </c>
      <c r="K2607">
        <v>0.82394808881679005</v>
      </c>
      <c r="L2607" t="s">
        <v>33</v>
      </c>
      <c r="M2607" t="s">
        <v>34</v>
      </c>
      <c r="N2607" t="s">
        <v>35</v>
      </c>
      <c r="O2607">
        <v>0.67710945881907003</v>
      </c>
      <c r="P2607" t="s">
        <v>36</v>
      </c>
    </row>
    <row r="2608" spans="1:16">
      <c r="A2608">
        <v>2607</v>
      </c>
      <c r="B2608" t="s">
        <v>2671</v>
      </c>
      <c r="C2608">
        <v>126</v>
      </c>
      <c r="D2608">
        <v>151</v>
      </c>
      <c r="E2608">
        <v>124.081554261344</v>
      </c>
      <c r="F2608">
        <v>0.83520162283350896</v>
      </c>
      <c r="G2608">
        <v>12092.172420794001</v>
      </c>
      <c r="H2608">
        <v>709.22715608068097</v>
      </c>
      <c r="I2608">
        <v>0.61394250237145798</v>
      </c>
      <c r="J2608">
        <v>0.30209496198393698</v>
      </c>
      <c r="K2608">
        <v>0.75550210798061002</v>
      </c>
      <c r="L2608" t="s">
        <v>298</v>
      </c>
      <c r="M2608" t="s">
        <v>34</v>
      </c>
      <c r="N2608" t="s">
        <v>35</v>
      </c>
      <c r="O2608">
        <v>0.78939565002735501</v>
      </c>
      <c r="P2608" t="s">
        <v>36</v>
      </c>
    </row>
    <row r="2609" spans="1:16">
      <c r="A2609">
        <v>2608</v>
      </c>
      <c r="B2609" t="s">
        <v>2672</v>
      </c>
      <c r="C2609">
        <v>168</v>
      </c>
      <c r="D2609">
        <v>121</v>
      </c>
      <c r="E2609">
        <v>124.165409126377</v>
      </c>
      <c r="F2609">
        <v>1.38791798584875</v>
      </c>
      <c r="G2609">
        <v>12108.521831001901</v>
      </c>
      <c r="H2609">
        <v>737.47988449542402</v>
      </c>
      <c r="I2609">
        <v>0.708478855755309</v>
      </c>
      <c r="J2609">
        <v>0.27976967294772898</v>
      </c>
      <c r="K2609">
        <v>0.80640435535758503</v>
      </c>
      <c r="L2609" t="s">
        <v>38</v>
      </c>
      <c r="M2609" t="s">
        <v>34</v>
      </c>
      <c r="N2609" t="s">
        <v>35</v>
      </c>
      <c r="O2609">
        <v>0.70037279299088395</v>
      </c>
      <c r="P2609" t="s">
        <v>36</v>
      </c>
    </row>
    <row r="2610" spans="1:16">
      <c r="A2610">
        <v>2609</v>
      </c>
      <c r="B2610" t="s">
        <v>2673</v>
      </c>
      <c r="C2610">
        <v>135</v>
      </c>
      <c r="D2610">
        <v>196</v>
      </c>
      <c r="E2610">
        <v>125.888660476806</v>
      </c>
      <c r="F2610">
        <v>0.68630702278684397</v>
      </c>
      <c r="G2610">
        <v>12446.954622306201</v>
      </c>
      <c r="H2610">
        <v>1449.8476692711799</v>
      </c>
      <c r="I2610">
        <v>0.67156567398254796</v>
      </c>
      <c r="J2610">
        <v>7.4409471647849001E-2</v>
      </c>
      <c r="K2610">
        <v>0.56724060853191005</v>
      </c>
      <c r="L2610" t="s">
        <v>38</v>
      </c>
      <c r="M2610" t="s">
        <v>34</v>
      </c>
      <c r="N2610" t="s">
        <v>35</v>
      </c>
      <c r="O2610">
        <v>0.88242297914911805</v>
      </c>
      <c r="P2610" t="s">
        <v>36</v>
      </c>
    </row>
    <row r="2611" spans="1:16">
      <c r="A2611">
        <v>2610</v>
      </c>
      <c r="B2611" t="s">
        <v>2674</v>
      </c>
      <c r="C2611">
        <v>245</v>
      </c>
      <c r="D2611">
        <v>90</v>
      </c>
      <c r="E2611">
        <v>125.94501995645901</v>
      </c>
      <c r="F2611">
        <v>2.71750424364678</v>
      </c>
      <c r="G2611">
        <v>12458.101947448</v>
      </c>
      <c r="H2611">
        <v>872.58420313721103</v>
      </c>
      <c r="I2611">
        <v>0.80393707032167805</v>
      </c>
      <c r="J2611">
        <v>0.20561133438566401</v>
      </c>
      <c r="K2611">
        <v>0.73732406755805802</v>
      </c>
      <c r="L2611" t="s">
        <v>33</v>
      </c>
      <c r="M2611" t="s">
        <v>34</v>
      </c>
      <c r="N2611" t="s">
        <v>35</v>
      </c>
      <c r="O2611">
        <v>0.69471387278623098</v>
      </c>
      <c r="P2611" t="s">
        <v>36</v>
      </c>
    </row>
    <row r="2612" spans="1:16">
      <c r="A2612">
        <v>2611</v>
      </c>
      <c r="B2612" t="s">
        <v>2675</v>
      </c>
      <c r="C2612">
        <v>130</v>
      </c>
      <c r="D2612">
        <v>127</v>
      </c>
      <c r="E2612">
        <v>126.038145684596</v>
      </c>
      <c r="F2612">
        <v>1.0259691882020201</v>
      </c>
      <c r="G2612">
        <v>12476.5321916824</v>
      </c>
      <c r="H2612">
        <v>563.86827001457596</v>
      </c>
      <c r="I2612">
        <v>0.68028140573911</v>
      </c>
      <c r="J2612">
        <v>0.493115259683094</v>
      </c>
      <c r="K2612">
        <v>0.91616825285951298</v>
      </c>
      <c r="L2612" t="s">
        <v>38</v>
      </c>
      <c r="M2612" t="s">
        <v>34</v>
      </c>
      <c r="N2612" t="s">
        <v>35</v>
      </c>
      <c r="O2612">
        <v>0.82294724939989605</v>
      </c>
      <c r="P2612" t="s">
        <v>36</v>
      </c>
    </row>
    <row r="2613" spans="1:16">
      <c r="A2613">
        <v>2612</v>
      </c>
      <c r="B2613" t="s">
        <v>2676</v>
      </c>
      <c r="C2613">
        <v>215</v>
      </c>
      <c r="D2613">
        <v>122</v>
      </c>
      <c r="E2613">
        <v>126.562570201611</v>
      </c>
      <c r="F2613">
        <v>1.76747652758022</v>
      </c>
      <c r="G2613">
        <v>12580.5738930057</v>
      </c>
      <c r="H2613">
        <v>990.17736581791996</v>
      </c>
      <c r="I2613">
        <v>0.62271183408041897</v>
      </c>
      <c r="J2613">
        <v>0.161244283791697</v>
      </c>
      <c r="K2613">
        <v>0.67066271551724099</v>
      </c>
      <c r="L2613" t="s">
        <v>43</v>
      </c>
      <c r="M2613" t="s">
        <v>34</v>
      </c>
      <c r="N2613" t="s">
        <v>35</v>
      </c>
      <c r="O2613">
        <v>0.775735332319477</v>
      </c>
      <c r="P2613" t="s">
        <v>36</v>
      </c>
    </row>
    <row r="2614" spans="1:16">
      <c r="A2614">
        <v>2613</v>
      </c>
      <c r="B2614" t="s">
        <v>2677</v>
      </c>
      <c r="C2614">
        <v>190</v>
      </c>
      <c r="D2614">
        <v>113</v>
      </c>
      <c r="E2614">
        <v>126.57378409084301</v>
      </c>
      <c r="F2614">
        <v>1.6859902918704599</v>
      </c>
      <c r="G2614">
        <v>12582.803358034</v>
      </c>
      <c r="H2614">
        <v>888.46635454571799</v>
      </c>
      <c r="I2614">
        <v>0.79411841158857699</v>
      </c>
      <c r="J2614">
        <v>0.20031123169881501</v>
      </c>
      <c r="K2614">
        <v>0.82341727213484694</v>
      </c>
      <c r="L2614" t="s">
        <v>38</v>
      </c>
      <c r="M2614" t="s">
        <v>34</v>
      </c>
      <c r="N2614" t="s">
        <v>35</v>
      </c>
      <c r="O2614">
        <v>0.80455313236822801</v>
      </c>
      <c r="P2614" t="s">
        <v>36</v>
      </c>
    </row>
    <row r="2615" spans="1:16">
      <c r="A2615">
        <v>2614</v>
      </c>
      <c r="B2615" t="s">
        <v>2678</v>
      </c>
      <c r="C2615">
        <v>163</v>
      </c>
      <c r="D2615">
        <v>119</v>
      </c>
      <c r="E2615">
        <v>126.73291423387499</v>
      </c>
      <c r="F2615">
        <v>1.3749302841753499</v>
      </c>
      <c r="G2615">
        <v>12614.4617614367</v>
      </c>
      <c r="H2615">
        <v>811.22317182571999</v>
      </c>
      <c r="I2615">
        <v>0.671476279521937</v>
      </c>
      <c r="J2615">
        <v>0.24087842002131701</v>
      </c>
      <c r="K2615">
        <v>0.81320545005078304</v>
      </c>
      <c r="L2615" t="s">
        <v>38</v>
      </c>
      <c r="M2615" t="s">
        <v>34</v>
      </c>
      <c r="N2615" t="s">
        <v>35</v>
      </c>
      <c r="O2615">
        <v>0.66494337085253696</v>
      </c>
      <c r="P2615" t="s">
        <v>36</v>
      </c>
    </row>
    <row r="2616" spans="1:16">
      <c r="A2616">
        <v>2615</v>
      </c>
      <c r="B2616" t="s">
        <v>2679</v>
      </c>
      <c r="C2616">
        <v>185</v>
      </c>
      <c r="D2616">
        <v>110</v>
      </c>
      <c r="E2616">
        <v>126.73366085251401</v>
      </c>
      <c r="F2616">
        <v>1.6864251226475799</v>
      </c>
      <c r="G2616">
        <v>12614.610392438601</v>
      </c>
      <c r="H2616">
        <v>821.169376752066</v>
      </c>
      <c r="I2616">
        <v>0.74504004827390102</v>
      </c>
      <c r="J2616">
        <v>0.23508137125928799</v>
      </c>
      <c r="K2616">
        <v>0.78421806421806395</v>
      </c>
      <c r="L2616" t="s">
        <v>33</v>
      </c>
      <c r="M2616" t="s">
        <v>34</v>
      </c>
      <c r="N2616" t="s">
        <v>35</v>
      </c>
      <c r="O2616">
        <v>0.74378689145128396</v>
      </c>
      <c r="P2616" t="s">
        <v>36</v>
      </c>
    </row>
    <row r="2617" spans="1:16">
      <c r="A2617">
        <v>2616</v>
      </c>
      <c r="B2617" t="s">
        <v>2680</v>
      </c>
      <c r="C2617">
        <v>214</v>
      </c>
      <c r="D2617">
        <v>132</v>
      </c>
      <c r="E2617">
        <v>127.14884612615801</v>
      </c>
      <c r="F2617">
        <v>1.61891186906304</v>
      </c>
      <c r="G2617">
        <v>12697.397860491499</v>
      </c>
      <c r="H2617">
        <v>1036.0852210891801</v>
      </c>
      <c r="I2617">
        <v>0.60709663567647099</v>
      </c>
      <c r="J2617">
        <v>0.14863929412737201</v>
      </c>
      <c r="K2617">
        <v>0.62455860742928604</v>
      </c>
      <c r="L2617" t="s">
        <v>49</v>
      </c>
      <c r="M2617" t="s">
        <v>34</v>
      </c>
      <c r="N2617" t="s">
        <v>35</v>
      </c>
      <c r="O2617">
        <v>0.81501954075441096</v>
      </c>
      <c r="P2617" t="s">
        <v>36</v>
      </c>
    </row>
    <row r="2618" spans="1:16">
      <c r="A2618">
        <v>2617</v>
      </c>
      <c r="B2618" t="s">
        <v>2681</v>
      </c>
      <c r="C2618">
        <v>151</v>
      </c>
      <c r="D2618">
        <v>166</v>
      </c>
      <c r="E2618">
        <v>127.39047454067</v>
      </c>
      <c r="F2618">
        <v>0.908196721311475</v>
      </c>
      <c r="G2618">
        <v>12745.702936105899</v>
      </c>
      <c r="H2618">
        <v>1617.32295294347</v>
      </c>
      <c r="I2618">
        <v>0.546024441013918</v>
      </c>
      <c r="J2618">
        <v>6.1232241261016701E-2</v>
      </c>
      <c r="K2618">
        <v>0.62139679135085002</v>
      </c>
      <c r="L2618" t="s">
        <v>38</v>
      </c>
      <c r="M2618" t="s">
        <v>34</v>
      </c>
      <c r="N2618" t="s">
        <v>35</v>
      </c>
      <c r="O2618">
        <v>0.68855111609144304</v>
      </c>
      <c r="P2618" t="s">
        <v>36</v>
      </c>
    </row>
    <row r="2619" spans="1:16">
      <c r="A2619">
        <v>2618</v>
      </c>
      <c r="B2619" t="s">
        <v>2682</v>
      </c>
      <c r="C2619">
        <v>145</v>
      </c>
      <c r="D2619">
        <v>130</v>
      </c>
      <c r="E2619">
        <v>127.42092434656701</v>
      </c>
      <c r="F2619">
        <v>1.1225203725781301</v>
      </c>
      <c r="G2619">
        <v>12751.7968071834</v>
      </c>
      <c r="H2619">
        <v>746.99711405349797</v>
      </c>
      <c r="I2619">
        <v>0.67909127059128105</v>
      </c>
      <c r="J2619">
        <v>0.28717286432901301</v>
      </c>
      <c r="K2619">
        <v>0.83494720451559501</v>
      </c>
      <c r="L2619" t="s">
        <v>38</v>
      </c>
      <c r="M2619" t="s">
        <v>34</v>
      </c>
      <c r="N2619" t="s">
        <v>35</v>
      </c>
      <c r="O2619">
        <v>0.76338683266812302</v>
      </c>
      <c r="P2619" t="s">
        <v>36</v>
      </c>
    </row>
    <row r="2620" spans="1:16">
      <c r="A2620">
        <v>2619</v>
      </c>
      <c r="B2620" t="s">
        <v>2683</v>
      </c>
      <c r="C2620">
        <v>122</v>
      </c>
      <c r="D2620">
        <v>225</v>
      </c>
      <c r="E2620">
        <v>127.878281235</v>
      </c>
      <c r="F2620">
        <v>0.54237288135593198</v>
      </c>
      <c r="G2620">
        <v>12843.5021353497</v>
      </c>
      <c r="H2620">
        <v>1405.7332101550301</v>
      </c>
      <c r="I2620">
        <v>0.65800938868367498</v>
      </c>
      <c r="J2620">
        <v>8.1674694019430699E-2</v>
      </c>
      <c r="K2620">
        <v>0.55682140371678202</v>
      </c>
      <c r="L2620" t="s">
        <v>38</v>
      </c>
      <c r="M2620" t="s">
        <v>34</v>
      </c>
      <c r="N2620" t="s">
        <v>35</v>
      </c>
      <c r="O2620">
        <v>0.77070060407221397</v>
      </c>
      <c r="P2620" t="s">
        <v>36</v>
      </c>
    </row>
    <row r="2621" spans="1:16">
      <c r="A2621">
        <v>2620</v>
      </c>
      <c r="B2621" t="s">
        <v>2684</v>
      </c>
      <c r="C2621">
        <v>118</v>
      </c>
      <c r="D2621">
        <v>168</v>
      </c>
      <c r="E2621">
        <v>128.09785300216501</v>
      </c>
      <c r="F2621">
        <v>0.70314910555802002</v>
      </c>
      <c r="G2621">
        <v>12887.645542911199</v>
      </c>
      <c r="H2621">
        <v>813.62323019431994</v>
      </c>
      <c r="I2621">
        <v>0.74932148902391804</v>
      </c>
      <c r="J2621">
        <v>0.244645238290749</v>
      </c>
      <c r="K2621">
        <v>0.79004482834025802</v>
      </c>
      <c r="L2621" t="s">
        <v>33</v>
      </c>
      <c r="M2621" t="s">
        <v>34</v>
      </c>
      <c r="N2621" t="s">
        <v>35</v>
      </c>
      <c r="O2621">
        <v>0.72426030535967001</v>
      </c>
      <c r="P2621" t="s">
        <v>36</v>
      </c>
    </row>
    <row r="2622" spans="1:16">
      <c r="A2622">
        <v>2621</v>
      </c>
      <c r="B2622" t="s">
        <v>2685</v>
      </c>
      <c r="C2622">
        <v>105</v>
      </c>
      <c r="D2622">
        <v>237</v>
      </c>
      <c r="E2622">
        <v>128.210080960429</v>
      </c>
      <c r="F2622">
        <v>0.44132653544565198</v>
      </c>
      <c r="G2622">
        <v>12910.237455198499</v>
      </c>
      <c r="H2622">
        <v>824.71466710412005</v>
      </c>
      <c r="I2622">
        <v>0.76607612640798395</v>
      </c>
      <c r="J2622">
        <v>0.23852651206099201</v>
      </c>
      <c r="K2622">
        <v>0.68549940021466005</v>
      </c>
      <c r="L2622" t="s">
        <v>38</v>
      </c>
      <c r="M2622" t="s">
        <v>34</v>
      </c>
      <c r="N2622" t="s">
        <v>35</v>
      </c>
      <c r="O2622">
        <v>0.73396868142387395</v>
      </c>
      <c r="P2622" t="s">
        <v>36</v>
      </c>
    </row>
    <row r="2623" spans="1:16">
      <c r="A2623">
        <v>2622</v>
      </c>
      <c r="B2623" t="s">
        <v>2686</v>
      </c>
      <c r="C2623">
        <v>147</v>
      </c>
      <c r="D2623">
        <v>162</v>
      </c>
      <c r="E2623">
        <v>128.28386159918099</v>
      </c>
      <c r="F2623">
        <v>0.90572390572390604</v>
      </c>
      <c r="G2623">
        <v>12925.1005553875</v>
      </c>
      <c r="H2623">
        <v>1295.27991614497</v>
      </c>
      <c r="I2623">
        <v>0.61659567992120901</v>
      </c>
      <c r="J2623">
        <v>9.6809177699409596E-2</v>
      </c>
      <c r="K2623">
        <v>0.676797235561021</v>
      </c>
      <c r="L2623" t="s">
        <v>33</v>
      </c>
      <c r="M2623" t="s">
        <v>34</v>
      </c>
      <c r="N2623" t="s">
        <v>35</v>
      </c>
      <c r="O2623">
        <v>0.63921254559195895</v>
      </c>
      <c r="P2623" t="s">
        <v>36</v>
      </c>
    </row>
    <row r="2624" spans="1:16">
      <c r="A2624">
        <v>2623</v>
      </c>
      <c r="B2624" t="s">
        <v>2687</v>
      </c>
      <c r="C2624">
        <v>136</v>
      </c>
      <c r="D2624">
        <v>161</v>
      </c>
      <c r="E2624">
        <v>128.43350594467699</v>
      </c>
      <c r="F2624">
        <v>0.84745762711864403</v>
      </c>
      <c r="G2624">
        <v>12955.272648771301</v>
      </c>
      <c r="H2624">
        <v>1213.6163040895001</v>
      </c>
      <c r="I2624">
        <v>0.65831217653437801</v>
      </c>
      <c r="J2624">
        <v>0.110533422324951</v>
      </c>
      <c r="K2624">
        <v>0.70973520502882503</v>
      </c>
      <c r="L2624" t="s">
        <v>38</v>
      </c>
      <c r="M2624" t="s">
        <v>34</v>
      </c>
      <c r="N2624" t="s">
        <v>35</v>
      </c>
      <c r="O2624">
        <v>0.772976273499836</v>
      </c>
      <c r="P2624" t="s">
        <v>36</v>
      </c>
    </row>
    <row r="2625" spans="1:16">
      <c r="A2625">
        <v>2624</v>
      </c>
      <c r="B2625" t="s">
        <v>2688</v>
      </c>
      <c r="C2625">
        <v>114</v>
      </c>
      <c r="D2625">
        <v>191</v>
      </c>
      <c r="E2625">
        <v>130.74520401554599</v>
      </c>
      <c r="F2625">
        <v>0.59657500677694197</v>
      </c>
      <c r="G2625">
        <v>13425.8384007561</v>
      </c>
      <c r="H2625">
        <v>805.60660631014002</v>
      </c>
      <c r="I2625">
        <v>0.762286180687619</v>
      </c>
      <c r="J2625">
        <v>0.25995922983076297</v>
      </c>
      <c r="K2625">
        <v>0.82088331515812396</v>
      </c>
      <c r="L2625" t="s">
        <v>38</v>
      </c>
      <c r="M2625" t="s">
        <v>34</v>
      </c>
      <c r="N2625" t="s">
        <v>35</v>
      </c>
      <c r="O2625">
        <v>0.80232043679427401</v>
      </c>
      <c r="P2625" t="s">
        <v>36</v>
      </c>
    </row>
    <row r="2626" spans="1:16">
      <c r="A2626">
        <v>2625</v>
      </c>
      <c r="B2626" t="s">
        <v>2689</v>
      </c>
      <c r="C2626">
        <v>209</v>
      </c>
      <c r="D2626">
        <v>107</v>
      </c>
      <c r="E2626">
        <v>130.78861932606199</v>
      </c>
      <c r="F2626">
        <v>1.96083127518599</v>
      </c>
      <c r="G2626">
        <v>13434.756260869601</v>
      </c>
      <c r="H2626">
        <v>882.42081366186596</v>
      </c>
      <c r="I2626">
        <v>0.59850118725600598</v>
      </c>
      <c r="J2626">
        <v>0.21681442304118601</v>
      </c>
      <c r="K2626">
        <v>0.76680975245592897</v>
      </c>
      <c r="L2626" t="s">
        <v>33</v>
      </c>
      <c r="M2626" t="s">
        <v>34</v>
      </c>
      <c r="N2626" t="s">
        <v>35</v>
      </c>
      <c r="O2626">
        <v>0.71456011233896</v>
      </c>
      <c r="P2626" t="s">
        <v>36</v>
      </c>
    </row>
    <row r="2627" spans="1:16">
      <c r="A2627">
        <v>2626</v>
      </c>
      <c r="B2627" t="s">
        <v>2690</v>
      </c>
      <c r="C2627">
        <v>298</v>
      </c>
      <c r="D2627">
        <v>126</v>
      </c>
      <c r="E2627">
        <v>131.93822253020301</v>
      </c>
      <c r="F2627">
        <v>2.3577586206896601</v>
      </c>
      <c r="G2627">
        <v>13671.971339886601</v>
      </c>
      <c r="H2627">
        <v>1452.8355853762801</v>
      </c>
      <c r="I2627">
        <v>0.889393624718537</v>
      </c>
      <c r="J2627">
        <v>8.1396937602375194E-2</v>
      </c>
      <c r="K2627">
        <v>0.57588791014781304</v>
      </c>
      <c r="L2627" t="s">
        <v>298</v>
      </c>
      <c r="M2627" t="s">
        <v>34</v>
      </c>
      <c r="N2627" t="s">
        <v>35</v>
      </c>
      <c r="O2627">
        <v>0.69427380812279904</v>
      </c>
      <c r="P2627" t="s">
        <v>36</v>
      </c>
    </row>
    <row r="2628" spans="1:16">
      <c r="A2628">
        <v>2627</v>
      </c>
      <c r="B2628" t="s">
        <v>2691</v>
      </c>
      <c r="C2628">
        <v>235</v>
      </c>
      <c r="D2628">
        <v>107</v>
      </c>
      <c r="E2628">
        <v>132.31562854208701</v>
      </c>
      <c r="F2628">
        <v>2.1878172588832498</v>
      </c>
      <c r="G2628">
        <v>13750.299877882801</v>
      </c>
      <c r="H2628">
        <v>968.92993741688497</v>
      </c>
      <c r="I2628">
        <v>0.82092412470114196</v>
      </c>
      <c r="J2628">
        <v>0.18405061983453599</v>
      </c>
      <c r="K2628">
        <v>0.75636895807443305</v>
      </c>
      <c r="L2628" t="s">
        <v>38</v>
      </c>
      <c r="M2628" t="s">
        <v>34</v>
      </c>
      <c r="N2628" t="s">
        <v>35</v>
      </c>
      <c r="O2628">
        <v>0.67292592767055703</v>
      </c>
      <c r="P2628" t="s">
        <v>36</v>
      </c>
    </row>
    <row r="2629" spans="1:16">
      <c r="A2629">
        <v>2628</v>
      </c>
      <c r="B2629" t="s">
        <v>2692</v>
      </c>
      <c r="C2629">
        <v>149</v>
      </c>
      <c r="D2629">
        <v>227</v>
      </c>
      <c r="E2629">
        <v>132.494491293171</v>
      </c>
      <c r="F2629">
        <v>0.65547566245927502</v>
      </c>
      <c r="G2629">
        <v>13787.5</v>
      </c>
      <c r="H2629">
        <v>961.33512914180801</v>
      </c>
      <c r="I2629">
        <v>0.66394070408349604</v>
      </c>
      <c r="J2629">
        <v>0.18747603688530501</v>
      </c>
      <c r="K2629">
        <v>0.59913090711569805</v>
      </c>
      <c r="L2629" t="s">
        <v>33</v>
      </c>
      <c r="M2629" t="s">
        <v>34</v>
      </c>
      <c r="N2629" t="s">
        <v>35</v>
      </c>
      <c r="O2629">
        <v>0.75646360112141797</v>
      </c>
      <c r="P2629" t="s">
        <v>36</v>
      </c>
    </row>
    <row r="2630" spans="1:16">
      <c r="A2630">
        <v>2629</v>
      </c>
      <c r="B2630" t="s">
        <v>2693</v>
      </c>
      <c r="C2630">
        <v>191</v>
      </c>
      <c r="D2630">
        <v>201</v>
      </c>
      <c r="E2630">
        <v>133.08927105348599</v>
      </c>
      <c r="F2630">
        <v>0.95108694840919605</v>
      </c>
      <c r="G2630">
        <v>13911.5645149338</v>
      </c>
      <c r="H2630">
        <v>1941.0669797422599</v>
      </c>
      <c r="I2630">
        <v>0.55370889858500305</v>
      </c>
      <c r="J2630">
        <v>4.63985912512066E-2</v>
      </c>
      <c r="K2630">
        <v>0.50132833422603096</v>
      </c>
      <c r="L2630" t="s">
        <v>298</v>
      </c>
      <c r="M2630" t="s">
        <v>34</v>
      </c>
      <c r="N2630" t="s">
        <v>35</v>
      </c>
      <c r="O2630">
        <v>0.62909017055216798</v>
      </c>
      <c r="P2630" t="s">
        <v>36</v>
      </c>
    </row>
    <row r="2631" spans="1:16">
      <c r="A2631">
        <v>2630</v>
      </c>
      <c r="B2631" t="s">
        <v>2694</v>
      </c>
      <c r="C2631">
        <v>204</v>
      </c>
      <c r="D2631">
        <v>147</v>
      </c>
      <c r="E2631">
        <v>133.122682080852</v>
      </c>
      <c r="F2631">
        <v>1.3878536943931601</v>
      </c>
      <c r="G2631">
        <v>13918.5501720227</v>
      </c>
      <c r="H2631">
        <v>1682.67543822216</v>
      </c>
      <c r="I2631">
        <v>0.59462360116873303</v>
      </c>
      <c r="J2631">
        <v>6.1773634254738398E-2</v>
      </c>
      <c r="K2631">
        <v>0.59055565015040601</v>
      </c>
      <c r="L2631" t="s">
        <v>43</v>
      </c>
      <c r="M2631" t="s">
        <v>34</v>
      </c>
      <c r="N2631" t="s">
        <v>35</v>
      </c>
      <c r="O2631">
        <v>0.64459579850488502</v>
      </c>
      <c r="P2631" t="s">
        <v>36</v>
      </c>
    </row>
    <row r="2632" spans="1:16">
      <c r="A2632">
        <v>2631</v>
      </c>
      <c r="B2632" t="s">
        <v>2695</v>
      </c>
      <c r="C2632">
        <v>189</v>
      </c>
      <c r="D2632">
        <v>125</v>
      </c>
      <c r="E2632">
        <v>133.146135877398</v>
      </c>
      <c r="F2632">
        <v>1.5069873311744999</v>
      </c>
      <c r="G2632">
        <v>13923.4549950851</v>
      </c>
      <c r="H2632">
        <v>893.060577722218</v>
      </c>
      <c r="I2632">
        <v>0.69003869516170502</v>
      </c>
      <c r="J2632">
        <v>0.21937899462489299</v>
      </c>
      <c r="K2632">
        <v>0.70401238511081199</v>
      </c>
      <c r="L2632" t="s">
        <v>38</v>
      </c>
      <c r="M2632" t="s">
        <v>34</v>
      </c>
      <c r="N2632" t="s">
        <v>35</v>
      </c>
      <c r="O2632">
        <v>0.72342466854716203</v>
      </c>
      <c r="P2632" t="s">
        <v>36</v>
      </c>
    </row>
    <row r="2633" spans="1:16">
      <c r="A2633">
        <v>2632</v>
      </c>
      <c r="B2633" t="s">
        <v>2696</v>
      </c>
      <c r="C2633">
        <v>243</v>
      </c>
      <c r="D2633">
        <v>138</v>
      </c>
      <c r="E2633">
        <v>134.30515000847899</v>
      </c>
      <c r="F2633">
        <v>1.7655895440717899</v>
      </c>
      <c r="G2633">
        <v>14166.912576181499</v>
      </c>
      <c r="H2633">
        <v>1913.18064348656</v>
      </c>
      <c r="I2633">
        <v>0.71844119324769995</v>
      </c>
      <c r="J2633">
        <v>4.8637710272169503E-2</v>
      </c>
      <c r="K2633">
        <v>0.54985981793638194</v>
      </c>
      <c r="L2633" t="s">
        <v>38</v>
      </c>
      <c r="M2633" t="s">
        <v>34</v>
      </c>
      <c r="N2633" t="s">
        <v>35</v>
      </c>
      <c r="O2633">
        <v>0.70749375414168902</v>
      </c>
      <c r="P2633" t="s">
        <v>36</v>
      </c>
    </row>
    <row r="2634" spans="1:16">
      <c r="A2634">
        <v>2633</v>
      </c>
      <c r="B2634" t="s">
        <v>2697</v>
      </c>
      <c r="C2634">
        <v>124</v>
      </c>
      <c r="D2634">
        <v>192</v>
      </c>
      <c r="E2634">
        <v>135.04707989680699</v>
      </c>
      <c r="F2634">
        <v>0.64258548884865596</v>
      </c>
      <c r="G2634">
        <v>14323.866914177701</v>
      </c>
      <c r="H2634">
        <v>818.53683433740002</v>
      </c>
      <c r="I2634">
        <v>0.67222799311629</v>
      </c>
      <c r="J2634">
        <v>0.26865423198475602</v>
      </c>
      <c r="K2634">
        <v>0.82164871985062804</v>
      </c>
      <c r="L2634" t="s">
        <v>38</v>
      </c>
      <c r="M2634" t="s">
        <v>34</v>
      </c>
      <c r="N2634" t="s">
        <v>35</v>
      </c>
      <c r="O2634">
        <v>0.69793888942230897</v>
      </c>
      <c r="P2634" t="s">
        <v>36</v>
      </c>
    </row>
    <row r="2635" spans="1:16">
      <c r="A2635">
        <v>2634</v>
      </c>
      <c r="B2635" t="s">
        <v>2698</v>
      </c>
      <c r="C2635">
        <v>123</v>
      </c>
      <c r="D2635">
        <v>186</v>
      </c>
      <c r="E2635">
        <v>135.811433567053</v>
      </c>
      <c r="F2635">
        <v>0.65981237843576601</v>
      </c>
      <c r="G2635">
        <v>14486.469230245701</v>
      </c>
      <c r="H2635">
        <v>950.18275954764795</v>
      </c>
      <c r="I2635">
        <v>0.761120127182218</v>
      </c>
      <c r="J2635">
        <v>0.201631378828658</v>
      </c>
      <c r="K2635">
        <v>0.75516987564405502</v>
      </c>
      <c r="L2635" t="s">
        <v>38</v>
      </c>
      <c r="M2635" t="s">
        <v>34</v>
      </c>
      <c r="N2635" t="s">
        <v>35</v>
      </c>
      <c r="O2635">
        <v>0.70099884333059104</v>
      </c>
      <c r="P2635" t="s">
        <v>36</v>
      </c>
    </row>
    <row r="2636" spans="1:16">
      <c r="A2636">
        <v>2635</v>
      </c>
      <c r="B2636" t="s">
        <v>2699</v>
      </c>
      <c r="C2636">
        <v>151</v>
      </c>
      <c r="D2636">
        <v>172</v>
      </c>
      <c r="E2636">
        <v>136.57566636716999</v>
      </c>
      <c r="F2636">
        <v>0.87767154754937104</v>
      </c>
      <c r="G2636">
        <v>14649.9633323251</v>
      </c>
      <c r="H2636">
        <v>794.09559627056103</v>
      </c>
      <c r="I2636">
        <v>0.60778589732467103</v>
      </c>
      <c r="J2636">
        <v>0.291944855331635</v>
      </c>
      <c r="K2636">
        <v>0.84001772656769302</v>
      </c>
      <c r="L2636" t="s">
        <v>38</v>
      </c>
      <c r="M2636" t="s">
        <v>34</v>
      </c>
      <c r="N2636" t="s">
        <v>35</v>
      </c>
      <c r="O2636">
        <v>0.66190653579416203</v>
      </c>
      <c r="P2636" t="s">
        <v>36</v>
      </c>
    </row>
    <row r="2637" spans="1:16">
      <c r="A2637">
        <v>2636</v>
      </c>
      <c r="B2637" t="s">
        <v>2700</v>
      </c>
      <c r="C2637">
        <v>130</v>
      </c>
      <c r="D2637">
        <v>235</v>
      </c>
      <c r="E2637">
        <v>137.86033551721701</v>
      </c>
      <c r="F2637">
        <v>0.55452436194895605</v>
      </c>
      <c r="G2637">
        <v>14926.862888846899</v>
      </c>
      <c r="H2637">
        <v>1034.79667875425</v>
      </c>
      <c r="I2637">
        <v>0.67856660002094504</v>
      </c>
      <c r="J2637">
        <v>0.175173479020409</v>
      </c>
      <c r="K2637">
        <v>0.60546083727211297</v>
      </c>
      <c r="L2637" t="s">
        <v>188</v>
      </c>
      <c r="M2637" t="s">
        <v>34</v>
      </c>
      <c r="N2637" t="s">
        <v>35</v>
      </c>
      <c r="O2637">
        <v>0.73456509922098001</v>
      </c>
      <c r="P2637" t="s">
        <v>36</v>
      </c>
    </row>
    <row r="2638" spans="1:16">
      <c r="A2638">
        <v>2637</v>
      </c>
      <c r="B2638" t="s">
        <v>2701</v>
      </c>
      <c r="C2638">
        <v>196</v>
      </c>
      <c r="D2638">
        <v>146</v>
      </c>
      <c r="E2638">
        <v>138.991615061532</v>
      </c>
      <c r="F2638">
        <v>1.33955223880597</v>
      </c>
      <c r="G2638">
        <v>15172.847196975399</v>
      </c>
      <c r="H2638">
        <v>1813.4274199720101</v>
      </c>
      <c r="I2638">
        <v>0.66231249120309599</v>
      </c>
      <c r="J2638">
        <v>5.79797838227539E-2</v>
      </c>
      <c r="K2638">
        <v>0.61022906604179605</v>
      </c>
      <c r="L2638" t="s">
        <v>38</v>
      </c>
      <c r="M2638" t="s">
        <v>34</v>
      </c>
      <c r="N2638" t="s">
        <v>35</v>
      </c>
      <c r="O2638">
        <v>0.71229173006235103</v>
      </c>
      <c r="P2638" t="s">
        <v>36</v>
      </c>
    </row>
    <row r="2639" spans="1:16">
      <c r="A2639">
        <v>2638</v>
      </c>
      <c r="B2639" t="s">
        <v>2702</v>
      </c>
      <c r="C2639">
        <v>219</v>
      </c>
      <c r="D2639">
        <v>122</v>
      </c>
      <c r="E2639">
        <v>139.0290524143</v>
      </c>
      <c r="F2639">
        <v>1.79578830818181</v>
      </c>
      <c r="G2639">
        <v>15181.021902079399</v>
      </c>
      <c r="H2639">
        <v>937.97819037406396</v>
      </c>
      <c r="I2639">
        <v>0.70859308208305705</v>
      </c>
      <c r="J2639">
        <v>0.21683300575419101</v>
      </c>
      <c r="K2639">
        <v>0.75419967953214695</v>
      </c>
      <c r="L2639" t="s">
        <v>38</v>
      </c>
      <c r="M2639" t="s">
        <v>34</v>
      </c>
      <c r="N2639" t="s">
        <v>35</v>
      </c>
      <c r="O2639">
        <v>0.75912494392680896</v>
      </c>
      <c r="P2639" t="s">
        <v>36</v>
      </c>
    </row>
    <row r="2640" spans="1:16">
      <c r="A2640">
        <v>2639</v>
      </c>
      <c r="B2640" t="s">
        <v>2703</v>
      </c>
      <c r="C2640">
        <v>117</v>
      </c>
      <c r="D2640">
        <v>193</v>
      </c>
      <c r="E2640">
        <v>139.13314333473099</v>
      </c>
      <c r="F2640">
        <v>0.60608773198794197</v>
      </c>
      <c r="G2640">
        <v>15203.7624453686</v>
      </c>
      <c r="H2640">
        <v>695.91107087342596</v>
      </c>
      <c r="I2640">
        <v>0.80230246145638895</v>
      </c>
      <c r="J2640">
        <v>0.39450585059493598</v>
      </c>
      <c r="K2640">
        <v>0.88390017973178503</v>
      </c>
      <c r="L2640" t="s">
        <v>47</v>
      </c>
      <c r="M2640" t="s">
        <v>34</v>
      </c>
      <c r="N2640" t="s">
        <v>35</v>
      </c>
      <c r="O2640">
        <v>0.84331560115303805</v>
      </c>
      <c r="P2640" t="s">
        <v>36</v>
      </c>
    </row>
    <row r="2641" spans="1:16">
      <c r="A2641">
        <v>2640</v>
      </c>
      <c r="B2641" t="s">
        <v>2704</v>
      </c>
      <c r="C2641">
        <v>212</v>
      </c>
      <c r="D2641">
        <v>123</v>
      </c>
      <c r="E2641">
        <v>139.60431986659299</v>
      </c>
      <c r="F2641">
        <v>1.72444444444444</v>
      </c>
      <c r="G2641">
        <v>15306.912360680501</v>
      </c>
      <c r="H2641">
        <v>1772.48796604467</v>
      </c>
      <c r="I2641">
        <v>0.79432378160908701</v>
      </c>
      <c r="J2641">
        <v>6.1225292563894598E-2</v>
      </c>
      <c r="K2641">
        <v>0.67218411210683304</v>
      </c>
      <c r="L2641" t="s">
        <v>33</v>
      </c>
      <c r="M2641" t="s">
        <v>34</v>
      </c>
      <c r="N2641" t="s">
        <v>35</v>
      </c>
      <c r="O2641">
        <v>0.69530273546975097</v>
      </c>
      <c r="P2641" t="s">
        <v>36</v>
      </c>
    </row>
    <row r="2642" spans="1:16">
      <c r="A2642">
        <v>2641</v>
      </c>
      <c r="B2642" t="s">
        <v>2705</v>
      </c>
      <c r="C2642">
        <v>148</v>
      </c>
      <c r="D2642">
        <v>179</v>
      </c>
      <c r="E2642">
        <v>140.91644157432401</v>
      </c>
      <c r="F2642">
        <v>0.82808068025913695</v>
      </c>
      <c r="G2642">
        <v>15595.9996593573</v>
      </c>
      <c r="H2642">
        <v>988.44816910215104</v>
      </c>
      <c r="I2642">
        <v>0.65468566069408896</v>
      </c>
      <c r="J2642">
        <v>0.20059277130615699</v>
      </c>
      <c r="K2642">
        <v>0.76283495936141399</v>
      </c>
      <c r="L2642" t="s">
        <v>298</v>
      </c>
      <c r="M2642" t="s">
        <v>34</v>
      </c>
      <c r="N2642" t="s">
        <v>35</v>
      </c>
      <c r="O2642">
        <v>0.70050486267621703</v>
      </c>
      <c r="P2642" t="s">
        <v>36</v>
      </c>
    </row>
    <row r="2643" spans="1:16">
      <c r="A2643">
        <v>2642</v>
      </c>
      <c r="B2643" t="s">
        <v>2706</v>
      </c>
      <c r="C2643">
        <v>130</v>
      </c>
      <c r="D2643">
        <v>202</v>
      </c>
      <c r="E2643">
        <v>143.34834392864801</v>
      </c>
      <c r="F2643">
        <v>0.64218217509239595</v>
      </c>
      <c r="G2643">
        <v>16138.948709262801</v>
      </c>
      <c r="H2643">
        <v>853.166163615144</v>
      </c>
      <c r="I2643">
        <v>0.70708745514659099</v>
      </c>
      <c r="J2643">
        <v>0.27862357428317902</v>
      </c>
      <c r="K2643">
        <v>0.83794295592048396</v>
      </c>
      <c r="L2643" t="s">
        <v>33</v>
      </c>
      <c r="M2643" t="s">
        <v>34</v>
      </c>
      <c r="N2643" t="s">
        <v>35</v>
      </c>
      <c r="O2643">
        <v>0.68490973935435395</v>
      </c>
      <c r="P2643" t="s">
        <v>36</v>
      </c>
    </row>
    <row r="2644" spans="1:16">
      <c r="A2644">
        <v>2643</v>
      </c>
      <c r="B2644" t="s">
        <v>2707</v>
      </c>
      <c r="C2644">
        <v>243</v>
      </c>
      <c r="D2644">
        <v>134</v>
      </c>
      <c r="E2644">
        <v>143.35362447472099</v>
      </c>
      <c r="F2644">
        <v>1.8230106796683201</v>
      </c>
      <c r="G2644">
        <v>16140.1377572779</v>
      </c>
      <c r="H2644">
        <v>1182.1486847578999</v>
      </c>
      <c r="I2644">
        <v>0.56597376077700701</v>
      </c>
      <c r="J2644">
        <v>0.145135246346841</v>
      </c>
      <c r="K2644">
        <v>0.58019084662812703</v>
      </c>
      <c r="L2644" t="s">
        <v>33</v>
      </c>
      <c r="M2644" t="s">
        <v>34</v>
      </c>
      <c r="N2644" t="s">
        <v>35</v>
      </c>
      <c r="O2644">
        <v>0.69761087337944405</v>
      </c>
      <c r="P2644" t="s">
        <v>36</v>
      </c>
    </row>
    <row r="2645" spans="1:16">
      <c r="A2645">
        <v>2644</v>
      </c>
      <c r="B2645" t="s">
        <v>2708</v>
      </c>
      <c r="C2645">
        <v>138</v>
      </c>
      <c r="D2645">
        <v>193</v>
      </c>
      <c r="E2645">
        <v>143.434128714471</v>
      </c>
      <c r="F2645">
        <v>0.71282723158612105</v>
      </c>
      <c r="G2645">
        <v>16158.2707395085</v>
      </c>
      <c r="H2645">
        <v>987.18004747432201</v>
      </c>
      <c r="I2645">
        <v>0.74899429855950606</v>
      </c>
      <c r="J2645">
        <v>0.20835887637901301</v>
      </c>
      <c r="K2645">
        <v>0.78583510430671799</v>
      </c>
      <c r="L2645" t="s">
        <v>38</v>
      </c>
      <c r="M2645" t="s">
        <v>34</v>
      </c>
      <c r="N2645" t="s">
        <v>35</v>
      </c>
      <c r="O2645">
        <v>0.73395020833868496</v>
      </c>
      <c r="P2645" t="s">
        <v>36</v>
      </c>
    </row>
    <row r="2646" spans="1:16">
      <c r="A2646">
        <v>2645</v>
      </c>
      <c r="B2646" t="s">
        <v>2709</v>
      </c>
      <c r="C2646">
        <v>303</v>
      </c>
      <c r="D2646">
        <v>126</v>
      </c>
      <c r="E2646">
        <v>143.73989693671999</v>
      </c>
      <c r="F2646">
        <v>2.3987435167076501</v>
      </c>
      <c r="G2646">
        <v>16227.2355243856</v>
      </c>
      <c r="H2646">
        <v>1302.03231140551</v>
      </c>
      <c r="I2646">
        <v>0.88207646523387895</v>
      </c>
      <c r="J2646">
        <v>0.120284835858442</v>
      </c>
      <c r="K2646">
        <v>0.59216149957694197</v>
      </c>
      <c r="L2646" t="s">
        <v>47</v>
      </c>
      <c r="M2646" t="s">
        <v>34</v>
      </c>
      <c r="N2646" t="s">
        <v>35</v>
      </c>
      <c r="O2646">
        <v>0.86935519012456297</v>
      </c>
      <c r="P2646" t="s">
        <v>36</v>
      </c>
    </row>
    <row r="2647" spans="1:16">
      <c r="A2647">
        <v>2646</v>
      </c>
      <c r="B2647" t="s">
        <v>2710</v>
      </c>
      <c r="C2647">
        <v>229</v>
      </c>
      <c r="D2647">
        <v>123</v>
      </c>
      <c r="E2647">
        <v>144.80761500143799</v>
      </c>
      <c r="F2647">
        <v>1.86018615712524</v>
      </c>
      <c r="G2647">
        <v>16469.206795463098</v>
      </c>
      <c r="H2647">
        <v>1048.92855219592</v>
      </c>
      <c r="I2647">
        <v>0.65546432354342699</v>
      </c>
      <c r="J2647">
        <v>0.18810083887625301</v>
      </c>
      <c r="K2647">
        <v>0.78835741677516702</v>
      </c>
      <c r="L2647" t="s">
        <v>38</v>
      </c>
      <c r="M2647" t="s">
        <v>34</v>
      </c>
      <c r="N2647" t="s">
        <v>35</v>
      </c>
      <c r="O2647">
        <v>0.77641187607739903</v>
      </c>
      <c r="P2647" t="s">
        <v>36</v>
      </c>
    </row>
    <row r="2648" spans="1:16">
      <c r="A2648">
        <v>2647</v>
      </c>
      <c r="B2648" t="s">
        <v>2711</v>
      </c>
      <c r="C2648">
        <v>176</v>
      </c>
      <c r="D2648">
        <v>245</v>
      </c>
      <c r="E2648">
        <v>145.421191379742</v>
      </c>
      <c r="F2648">
        <v>0.71555551697530295</v>
      </c>
      <c r="G2648">
        <v>16609.068568242001</v>
      </c>
      <c r="H2648">
        <v>2731.97816858551</v>
      </c>
      <c r="I2648">
        <v>0.59311390018995203</v>
      </c>
      <c r="J2648">
        <v>2.7964090112882201E-2</v>
      </c>
      <c r="K2648">
        <v>0.45411026540257399</v>
      </c>
      <c r="L2648" t="s">
        <v>38</v>
      </c>
      <c r="M2648" t="s">
        <v>34</v>
      </c>
      <c r="N2648" t="s">
        <v>35</v>
      </c>
      <c r="O2648">
        <v>0.74314972701048698</v>
      </c>
      <c r="P2648" t="s">
        <v>36</v>
      </c>
    </row>
    <row r="2649" spans="1:16">
      <c r="A2649">
        <v>2648</v>
      </c>
      <c r="B2649" t="s">
        <v>2712</v>
      </c>
      <c r="C2649">
        <v>181</v>
      </c>
      <c r="D2649">
        <v>191</v>
      </c>
      <c r="E2649">
        <v>146.43013626555199</v>
      </c>
      <c r="F2649">
        <v>0.94857142857142895</v>
      </c>
      <c r="G2649">
        <v>16840.338407183401</v>
      </c>
      <c r="H2649">
        <v>1800.0549213337899</v>
      </c>
      <c r="I2649">
        <v>0.49636987329815202</v>
      </c>
      <c r="J2649">
        <v>6.5311426028588193E-2</v>
      </c>
      <c r="K2649">
        <v>0.59870750240427795</v>
      </c>
      <c r="L2649" t="s">
        <v>38</v>
      </c>
      <c r="M2649" t="s">
        <v>34</v>
      </c>
      <c r="N2649" t="s">
        <v>35</v>
      </c>
      <c r="O2649">
        <v>0.72402079381763995</v>
      </c>
      <c r="P2649" t="s">
        <v>36</v>
      </c>
    </row>
    <row r="2650" spans="1:16">
      <c r="A2650">
        <v>2649</v>
      </c>
      <c r="B2650" t="s">
        <v>2713</v>
      </c>
      <c r="C2650">
        <v>125</v>
      </c>
      <c r="D2650">
        <v>211</v>
      </c>
      <c r="E2650">
        <v>146.73288558599901</v>
      </c>
      <c r="F2650">
        <v>0.59351042434845602</v>
      </c>
      <c r="G2650">
        <v>16910.0463470699</v>
      </c>
      <c r="H2650">
        <v>939.94927337439196</v>
      </c>
      <c r="I2650">
        <v>0.75924344927713305</v>
      </c>
      <c r="J2650">
        <v>0.24051702811768</v>
      </c>
      <c r="K2650">
        <v>0.822789204200295</v>
      </c>
      <c r="L2650" t="s">
        <v>38</v>
      </c>
      <c r="M2650" t="s">
        <v>34</v>
      </c>
      <c r="N2650" t="s">
        <v>35</v>
      </c>
      <c r="O2650">
        <v>0.79778175715237698</v>
      </c>
      <c r="P2650" t="s">
        <v>36</v>
      </c>
    </row>
    <row r="2651" spans="1:16">
      <c r="A2651">
        <v>2650</v>
      </c>
      <c r="B2651" t="s">
        <v>2714</v>
      </c>
      <c r="C2651">
        <v>147</v>
      </c>
      <c r="D2651">
        <v>209</v>
      </c>
      <c r="E2651">
        <v>148.45868622693499</v>
      </c>
      <c r="F2651">
        <v>0.70303910786572199</v>
      </c>
      <c r="G2651">
        <v>17310.161004158799</v>
      </c>
      <c r="H2651">
        <v>1166.77300339968</v>
      </c>
      <c r="I2651">
        <v>0.78737206101899404</v>
      </c>
      <c r="J2651">
        <v>0.15978581695954799</v>
      </c>
      <c r="K2651">
        <v>0.71183042808595898</v>
      </c>
      <c r="L2651" t="s">
        <v>38</v>
      </c>
      <c r="M2651" t="s">
        <v>34</v>
      </c>
      <c r="N2651" t="s">
        <v>35</v>
      </c>
      <c r="O2651">
        <v>0.71938622856126599</v>
      </c>
      <c r="P2651" t="s">
        <v>36</v>
      </c>
    </row>
    <row r="2652" spans="1:16">
      <c r="A2652">
        <v>2651</v>
      </c>
      <c r="B2652" t="s">
        <v>2715</v>
      </c>
      <c r="C2652">
        <v>222</v>
      </c>
      <c r="D2652">
        <v>162</v>
      </c>
      <c r="E2652">
        <v>148.89908522788301</v>
      </c>
      <c r="F2652">
        <v>1.3693833434193301</v>
      </c>
      <c r="G2652">
        <v>17413.013657466901</v>
      </c>
      <c r="H2652">
        <v>1613.8645595119301</v>
      </c>
      <c r="I2652">
        <v>0.52065912632131495</v>
      </c>
      <c r="J2652">
        <v>8.4013607890410305E-2</v>
      </c>
      <c r="K2652">
        <v>0.58658655651520797</v>
      </c>
      <c r="L2652" t="s">
        <v>47</v>
      </c>
      <c r="M2652" t="s">
        <v>34</v>
      </c>
      <c r="N2652" t="s">
        <v>35</v>
      </c>
      <c r="O2652">
        <v>0.92814690917908704</v>
      </c>
      <c r="P2652" t="s">
        <v>36</v>
      </c>
    </row>
    <row r="2653" spans="1:16">
      <c r="A2653">
        <v>2652</v>
      </c>
      <c r="B2653" t="s">
        <v>2716</v>
      </c>
      <c r="C2653">
        <v>244</v>
      </c>
      <c r="D2653">
        <v>166</v>
      </c>
      <c r="E2653">
        <v>150.12936328176099</v>
      </c>
      <c r="F2653">
        <v>1.4736842105263199</v>
      </c>
      <c r="G2653">
        <v>17701.9523251418</v>
      </c>
      <c r="H2653">
        <v>2022.0237374210401</v>
      </c>
      <c r="I2653">
        <v>0.69489281926708202</v>
      </c>
      <c r="J2653">
        <v>5.4407470027277798E-2</v>
      </c>
      <c r="K2653">
        <v>0.57761697835027503</v>
      </c>
      <c r="L2653" t="s">
        <v>33</v>
      </c>
      <c r="M2653" t="s">
        <v>34</v>
      </c>
      <c r="N2653" t="s">
        <v>35</v>
      </c>
      <c r="O2653">
        <v>0.67224157882578195</v>
      </c>
      <c r="P2653" t="s">
        <v>36</v>
      </c>
    </row>
    <row r="2654" spans="1:16">
      <c r="A2654">
        <v>2653</v>
      </c>
      <c r="B2654" t="s">
        <v>2717</v>
      </c>
      <c r="C2654">
        <v>118</v>
      </c>
      <c r="D2654">
        <v>282</v>
      </c>
      <c r="E2654">
        <v>150.28747678882399</v>
      </c>
      <c r="F2654">
        <v>0.416758609923981</v>
      </c>
      <c r="G2654">
        <v>17739.2587066163</v>
      </c>
      <c r="H2654">
        <v>1517.7740067595</v>
      </c>
      <c r="I2654">
        <v>0.79202765228123395</v>
      </c>
      <c r="J2654">
        <v>9.6767853961296196E-2</v>
      </c>
      <c r="K2654">
        <v>0.66510445981264699</v>
      </c>
      <c r="L2654" t="s">
        <v>38</v>
      </c>
      <c r="M2654" t="s">
        <v>34</v>
      </c>
      <c r="N2654" t="s">
        <v>35</v>
      </c>
      <c r="O2654">
        <v>0.79775291190362296</v>
      </c>
      <c r="P2654" t="s">
        <v>36</v>
      </c>
    </row>
    <row r="2655" spans="1:16">
      <c r="A2655">
        <v>2654</v>
      </c>
      <c r="B2655" t="s">
        <v>2718</v>
      </c>
      <c r="C2655">
        <v>190</v>
      </c>
      <c r="D2655">
        <v>135</v>
      </c>
      <c r="E2655">
        <v>150.442279381063</v>
      </c>
      <c r="F2655">
        <v>1.4126072652481401</v>
      </c>
      <c r="G2655">
        <v>17775.821933081301</v>
      </c>
      <c r="H2655">
        <v>790.58240563817697</v>
      </c>
      <c r="I2655">
        <v>0.61897387177818297</v>
      </c>
      <c r="J2655">
        <v>0.35739236081514097</v>
      </c>
      <c r="K2655">
        <v>0.901543819445491</v>
      </c>
      <c r="L2655" t="s">
        <v>38</v>
      </c>
      <c r="M2655" t="s">
        <v>34</v>
      </c>
      <c r="N2655" t="s">
        <v>35</v>
      </c>
      <c r="O2655">
        <v>0.80775108594440104</v>
      </c>
      <c r="P2655" t="s">
        <v>36</v>
      </c>
    </row>
    <row r="2656" spans="1:16">
      <c r="A2656">
        <v>2655</v>
      </c>
      <c r="B2656" t="s">
        <v>2719</v>
      </c>
      <c r="C2656">
        <v>207</v>
      </c>
      <c r="D2656">
        <v>138</v>
      </c>
      <c r="E2656">
        <v>153.297065372937</v>
      </c>
      <c r="F2656">
        <v>1.4978281119666399</v>
      </c>
      <c r="G2656">
        <v>18456.849183742899</v>
      </c>
      <c r="H2656">
        <v>1053.6417720126101</v>
      </c>
      <c r="I2656">
        <v>0.65919266116794095</v>
      </c>
      <c r="J2656">
        <v>0.20892069764242599</v>
      </c>
      <c r="K2656">
        <v>0.80217955840363797</v>
      </c>
      <c r="L2656" t="s">
        <v>38</v>
      </c>
      <c r="M2656" t="s">
        <v>34</v>
      </c>
      <c r="N2656" t="s">
        <v>35</v>
      </c>
      <c r="O2656">
        <v>0.84083408537770599</v>
      </c>
      <c r="P2656" t="s">
        <v>36</v>
      </c>
    </row>
    <row r="2657" spans="1:16">
      <c r="A2657">
        <v>2656</v>
      </c>
      <c r="B2657" t="s">
        <v>2720</v>
      </c>
      <c r="C2657">
        <v>163</v>
      </c>
      <c r="D2657">
        <v>171</v>
      </c>
      <c r="E2657">
        <v>154.38387999333401</v>
      </c>
      <c r="F2657">
        <v>0.95252679283616104</v>
      </c>
      <c r="G2657">
        <v>18719.480164083201</v>
      </c>
      <c r="H2657">
        <v>761.75673095972604</v>
      </c>
      <c r="I2657">
        <v>0.68761274600357103</v>
      </c>
      <c r="J2657">
        <v>0.40538814812358398</v>
      </c>
      <c r="K2657">
        <v>0.87797838968281605</v>
      </c>
      <c r="L2657" t="s">
        <v>38</v>
      </c>
      <c r="M2657" t="s">
        <v>34</v>
      </c>
      <c r="N2657" t="s">
        <v>35</v>
      </c>
      <c r="O2657">
        <v>0.81730599540170001</v>
      </c>
      <c r="P2657" t="s">
        <v>36</v>
      </c>
    </row>
    <row r="2658" spans="1:16">
      <c r="A2658">
        <v>2657</v>
      </c>
      <c r="B2658" t="s">
        <v>2721</v>
      </c>
      <c r="C2658">
        <v>285</v>
      </c>
      <c r="D2658">
        <v>132</v>
      </c>
      <c r="E2658">
        <v>154.90885314775599</v>
      </c>
      <c r="F2658">
        <v>2.15172323707321</v>
      </c>
      <c r="G2658">
        <v>18847.005563705101</v>
      </c>
      <c r="H2658">
        <v>1308.2649413730801</v>
      </c>
      <c r="I2658">
        <v>0.54426568680846199</v>
      </c>
      <c r="J2658">
        <v>0.13837601387710999</v>
      </c>
      <c r="K2658">
        <v>0.65641354819673103</v>
      </c>
      <c r="L2658" t="s">
        <v>33</v>
      </c>
      <c r="M2658" t="s">
        <v>34</v>
      </c>
      <c r="N2658" t="s">
        <v>35</v>
      </c>
      <c r="O2658">
        <v>0.74308203957986796</v>
      </c>
      <c r="P2658" t="s">
        <v>36</v>
      </c>
    </row>
    <row r="2659" spans="1:16">
      <c r="A2659">
        <v>2658</v>
      </c>
      <c r="B2659" t="s">
        <v>2722</v>
      </c>
      <c r="C2659">
        <v>119</v>
      </c>
      <c r="D2659">
        <v>244</v>
      </c>
      <c r="E2659">
        <v>155.43753198996799</v>
      </c>
      <c r="F2659">
        <v>0.48946079241574802</v>
      </c>
      <c r="G2659">
        <v>18975.868642344001</v>
      </c>
      <c r="H2659">
        <v>974.14962728386399</v>
      </c>
      <c r="I2659">
        <v>0.70786679134623098</v>
      </c>
      <c r="J2659">
        <v>0.25128131259443798</v>
      </c>
      <c r="K2659">
        <v>0.79317971434074097</v>
      </c>
      <c r="L2659" t="s">
        <v>38</v>
      </c>
      <c r="M2659" t="s">
        <v>34</v>
      </c>
      <c r="N2659" t="s">
        <v>35</v>
      </c>
      <c r="O2659">
        <v>0.65486978694032405</v>
      </c>
      <c r="P2659" t="s">
        <v>36</v>
      </c>
    </row>
    <row r="2660" spans="1:16">
      <c r="A2660">
        <v>2659</v>
      </c>
      <c r="B2660" t="s">
        <v>2723</v>
      </c>
      <c r="C2660">
        <v>206</v>
      </c>
      <c r="D2660">
        <v>166</v>
      </c>
      <c r="E2660">
        <v>156.61585247333699</v>
      </c>
      <c r="F2660">
        <v>1.23606557377049</v>
      </c>
      <c r="G2660">
        <v>19264.658679017</v>
      </c>
      <c r="H2660">
        <v>1280.78488300448</v>
      </c>
      <c r="I2660">
        <v>0.72044521978724396</v>
      </c>
      <c r="J2660">
        <v>0.147577040518835</v>
      </c>
      <c r="K2660">
        <v>0.75248478937346197</v>
      </c>
      <c r="L2660" t="s">
        <v>38</v>
      </c>
      <c r="M2660" t="s">
        <v>34</v>
      </c>
      <c r="N2660" t="s">
        <v>35</v>
      </c>
      <c r="O2660">
        <v>0.71811324715223601</v>
      </c>
      <c r="P2660" t="s">
        <v>36</v>
      </c>
    </row>
    <row r="2661" spans="1:16">
      <c r="A2661">
        <v>2660</v>
      </c>
      <c r="B2661" t="s">
        <v>2724</v>
      </c>
      <c r="C2661">
        <v>181</v>
      </c>
      <c r="D2661">
        <v>152</v>
      </c>
      <c r="E2661">
        <v>157.472628116522</v>
      </c>
      <c r="F2661">
        <v>1.1913320548011099</v>
      </c>
      <c r="G2661">
        <v>19476.011963705099</v>
      </c>
      <c r="H2661">
        <v>741.36725329523495</v>
      </c>
      <c r="I2661">
        <v>0.58684244849811595</v>
      </c>
      <c r="J2661">
        <v>0.44529016040622199</v>
      </c>
      <c r="K2661">
        <v>0.88919953312885103</v>
      </c>
      <c r="L2661" t="s">
        <v>38</v>
      </c>
      <c r="M2661" t="s">
        <v>34</v>
      </c>
      <c r="N2661" t="s">
        <v>35</v>
      </c>
      <c r="O2661">
        <v>0.73567571059018499</v>
      </c>
      <c r="P2661" t="s">
        <v>36</v>
      </c>
    </row>
    <row r="2662" spans="1:16">
      <c r="A2662">
        <v>2661</v>
      </c>
      <c r="B2662" t="s">
        <v>2725</v>
      </c>
      <c r="C2662">
        <v>211</v>
      </c>
      <c r="D2662">
        <v>197</v>
      </c>
      <c r="E2662">
        <v>157.93762005785501</v>
      </c>
      <c r="F2662">
        <v>1.0730607497645599</v>
      </c>
      <c r="G2662">
        <v>19591.200990170099</v>
      </c>
      <c r="H2662">
        <v>1511.87015999701</v>
      </c>
      <c r="I2662">
        <v>0.61304682009231504</v>
      </c>
      <c r="J2662">
        <v>0.107706504960582</v>
      </c>
      <c r="K2662">
        <v>0.58495832852565499</v>
      </c>
      <c r="L2662" t="s">
        <v>38</v>
      </c>
      <c r="M2662" t="s">
        <v>34</v>
      </c>
      <c r="N2662" t="s">
        <v>35</v>
      </c>
      <c r="O2662">
        <v>0.71912058759090103</v>
      </c>
      <c r="P2662" t="s">
        <v>36</v>
      </c>
    </row>
    <row r="2663" spans="1:16">
      <c r="A2663">
        <v>2662</v>
      </c>
      <c r="B2663" t="s">
        <v>2726</v>
      </c>
      <c r="C2663">
        <v>156</v>
      </c>
      <c r="D2663">
        <v>190</v>
      </c>
      <c r="E2663">
        <v>158.09151541723801</v>
      </c>
      <c r="F2663">
        <v>0.82120076266866904</v>
      </c>
      <c r="G2663">
        <v>19629.399157656</v>
      </c>
      <c r="H2663">
        <v>899.86777018360499</v>
      </c>
      <c r="I2663">
        <v>0.76755554499610501</v>
      </c>
      <c r="J2663">
        <v>0.30462074484861201</v>
      </c>
      <c r="K2663">
        <v>0.83017254926611606</v>
      </c>
      <c r="L2663" t="s">
        <v>38</v>
      </c>
      <c r="M2663" t="s">
        <v>34</v>
      </c>
      <c r="N2663" t="s">
        <v>35</v>
      </c>
      <c r="O2663">
        <v>0.78153766006277603</v>
      </c>
      <c r="P2663" t="s">
        <v>36</v>
      </c>
    </row>
    <row r="2664" spans="1:16">
      <c r="A2664">
        <v>2663</v>
      </c>
      <c r="B2664" t="s">
        <v>2727</v>
      </c>
      <c r="C2664">
        <v>239</v>
      </c>
      <c r="D2664">
        <v>143</v>
      </c>
      <c r="E2664">
        <v>158.63523649515199</v>
      </c>
      <c r="F2664">
        <v>1.67405013554773</v>
      </c>
      <c r="G2664">
        <v>19764.653369376199</v>
      </c>
      <c r="H2664">
        <v>1027.68112379489</v>
      </c>
      <c r="I2664">
        <v>0.54406395528206997</v>
      </c>
      <c r="J2664">
        <v>0.23517021000497099</v>
      </c>
      <c r="K2664">
        <v>0.81237705418779405</v>
      </c>
      <c r="L2664" t="s">
        <v>38</v>
      </c>
      <c r="M2664" t="s">
        <v>34</v>
      </c>
      <c r="N2664" t="s">
        <v>35</v>
      </c>
      <c r="O2664">
        <v>0.72746094292308805</v>
      </c>
      <c r="P2664" t="s">
        <v>36</v>
      </c>
    </row>
    <row r="2665" spans="1:16">
      <c r="A2665">
        <v>2664</v>
      </c>
      <c r="B2665" t="s">
        <v>2728</v>
      </c>
      <c r="C2665">
        <v>149</v>
      </c>
      <c r="D2665">
        <v>277</v>
      </c>
      <c r="E2665">
        <v>158.64835833060101</v>
      </c>
      <c r="F2665">
        <v>0.53931367837589095</v>
      </c>
      <c r="G2665">
        <v>19767.9232514178</v>
      </c>
      <c r="H2665">
        <v>1798.39381706155</v>
      </c>
      <c r="I2665">
        <v>0.71528258700221703</v>
      </c>
      <c r="J2665">
        <v>7.6807089554703903E-2</v>
      </c>
      <c r="K2665">
        <v>0.66350048889509705</v>
      </c>
      <c r="L2665" t="s">
        <v>38</v>
      </c>
      <c r="M2665" t="s">
        <v>34</v>
      </c>
      <c r="N2665" t="s">
        <v>35</v>
      </c>
      <c r="O2665">
        <v>0.79872535872779804</v>
      </c>
      <c r="P2665" t="s">
        <v>36</v>
      </c>
    </row>
    <row r="2666" spans="1:16">
      <c r="A2666">
        <v>2665</v>
      </c>
      <c r="B2666" t="s">
        <v>2729</v>
      </c>
      <c r="C2666">
        <v>290</v>
      </c>
      <c r="D2666">
        <v>152</v>
      </c>
      <c r="E2666">
        <v>159.890022195201</v>
      </c>
      <c r="F2666">
        <v>1.90484918249218</v>
      </c>
      <c r="G2666">
        <v>20078.562045368599</v>
      </c>
      <c r="H2666">
        <v>1541.8958638597601</v>
      </c>
      <c r="I2666">
        <v>0.64095369901722699</v>
      </c>
      <c r="J2666">
        <v>0.10612858750154899</v>
      </c>
      <c r="K2666">
        <v>0.58617801864973795</v>
      </c>
      <c r="L2666" t="s">
        <v>38</v>
      </c>
      <c r="M2666" t="s">
        <v>34</v>
      </c>
      <c r="N2666" t="s">
        <v>35</v>
      </c>
      <c r="O2666">
        <v>0.788625643662489</v>
      </c>
      <c r="P2666" t="s">
        <v>36</v>
      </c>
    </row>
    <row r="2667" spans="1:16">
      <c r="A2667">
        <v>2666</v>
      </c>
      <c r="B2667" t="s">
        <v>2730</v>
      </c>
      <c r="C2667">
        <v>186</v>
      </c>
      <c r="D2667">
        <v>215</v>
      </c>
      <c r="E2667">
        <v>160.669286999414</v>
      </c>
      <c r="F2667">
        <v>0.86426930745667896</v>
      </c>
      <c r="G2667">
        <v>20274.754967863901</v>
      </c>
      <c r="H2667">
        <v>2071.0158079564098</v>
      </c>
      <c r="I2667">
        <v>0.58140115208666798</v>
      </c>
      <c r="J2667">
        <v>5.9401669419796403E-2</v>
      </c>
      <c r="K2667">
        <v>0.64812395174586301</v>
      </c>
      <c r="L2667" t="s">
        <v>38</v>
      </c>
      <c r="M2667" t="s">
        <v>34</v>
      </c>
      <c r="N2667" t="s">
        <v>35</v>
      </c>
      <c r="O2667">
        <v>0.75965858790202501</v>
      </c>
      <c r="P2667" t="s">
        <v>36</v>
      </c>
    </row>
    <row r="2668" spans="1:16">
      <c r="A2668">
        <v>2667</v>
      </c>
      <c r="B2668" t="s">
        <v>2731</v>
      </c>
      <c r="C2668">
        <v>252</v>
      </c>
      <c r="D2668">
        <v>149</v>
      </c>
      <c r="E2668">
        <v>161.06690524271599</v>
      </c>
      <c r="F2668">
        <v>1.6960607665856799</v>
      </c>
      <c r="G2668">
        <v>20375.2295251418</v>
      </c>
      <c r="H2668">
        <v>1181.5874175067599</v>
      </c>
      <c r="I2668">
        <v>0.63610512580265299</v>
      </c>
      <c r="J2668">
        <v>0.18339211475323899</v>
      </c>
      <c r="K2668">
        <v>0.70970547579972998</v>
      </c>
      <c r="L2668" t="s">
        <v>74</v>
      </c>
      <c r="M2668" t="s">
        <v>34</v>
      </c>
      <c r="N2668" t="s">
        <v>35</v>
      </c>
      <c r="O2668">
        <v>0.67843536396072501</v>
      </c>
      <c r="P2668" t="s">
        <v>36</v>
      </c>
    </row>
    <row r="2669" spans="1:16">
      <c r="A2669">
        <v>2668</v>
      </c>
      <c r="B2669" t="s">
        <v>2732</v>
      </c>
      <c r="C2669">
        <v>197</v>
      </c>
      <c r="D2669">
        <v>204</v>
      </c>
      <c r="E2669">
        <v>163.36570665811701</v>
      </c>
      <c r="F2669">
        <v>0.96473840075759498</v>
      </c>
      <c r="G2669">
        <v>20960.9843035917</v>
      </c>
      <c r="H2669">
        <v>1615.6939483909</v>
      </c>
      <c r="I2669">
        <v>0.64022793060652905</v>
      </c>
      <c r="J2669">
        <v>0.100902828410704</v>
      </c>
      <c r="K2669">
        <v>0.66509934493182898</v>
      </c>
      <c r="L2669" t="s">
        <v>38</v>
      </c>
      <c r="M2669" t="s">
        <v>34</v>
      </c>
      <c r="N2669" t="s">
        <v>35</v>
      </c>
      <c r="O2669">
        <v>0.76363651166804503</v>
      </c>
      <c r="P2669" t="s">
        <v>36</v>
      </c>
    </row>
    <row r="2670" spans="1:16">
      <c r="A2670">
        <v>2669</v>
      </c>
      <c r="B2670" t="s">
        <v>2733</v>
      </c>
      <c r="C2670">
        <v>224</v>
      </c>
      <c r="D2670">
        <v>154</v>
      </c>
      <c r="E2670">
        <v>166.77974889279699</v>
      </c>
      <c r="F2670">
        <v>1.45663454490976</v>
      </c>
      <c r="G2670">
        <v>21846.230550850702</v>
      </c>
      <c r="H2670">
        <v>1336.2647650346601</v>
      </c>
      <c r="I2670">
        <v>0.61867442579533705</v>
      </c>
      <c r="J2670">
        <v>0.15374512102173901</v>
      </c>
      <c r="K2670">
        <v>0.72041661561083203</v>
      </c>
      <c r="L2670" t="s">
        <v>38</v>
      </c>
      <c r="M2670" t="s">
        <v>34</v>
      </c>
      <c r="N2670" t="s">
        <v>35</v>
      </c>
      <c r="O2670">
        <v>0.78205951511451599</v>
      </c>
      <c r="P2670" t="s">
        <v>36</v>
      </c>
    </row>
    <row r="2671" spans="1:16">
      <c r="A2671">
        <v>2670</v>
      </c>
      <c r="B2671" t="s">
        <v>2734</v>
      </c>
      <c r="C2671">
        <v>307</v>
      </c>
      <c r="D2671">
        <v>140</v>
      </c>
      <c r="E2671">
        <v>166.938529537417</v>
      </c>
      <c r="F2671">
        <v>2.1946790717222502</v>
      </c>
      <c r="G2671">
        <v>21887.847231380001</v>
      </c>
      <c r="H2671">
        <v>1652.4266525518401</v>
      </c>
      <c r="I2671">
        <v>0.72635572072948895</v>
      </c>
      <c r="J2671">
        <v>0.10073224900853001</v>
      </c>
      <c r="K2671">
        <v>0.64980915609487</v>
      </c>
      <c r="L2671" t="s">
        <v>38</v>
      </c>
      <c r="M2671" t="s">
        <v>34</v>
      </c>
      <c r="N2671" t="s">
        <v>35</v>
      </c>
      <c r="O2671">
        <v>0.72771442021489996</v>
      </c>
      <c r="P2671" t="s">
        <v>36</v>
      </c>
    </row>
    <row r="2672" spans="1:16">
      <c r="A2672">
        <v>2671</v>
      </c>
      <c r="B2672" t="s">
        <v>2735</v>
      </c>
      <c r="C2672">
        <v>184</v>
      </c>
      <c r="D2672">
        <v>181</v>
      </c>
      <c r="E2672">
        <v>168.34845212037899</v>
      </c>
      <c r="F2672">
        <v>1.0152811437792</v>
      </c>
      <c r="G2672">
        <v>22259.127474102101</v>
      </c>
      <c r="H2672">
        <v>985.28645915601601</v>
      </c>
      <c r="I2672">
        <v>0.66243602235495103</v>
      </c>
      <c r="J2672">
        <v>0.28813298073840599</v>
      </c>
      <c r="K2672">
        <v>0.84967887618010196</v>
      </c>
      <c r="L2672" t="s">
        <v>38</v>
      </c>
      <c r="M2672" t="s">
        <v>34</v>
      </c>
      <c r="N2672" t="s">
        <v>35</v>
      </c>
      <c r="O2672">
        <v>0.70874478596695101</v>
      </c>
      <c r="P2672" t="s">
        <v>36</v>
      </c>
    </row>
    <row r="2673" spans="1:16">
      <c r="A2673">
        <v>2672</v>
      </c>
      <c r="B2673" t="s">
        <v>2736</v>
      </c>
      <c r="C2673">
        <v>171</v>
      </c>
      <c r="D2673">
        <v>334</v>
      </c>
      <c r="E2673">
        <v>168.489469378629</v>
      </c>
      <c r="F2673">
        <v>0.51223491027732504</v>
      </c>
      <c r="G2673">
        <v>22296.433855576601</v>
      </c>
      <c r="H2673">
        <v>2894.8498268428102</v>
      </c>
      <c r="I2673">
        <v>0.72406916479415595</v>
      </c>
      <c r="J2673">
        <v>3.3434373686738302E-2</v>
      </c>
      <c r="K2673">
        <v>0.51241481785110399</v>
      </c>
      <c r="L2673" t="s">
        <v>33</v>
      </c>
      <c r="M2673" t="s">
        <v>34</v>
      </c>
      <c r="N2673" t="s">
        <v>35</v>
      </c>
      <c r="O2673">
        <v>0.69034904678547104</v>
      </c>
      <c r="P2673" t="s">
        <v>36</v>
      </c>
    </row>
    <row r="2674" spans="1:16">
      <c r="A2674">
        <v>2673</v>
      </c>
      <c r="B2674" t="s">
        <v>2737</v>
      </c>
      <c r="C2674">
        <v>230</v>
      </c>
      <c r="D2674">
        <v>177</v>
      </c>
      <c r="E2674">
        <v>168.76330113994601</v>
      </c>
      <c r="F2674">
        <v>1.3028169657873301</v>
      </c>
      <c r="G2674">
        <v>22368.965784499102</v>
      </c>
      <c r="H2674">
        <v>1144.3255458143501</v>
      </c>
      <c r="I2674">
        <v>0.57812633358697996</v>
      </c>
      <c r="J2674">
        <v>0.21466269767181001</v>
      </c>
      <c r="K2674">
        <v>0.71875447729117903</v>
      </c>
      <c r="L2674" t="s">
        <v>74</v>
      </c>
      <c r="M2674" t="s">
        <v>34</v>
      </c>
      <c r="N2674" t="s">
        <v>35</v>
      </c>
      <c r="O2674">
        <v>0.68880843510774203</v>
      </c>
      <c r="P2674" t="s">
        <v>36</v>
      </c>
    </row>
    <row r="2675" spans="1:16">
      <c r="A2675">
        <v>2674</v>
      </c>
      <c r="B2675" t="s">
        <v>2738</v>
      </c>
      <c r="C2675">
        <v>148</v>
      </c>
      <c r="D2675">
        <v>264</v>
      </c>
      <c r="E2675">
        <v>169.90378603094501</v>
      </c>
      <c r="F2675">
        <v>0.56055260349550395</v>
      </c>
      <c r="G2675">
        <v>22672.321659357302</v>
      </c>
      <c r="H2675">
        <v>1287.1177051352399</v>
      </c>
      <c r="I2675">
        <v>0.77541148474920896</v>
      </c>
      <c r="J2675">
        <v>0.17197658855648501</v>
      </c>
      <c r="K2675">
        <v>0.71530194040909001</v>
      </c>
      <c r="L2675" t="s">
        <v>38</v>
      </c>
      <c r="M2675" t="s">
        <v>34</v>
      </c>
      <c r="N2675" t="s">
        <v>35</v>
      </c>
      <c r="O2675">
        <v>0.74724752252885196</v>
      </c>
      <c r="P2675" t="s">
        <v>36</v>
      </c>
    </row>
    <row r="2676" spans="1:16">
      <c r="A2676">
        <v>2675</v>
      </c>
      <c r="B2676" t="s">
        <v>2739</v>
      </c>
      <c r="C2676">
        <v>196</v>
      </c>
      <c r="D2676">
        <v>206</v>
      </c>
      <c r="E2676">
        <v>170.08079180215699</v>
      </c>
      <c r="F2676">
        <v>0.94973544161929802</v>
      </c>
      <c r="G2676">
        <v>22719.586317958401</v>
      </c>
      <c r="H2676">
        <v>2110.3450618081501</v>
      </c>
      <c r="I2676">
        <v>0.57709128959502298</v>
      </c>
      <c r="J2676">
        <v>6.4106687764351106E-2</v>
      </c>
      <c r="K2676">
        <v>0.66130644135550098</v>
      </c>
      <c r="L2676" t="s">
        <v>38</v>
      </c>
      <c r="M2676" t="s">
        <v>34</v>
      </c>
      <c r="N2676" t="s">
        <v>35</v>
      </c>
      <c r="O2676">
        <v>0.74011558213790396</v>
      </c>
      <c r="P2676" t="s">
        <v>36</v>
      </c>
    </row>
    <row r="2677" spans="1:16">
      <c r="A2677">
        <v>2676</v>
      </c>
      <c r="B2677" t="s">
        <v>2740</v>
      </c>
      <c r="C2677">
        <v>373</v>
      </c>
      <c r="D2677">
        <v>195</v>
      </c>
      <c r="E2677">
        <v>171.45237819602599</v>
      </c>
      <c r="F2677">
        <v>1.91954048232296</v>
      </c>
      <c r="G2677">
        <v>23087.5</v>
      </c>
      <c r="H2677">
        <v>2013.58908593655</v>
      </c>
      <c r="I2677">
        <v>0.76393027955948201</v>
      </c>
      <c r="J2677">
        <v>7.1555838517338405E-2</v>
      </c>
      <c r="K2677">
        <v>0.46337180130456601</v>
      </c>
      <c r="L2677" t="s">
        <v>38</v>
      </c>
      <c r="M2677" t="s">
        <v>34</v>
      </c>
      <c r="N2677" t="s">
        <v>35</v>
      </c>
      <c r="O2677">
        <v>0.77966339176870003</v>
      </c>
      <c r="P2677" t="s">
        <v>36</v>
      </c>
    </row>
    <row r="2678" spans="1:16">
      <c r="A2678">
        <v>2677</v>
      </c>
      <c r="B2678" t="s">
        <v>2741</v>
      </c>
      <c r="C2678">
        <v>157</v>
      </c>
      <c r="D2678">
        <v>208</v>
      </c>
      <c r="E2678">
        <v>171.61987552000201</v>
      </c>
      <c r="F2678">
        <v>0.75100691790894403</v>
      </c>
      <c r="G2678">
        <v>23132.631872211699</v>
      </c>
      <c r="H2678">
        <v>844.41058563460501</v>
      </c>
      <c r="I2678">
        <v>0.66124649554639303</v>
      </c>
      <c r="J2678">
        <v>0.40768766588182198</v>
      </c>
      <c r="K2678">
        <v>0.908766049876506</v>
      </c>
      <c r="L2678" t="s">
        <v>47</v>
      </c>
      <c r="M2678" t="s">
        <v>34</v>
      </c>
      <c r="N2678" t="s">
        <v>35</v>
      </c>
      <c r="O2678">
        <v>0.92001805270567205</v>
      </c>
      <c r="P2678" t="s">
        <v>36</v>
      </c>
    </row>
    <row r="2679" spans="1:16">
      <c r="A2679">
        <v>2678</v>
      </c>
      <c r="B2679" t="s">
        <v>2742</v>
      </c>
      <c r="C2679">
        <v>182</v>
      </c>
      <c r="D2679">
        <v>236</v>
      </c>
      <c r="E2679">
        <v>172.47124292180499</v>
      </c>
      <c r="F2679">
        <v>0.77083333333333304</v>
      </c>
      <c r="G2679">
        <v>23362.712663138002</v>
      </c>
      <c r="H2679">
        <v>2237.88442941521</v>
      </c>
      <c r="I2679">
        <v>0.73507297346889</v>
      </c>
      <c r="J2679">
        <v>5.8621620883393399E-2</v>
      </c>
      <c r="K2679">
        <v>0.65024903612264795</v>
      </c>
      <c r="L2679" t="s">
        <v>74</v>
      </c>
      <c r="M2679" t="s">
        <v>34</v>
      </c>
      <c r="N2679" t="s">
        <v>35</v>
      </c>
      <c r="O2679">
        <v>0.64617795716660698</v>
      </c>
      <c r="P2679" t="s">
        <v>36</v>
      </c>
    </row>
    <row r="2680" spans="1:16">
      <c r="A2680">
        <v>2679</v>
      </c>
      <c r="B2680" t="s">
        <v>2743</v>
      </c>
      <c r="C2680">
        <v>411</v>
      </c>
      <c r="D2680">
        <v>157</v>
      </c>
      <c r="E2680">
        <v>173.758443224817</v>
      </c>
      <c r="F2680">
        <v>2.62477493556813</v>
      </c>
      <c r="G2680">
        <v>23712.7386725898</v>
      </c>
      <c r="H2680">
        <v>2143.3226890521501</v>
      </c>
      <c r="I2680">
        <v>0.46454339262804301</v>
      </c>
      <c r="J2680">
        <v>6.4865901223613298E-2</v>
      </c>
      <c r="K2680">
        <v>0.52349889584885101</v>
      </c>
      <c r="L2680" t="s">
        <v>38</v>
      </c>
      <c r="M2680" t="s">
        <v>34</v>
      </c>
      <c r="N2680" t="s">
        <v>35</v>
      </c>
      <c r="O2680">
        <v>0.72972855059373198</v>
      </c>
      <c r="P2680" t="s">
        <v>36</v>
      </c>
    </row>
    <row r="2681" spans="1:16">
      <c r="A2681">
        <v>2680</v>
      </c>
      <c r="B2681" t="s">
        <v>2744</v>
      </c>
      <c r="C2681">
        <v>161</v>
      </c>
      <c r="D2681">
        <v>210</v>
      </c>
      <c r="E2681">
        <v>173.82541087200499</v>
      </c>
      <c r="F2681">
        <v>0.76976740052563397</v>
      </c>
      <c r="G2681">
        <v>23731.020285822298</v>
      </c>
      <c r="H2681">
        <v>957.55121926017398</v>
      </c>
      <c r="I2681">
        <v>0.76172800580160405</v>
      </c>
      <c r="J2681">
        <v>0.325238723135997</v>
      </c>
      <c r="K2681">
        <v>0.85894428783542398</v>
      </c>
      <c r="L2681" t="s">
        <v>38</v>
      </c>
      <c r="M2681" t="s">
        <v>34</v>
      </c>
      <c r="N2681" t="s">
        <v>35</v>
      </c>
      <c r="O2681">
        <v>0.70358087438861605</v>
      </c>
      <c r="P2681" t="s">
        <v>36</v>
      </c>
    </row>
    <row r="2682" spans="1:16">
      <c r="A2682">
        <v>2681</v>
      </c>
      <c r="B2682" t="s">
        <v>2745</v>
      </c>
      <c r="C2682">
        <v>198</v>
      </c>
      <c r="D2682">
        <v>181</v>
      </c>
      <c r="E2682">
        <v>175.526340114661</v>
      </c>
      <c r="F2682">
        <v>1.09269736732661</v>
      </c>
      <c r="G2682">
        <v>24197.721631757999</v>
      </c>
      <c r="H2682">
        <v>1046.0635257351901</v>
      </c>
      <c r="I2682">
        <v>0.69396566317379504</v>
      </c>
      <c r="J2682">
        <v>0.27788699452465399</v>
      </c>
      <c r="K2682">
        <v>0.81199002493765604</v>
      </c>
      <c r="L2682" t="s">
        <v>38</v>
      </c>
      <c r="M2682" t="s">
        <v>34</v>
      </c>
      <c r="N2682" t="s">
        <v>35</v>
      </c>
      <c r="O2682">
        <v>0.75382786491285103</v>
      </c>
      <c r="P2682" t="s">
        <v>36</v>
      </c>
    </row>
    <row r="2683" spans="1:16">
      <c r="A2683">
        <v>2682</v>
      </c>
      <c r="B2683" t="s">
        <v>2746</v>
      </c>
      <c r="C2683">
        <v>134</v>
      </c>
      <c r="D2683">
        <v>416</v>
      </c>
      <c r="E2683">
        <v>177.33870630789701</v>
      </c>
      <c r="F2683">
        <v>0.32142862385614002</v>
      </c>
      <c r="G2683">
        <v>24700</v>
      </c>
      <c r="H2683">
        <v>1493.6753106117201</v>
      </c>
      <c r="I2683">
        <v>0.90700829508504799</v>
      </c>
      <c r="J2683">
        <v>0.13912155150136199</v>
      </c>
      <c r="K2683">
        <v>0.55993199206574096</v>
      </c>
      <c r="L2683" t="s">
        <v>38</v>
      </c>
      <c r="M2683" t="s">
        <v>34</v>
      </c>
      <c r="N2683" t="s">
        <v>35</v>
      </c>
      <c r="O2683">
        <v>0.79329440639156101</v>
      </c>
      <c r="P2683" t="s">
        <v>36</v>
      </c>
    </row>
    <row r="2684" spans="1:16">
      <c r="A2684">
        <v>2683</v>
      </c>
      <c r="B2684" t="s">
        <v>2747</v>
      </c>
      <c r="C2684">
        <v>340</v>
      </c>
      <c r="D2684">
        <v>143</v>
      </c>
      <c r="E2684">
        <v>181.350874685306</v>
      </c>
      <c r="F2684">
        <v>2.3864168722068899</v>
      </c>
      <c r="G2684">
        <v>25830.284556521699</v>
      </c>
      <c r="H2684">
        <v>1576.60268781952</v>
      </c>
      <c r="I2684">
        <v>0.56398548028531004</v>
      </c>
      <c r="J2684">
        <v>0.13058537162921299</v>
      </c>
      <c r="K2684">
        <v>0.66825346166121302</v>
      </c>
      <c r="L2684" t="s">
        <v>33</v>
      </c>
      <c r="M2684" t="s">
        <v>34</v>
      </c>
      <c r="N2684" t="s">
        <v>35</v>
      </c>
      <c r="O2684">
        <v>0.70821827785476898</v>
      </c>
      <c r="P2684" t="s">
        <v>36</v>
      </c>
    </row>
    <row r="2685" spans="1:16">
      <c r="A2685">
        <v>2684</v>
      </c>
      <c r="B2685" t="s">
        <v>2748</v>
      </c>
      <c r="C2685">
        <v>164</v>
      </c>
      <c r="D2685">
        <v>306</v>
      </c>
      <c r="E2685">
        <v>181.59541474049101</v>
      </c>
      <c r="F2685">
        <v>0.53658580440434001</v>
      </c>
      <c r="G2685">
        <v>25899.9924964083</v>
      </c>
      <c r="H2685">
        <v>1492.83570088086</v>
      </c>
      <c r="I2685">
        <v>0.764236363074563</v>
      </c>
      <c r="J2685">
        <v>0.146044591096778</v>
      </c>
      <c r="K2685">
        <v>0.66722952922482004</v>
      </c>
      <c r="L2685" t="s">
        <v>38</v>
      </c>
      <c r="M2685" t="s">
        <v>34</v>
      </c>
      <c r="N2685" t="s">
        <v>35</v>
      </c>
      <c r="O2685">
        <v>0.72748561107264498</v>
      </c>
      <c r="P2685" t="s">
        <v>36</v>
      </c>
    </row>
    <row r="2686" spans="1:16">
      <c r="A2686">
        <v>2685</v>
      </c>
      <c r="B2686" t="s">
        <v>2749</v>
      </c>
      <c r="C2686">
        <v>254</v>
      </c>
      <c r="D2686">
        <v>192</v>
      </c>
      <c r="E2686">
        <v>182.594656800808</v>
      </c>
      <c r="F2686">
        <v>1.32150812197138</v>
      </c>
      <c r="G2686">
        <v>26185.8099130435</v>
      </c>
      <c r="H2686">
        <v>1495.94261362615</v>
      </c>
      <c r="I2686">
        <v>0.67042278582662196</v>
      </c>
      <c r="J2686">
        <v>0.14704355960989601</v>
      </c>
      <c r="K2686">
        <v>0.66315353634207896</v>
      </c>
      <c r="L2686" t="s">
        <v>298</v>
      </c>
      <c r="M2686" t="s">
        <v>34</v>
      </c>
      <c r="N2686" t="s">
        <v>35</v>
      </c>
      <c r="O2686">
        <v>0.65456845477761805</v>
      </c>
      <c r="P2686" t="s">
        <v>36</v>
      </c>
    </row>
    <row r="2687" spans="1:16">
      <c r="A2687">
        <v>2686</v>
      </c>
      <c r="B2687" t="s">
        <v>2750</v>
      </c>
      <c r="C2687">
        <v>264</v>
      </c>
      <c r="D2687">
        <v>179</v>
      </c>
      <c r="E2687">
        <v>184.53384612601999</v>
      </c>
      <c r="F2687">
        <v>1.47776576672546</v>
      </c>
      <c r="G2687">
        <v>26744.959742154999</v>
      </c>
      <c r="H2687">
        <v>1309.20494033979</v>
      </c>
      <c r="I2687">
        <v>0.59911068100694398</v>
      </c>
      <c r="J2687">
        <v>0.196081464349737</v>
      </c>
      <c r="K2687">
        <v>0.74329783630610602</v>
      </c>
      <c r="L2687" t="s">
        <v>47</v>
      </c>
      <c r="M2687" t="s">
        <v>34</v>
      </c>
      <c r="N2687" t="s">
        <v>35</v>
      </c>
      <c r="O2687">
        <v>0.92583186668758</v>
      </c>
      <c r="P2687" t="s">
        <v>36</v>
      </c>
    </row>
    <row r="2688" spans="1:16">
      <c r="A2688">
        <v>2687</v>
      </c>
      <c r="B2688" t="s">
        <v>2751</v>
      </c>
      <c r="C2688">
        <v>279</v>
      </c>
      <c r="D2688">
        <v>152</v>
      </c>
      <c r="E2688">
        <v>184.99373087373999</v>
      </c>
      <c r="F2688">
        <v>1.8320910234526</v>
      </c>
      <c r="G2688">
        <v>26878.430381852599</v>
      </c>
      <c r="H2688">
        <v>1335.64870058267</v>
      </c>
      <c r="I2688">
        <v>0.64104535678283903</v>
      </c>
      <c r="J2688">
        <v>0.189334290148887</v>
      </c>
      <c r="K2688">
        <v>0.75443675897572804</v>
      </c>
      <c r="L2688" t="s">
        <v>38</v>
      </c>
      <c r="M2688" t="s">
        <v>34</v>
      </c>
      <c r="N2688" t="s">
        <v>35</v>
      </c>
      <c r="O2688">
        <v>0.73754464965250599</v>
      </c>
      <c r="P2688" t="s">
        <v>36</v>
      </c>
    </row>
    <row r="2689" spans="1:16">
      <c r="A2689">
        <v>2688</v>
      </c>
      <c r="B2689" t="s">
        <v>2752</v>
      </c>
      <c r="C2689">
        <v>225</v>
      </c>
      <c r="D2689">
        <v>240</v>
      </c>
      <c r="E2689">
        <v>185.463699688731</v>
      </c>
      <c r="F2689">
        <v>0.93863635512422805</v>
      </c>
      <c r="G2689">
        <v>27015.170903591701</v>
      </c>
      <c r="H2689">
        <v>2377.5829712334898</v>
      </c>
      <c r="I2689">
        <v>0.57779556179991998</v>
      </c>
      <c r="J2689">
        <v>6.0054591914938601E-2</v>
      </c>
      <c r="K2689">
        <v>0.65820016150818195</v>
      </c>
      <c r="L2689" t="s">
        <v>33</v>
      </c>
      <c r="M2689" t="s">
        <v>34</v>
      </c>
      <c r="N2689" t="s">
        <v>35</v>
      </c>
      <c r="O2689">
        <v>0.67976734527989702</v>
      </c>
      <c r="P2689" t="s">
        <v>36</v>
      </c>
    </row>
    <row r="2690" spans="1:16">
      <c r="A2690">
        <v>2689</v>
      </c>
      <c r="B2690" t="s">
        <v>2753</v>
      </c>
      <c r="C2690">
        <v>201</v>
      </c>
      <c r="D2690">
        <v>202</v>
      </c>
      <c r="E2690">
        <v>186.49904327104201</v>
      </c>
      <c r="F2690">
        <v>0.99787149474131298</v>
      </c>
      <c r="G2690">
        <v>27317.634992438601</v>
      </c>
      <c r="H2690">
        <v>1304.56466165698</v>
      </c>
      <c r="I2690">
        <v>0.69387625039793799</v>
      </c>
      <c r="J2690">
        <v>0.201707358357858</v>
      </c>
      <c r="K2690">
        <v>0.81012284405812895</v>
      </c>
      <c r="L2690" t="s">
        <v>38</v>
      </c>
      <c r="M2690" t="s">
        <v>34</v>
      </c>
      <c r="N2690" t="s">
        <v>35</v>
      </c>
      <c r="O2690">
        <v>0.67100683827476704</v>
      </c>
      <c r="P2690" t="s">
        <v>36</v>
      </c>
    </row>
    <row r="2691" spans="1:16">
      <c r="A2691">
        <v>2690</v>
      </c>
      <c r="B2691" t="s">
        <v>2754</v>
      </c>
      <c r="C2691">
        <v>395</v>
      </c>
      <c r="D2691">
        <v>167</v>
      </c>
      <c r="E2691">
        <v>187.43277790891199</v>
      </c>
      <c r="F2691">
        <v>2.3568617287577101</v>
      </c>
      <c r="G2691">
        <v>27591.859190926301</v>
      </c>
      <c r="H2691">
        <v>2837.4387475403501</v>
      </c>
      <c r="I2691">
        <v>0.74426543914185805</v>
      </c>
      <c r="J2691">
        <v>4.3066327519895801E-2</v>
      </c>
      <c r="K2691">
        <v>0.50332950133397003</v>
      </c>
      <c r="L2691" t="s">
        <v>38</v>
      </c>
      <c r="M2691" t="s">
        <v>34</v>
      </c>
      <c r="N2691" t="s">
        <v>35</v>
      </c>
      <c r="O2691">
        <v>0.74655498865765901</v>
      </c>
      <c r="P2691" t="s">
        <v>36</v>
      </c>
    </row>
    <row r="2692" spans="1:16">
      <c r="A2692">
        <v>2691</v>
      </c>
      <c r="B2692" t="s">
        <v>2755</v>
      </c>
      <c r="C2692">
        <v>302</v>
      </c>
      <c r="D2692">
        <v>162</v>
      </c>
      <c r="E2692">
        <v>187.928369266207</v>
      </c>
      <c r="F2692">
        <v>1.86347718652245</v>
      </c>
      <c r="G2692">
        <v>27737.963465784502</v>
      </c>
      <c r="H2692">
        <v>1347.96286415795</v>
      </c>
      <c r="I2692">
        <v>0.840891695790835</v>
      </c>
      <c r="J2692">
        <v>0.19183532420114199</v>
      </c>
      <c r="K2692">
        <v>0.76939536110950801</v>
      </c>
      <c r="L2692" t="s">
        <v>47</v>
      </c>
      <c r="M2692" t="s">
        <v>34</v>
      </c>
      <c r="N2692" t="s">
        <v>35</v>
      </c>
      <c r="O2692">
        <v>0.92206913098815801</v>
      </c>
      <c r="P2692" t="s">
        <v>36</v>
      </c>
    </row>
    <row r="2693" spans="1:16">
      <c r="A2693">
        <v>2692</v>
      </c>
      <c r="B2693" t="s">
        <v>2756</v>
      </c>
      <c r="C2693">
        <v>297</v>
      </c>
      <c r="D2693">
        <v>232</v>
      </c>
      <c r="E2693">
        <v>192.77840815207799</v>
      </c>
      <c r="F2693">
        <v>1.28170958871346</v>
      </c>
      <c r="G2693">
        <v>29188.156151228701</v>
      </c>
      <c r="H2693">
        <v>1748.7042943879801</v>
      </c>
      <c r="I2693">
        <v>0.66934630299251097</v>
      </c>
      <c r="J2693">
        <v>0.119945448274932</v>
      </c>
      <c r="K2693">
        <v>0.629530016316874</v>
      </c>
      <c r="L2693" t="s">
        <v>38</v>
      </c>
      <c r="M2693" t="s">
        <v>34</v>
      </c>
      <c r="N2693" t="s">
        <v>35</v>
      </c>
      <c r="O2693">
        <v>0.74416438507695803</v>
      </c>
      <c r="P2693" t="s">
        <v>36</v>
      </c>
    </row>
    <row r="2694" spans="1:16">
      <c r="A2694">
        <v>2693</v>
      </c>
      <c r="B2694" t="s">
        <v>2757</v>
      </c>
      <c r="C2694">
        <v>332</v>
      </c>
      <c r="D2694">
        <v>180</v>
      </c>
      <c r="E2694">
        <v>193.227485409862</v>
      </c>
      <c r="F2694">
        <v>1.8466039438167201</v>
      </c>
      <c r="G2694">
        <v>29324.302148960302</v>
      </c>
      <c r="H2694">
        <v>1949.9188568818099</v>
      </c>
      <c r="I2694">
        <v>0.74288801886176803</v>
      </c>
      <c r="J2694">
        <v>9.6918006224107803E-2</v>
      </c>
      <c r="K2694">
        <v>0.57269748013805399</v>
      </c>
      <c r="L2694" t="s">
        <v>38</v>
      </c>
      <c r="M2694" t="s">
        <v>34</v>
      </c>
      <c r="N2694" t="s">
        <v>35</v>
      </c>
      <c r="O2694">
        <v>0.67813614228881502</v>
      </c>
      <c r="P2694" t="s">
        <v>36</v>
      </c>
    </row>
    <row r="2695" spans="1:16">
      <c r="A2695">
        <v>2694</v>
      </c>
      <c r="B2695" t="s">
        <v>2758</v>
      </c>
      <c r="C2695">
        <v>398</v>
      </c>
      <c r="D2695">
        <v>144</v>
      </c>
      <c r="E2695">
        <v>194.21565722870801</v>
      </c>
      <c r="F2695">
        <v>2.7618271076840202</v>
      </c>
      <c r="G2695">
        <v>29625</v>
      </c>
      <c r="H2695">
        <v>1329.5331752300301</v>
      </c>
      <c r="I2695">
        <v>0.65035659106973598</v>
      </c>
      <c r="J2695">
        <v>0.21060557626054399</v>
      </c>
      <c r="K2695">
        <v>0.66647919010123702</v>
      </c>
      <c r="L2695" t="s">
        <v>298</v>
      </c>
      <c r="M2695" t="s">
        <v>34</v>
      </c>
      <c r="N2695" t="s">
        <v>35</v>
      </c>
      <c r="O2695">
        <v>0.65886224089823597</v>
      </c>
      <c r="P2695" t="s">
        <v>36</v>
      </c>
    </row>
    <row r="2696" spans="1:16">
      <c r="A2696">
        <v>2695</v>
      </c>
      <c r="B2696" t="s">
        <v>2759</v>
      </c>
      <c r="C2696">
        <v>173</v>
      </c>
      <c r="D2696">
        <v>266</v>
      </c>
      <c r="E2696">
        <v>194.287692319429</v>
      </c>
      <c r="F2696">
        <v>0.652704544846618</v>
      </c>
      <c r="G2696">
        <v>29646.980054064301</v>
      </c>
      <c r="H2696">
        <v>1266.21235518196</v>
      </c>
      <c r="I2696">
        <v>0.61185033084635299</v>
      </c>
      <c r="J2696">
        <v>0.23236848766575299</v>
      </c>
      <c r="K2696">
        <v>0.77806166232388296</v>
      </c>
      <c r="L2696" t="s">
        <v>38</v>
      </c>
      <c r="M2696" t="s">
        <v>34</v>
      </c>
      <c r="N2696" t="s">
        <v>35</v>
      </c>
      <c r="O2696">
        <v>0.69942756491690505</v>
      </c>
      <c r="P2696" t="s">
        <v>36</v>
      </c>
    </row>
    <row r="2697" spans="1:16">
      <c r="A2697">
        <v>2696</v>
      </c>
      <c r="B2697" t="s">
        <v>2760</v>
      </c>
      <c r="C2697">
        <v>215</v>
      </c>
      <c r="D2697">
        <v>279</v>
      </c>
      <c r="E2697">
        <v>194.910966638708</v>
      </c>
      <c r="F2697">
        <v>0.77060936089677401</v>
      </c>
      <c r="G2697">
        <v>29837.5</v>
      </c>
      <c r="H2697">
        <v>1480.03570139408</v>
      </c>
      <c r="I2697">
        <v>0.67966213063037795</v>
      </c>
      <c r="J2697">
        <v>0.17117010335750499</v>
      </c>
      <c r="K2697">
        <v>0.62683823529411797</v>
      </c>
      <c r="L2697" t="s">
        <v>38</v>
      </c>
      <c r="M2697" t="s">
        <v>34</v>
      </c>
      <c r="N2697" t="s">
        <v>35</v>
      </c>
      <c r="O2697">
        <v>0.72869363985509705</v>
      </c>
      <c r="P2697" t="s">
        <v>36</v>
      </c>
    </row>
    <row r="2698" spans="1:16">
      <c r="A2698">
        <v>2697</v>
      </c>
      <c r="B2698" t="s">
        <v>2761</v>
      </c>
      <c r="C2698">
        <v>184</v>
      </c>
      <c r="D2698">
        <v>233</v>
      </c>
      <c r="E2698">
        <v>198.32500008587999</v>
      </c>
      <c r="F2698">
        <v>0.79081622754120295</v>
      </c>
      <c r="G2698">
        <v>30891.913325897902</v>
      </c>
      <c r="H2698">
        <v>1008.4822730762</v>
      </c>
      <c r="I2698">
        <v>0.72063570640524299</v>
      </c>
      <c r="J2698">
        <v>0.38169646193307</v>
      </c>
      <c r="K2698">
        <v>0.87808618504435998</v>
      </c>
      <c r="L2698" t="s">
        <v>38</v>
      </c>
      <c r="M2698" t="s">
        <v>34</v>
      </c>
      <c r="N2698" t="s">
        <v>35</v>
      </c>
      <c r="O2698">
        <v>0.79023006787463801</v>
      </c>
      <c r="P2698" t="s">
        <v>36</v>
      </c>
    </row>
    <row r="2699" spans="1:16">
      <c r="A2699">
        <v>2698</v>
      </c>
      <c r="B2699" t="s">
        <v>2762</v>
      </c>
      <c r="C2699">
        <v>228</v>
      </c>
      <c r="D2699">
        <v>245</v>
      </c>
      <c r="E2699">
        <v>201.05480304736</v>
      </c>
      <c r="F2699">
        <v>0.92973672722219602</v>
      </c>
      <c r="G2699">
        <v>31748.176527788299</v>
      </c>
      <c r="H2699">
        <v>1325.3056200077201</v>
      </c>
      <c r="I2699">
        <v>0.64597560289993805</v>
      </c>
      <c r="J2699">
        <v>0.227141542762441</v>
      </c>
      <c r="K2699">
        <v>0.74410665328971903</v>
      </c>
      <c r="L2699" t="s">
        <v>38</v>
      </c>
      <c r="M2699" t="s">
        <v>34</v>
      </c>
      <c r="N2699" t="s">
        <v>35</v>
      </c>
      <c r="O2699">
        <v>0.75796725222564598</v>
      </c>
      <c r="P2699" t="s">
        <v>36</v>
      </c>
    </row>
    <row r="2700" spans="1:16">
      <c r="A2700">
        <v>2699</v>
      </c>
      <c r="B2700" t="s">
        <v>2763</v>
      </c>
      <c r="C2700">
        <v>292</v>
      </c>
      <c r="D2700">
        <v>247</v>
      </c>
      <c r="E2700">
        <v>205.64419818497001</v>
      </c>
      <c r="F2700">
        <v>1.1834735231818301</v>
      </c>
      <c r="G2700">
        <v>33214.124099432898</v>
      </c>
      <c r="H2700">
        <v>1951.82574044279</v>
      </c>
      <c r="I2700">
        <v>0.53870307349841096</v>
      </c>
      <c r="J2700">
        <v>0.10955963728333799</v>
      </c>
      <c r="K2700">
        <v>0.62428099307462603</v>
      </c>
      <c r="L2700" t="s">
        <v>38</v>
      </c>
      <c r="M2700" t="s">
        <v>34</v>
      </c>
      <c r="N2700" t="s">
        <v>35</v>
      </c>
      <c r="O2700">
        <v>0.66827708518991402</v>
      </c>
      <c r="P2700" t="s">
        <v>36</v>
      </c>
    </row>
    <row r="2701" spans="1:16">
      <c r="A2701">
        <v>2700</v>
      </c>
      <c r="B2701" t="s">
        <v>2764</v>
      </c>
      <c r="C2701">
        <v>210</v>
      </c>
      <c r="D2701">
        <v>440</v>
      </c>
      <c r="E2701">
        <v>207.06603214664801</v>
      </c>
      <c r="F2701">
        <v>0.47806130142548398</v>
      </c>
      <c r="G2701">
        <v>33675</v>
      </c>
      <c r="H2701">
        <v>2076.5180182457002</v>
      </c>
      <c r="I2701">
        <v>0.88142963796212204</v>
      </c>
      <c r="J2701">
        <v>9.8140001576470501E-2</v>
      </c>
      <c r="K2701">
        <v>0.53262158956109096</v>
      </c>
      <c r="L2701" t="s">
        <v>38</v>
      </c>
      <c r="M2701" t="s">
        <v>34</v>
      </c>
      <c r="N2701" t="s">
        <v>35</v>
      </c>
      <c r="O2701">
        <v>0.76335418512651498</v>
      </c>
      <c r="P2701" t="s">
        <v>36</v>
      </c>
    </row>
    <row r="2702" spans="1:16">
      <c r="A2702">
        <v>2701</v>
      </c>
      <c r="B2702" t="s">
        <v>2765</v>
      </c>
      <c r="C2702">
        <v>236</v>
      </c>
      <c r="D2702">
        <v>214</v>
      </c>
      <c r="E2702">
        <v>208.127210580259</v>
      </c>
      <c r="F2702">
        <v>1.1025240686248701</v>
      </c>
      <c r="G2702">
        <v>34021.0418086957</v>
      </c>
      <c r="H2702">
        <v>1220.3139021492</v>
      </c>
      <c r="I2702">
        <v>0.63310749553560997</v>
      </c>
      <c r="J2702">
        <v>0.28708754724220498</v>
      </c>
      <c r="K2702">
        <v>0.84294258020799595</v>
      </c>
      <c r="L2702" t="s">
        <v>38</v>
      </c>
      <c r="M2702" t="s">
        <v>34</v>
      </c>
      <c r="N2702" t="s">
        <v>35</v>
      </c>
      <c r="O2702">
        <v>0.77620147912193305</v>
      </c>
      <c r="P2702" t="s">
        <v>36</v>
      </c>
    </row>
    <row r="2703" spans="1:16">
      <c r="A2703">
        <v>2702</v>
      </c>
      <c r="B2703" t="s">
        <v>2766</v>
      </c>
      <c r="C2703">
        <v>374</v>
      </c>
      <c r="D2703">
        <v>250</v>
      </c>
      <c r="E2703">
        <v>209.85274063859001</v>
      </c>
      <c r="F2703">
        <v>1.49492303012784</v>
      </c>
      <c r="G2703">
        <v>34587.5</v>
      </c>
      <c r="H2703">
        <v>1905.30481517315</v>
      </c>
      <c r="I2703">
        <v>0.63738776505360795</v>
      </c>
      <c r="J2703">
        <v>0.11972920701482299</v>
      </c>
      <c r="K2703">
        <v>0.534685990338164</v>
      </c>
      <c r="L2703" t="s">
        <v>188</v>
      </c>
      <c r="M2703" t="s">
        <v>34</v>
      </c>
      <c r="N2703" t="s">
        <v>35</v>
      </c>
      <c r="O2703">
        <v>0.74329586350129095</v>
      </c>
      <c r="P2703" t="s">
        <v>36</v>
      </c>
    </row>
    <row r="2704" spans="1:16">
      <c r="A2704">
        <v>2703</v>
      </c>
      <c r="B2704" t="s">
        <v>2767</v>
      </c>
      <c r="C2704">
        <v>279</v>
      </c>
      <c r="D2704">
        <v>210</v>
      </c>
      <c r="E2704">
        <v>213.05971933188599</v>
      </c>
      <c r="F2704">
        <v>1.3298701298701301</v>
      </c>
      <c r="G2704">
        <v>35652.712947448003</v>
      </c>
      <c r="H2704">
        <v>2540.0898535618599</v>
      </c>
      <c r="I2704">
        <v>0.63362179302358101</v>
      </c>
      <c r="J2704">
        <v>6.9439132591778099E-2</v>
      </c>
      <c r="K2704">
        <v>0.68277923260844797</v>
      </c>
      <c r="L2704" t="s">
        <v>74</v>
      </c>
      <c r="M2704" t="s">
        <v>34</v>
      </c>
      <c r="N2704" t="s">
        <v>35</v>
      </c>
      <c r="O2704">
        <v>0.672700601365534</v>
      </c>
      <c r="P2704" t="s">
        <v>36</v>
      </c>
    </row>
    <row r="2705" spans="1:16">
      <c r="A2705">
        <v>2704</v>
      </c>
      <c r="B2705" t="s">
        <v>2768</v>
      </c>
      <c r="C2705">
        <v>405</v>
      </c>
      <c r="D2705">
        <v>245</v>
      </c>
      <c r="E2705">
        <v>217.34117674677901</v>
      </c>
      <c r="F2705">
        <v>1.6495617567285501</v>
      </c>
      <c r="G2705">
        <v>37100</v>
      </c>
      <c r="H2705">
        <v>1752.6702582836199</v>
      </c>
      <c r="I2705">
        <v>0.75272151831010803</v>
      </c>
      <c r="J2705">
        <v>0.15176909330990199</v>
      </c>
      <c r="K2705">
        <v>0.51225405591991702</v>
      </c>
      <c r="L2705" t="s">
        <v>33</v>
      </c>
      <c r="M2705" t="s">
        <v>34</v>
      </c>
      <c r="N2705" t="s">
        <v>35</v>
      </c>
      <c r="O2705">
        <v>0.68478606758912697</v>
      </c>
      <c r="P2705" t="s">
        <v>36</v>
      </c>
    </row>
    <row r="2706" spans="1:16">
      <c r="A2706">
        <v>2705</v>
      </c>
      <c r="B2706" t="s">
        <v>2769</v>
      </c>
      <c r="C2706">
        <v>241</v>
      </c>
      <c r="D2706">
        <v>311</v>
      </c>
      <c r="E2706">
        <v>218.374677670377</v>
      </c>
      <c r="F2706">
        <v>0.77348096467828897</v>
      </c>
      <c r="G2706">
        <v>37453.674797353502</v>
      </c>
      <c r="H2706">
        <v>1800.88077235066</v>
      </c>
      <c r="I2706">
        <v>0.76482891981020695</v>
      </c>
      <c r="J2706">
        <v>0.14512237487721799</v>
      </c>
      <c r="K2706">
        <v>0.62889109064091797</v>
      </c>
      <c r="L2706" t="s">
        <v>33</v>
      </c>
      <c r="M2706" t="s">
        <v>34</v>
      </c>
      <c r="N2706" t="s">
        <v>35</v>
      </c>
      <c r="O2706">
        <v>0.66179449365671505</v>
      </c>
      <c r="P2706" t="s">
        <v>36</v>
      </c>
    </row>
    <row r="2707" spans="1:16">
      <c r="A2707">
        <v>2706</v>
      </c>
      <c r="B2707" t="s">
        <v>2770</v>
      </c>
      <c r="C2707">
        <v>195</v>
      </c>
      <c r="D2707">
        <v>388</v>
      </c>
      <c r="E2707">
        <v>219.70820248632501</v>
      </c>
      <c r="F2707">
        <v>0.50363899565471004</v>
      </c>
      <c r="G2707">
        <v>37912.5</v>
      </c>
      <c r="H2707">
        <v>1817.0205444097501</v>
      </c>
      <c r="I2707">
        <v>0.89114673274193501</v>
      </c>
      <c r="J2707">
        <v>0.14430208687511101</v>
      </c>
      <c r="K2707">
        <v>0.62691194708557296</v>
      </c>
      <c r="L2707" t="s">
        <v>38</v>
      </c>
      <c r="M2707" t="s">
        <v>34</v>
      </c>
      <c r="N2707" t="s">
        <v>35</v>
      </c>
      <c r="O2707">
        <v>0.69676871057268697</v>
      </c>
      <c r="P2707" t="s">
        <v>36</v>
      </c>
    </row>
    <row r="2708" spans="1:16">
      <c r="A2708">
        <v>2707</v>
      </c>
      <c r="B2708" t="s">
        <v>2771</v>
      </c>
      <c r="C2708">
        <v>391</v>
      </c>
      <c r="D2708">
        <v>188</v>
      </c>
      <c r="E2708">
        <v>222.03015321293401</v>
      </c>
      <c r="F2708">
        <v>2.0855834604949699</v>
      </c>
      <c r="G2708">
        <v>38718.078730434798</v>
      </c>
      <c r="H2708">
        <v>1802.2905880998501</v>
      </c>
      <c r="I2708">
        <v>0.69049983770731105</v>
      </c>
      <c r="J2708">
        <v>0.14978696913727299</v>
      </c>
      <c r="K2708">
        <v>0.62281207188812704</v>
      </c>
      <c r="L2708" t="s">
        <v>49</v>
      </c>
      <c r="M2708" t="s">
        <v>34</v>
      </c>
      <c r="N2708" t="s">
        <v>35</v>
      </c>
      <c r="O2708">
        <v>0.69517554639147505</v>
      </c>
      <c r="P2708" t="s">
        <v>36</v>
      </c>
    </row>
    <row r="2709" spans="1:16">
      <c r="A2709">
        <v>2708</v>
      </c>
      <c r="B2709" t="s">
        <v>2772</v>
      </c>
      <c r="C2709">
        <v>231</v>
      </c>
      <c r="D2709">
        <v>367</v>
      </c>
      <c r="E2709">
        <v>222.36188776598101</v>
      </c>
      <c r="F2709">
        <v>0.630771982274694</v>
      </c>
      <c r="G2709">
        <v>38833.8622809074</v>
      </c>
      <c r="H2709">
        <v>2080.3553506692601</v>
      </c>
      <c r="I2709">
        <v>0.65908115597357797</v>
      </c>
      <c r="J2709">
        <v>0.112757490481633</v>
      </c>
      <c r="K2709">
        <v>0.65169360470916904</v>
      </c>
      <c r="L2709" t="s">
        <v>33</v>
      </c>
      <c r="M2709" t="s">
        <v>34</v>
      </c>
      <c r="N2709" t="s">
        <v>35</v>
      </c>
      <c r="O2709">
        <v>0.69430261269981697</v>
      </c>
      <c r="P2709" t="s">
        <v>36</v>
      </c>
    </row>
    <row r="2710" spans="1:16">
      <c r="A2710">
        <v>2709</v>
      </c>
      <c r="B2710" t="s">
        <v>2773</v>
      </c>
      <c r="C2710">
        <v>363</v>
      </c>
      <c r="D2710">
        <v>198</v>
      </c>
      <c r="E2710">
        <v>223.83470706154699</v>
      </c>
      <c r="F2710">
        <v>1.8269894544531</v>
      </c>
      <c r="G2710">
        <v>39350</v>
      </c>
      <c r="H2710">
        <v>1210.5382275581401</v>
      </c>
      <c r="I2710">
        <v>0.73230303037970301</v>
      </c>
      <c r="J2710">
        <v>0.33744079344392103</v>
      </c>
      <c r="K2710">
        <v>0.76686967113276505</v>
      </c>
      <c r="L2710" t="s">
        <v>33</v>
      </c>
      <c r="M2710" t="s">
        <v>34</v>
      </c>
      <c r="N2710" t="s">
        <v>35</v>
      </c>
      <c r="O2710">
        <v>0.69353103887467604</v>
      </c>
      <c r="P2710" t="s">
        <v>36</v>
      </c>
    </row>
    <row r="2711" spans="1:16">
      <c r="A2711">
        <v>2710</v>
      </c>
      <c r="B2711" t="s">
        <v>2774</v>
      </c>
      <c r="C2711">
        <v>211</v>
      </c>
      <c r="D2711">
        <v>357</v>
      </c>
      <c r="E2711">
        <v>227.04688077017201</v>
      </c>
      <c r="F2711">
        <v>0.59160306241001803</v>
      </c>
      <c r="G2711">
        <v>40487.5</v>
      </c>
      <c r="H2711">
        <v>1323.4671598672901</v>
      </c>
      <c r="I2711">
        <v>0.610533918369909</v>
      </c>
      <c r="J2711">
        <v>0.29047214140187</v>
      </c>
      <c r="K2711">
        <v>0.670878210439105</v>
      </c>
      <c r="L2711" t="s">
        <v>38</v>
      </c>
      <c r="M2711" t="s">
        <v>34</v>
      </c>
      <c r="N2711" t="s">
        <v>35</v>
      </c>
      <c r="O2711">
        <v>0.74150003208396298</v>
      </c>
      <c r="P2711" t="s">
        <v>36</v>
      </c>
    </row>
    <row r="2712" spans="1:16">
      <c r="A2712">
        <v>2711</v>
      </c>
      <c r="B2712" t="s">
        <v>2775</v>
      </c>
      <c r="C2712">
        <v>314</v>
      </c>
      <c r="D2712">
        <v>318</v>
      </c>
      <c r="E2712">
        <v>231.04669387973601</v>
      </c>
      <c r="F2712">
        <v>0.98458904109588996</v>
      </c>
      <c r="G2712">
        <v>41926.576168241998</v>
      </c>
      <c r="H2712">
        <v>4877.06053784298</v>
      </c>
      <c r="I2712">
        <v>0.73359133402555599</v>
      </c>
      <c r="J2712">
        <v>2.21504712080519E-2</v>
      </c>
      <c r="K2712">
        <v>0.52069220119981496</v>
      </c>
      <c r="L2712" t="s">
        <v>38</v>
      </c>
      <c r="M2712" t="s">
        <v>34</v>
      </c>
      <c r="N2712" t="s">
        <v>35</v>
      </c>
      <c r="O2712">
        <v>0.69042988695392704</v>
      </c>
      <c r="P2712" t="s">
        <v>36</v>
      </c>
    </row>
    <row r="2713" spans="1:16">
      <c r="A2713">
        <v>2712</v>
      </c>
      <c r="B2713" t="s">
        <v>2776</v>
      </c>
      <c r="C2713">
        <v>230</v>
      </c>
      <c r="D2713">
        <v>259</v>
      </c>
      <c r="E2713">
        <v>238.31503510158899</v>
      </c>
      <c r="F2713">
        <v>0.89053252648516101</v>
      </c>
      <c r="G2713">
        <v>44605.947239319503</v>
      </c>
      <c r="H2713">
        <v>1235.0962165366</v>
      </c>
      <c r="I2713">
        <v>0.67794507605357301</v>
      </c>
      <c r="J2713">
        <v>0.36745236563585898</v>
      </c>
      <c r="K2713">
        <v>0.87673858108996405</v>
      </c>
      <c r="L2713" t="s">
        <v>38</v>
      </c>
      <c r="M2713" t="s">
        <v>34</v>
      </c>
      <c r="N2713" t="s">
        <v>35</v>
      </c>
      <c r="O2713">
        <v>0.75790944700845697</v>
      </c>
      <c r="P2713" t="s">
        <v>36</v>
      </c>
    </row>
    <row r="2714" spans="1:16">
      <c r="A2714">
        <v>2713</v>
      </c>
      <c r="B2714" t="s">
        <v>2777</v>
      </c>
      <c r="C2714">
        <v>283</v>
      </c>
      <c r="D2714">
        <v>321</v>
      </c>
      <c r="E2714">
        <v>238.632853224949</v>
      </c>
      <c r="F2714">
        <v>0.88177346341549201</v>
      </c>
      <c r="G2714">
        <v>44725</v>
      </c>
      <c r="H2714">
        <v>1540.24385213852</v>
      </c>
      <c r="I2714">
        <v>0.70634090637673597</v>
      </c>
      <c r="J2714">
        <v>0.236908828558065</v>
      </c>
      <c r="K2714">
        <v>0.69126738794435905</v>
      </c>
      <c r="L2714" t="s">
        <v>38</v>
      </c>
      <c r="M2714" t="s">
        <v>34</v>
      </c>
      <c r="N2714" t="s">
        <v>35</v>
      </c>
      <c r="O2714">
        <v>0.85174737819491897</v>
      </c>
      <c r="P2714" t="s">
        <v>36</v>
      </c>
    </row>
    <row r="2715" spans="1:16">
      <c r="A2715">
        <v>2714</v>
      </c>
      <c r="B2715" t="s">
        <v>2778</v>
      </c>
      <c r="C2715">
        <v>406</v>
      </c>
      <c r="D2715">
        <v>277</v>
      </c>
      <c r="E2715">
        <v>251.27030450205399</v>
      </c>
      <c r="F2715">
        <v>1.46373639440019</v>
      </c>
      <c r="G2715">
        <v>49587.5</v>
      </c>
      <c r="H2715">
        <v>2126.7261689901402</v>
      </c>
      <c r="I2715">
        <v>0.76233880433885104</v>
      </c>
      <c r="J2715">
        <v>0.13777135426659801</v>
      </c>
      <c r="K2715">
        <v>0.61887675507020301</v>
      </c>
      <c r="L2715" t="s">
        <v>38</v>
      </c>
      <c r="M2715" t="s">
        <v>34</v>
      </c>
      <c r="N2715" t="s">
        <v>35</v>
      </c>
      <c r="O2715">
        <v>0.71918129250060103</v>
      </c>
      <c r="P2715" t="s">
        <v>36</v>
      </c>
    </row>
    <row r="2716" spans="1:16">
      <c r="A2716">
        <v>2715</v>
      </c>
      <c r="B2716" t="s">
        <v>2779</v>
      </c>
      <c r="C2716">
        <v>383</v>
      </c>
      <c r="D2716">
        <v>267</v>
      </c>
      <c r="E2716">
        <v>255.3542249205</v>
      </c>
      <c r="F2716">
        <v>1.43485556595863</v>
      </c>
      <c r="G2716">
        <v>51212.5</v>
      </c>
      <c r="H2716">
        <v>1728.02559673786</v>
      </c>
      <c r="I2716">
        <v>0.85945039083886499</v>
      </c>
      <c r="J2716">
        <v>0.21551896783018901</v>
      </c>
      <c r="K2716">
        <v>0.673959532817898</v>
      </c>
      <c r="L2716" t="s">
        <v>38</v>
      </c>
      <c r="M2716" t="s">
        <v>34</v>
      </c>
      <c r="N2716" t="s">
        <v>35</v>
      </c>
      <c r="O2716">
        <v>0.74182028058428495</v>
      </c>
      <c r="P2716" t="s">
        <v>36</v>
      </c>
    </row>
    <row r="2717" spans="1:16">
      <c r="A2717">
        <v>2716</v>
      </c>
      <c r="B2717" t="s">
        <v>2780</v>
      </c>
      <c r="C2717">
        <v>361</v>
      </c>
      <c r="D2717">
        <v>697</v>
      </c>
      <c r="E2717">
        <v>255.79014270506599</v>
      </c>
      <c r="F2717">
        <v>0.517986725440993</v>
      </c>
      <c r="G2717">
        <v>51387.5</v>
      </c>
      <c r="H2717">
        <v>2812.7059596776999</v>
      </c>
      <c r="I2717">
        <v>0.65888091115958702</v>
      </c>
      <c r="J2717">
        <v>8.1624152874250497E-2</v>
      </c>
      <c r="K2717">
        <v>0.326944488627326</v>
      </c>
      <c r="L2717" t="s">
        <v>38</v>
      </c>
      <c r="M2717" t="s">
        <v>34</v>
      </c>
      <c r="N2717" t="s">
        <v>35</v>
      </c>
      <c r="O2717">
        <v>0.72747534341555697</v>
      </c>
      <c r="P2717" t="s">
        <v>36</v>
      </c>
    </row>
    <row r="2718" spans="1:16">
      <c r="A2718">
        <v>2717</v>
      </c>
      <c r="B2718" t="s">
        <v>2781</v>
      </c>
      <c r="C2718">
        <v>357</v>
      </c>
      <c r="D2718">
        <v>387</v>
      </c>
      <c r="E2718">
        <v>259.588526143026</v>
      </c>
      <c r="F2718">
        <v>0.92239071263601202</v>
      </c>
      <c r="G2718">
        <v>52925</v>
      </c>
      <c r="H2718">
        <v>2505.92926740646</v>
      </c>
      <c r="I2718">
        <v>0.737857185813101</v>
      </c>
      <c r="J2718">
        <v>0.10590906011402799</v>
      </c>
      <c r="K2718">
        <v>0.52239358420727899</v>
      </c>
      <c r="L2718" t="s">
        <v>38</v>
      </c>
      <c r="M2718" t="s">
        <v>34</v>
      </c>
      <c r="N2718" t="s">
        <v>35</v>
      </c>
      <c r="O2718">
        <v>0.68676411579057395</v>
      </c>
      <c r="P2718" t="s">
        <v>36</v>
      </c>
    </row>
    <row r="2719" spans="1:16">
      <c r="A2719">
        <v>2718</v>
      </c>
      <c r="B2719" t="s">
        <v>2782</v>
      </c>
      <c r="C2719">
        <v>599</v>
      </c>
      <c r="D2719">
        <v>190</v>
      </c>
      <c r="E2719">
        <v>272.45158369526899</v>
      </c>
      <c r="F2719">
        <v>3.1502800639079802</v>
      </c>
      <c r="G2719">
        <v>58300</v>
      </c>
      <c r="H2719">
        <v>2229.65510129929</v>
      </c>
      <c r="I2719">
        <v>0.73961398231422903</v>
      </c>
      <c r="J2719">
        <v>0.147367949842409</v>
      </c>
      <c r="K2719">
        <v>0.59075364154528198</v>
      </c>
      <c r="L2719" t="s">
        <v>38</v>
      </c>
      <c r="M2719" t="s">
        <v>34</v>
      </c>
      <c r="N2719" t="s">
        <v>35</v>
      </c>
      <c r="O2719">
        <v>0.759098402312538</v>
      </c>
      <c r="P2719" t="s">
        <v>36</v>
      </c>
    </row>
    <row r="2720" spans="1:16">
      <c r="A2720">
        <v>2719</v>
      </c>
      <c r="B2720" t="s">
        <v>2783</v>
      </c>
      <c r="C2720">
        <v>454</v>
      </c>
      <c r="D2720">
        <v>216</v>
      </c>
      <c r="E2720">
        <v>273.50104799285702</v>
      </c>
      <c r="F2720">
        <v>2.10510271083584</v>
      </c>
      <c r="G2720">
        <v>58750</v>
      </c>
      <c r="H2720">
        <v>1757.5230705738099</v>
      </c>
      <c r="I2720">
        <v>0.57474042961441996</v>
      </c>
      <c r="J2720">
        <v>0.239009776489084</v>
      </c>
      <c r="K2720">
        <v>0.73610023492560706</v>
      </c>
      <c r="L2720" t="s">
        <v>38</v>
      </c>
      <c r="M2720" t="s">
        <v>34</v>
      </c>
      <c r="N2720" t="s">
        <v>35</v>
      </c>
      <c r="O2720">
        <v>0.81559211044570001</v>
      </c>
      <c r="P2720" t="s">
        <v>36</v>
      </c>
    </row>
    <row r="2721" spans="1:16">
      <c r="A2721">
        <v>2720</v>
      </c>
      <c r="B2721" t="s">
        <v>2784</v>
      </c>
      <c r="C2721">
        <v>387</v>
      </c>
      <c r="D2721">
        <v>362</v>
      </c>
      <c r="E2721">
        <v>274.05331168417803</v>
      </c>
      <c r="F2721">
        <v>1.06902088199219</v>
      </c>
      <c r="G2721">
        <v>58987.5</v>
      </c>
      <c r="H2721">
        <v>2767.1424704790102</v>
      </c>
      <c r="I2721">
        <v>0.57826627724042701</v>
      </c>
      <c r="J2721">
        <v>9.6807011718002295E-2</v>
      </c>
      <c r="K2721">
        <v>0.53900628212449997</v>
      </c>
      <c r="L2721" t="s">
        <v>38</v>
      </c>
      <c r="M2721" t="s">
        <v>34</v>
      </c>
      <c r="N2721" t="s">
        <v>35</v>
      </c>
      <c r="O2721">
        <v>0.82609499991760005</v>
      </c>
      <c r="P2721" t="s">
        <v>36</v>
      </c>
    </row>
    <row r="2722" spans="1:16">
      <c r="A2722">
        <v>2721</v>
      </c>
      <c r="B2722" t="s">
        <v>2785</v>
      </c>
      <c r="C2722">
        <v>249</v>
      </c>
      <c r="D2722">
        <v>481</v>
      </c>
      <c r="E2722">
        <v>275.93427618757801</v>
      </c>
      <c r="F2722">
        <v>0.51735303379185604</v>
      </c>
      <c r="G2722">
        <v>59800</v>
      </c>
      <c r="H2722">
        <v>2497.64499664307</v>
      </c>
      <c r="I2722">
        <v>0.83150270061602705</v>
      </c>
      <c r="J2722">
        <v>0.12046187764534</v>
      </c>
      <c r="K2722">
        <v>0.63431450543622403</v>
      </c>
      <c r="L2722" t="s">
        <v>38</v>
      </c>
      <c r="M2722" t="s">
        <v>34</v>
      </c>
      <c r="N2722" t="s">
        <v>35</v>
      </c>
      <c r="O2722">
        <v>0.71741993725176401</v>
      </c>
      <c r="P2722" t="s">
        <v>36</v>
      </c>
    </row>
    <row r="2723" spans="1:16">
      <c r="A2723">
        <v>2722</v>
      </c>
      <c r="B2723" t="s">
        <v>2786</v>
      </c>
      <c r="C2723">
        <v>399</v>
      </c>
      <c r="D2723">
        <v>293</v>
      </c>
      <c r="E2723">
        <v>277.42986587467601</v>
      </c>
      <c r="F2723">
        <v>1.36455331243117</v>
      </c>
      <c r="G2723">
        <v>60450</v>
      </c>
      <c r="H2723">
        <v>2268.6500489711798</v>
      </c>
      <c r="I2723">
        <v>0.51941914725249605</v>
      </c>
      <c r="J2723">
        <v>0.14759483214841199</v>
      </c>
      <c r="K2723">
        <v>0.67930889169827202</v>
      </c>
      <c r="L2723" t="s">
        <v>144</v>
      </c>
      <c r="M2723" t="s">
        <v>34</v>
      </c>
      <c r="N2723" t="s">
        <v>35</v>
      </c>
      <c r="O2723">
        <v>0.73815243464907099</v>
      </c>
      <c r="P2723" t="s">
        <v>36</v>
      </c>
    </row>
    <row r="2724" spans="1:16">
      <c r="A2724">
        <v>2723</v>
      </c>
      <c r="B2724" t="s">
        <v>2787</v>
      </c>
      <c r="C2724">
        <v>289</v>
      </c>
      <c r="D2724">
        <v>559</v>
      </c>
      <c r="E2724">
        <v>280.680773888217</v>
      </c>
      <c r="F2724">
        <v>0.51643190006921302</v>
      </c>
      <c r="G2724">
        <v>61875</v>
      </c>
      <c r="H2724">
        <v>2213.7972366809799</v>
      </c>
      <c r="I2724">
        <v>0.85656760296899004</v>
      </c>
      <c r="J2724">
        <v>0.158653403767614</v>
      </c>
      <c r="K2724">
        <v>0.53542455381287202</v>
      </c>
      <c r="L2724" t="s">
        <v>38</v>
      </c>
      <c r="M2724" t="s">
        <v>34</v>
      </c>
      <c r="N2724" t="s">
        <v>35</v>
      </c>
      <c r="O2724">
        <v>0.78879566499977105</v>
      </c>
      <c r="P2724" t="s">
        <v>36</v>
      </c>
    </row>
    <row r="2725" spans="1:16">
      <c r="A2725">
        <v>2724</v>
      </c>
      <c r="B2725" t="s">
        <v>2788</v>
      </c>
      <c r="C2725">
        <v>245</v>
      </c>
      <c r="D2725">
        <v>617</v>
      </c>
      <c r="E2725">
        <v>290.76297180076898</v>
      </c>
      <c r="F2725">
        <v>0.396859596132001</v>
      </c>
      <c r="G2725">
        <v>66400</v>
      </c>
      <c r="H2725">
        <v>2510.3657782077798</v>
      </c>
      <c r="I2725">
        <v>0.88592179151564299</v>
      </c>
      <c r="J2725">
        <v>0.13240486157321599</v>
      </c>
      <c r="K2725">
        <v>0.56916318439944302</v>
      </c>
      <c r="L2725" t="s">
        <v>49</v>
      </c>
      <c r="M2725" t="s">
        <v>34</v>
      </c>
      <c r="N2725" t="s">
        <v>35</v>
      </c>
      <c r="O2725">
        <v>0.68760924934118495</v>
      </c>
      <c r="P2725" t="s">
        <v>36</v>
      </c>
    </row>
    <row r="2726" spans="1:16">
      <c r="A2726">
        <v>2725</v>
      </c>
      <c r="B2726" t="s">
        <v>2789</v>
      </c>
      <c r="C2726">
        <v>535</v>
      </c>
      <c r="D2726">
        <v>260</v>
      </c>
      <c r="E2726">
        <v>291.66473403998998</v>
      </c>
      <c r="F2726">
        <v>2.0547617492430601</v>
      </c>
      <c r="G2726">
        <v>66812.5</v>
      </c>
      <c r="H2726">
        <v>2042.16773211956</v>
      </c>
      <c r="I2726">
        <v>0.85596047669560804</v>
      </c>
      <c r="J2726">
        <v>0.201319001236793</v>
      </c>
      <c r="K2726">
        <v>0.64945321992709604</v>
      </c>
      <c r="L2726" t="s">
        <v>38</v>
      </c>
      <c r="M2726" t="s">
        <v>34</v>
      </c>
      <c r="N2726" t="s">
        <v>35</v>
      </c>
      <c r="O2726">
        <v>0.77119665748672706</v>
      </c>
      <c r="P2726" t="s">
        <v>36</v>
      </c>
    </row>
    <row r="2727" spans="1:16">
      <c r="A2727">
        <v>2726</v>
      </c>
      <c r="B2727" t="s">
        <v>2790</v>
      </c>
      <c r="C2727">
        <v>319</v>
      </c>
      <c r="D2727">
        <v>421</v>
      </c>
      <c r="E2727">
        <v>291.69201664928602</v>
      </c>
      <c r="F2727">
        <v>0.75804364817626901</v>
      </c>
      <c r="G2727">
        <v>66825</v>
      </c>
      <c r="H2727">
        <v>1874.0916121006001</v>
      </c>
      <c r="I2727">
        <v>0.63205719713260999</v>
      </c>
      <c r="J2727">
        <v>0.239093185165723</v>
      </c>
      <c r="K2727">
        <v>0.682235834609495</v>
      </c>
      <c r="L2727" t="s">
        <v>38</v>
      </c>
      <c r="M2727" t="s">
        <v>34</v>
      </c>
      <c r="N2727" t="s">
        <v>35</v>
      </c>
      <c r="O2727">
        <v>0.71901980842929702</v>
      </c>
      <c r="P2727" t="s">
        <v>36</v>
      </c>
    </row>
    <row r="2728" spans="1:16">
      <c r="A2728">
        <v>2727</v>
      </c>
      <c r="B2728" t="s">
        <v>2791</v>
      </c>
      <c r="C2728">
        <v>342</v>
      </c>
      <c r="D2728">
        <v>301</v>
      </c>
      <c r="E2728">
        <v>291.82839143659999</v>
      </c>
      <c r="F2728">
        <v>1.1344371276746901</v>
      </c>
      <c r="G2728">
        <v>66887.5</v>
      </c>
      <c r="H2728">
        <v>1494.88851368427</v>
      </c>
      <c r="I2728">
        <v>0.77704406377083102</v>
      </c>
      <c r="J2728">
        <v>0.37612934543689303</v>
      </c>
      <c r="K2728">
        <v>0.83897773596738801</v>
      </c>
      <c r="L2728" t="s">
        <v>38</v>
      </c>
      <c r="M2728" t="s">
        <v>34</v>
      </c>
      <c r="N2728" t="s">
        <v>35</v>
      </c>
      <c r="O2728">
        <v>0.77858769347601398</v>
      </c>
      <c r="P2728" t="s">
        <v>36</v>
      </c>
    </row>
    <row r="2729" spans="1:16">
      <c r="A2729">
        <v>2728</v>
      </c>
      <c r="B2729" t="s">
        <v>2792</v>
      </c>
      <c r="C2729">
        <v>569</v>
      </c>
      <c r="D2729">
        <v>278</v>
      </c>
      <c r="E2729">
        <v>292.12819187109301</v>
      </c>
      <c r="F2729">
        <v>2.0460704835819499</v>
      </c>
      <c r="G2729">
        <v>67025</v>
      </c>
      <c r="H2729">
        <v>2153.0865597724901</v>
      </c>
      <c r="I2729">
        <v>0.70735304739154803</v>
      </c>
      <c r="J2729">
        <v>0.18168693842360001</v>
      </c>
      <c r="K2729">
        <v>0.63238589456303795</v>
      </c>
      <c r="L2729" t="s">
        <v>33</v>
      </c>
      <c r="M2729" t="s">
        <v>34</v>
      </c>
      <c r="N2729" t="s">
        <v>35</v>
      </c>
      <c r="O2729">
        <v>0.70609932998177904</v>
      </c>
      <c r="P2729" t="s">
        <v>36</v>
      </c>
    </row>
    <row r="2730" spans="1:16">
      <c r="A2730">
        <v>2729</v>
      </c>
      <c r="B2730" t="s">
        <v>2793</v>
      </c>
      <c r="C2730">
        <v>268</v>
      </c>
      <c r="D2730">
        <v>436</v>
      </c>
      <c r="E2730">
        <v>296.53516833298602</v>
      </c>
      <c r="F2730">
        <v>0.61448242325304003</v>
      </c>
      <c r="G2730">
        <v>69062.5</v>
      </c>
      <c r="H2730">
        <v>1614.88851368427</v>
      </c>
      <c r="I2730">
        <v>0.88577317571747205</v>
      </c>
      <c r="J2730">
        <v>0.33278754842095598</v>
      </c>
      <c r="K2730">
        <v>0.78491262963489095</v>
      </c>
      <c r="L2730" t="s">
        <v>38</v>
      </c>
      <c r="M2730" t="s">
        <v>34</v>
      </c>
      <c r="N2730" t="s">
        <v>35</v>
      </c>
      <c r="O2730">
        <v>0.69457455663832901</v>
      </c>
      <c r="P2730" t="s">
        <v>36</v>
      </c>
    </row>
    <row r="2731" spans="1:16">
      <c r="A2731">
        <v>2730</v>
      </c>
      <c r="B2731" t="s">
        <v>2794</v>
      </c>
      <c r="C2731">
        <v>510</v>
      </c>
      <c r="D2731">
        <v>254</v>
      </c>
      <c r="E2731">
        <v>296.85702280724701</v>
      </c>
      <c r="F2731">
        <v>2.01211260979295</v>
      </c>
      <c r="G2731">
        <v>69212.5</v>
      </c>
      <c r="H2731">
        <v>1857.7312213182399</v>
      </c>
      <c r="I2731">
        <v>0.57949639239100903</v>
      </c>
      <c r="J2731">
        <v>0.25201630547804299</v>
      </c>
      <c r="K2731">
        <v>0.72559297601886996</v>
      </c>
      <c r="L2731" t="s">
        <v>38</v>
      </c>
      <c r="M2731" t="s">
        <v>34</v>
      </c>
      <c r="N2731" t="s">
        <v>35</v>
      </c>
      <c r="O2731">
        <v>0.78683699005178798</v>
      </c>
      <c r="P2731" t="s">
        <v>36</v>
      </c>
    </row>
    <row r="2732" spans="1:16">
      <c r="A2732">
        <v>2731</v>
      </c>
      <c r="B2732" t="s">
        <v>2795</v>
      </c>
      <c r="C2732">
        <v>304</v>
      </c>
      <c r="D2732">
        <v>671</v>
      </c>
      <c r="E2732">
        <v>302.90728728850002</v>
      </c>
      <c r="F2732">
        <v>0.45266841149929599</v>
      </c>
      <c r="G2732">
        <v>72062.5</v>
      </c>
      <c r="H2732">
        <v>2771.9952827692</v>
      </c>
      <c r="I2732">
        <v>0.81489682644067196</v>
      </c>
      <c r="J2732">
        <v>0.117851255869257</v>
      </c>
      <c r="K2732">
        <v>0.50402168211225695</v>
      </c>
      <c r="L2732" t="s">
        <v>38</v>
      </c>
      <c r="M2732" t="s">
        <v>34</v>
      </c>
      <c r="N2732" t="s">
        <v>35</v>
      </c>
      <c r="O2732">
        <v>0.815491326441947</v>
      </c>
      <c r="P2732" t="s">
        <v>36</v>
      </c>
    </row>
    <row r="2733" spans="1:16">
      <c r="A2733">
        <v>2732</v>
      </c>
      <c r="B2733" t="s">
        <v>2796</v>
      </c>
      <c r="C2733">
        <v>349</v>
      </c>
      <c r="D2733">
        <v>373</v>
      </c>
      <c r="E2733">
        <v>303.37980089327499</v>
      </c>
      <c r="F2733">
        <v>0.93647248418434803</v>
      </c>
      <c r="G2733">
        <v>72287.5</v>
      </c>
      <c r="H2733">
        <v>2041.16267979145</v>
      </c>
      <c r="I2733">
        <v>0.80259199718752605</v>
      </c>
      <c r="J2733">
        <v>0.21803079129823699</v>
      </c>
      <c r="K2733">
        <v>0.699782187802517</v>
      </c>
      <c r="L2733" t="s">
        <v>38</v>
      </c>
      <c r="M2733" t="s">
        <v>34</v>
      </c>
      <c r="N2733" t="s">
        <v>35</v>
      </c>
      <c r="O2733">
        <v>0.77737497530854605</v>
      </c>
      <c r="P2733" t="s">
        <v>36</v>
      </c>
    </row>
    <row r="2734" spans="1:16">
      <c r="A2734">
        <v>2733</v>
      </c>
      <c r="B2734" t="s">
        <v>2797</v>
      </c>
      <c r="C2734">
        <v>255</v>
      </c>
      <c r="D2734">
        <v>555</v>
      </c>
      <c r="E2734">
        <v>311.66049119030703</v>
      </c>
      <c r="F2734">
        <v>0.460340054326912</v>
      </c>
      <c r="G2734">
        <v>76287.5</v>
      </c>
      <c r="H2734">
        <v>2226.7261689901402</v>
      </c>
      <c r="I2734">
        <v>0.85334004228970695</v>
      </c>
      <c r="J2734">
        <v>0.19334351989422199</v>
      </c>
      <c r="K2734">
        <v>0.70767625231910902</v>
      </c>
      <c r="L2734" t="s">
        <v>38</v>
      </c>
      <c r="M2734" t="s">
        <v>34</v>
      </c>
      <c r="N2734" t="s">
        <v>35</v>
      </c>
      <c r="O2734">
        <v>0.76072165323990504</v>
      </c>
      <c r="P2734" t="s">
        <v>36</v>
      </c>
    </row>
    <row r="2735" spans="1:16">
      <c r="A2735">
        <v>2734</v>
      </c>
      <c r="B2735" t="s">
        <v>2798</v>
      </c>
      <c r="C2735">
        <v>425</v>
      </c>
      <c r="D2735">
        <v>376</v>
      </c>
      <c r="E2735">
        <v>313.89938717396802</v>
      </c>
      <c r="F2735">
        <v>1.1324082996238101</v>
      </c>
      <c r="G2735">
        <v>77387.5</v>
      </c>
      <c r="H2735">
        <v>2240.1576274633398</v>
      </c>
      <c r="I2735">
        <v>0.74104797594399696</v>
      </c>
      <c r="J2735">
        <v>0.193786502449113</v>
      </c>
      <c r="K2735">
        <v>0.62377833753148604</v>
      </c>
      <c r="L2735" t="s">
        <v>74</v>
      </c>
      <c r="M2735" t="s">
        <v>34</v>
      </c>
      <c r="N2735" t="s">
        <v>35</v>
      </c>
      <c r="O2735">
        <v>0.66937658465712702</v>
      </c>
      <c r="P2735" t="s">
        <v>36</v>
      </c>
    </row>
    <row r="2736" spans="1:16">
      <c r="A2736">
        <v>2735</v>
      </c>
      <c r="B2736" t="s">
        <v>2799</v>
      </c>
      <c r="C2736">
        <v>478</v>
      </c>
      <c r="D2736">
        <v>269</v>
      </c>
      <c r="E2736">
        <v>314.96234065230499</v>
      </c>
      <c r="F2736">
        <v>1.7788638689721701</v>
      </c>
      <c r="G2736">
        <v>77912.5</v>
      </c>
      <c r="H2736">
        <v>1654.5941382646599</v>
      </c>
      <c r="I2736">
        <v>0.534780224379094</v>
      </c>
      <c r="J2736">
        <v>0.35763008102161098</v>
      </c>
      <c r="K2736">
        <v>0.809270319397559</v>
      </c>
      <c r="L2736" t="s">
        <v>38</v>
      </c>
      <c r="M2736" t="s">
        <v>34</v>
      </c>
      <c r="N2736" t="s">
        <v>35</v>
      </c>
      <c r="O2736">
        <v>0.85457293286762803</v>
      </c>
      <c r="P2736" t="s">
        <v>36</v>
      </c>
    </row>
    <row r="2737" spans="1:16">
      <c r="A2737">
        <v>2736</v>
      </c>
      <c r="B2737" t="s">
        <v>2800</v>
      </c>
      <c r="C2737">
        <v>305</v>
      </c>
      <c r="D2737">
        <v>669</v>
      </c>
      <c r="E2737">
        <v>315.61856548881502</v>
      </c>
      <c r="F2737">
        <v>0.45550801474594699</v>
      </c>
      <c r="G2737">
        <v>78237.5</v>
      </c>
      <c r="H2737">
        <v>2944.4216889142999</v>
      </c>
      <c r="I2737">
        <v>0.89522553254664095</v>
      </c>
      <c r="J2737">
        <v>0.113403070149332</v>
      </c>
      <c r="K2737">
        <v>0.54378801042571701</v>
      </c>
      <c r="L2737" t="s">
        <v>38</v>
      </c>
      <c r="M2737" t="s">
        <v>34</v>
      </c>
      <c r="N2737" t="s">
        <v>35</v>
      </c>
      <c r="O2737">
        <v>0.83310565469345799</v>
      </c>
      <c r="P2737" t="s">
        <v>36</v>
      </c>
    </row>
    <row r="2738" spans="1:16">
      <c r="A2738">
        <v>2737</v>
      </c>
      <c r="B2738" t="s">
        <v>2801</v>
      </c>
      <c r="C2738">
        <v>630</v>
      </c>
      <c r="D2738">
        <v>291</v>
      </c>
      <c r="E2738">
        <v>317.05245947136399</v>
      </c>
      <c r="F2738">
        <v>2.1660759546129098</v>
      </c>
      <c r="G2738">
        <v>78950</v>
      </c>
      <c r="H2738">
        <v>2724.2135381698599</v>
      </c>
      <c r="I2738">
        <v>0.584827990677104</v>
      </c>
      <c r="J2738">
        <v>0.13368408400735901</v>
      </c>
      <c r="K2738">
        <v>0.58901426839503901</v>
      </c>
      <c r="L2738" t="s">
        <v>38</v>
      </c>
      <c r="M2738" t="s">
        <v>34</v>
      </c>
      <c r="N2738" t="s">
        <v>35</v>
      </c>
      <c r="O2738">
        <v>0.71979204481464598</v>
      </c>
      <c r="P2738" t="s">
        <v>36</v>
      </c>
    </row>
    <row r="2739" spans="1:16">
      <c r="A2739">
        <v>2738</v>
      </c>
      <c r="B2739" t="s">
        <v>2802</v>
      </c>
      <c r="C2739">
        <v>375</v>
      </c>
      <c r="D2739">
        <v>360</v>
      </c>
      <c r="E2739">
        <v>317.25318912709901</v>
      </c>
      <c r="F2739">
        <v>1.04168208042273</v>
      </c>
      <c r="G2739">
        <v>79050</v>
      </c>
      <c r="H2739">
        <v>1894.8022890090899</v>
      </c>
      <c r="I2739">
        <v>0.61191283320006196</v>
      </c>
      <c r="J2739">
        <v>0.27668393072749498</v>
      </c>
      <c r="K2739">
        <v>0.76478413351070296</v>
      </c>
      <c r="L2739" t="s">
        <v>43</v>
      </c>
      <c r="M2739" t="s">
        <v>34</v>
      </c>
      <c r="N2739" t="s">
        <v>35</v>
      </c>
      <c r="O2739">
        <v>0.630830082312828</v>
      </c>
      <c r="P2739" t="s">
        <v>36</v>
      </c>
    </row>
    <row r="2740" spans="1:16">
      <c r="A2740">
        <v>2739</v>
      </c>
      <c r="B2740" t="s">
        <v>2803</v>
      </c>
      <c r="C2740">
        <v>651</v>
      </c>
      <c r="D2740">
        <v>353</v>
      </c>
      <c r="E2740">
        <v>320.099909969625</v>
      </c>
      <c r="F2740">
        <v>1.8431758496899799</v>
      </c>
      <c r="G2740">
        <v>80475</v>
      </c>
      <c r="H2740">
        <v>2704.9242150783498</v>
      </c>
      <c r="I2740">
        <v>0.54620032610186697</v>
      </c>
      <c r="J2740">
        <v>0.13821674010491899</v>
      </c>
      <c r="K2740">
        <v>0.53224206349206304</v>
      </c>
      <c r="L2740" t="s">
        <v>38</v>
      </c>
      <c r="M2740" t="s">
        <v>34</v>
      </c>
      <c r="N2740" t="s">
        <v>35</v>
      </c>
      <c r="O2740">
        <v>0.694651190262361</v>
      </c>
      <c r="P2740" t="s">
        <v>36</v>
      </c>
    </row>
    <row r="2741" spans="1:16">
      <c r="A2741">
        <v>2740</v>
      </c>
      <c r="B2741" t="s">
        <v>2804</v>
      </c>
      <c r="C2741">
        <v>364</v>
      </c>
      <c r="D2741">
        <v>415</v>
      </c>
      <c r="E2741">
        <v>320.39809346229299</v>
      </c>
      <c r="F2741">
        <v>0.876994406794393</v>
      </c>
      <c r="G2741">
        <v>80625</v>
      </c>
      <c r="H2741">
        <v>2084.8022890090901</v>
      </c>
      <c r="I2741">
        <v>0.79599063730390296</v>
      </c>
      <c r="J2741">
        <v>0.233104061887976</v>
      </c>
      <c r="K2741">
        <v>0.74991280083711198</v>
      </c>
      <c r="L2741" t="s">
        <v>38</v>
      </c>
      <c r="M2741" t="s">
        <v>34</v>
      </c>
      <c r="N2741" t="s">
        <v>35</v>
      </c>
      <c r="O2741">
        <v>0.80536008185298202</v>
      </c>
      <c r="P2741" t="s">
        <v>36</v>
      </c>
    </row>
    <row r="2742" spans="1:16">
      <c r="A2742">
        <v>2741</v>
      </c>
      <c r="B2742" t="s">
        <v>2805</v>
      </c>
      <c r="C2742">
        <v>316</v>
      </c>
      <c r="D2742">
        <v>583</v>
      </c>
      <c r="E2742">
        <v>323.95488802423699</v>
      </c>
      <c r="F2742">
        <v>0.54266892465654504</v>
      </c>
      <c r="G2742">
        <v>82425</v>
      </c>
      <c r="H2742">
        <v>2356.2236428260799</v>
      </c>
      <c r="I2742">
        <v>0.76952872533846906</v>
      </c>
      <c r="J2742">
        <v>0.18656741788476799</v>
      </c>
      <c r="K2742">
        <v>0.64231443600233795</v>
      </c>
      <c r="L2742" t="s">
        <v>38</v>
      </c>
      <c r="M2742" t="s">
        <v>34</v>
      </c>
      <c r="N2742" t="s">
        <v>35</v>
      </c>
      <c r="O2742">
        <v>0.72816463338942405</v>
      </c>
      <c r="P2742" t="s">
        <v>36</v>
      </c>
    </row>
    <row r="2743" spans="1:16">
      <c r="A2743">
        <v>2742</v>
      </c>
      <c r="B2743" t="s">
        <v>2806</v>
      </c>
      <c r="C2743">
        <v>476</v>
      </c>
      <c r="D2743">
        <v>356</v>
      </c>
      <c r="E2743">
        <v>324.76450050305499</v>
      </c>
      <c r="F2743">
        <v>1.33760337167778</v>
      </c>
      <c r="G2743">
        <v>82837.5</v>
      </c>
      <c r="H2743">
        <v>2461.57898128033</v>
      </c>
      <c r="I2743">
        <v>0.80106680396772401</v>
      </c>
      <c r="J2743">
        <v>0.171794516598784</v>
      </c>
      <c r="K2743">
        <v>0.65309943825761296</v>
      </c>
      <c r="L2743" t="s">
        <v>38</v>
      </c>
      <c r="M2743" t="s">
        <v>34</v>
      </c>
      <c r="N2743" t="s">
        <v>35</v>
      </c>
      <c r="O2743">
        <v>0.66221812683722903</v>
      </c>
      <c r="P2743" t="s">
        <v>36</v>
      </c>
    </row>
    <row r="2744" spans="1:16">
      <c r="A2744">
        <v>2743</v>
      </c>
      <c r="B2744" t="s">
        <v>2807</v>
      </c>
      <c r="C2744">
        <v>282</v>
      </c>
      <c r="D2744">
        <v>485</v>
      </c>
      <c r="E2744">
        <v>327.30290587642901</v>
      </c>
      <c r="F2744">
        <v>0.58147264631543805</v>
      </c>
      <c r="G2744">
        <v>84137.5</v>
      </c>
      <c r="H2744">
        <v>1997.0205444097501</v>
      </c>
      <c r="I2744">
        <v>0.82806760036498395</v>
      </c>
      <c r="J2744">
        <v>0.26511506207826402</v>
      </c>
      <c r="K2744">
        <v>0.80169128156264902</v>
      </c>
      <c r="L2744" t="s">
        <v>38</v>
      </c>
      <c r="M2744" t="s">
        <v>34</v>
      </c>
      <c r="N2744" t="s">
        <v>35</v>
      </c>
      <c r="O2744">
        <v>0.78140204586879702</v>
      </c>
      <c r="P2744" t="s">
        <v>36</v>
      </c>
    </row>
    <row r="2745" spans="1:16">
      <c r="A2745">
        <v>2744</v>
      </c>
      <c r="B2745" t="s">
        <v>2808</v>
      </c>
      <c r="C2745">
        <v>592</v>
      </c>
      <c r="D2745">
        <v>244</v>
      </c>
      <c r="E2745">
        <v>331.86626918021</v>
      </c>
      <c r="F2745">
        <v>2.4252427141988999</v>
      </c>
      <c r="G2745">
        <v>86500</v>
      </c>
      <c r="H2745">
        <v>2278.6500489711798</v>
      </c>
      <c r="I2745">
        <v>0.66849870519232402</v>
      </c>
      <c r="J2745">
        <v>0.209348911546135</v>
      </c>
      <c r="K2745">
        <v>0.72384937238493696</v>
      </c>
      <c r="L2745" t="s">
        <v>38</v>
      </c>
      <c r="M2745" t="s">
        <v>34</v>
      </c>
      <c r="N2745" t="s">
        <v>35</v>
      </c>
      <c r="O2745">
        <v>0.75883002241652897</v>
      </c>
      <c r="P2745" t="s">
        <v>36</v>
      </c>
    </row>
    <row r="2746" spans="1:16">
      <c r="A2746">
        <v>2745</v>
      </c>
      <c r="B2746" t="s">
        <v>2809</v>
      </c>
      <c r="C2746">
        <v>438</v>
      </c>
      <c r="D2746">
        <v>414</v>
      </c>
      <c r="E2746">
        <v>340.66961194478398</v>
      </c>
      <c r="F2746">
        <v>1.05945937073331</v>
      </c>
      <c r="G2746">
        <v>91150</v>
      </c>
      <c r="H2746">
        <v>2365.51296591759</v>
      </c>
      <c r="I2746">
        <v>0.802609713828352</v>
      </c>
      <c r="J2746">
        <v>0.20469907081991001</v>
      </c>
      <c r="K2746">
        <v>0.65107142857142897</v>
      </c>
      <c r="L2746" t="s">
        <v>38</v>
      </c>
      <c r="M2746" t="s">
        <v>34</v>
      </c>
      <c r="N2746" t="s">
        <v>35</v>
      </c>
      <c r="O2746">
        <v>0.76840995126507805</v>
      </c>
      <c r="P2746" t="s">
        <v>36</v>
      </c>
    </row>
    <row r="2747" spans="1:16">
      <c r="A2747">
        <v>2746</v>
      </c>
      <c r="B2747" t="s">
        <v>2810</v>
      </c>
      <c r="C2747">
        <v>364</v>
      </c>
      <c r="D2747">
        <v>416</v>
      </c>
      <c r="E2747">
        <v>343.15993704640601</v>
      </c>
      <c r="F2747">
        <v>0.87483697871591504</v>
      </c>
      <c r="G2747">
        <v>92487.5</v>
      </c>
      <c r="H2747">
        <v>2309.86325204372</v>
      </c>
      <c r="I2747">
        <v>0.81028806101035</v>
      </c>
      <c r="J2747">
        <v>0.21783134098669399</v>
      </c>
      <c r="K2747">
        <v>0.72023751581816398</v>
      </c>
      <c r="L2747" t="s">
        <v>38</v>
      </c>
      <c r="M2747" t="s">
        <v>34</v>
      </c>
      <c r="N2747" t="s">
        <v>35</v>
      </c>
      <c r="O2747">
        <v>0.80118087231359103</v>
      </c>
      <c r="P2747" t="s">
        <v>36</v>
      </c>
    </row>
    <row r="2748" spans="1:16">
      <c r="A2748">
        <v>2747</v>
      </c>
      <c r="B2748" t="s">
        <v>2811</v>
      </c>
      <c r="C2748">
        <v>430</v>
      </c>
      <c r="D2748">
        <v>415</v>
      </c>
      <c r="E2748">
        <v>344.98705257461398</v>
      </c>
      <c r="F2748">
        <v>1.0361445783132499</v>
      </c>
      <c r="G2748">
        <v>93475</v>
      </c>
      <c r="H2748">
        <v>2482.7921843528702</v>
      </c>
      <c r="I2748">
        <v>0.68203321398804495</v>
      </c>
      <c r="J2748">
        <v>0.19055686473328901</v>
      </c>
      <c r="K2748">
        <v>0.65395714910362901</v>
      </c>
      <c r="L2748" t="s">
        <v>38</v>
      </c>
      <c r="M2748" t="s">
        <v>34</v>
      </c>
      <c r="N2748" t="s">
        <v>35</v>
      </c>
      <c r="O2748">
        <v>0.77710214240711495</v>
      </c>
      <c r="P2748" t="s">
        <v>36</v>
      </c>
    </row>
    <row r="2749" spans="1:16">
      <c r="A2749">
        <v>2748</v>
      </c>
      <c r="B2749" t="s">
        <v>2812</v>
      </c>
      <c r="C2749">
        <v>303</v>
      </c>
      <c r="D2749">
        <v>703</v>
      </c>
      <c r="E2749">
        <v>357.24830141708298</v>
      </c>
      <c r="F2749">
        <v>0.43103444161417598</v>
      </c>
      <c r="G2749">
        <v>100237.5</v>
      </c>
      <c r="H2749">
        <v>3384.12731349468</v>
      </c>
      <c r="I2749">
        <v>0.87488885331840305</v>
      </c>
      <c r="J2749">
        <v>0.109988354350582</v>
      </c>
      <c r="K2749">
        <v>0.59364820846905497</v>
      </c>
      <c r="L2749" t="s">
        <v>38</v>
      </c>
      <c r="M2749" t="s">
        <v>34</v>
      </c>
      <c r="N2749" t="s">
        <v>35</v>
      </c>
      <c r="O2749">
        <v>0.70582606045056195</v>
      </c>
      <c r="P2749" t="s">
        <v>36</v>
      </c>
    </row>
    <row r="2750" spans="1:16">
      <c r="A2750">
        <v>2749</v>
      </c>
      <c r="B2750" t="s">
        <v>2813</v>
      </c>
      <c r="C2750">
        <v>473</v>
      </c>
      <c r="D2750">
        <v>550</v>
      </c>
      <c r="E2750">
        <v>372.89901284314101</v>
      </c>
      <c r="F2750">
        <v>0.86010663598930703</v>
      </c>
      <c r="G2750">
        <v>109212.5</v>
      </c>
      <c r="H2750">
        <v>3191.7009073495901</v>
      </c>
      <c r="I2750">
        <v>0.78065286443499604</v>
      </c>
      <c r="J2750">
        <v>0.13472178816588901</v>
      </c>
      <c r="K2750">
        <v>0.60472037652270205</v>
      </c>
      <c r="L2750" t="s">
        <v>38</v>
      </c>
      <c r="M2750" t="s">
        <v>34</v>
      </c>
      <c r="N2750" t="s">
        <v>35</v>
      </c>
      <c r="O2750">
        <v>0.74078322938261099</v>
      </c>
      <c r="P2750" t="s">
        <v>36</v>
      </c>
    </row>
    <row r="2751" spans="1:16">
      <c r="A2751">
        <v>2750</v>
      </c>
      <c r="B2751" t="s">
        <v>2814</v>
      </c>
      <c r="C2751">
        <v>561</v>
      </c>
      <c r="D2751">
        <v>408</v>
      </c>
      <c r="E2751">
        <v>380.984655989987</v>
      </c>
      <c r="F2751">
        <v>1.3764803811266999</v>
      </c>
      <c r="G2751">
        <v>114000</v>
      </c>
      <c r="H2751">
        <v>2844.9242150783498</v>
      </c>
      <c r="I2751">
        <v>0.795238150602813</v>
      </c>
      <c r="J2751">
        <v>0.177000018445268</v>
      </c>
      <c r="K2751">
        <v>0.69269330092662895</v>
      </c>
      <c r="L2751" t="s">
        <v>38</v>
      </c>
      <c r="M2751" t="s">
        <v>34</v>
      </c>
      <c r="N2751" t="s">
        <v>35</v>
      </c>
      <c r="O2751">
        <v>0.72586809115758899</v>
      </c>
      <c r="P2751" t="s">
        <v>36</v>
      </c>
    </row>
    <row r="2752" spans="1:16">
      <c r="A2752">
        <v>2751</v>
      </c>
      <c r="B2752" t="s">
        <v>2815</v>
      </c>
      <c r="C2752">
        <v>411</v>
      </c>
      <c r="D2752">
        <v>868</v>
      </c>
      <c r="E2752">
        <v>384.85008775017599</v>
      </c>
      <c r="F2752">
        <v>0.47358733927507501</v>
      </c>
      <c r="G2752">
        <v>116325</v>
      </c>
      <c r="H2752">
        <v>4339.6045780181903</v>
      </c>
      <c r="I2752">
        <v>0.84254735253174895</v>
      </c>
      <c r="J2752">
        <v>7.7621603098360803E-2</v>
      </c>
      <c r="K2752">
        <v>0.441691584792824</v>
      </c>
      <c r="L2752" t="s">
        <v>288</v>
      </c>
      <c r="M2752" t="s">
        <v>34</v>
      </c>
      <c r="N2752" t="s">
        <v>35</v>
      </c>
      <c r="O2752">
        <v>0.62880592515552602</v>
      </c>
      <c r="P2752" t="s">
        <v>36</v>
      </c>
    </row>
    <row r="2753" spans="1:16">
      <c r="A2753">
        <v>2752</v>
      </c>
      <c r="B2753" t="s">
        <v>2816</v>
      </c>
      <c r="C2753">
        <v>386</v>
      </c>
      <c r="D2753">
        <v>586</v>
      </c>
      <c r="E2753">
        <v>387.59044207054399</v>
      </c>
      <c r="F2753">
        <v>0.65732014789969795</v>
      </c>
      <c r="G2753">
        <v>117987.5</v>
      </c>
      <c r="H2753">
        <v>2899.9851781129801</v>
      </c>
      <c r="I2753">
        <v>0.76294720367519298</v>
      </c>
      <c r="J2753">
        <v>0.17630080961533001</v>
      </c>
      <c r="K2753">
        <v>0.64655113363928995</v>
      </c>
      <c r="L2753" t="s">
        <v>38</v>
      </c>
      <c r="M2753" t="s">
        <v>34</v>
      </c>
      <c r="N2753" t="s">
        <v>35</v>
      </c>
      <c r="O2753">
        <v>0.76280937238713797</v>
      </c>
      <c r="P2753" t="s">
        <v>36</v>
      </c>
    </row>
    <row r="2754" spans="1:16">
      <c r="A2754">
        <v>2753</v>
      </c>
      <c r="B2754" t="s">
        <v>2817</v>
      </c>
      <c r="C2754">
        <v>539</v>
      </c>
      <c r="D2754">
        <v>347</v>
      </c>
      <c r="E2754">
        <v>389.10679429087298</v>
      </c>
      <c r="F2754">
        <v>1.5545187393086299</v>
      </c>
      <c r="G2754">
        <v>118912.5</v>
      </c>
      <c r="H2754">
        <v>2369.86325204372</v>
      </c>
      <c r="I2754">
        <v>0.65647971497643798</v>
      </c>
      <c r="J2754">
        <v>0.26606686986447797</v>
      </c>
      <c r="K2754">
        <v>0.79024754942681497</v>
      </c>
      <c r="L2754" t="s">
        <v>33</v>
      </c>
      <c r="M2754" t="s">
        <v>34</v>
      </c>
      <c r="N2754" t="s">
        <v>35</v>
      </c>
      <c r="O2754">
        <v>0.67198371151714897</v>
      </c>
      <c r="P2754" t="s">
        <v>36</v>
      </c>
    </row>
    <row r="2755" spans="1:16">
      <c r="A2755">
        <v>2754</v>
      </c>
      <c r="B2755" t="s">
        <v>2818</v>
      </c>
      <c r="C2755">
        <v>772</v>
      </c>
      <c r="D2755">
        <v>358</v>
      </c>
      <c r="E2755">
        <v>396.09966283751203</v>
      </c>
      <c r="F2755">
        <v>2.1581620050907802</v>
      </c>
      <c r="G2755">
        <v>123225</v>
      </c>
      <c r="H2755">
        <v>3794.0410888195001</v>
      </c>
      <c r="I2755">
        <v>0.56330787277840699</v>
      </c>
      <c r="J2755">
        <v>0.107573334540336</v>
      </c>
      <c r="K2755">
        <v>0.52679955111419896</v>
      </c>
      <c r="L2755" t="s">
        <v>38</v>
      </c>
      <c r="M2755" t="s">
        <v>34</v>
      </c>
      <c r="N2755" t="s">
        <v>35</v>
      </c>
      <c r="O2755">
        <v>0.70180320413264397</v>
      </c>
      <c r="P2755" t="s">
        <v>36</v>
      </c>
    </row>
    <row r="2756" spans="1:16">
      <c r="A2756">
        <v>2755</v>
      </c>
      <c r="B2756" t="s">
        <v>2819</v>
      </c>
      <c r="C2756">
        <v>488</v>
      </c>
      <c r="D2756">
        <v>618</v>
      </c>
      <c r="E2756">
        <v>404.764250420905</v>
      </c>
      <c r="F2756">
        <v>0.79005028435313296</v>
      </c>
      <c r="G2756">
        <v>128675</v>
      </c>
      <c r="H2756">
        <v>3636.4674949646001</v>
      </c>
      <c r="I2756">
        <v>0.68262960565211195</v>
      </c>
      <c r="J2756">
        <v>0.122276956664699</v>
      </c>
      <c r="K2756">
        <v>0.570874001774623</v>
      </c>
      <c r="L2756" t="s">
        <v>38</v>
      </c>
      <c r="M2756" t="s">
        <v>34</v>
      </c>
      <c r="N2756" t="s">
        <v>35</v>
      </c>
      <c r="O2756">
        <v>0.79258970122994599</v>
      </c>
      <c r="P2756" t="s">
        <v>36</v>
      </c>
    </row>
    <row r="2757" spans="1:16">
      <c r="A2757">
        <v>2756</v>
      </c>
      <c r="B2757" t="s">
        <v>2820</v>
      </c>
      <c r="C2757">
        <v>357</v>
      </c>
      <c r="D2757">
        <v>601</v>
      </c>
      <c r="E2757">
        <v>406.882012141345</v>
      </c>
      <c r="F2757">
        <v>0.59431445386180404</v>
      </c>
      <c r="G2757">
        <v>130025</v>
      </c>
      <c r="H2757">
        <v>2477.64499664307</v>
      </c>
      <c r="I2757">
        <v>0.79973649659889701</v>
      </c>
      <c r="J2757">
        <v>0.266169670600998</v>
      </c>
      <c r="K2757">
        <v>0.78624338624338597</v>
      </c>
      <c r="L2757" t="s">
        <v>38</v>
      </c>
      <c r="M2757" t="s">
        <v>34</v>
      </c>
      <c r="N2757" t="s">
        <v>35</v>
      </c>
      <c r="O2757">
        <v>0.77234403529089002</v>
      </c>
      <c r="P2757" t="s">
        <v>36</v>
      </c>
    </row>
    <row r="2758" spans="1:16">
      <c r="A2758">
        <v>2757</v>
      </c>
      <c r="B2758" t="s">
        <v>2821</v>
      </c>
      <c r="C2758">
        <v>393</v>
      </c>
      <c r="D2758">
        <v>640</v>
      </c>
      <c r="E2758">
        <v>408.910972232765</v>
      </c>
      <c r="F2758">
        <v>0.61425964856752002</v>
      </c>
      <c r="G2758">
        <v>131325</v>
      </c>
      <c r="H2758">
        <v>3016.6399443149598</v>
      </c>
      <c r="I2758">
        <v>0.71934230944375699</v>
      </c>
      <c r="J2758">
        <v>0.18134697629463201</v>
      </c>
      <c r="K2758">
        <v>0.69268807278960898</v>
      </c>
      <c r="L2758" t="s">
        <v>38</v>
      </c>
      <c r="M2758" t="s">
        <v>34</v>
      </c>
      <c r="N2758" t="s">
        <v>35</v>
      </c>
      <c r="O2758">
        <v>0.81446717535680202</v>
      </c>
      <c r="P2758" t="s">
        <v>36</v>
      </c>
    </row>
    <row r="2759" spans="1:16">
      <c r="A2759">
        <v>2758</v>
      </c>
      <c r="B2759" t="s">
        <v>2822</v>
      </c>
      <c r="C2759">
        <v>374</v>
      </c>
      <c r="D2759">
        <v>778</v>
      </c>
      <c r="E2759">
        <v>416.03004772784902</v>
      </c>
      <c r="F2759">
        <v>0.47993590418950399</v>
      </c>
      <c r="G2759">
        <v>135937.5</v>
      </c>
      <c r="H2759">
        <v>3002.41158425808</v>
      </c>
      <c r="I2759">
        <v>0.86076414457231398</v>
      </c>
      <c r="J2759">
        <v>0.189499770591811</v>
      </c>
      <c r="K2759">
        <v>0.62478455704929303</v>
      </c>
      <c r="L2759" t="s">
        <v>38</v>
      </c>
      <c r="M2759" t="s">
        <v>34</v>
      </c>
      <c r="N2759" t="s">
        <v>35</v>
      </c>
      <c r="O2759">
        <v>0.72892864094364795</v>
      </c>
      <c r="P2759" t="s">
        <v>36</v>
      </c>
    </row>
    <row r="2760" spans="1:16">
      <c r="A2760">
        <v>2759</v>
      </c>
      <c r="B2760" t="s">
        <v>2823</v>
      </c>
      <c r="C2760">
        <v>355</v>
      </c>
      <c r="D2760">
        <v>825</v>
      </c>
      <c r="E2760">
        <v>421.72935504324698</v>
      </c>
      <c r="F2760">
        <v>0.42960424336368902</v>
      </c>
      <c r="G2760">
        <v>139687.5</v>
      </c>
      <c r="H2760">
        <v>4057.6806980371498</v>
      </c>
      <c r="I2760">
        <v>0.77736564026537602</v>
      </c>
      <c r="J2760">
        <v>0.10661336981712501</v>
      </c>
      <c r="K2760">
        <v>0.64379536812996896</v>
      </c>
      <c r="L2760" t="s">
        <v>74</v>
      </c>
      <c r="M2760" t="s">
        <v>34</v>
      </c>
      <c r="N2760" t="s">
        <v>35</v>
      </c>
      <c r="O2760">
        <v>0.71286701699403299</v>
      </c>
      <c r="P2760" t="s">
        <v>36</v>
      </c>
    </row>
    <row r="2761" spans="1:16">
      <c r="A2761">
        <v>2760</v>
      </c>
      <c r="B2761" t="s">
        <v>2824</v>
      </c>
      <c r="C2761">
        <v>395</v>
      </c>
      <c r="D2761">
        <v>626</v>
      </c>
      <c r="E2761">
        <v>427.073254586742</v>
      </c>
      <c r="F2761">
        <v>0.63104045298381295</v>
      </c>
      <c r="G2761">
        <v>143250</v>
      </c>
      <c r="H2761">
        <v>3328.7719750404399</v>
      </c>
      <c r="I2761">
        <v>0.83890298483839099</v>
      </c>
      <c r="J2761">
        <v>0.162456241614923</v>
      </c>
      <c r="K2761">
        <v>0.72554605887939205</v>
      </c>
      <c r="L2761" t="s">
        <v>33</v>
      </c>
      <c r="M2761" t="s">
        <v>34</v>
      </c>
      <c r="N2761" t="s">
        <v>35</v>
      </c>
      <c r="O2761">
        <v>0.71250143180760594</v>
      </c>
      <c r="P2761" t="s">
        <v>36</v>
      </c>
    </row>
    <row r="2762" spans="1:16">
      <c r="A2762">
        <v>2761</v>
      </c>
      <c r="B2762" t="s">
        <v>2825</v>
      </c>
      <c r="C2762">
        <v>677</v>
      </c>
      <c r="D2762">
        <v>484</v>
      </c>
      <c r="E2762">
        <v>432.57192071740099</v>
      </c>
      <c r="F2762">
        <v>1.3987072417136299</v>
      </c>
      <c r="G2762">
        <v>146962.5</v>
      </c>
      <c r="H2762">
        <v>3436.55371963978</v>
      </c>
      <c r="I2762">
        <v>0.45438570187919303</v>
      </c>
      <c r="J2762">
        <v>0.15637600757478701</v>
      </c>
      <c r="K2762">
        <v>0.64221336100945003</v>
      </c>
      <c r="L2762" t="s">
        <v>38</v>
      </c>
      <c r="M2762" t="s">
        <v>34</v>
      </c>
      <c r="N2762" t="s">
        <v>35</v>
      </c>
      <c r="O2762">
        <v>0.745580021478081</v>
      </c>
      <c r="P2762" t="s">
        <v>36</v>
      </c>
    </row>
    <row r="2763" spans="1:16">
      <c r="A2763">
        <v>2762</v>
      </c>
      <c r="B2763" t="s">
        <v>2826</v>
      </c>
      <c r="C2763">
        <v>826</v>
      </c>
      <c r="D2763">
        <v>634</v>
      </c>
      <c r="E2763">
        <v>442.82593124559003</v>
      </c>
      <c r="F2763">
        <v>1.3017980897032999</v>
      </c>
      <c r="G2763">
        <v>154012.5</v>
      </c>
      <c r="H2763">
        <v>5636.2088209390604</v>
      </c>
      <c r="I2763">
        <v>0.67305939657709302</v>
      </c>
      <c r="J2763">
        <v>6.0924459364630298E-2</v>
      </c>
      <c r="K2763">
        <v>0.38883453782308203</v>
      </c>
      <c r="L2763" t="s">
        <v>38</v>
      </c>
      <c r="M2763" t="s">
        <v>34</v>
      </c>
      <c r="N2763" t="s">
        <v>35</v>
      </c>
      <c r="O2763">
        <v>0.825442621026233</v>
      </c>
      <c r="P2763" t="s">
        <v>36</v>
      </c>
    </row>
    <row r="2764" spans="1:16">
      <c r="A2764">
        <v>2763</v>
      </c>
      <c r="B2764" t="s">
        <v>2827</v>
      </c>
      <c r="C2764">
        <v>690</v>
      </c>
      <c r="D2764">
        <v>421</v>
      </c>
      <c r="E2764">
        <v>443.20314841392701</v>
      </c>
      <c r="F2764">
        <v>1.64047143193253</v>
      </c>
      <c r="G2764">
        <v>154275</v>
      </c>
      <c r="H2764">
        <v>3368.47759962082</v>
      </c>
      <c r="I2764">
        <v>0.73820417635326596</v>
      </c>
      <c r="J2764">
        <v>0.17085909112519501</v>
      </c>
      <c r="K2764">
        <v>0.68578096349391604</v>
      </c>
      <c r="L2764" t="s">
        <v>38</v>
      </c>
      <c r="M2764" t="s">
        <v>34</v>
      </c>
      <c r="N2764" t="s">
        <v>35</v>
      </c>
      <c r="O2764">
        <v>0.68571864035141294</v>
      </c>
      <c r="P2764" t="s">
        <v>36</v>
      </c>
    </row>
    <row r="2765" spans="1:16">
      <c r="A2765">
        <v>2764</v>
      </c>
      <c r="B2765" t="s">
        <v>2828</v>
      </c>
      <c r="C2765">
        <v>673</v>
      </c>
      <c r="D2765">
        <v>520</v>
      </c>
      <c r="E2765">
        <v>444.76249703512201</v>
      </c>
      <c r="F2765">
        <v>1.29431356595008</v>
      </c>
      <c r="G2765">
        <v>155362.5</v>
      </c>
      <c r="H2765">
        <v>4870.2290302515003</v>
      </c>
      <c r="I2765">
        <v>0.77854265272851297</v>
      </c>
      <c r="J2765">
        <v>8.2310889486245403E-2</v>
      </c>
      <c r="K2765">
        <v>0.59832474847157402</v>
      </c>
      <c r="L2765" t="s">
        <v>38</v>
      </c>
      <c r="M2765" t="s">
        <v>34</v>
      </c>
      <c r="N2765" t="s">
        <v>35</v>
      </c>
      <c r="O2765">
        <v>0.81607309951017404</v>
      </c>
      <c r="P2765" t="s">
        <v>36</v>
      </c>
    </row>
    <row r="2766" spans="1:16">
      <c r="A2766">
        <v>2765</v>
      </c>
      <c r="B2766" t="s">
        <v>2829</v>
      </c>
      <c r="C2766">
        <v>422</v>
      </c>
      <c r="D2766">
        <v>743</v>
      </c>
      <c r="E2766">
        <v>453.497538541663</v>
      </c>
      <c r="F2766">
        <v>0.567636034552499</v>
      </c>
      <c r="G2766">
        <v>161525</v>
      </c>
      <c r="H2766">
        <v>3092.20343351364</v>
      </c>
      <c r="I2766">
        <v>0.86015626294416903</v>
      </c>
      <c r="J2766">
        <v>0.21228215981660101</v>
      </c>
      <c r="K2766">
        <v>0.75127906976744196</v>
      </c>
      <c r="L2766" t="s">
        <v>47</v>
      </c>
      <c r="M2766" t="s">
        <v>34</v>
      </c>
      <c r="N2766" t="s">
        <v>35</v>
      </c>
      <c r="O2766">
        <v>0.72502191017524997</v>
      </c>
      <c r="P2766" t="s">
        <v>36</v>
      </c>
    </row>
    <row r="2767" spans="1:16">
      <c r="A2767">
        <v>2766</v>
      </c>
      <c r="B2767" t="s">
        <v>2830</v>
      </c>
      <c r="C2767">
        <v>657</v>
      </c>
      <c r="D2767">
        <v>476</v>
      </c>
      <c r="E2767">
        <v>463.95803746867898</v>
      </c>
      <c r="F2767">
        <v>1.38028154349139</v>
      </c>
      <c r="G2767">
        <v>169062.5</v>
      </c>
      <c r="H2767">
        <v>4119.10205185413</v>
      </c>
      <c r="I2767">
        <v>0.65264553000625602</v>
      </c>
      <c r="J2767">
        <v>0.12521375714181601</v>
      </c>
      <c r="K2767">
        <v>0.66796720663769305</v>
      </c>
      <c r="L2767" t="s">
        <v>38</v>
      </c>
      <c r="M2767" t="s">
        <v>34</v>
      </c>
      <c r="N2767" t="s">
        <v>35</v>
      </c>
      <c r="O2767">
        <v>0.80433756316471805</v>
      </c>
      <c r="P2767" t="s">
        <v>36</v>
      </c>
    </row>
    <row r="2768" spans="1:16">
      <c r="A2768">
        <v>2767</v>
      </c>
      <c r="B2768" t="s">
        <v>2831</v>
      </c>
      <c r="C2768">
        <v>442</v>
      </c>
      <c r="D2768">
        <v>704</v>
      </c>
      <c r="E2768">
        <v>468.24336578684699</v>
      </c>
      <c r="F2768">
        <v>0.62861315560568798</v>
      </c>
      <c r="G2768">
        <v>172200</v>
      </c>
      <c r="H2768">
        <v>3706.7618703842199</v>
      </c>
      <c r="I2768">
        <v>0.68561781572594205</v>
      </c>
      <c r="J2768">
        <v>0.15749023721399699</v>
      </c>
      <c r="K2768">
        <v>0.72246696035242297</v>
      </c>
      <c r="L2768" t="s">
        <v>38</v>
      </c>
      <c r="M2768" t="s">
        <v>34</v>
      </c>
      <c r="N2768" t="s">
        <v>35</v>
      </c>
      <c r="O2768">
        <v>0.70216644893822699</v>
      </c>
      <c r="P2768" t="s">
        <v>36</v>
      </c>
    </row>
    <row r="2769" spans="1:16">
      <c r="A2769">
        <v>2768</v>
      </c>
      <c r="B2769" t="s">
        <v>2832</v>
      </c>
      <c r="C2769">
        <v>857</v>
      </c>
      <c r="D2769">
        <v>392</v>
      </c>
      <c r="E2769">
        <v>469.24499333251998</v>
      </c>
      <c r="F2769">
        <v>2.18576710758536</v>
      </c>
      <c r="G2769">
        <v>172937.5</v>
      </c>
      <c r="H2769">
        <v>3756.2593442201601</v>
      </c>
      <c r="I2769">
        <v>0.55603660853868297</v>
      </c>
      <c r="J2769">
        <v>0.154023823827587</v>
      </c>
      <c r="K2769">
        <v>0.62325434723849005</v>
      </c>
      <c r="L2769" t="s">
        <v>38</v>
      </c>
      <c r="M2769" t="s">
        <v>34</v>
      </c>
      <c r="N2769" t="s">
        <v>35</v>
      </c>
      <c r="O2769">
        <v>0.79824011901581005</v>
      </c>
      <c r="P2769" t="s">
        <v>36</v>
      </c>
    </row>
    <row r="2770" spans="1:16">
      <c r="A2770">
        <v>2769</v>
      </c>
      <c r="B2770" t="s">
        <v>2833</v>
      </c>
      <c r="C2770">
        <v>545</v>
      </c>
      <c r="D2770">
        <v>612</v>
      </c>
      <c r="E2770">
        <v>476.38118492939401</v>
      </c>
      <c r="F2770">
        <v>0.89109389012378304</v>
      </c>
      <c r="G2770">
        <v>178237.5</v>
      </c>
      <c r="H2770">
        <v>3432.41158425808</v>
      </c>
      <c r="I2770">
        <v>0.70655950807842305</v>
      </c>
      <c r="J2770">
        <v>0.19011230523789199</v>
      </c>
      <c r="K2770">
        <v>0.69107740028110298</v>
      </c>
      <c r="L2770" t="s">
        <v>74</v>
      </c>
      <c r="M2770" t="s">
        <v>34</v>
      </c>
      <c r="N2770" t="s">
        <v>35</v>
      </c>
      <c r="O2770">
        <v>0.68101935661861202</v>
      </c>
      <c r="P2770" t="s">
        <v>36</v>
      </c>
    </row>
    <row r="2771" spans="1:16">
      <c r="A2771">
        <v>2770</v>
      </c>
      <c r="B2771" t="s">
        <v>2834</v>
      </c>
      <c r="C2771">
        <v>978</v>
      </c>
      <c r="D2771">
        <v>449</v>
      </c>
      <c r="E2771">
        <v>483.13211395908399</v>
      </c>
      <c r="F2771">
        <v>2.1792658569119698</v>
      </c>
      <c r="G2771">
        <v>183325</v>
      </c>
      <c r="H2771">
        <v>5170.1428055763199</v>
      </c>
      <c r="I2771">
        <v>0.65519570757589296</v>
      </c>
      <c r="J2771">
        <v>8.61839668314789E-2</v>
      </c>
      <c r="K2771">
        <v>0.53342547464901402</v>
      </c>
      <c r="L2771" t="s">
        <v>38</v>
      </c>
      <c r="M2771" t="s">
        <v>34</v>
      </c>
      <c r="N2771" t="s">
        <v>35</v>
      </c>
      <c r="O2771">
        <v>0.68073819274253999</v>
      </c>
      <c r="P2771" t="s">
        <v>36</v>
      </c>
    </row>
    <row r="2772" spans="1:16">
      <c r="A2772">
        <v>2771</v>
      </c>
      <c r="B2772" t="s">
        <v>2835</v>
      </c>
      <c r="C2772">
        <v>570</v>
      </c>
      <c r="D2772">
        <v>700</v>
      </c>
      <c r="E2772">
        <v>486.38247029656901</v>
      </c>
      <c r="F2772">
        <v>0.81428571428571395</v>
      </c>
      <c r="G2772">
        <v>185800</v>
      </c>
      <c r="H2772">
        <v>5489.1377532482102</v>
      </c>
      <c r="I2772">
        <v>0.67029774477741999</v>
      </c>
      <c r="J2772">
        <v>7.7490294973396101E-2</v>
      </c>
      <c r="K2772">
        <v>0.56008138965296395</v>
      </c>
      <c r="L2772" t="s">
        <v>298</v>
      </c>
      <c r="M2772" t="s">
        <v>34</v>
      </c>
      <c r="N2772" t="s">
        <v>35</v>
      </c>
      <c r="O2772">
        <v>0.66354090027509405</v>
      </c>
      <c r="P2772" t="s">
        <v>36</v>
      </c>
    </row>
    <row r="2773" spans="1:16">
      <c r="A2773">
        <v>2772</v>
      </c>
      <c r="B2773" t="s">
        <v>2836</v>
      </c>
      <c r="C2773">
        <v>542</v>
      </c>
      <c r="D2773">
        <v>744</v>
      </c>
      <c r="E2773">
        <v>486.67688080425501</v>
      </c>
      <c r="F2773">
        <v>0.72883377619586198</v>
      </c>
      <c r="G2773">
        <v>186025</v>
      </c>
      <c r="H2773">
        <v>4037.1781718730899</v>
      </c>
      <c r="I2773">
        <v>0.87113544461459602</v>
      </c>
      <c r="J2773">
        <v>0.14342516042478201</v>
      </c>
      <c r="K2773">
        <v>0.62434972310790404</v>
      </c>
      <c r="L2773" t="s">
        <v>38</v>
      </c>
      <c r="M2773" t="s">
        <v>34</v>
      </c>
      <c r="N2773" t="s">
        <v>35</v>
      </c>
      <c r="O2773">
        <v>0.77233674025135302</v>
      </c>
      <c r="P2773" t="s">
        <v>36</v>
      </c>
    </row>
    <row r="2774" spans="1:16">
      <c r="A2774">
        <v>2773</v>
      </c>
      <c r="B2774" t="s">
        <v>2837</v>
      </c>
      <c r="C2774">
        <v>421</v>
      </c>
      <c r="D2774">
        <v>839</v>
      </c>
      <c r="E2774">
        <v>487.78749463509598</v>
      </c>
      <c r="F2774">
        <v>0.50137657365578503</v>
      </c>
      <c r="G2774">
        <v>186875</v>
      </c>
      <c r="H2774">
        <v>4736.5894210338602</v>
      </c>
      <c r="I2774">
        <v>0.85121976403289501</v>
      </c>
      <c r="J2774">
        <v>0.10467177486889601</v>
      </c>
      <c r="K2774">
        <v>0.66565742018789797</v>
      </c>
      <c r="L2774" t="s">
        <v>38</v>
      </c>
      <c r="M2774" t="s">
        <v>34</v>
      </c>
      <c r="N2774" t="s">
        <v>35</v>
      </c>
      <c r="O2774">
        <v>0.78845373753606796</v>
      </c>
      <c r="P2774" t="s">
        <v>36</v>
      </c>
    </row>
    <row r="2775" spans="1:16">
      <c r="A2775">
        <v>2774</v>
      </c>
      <c r="B2775" t="s">
        <v>2838</v>
      </c>
      <c r="C2775">
        <v>1116</v>
      </c>
      <c r="D2775">
        <v>441</v>
      </c>
      <c r="E2775">
        <v>492.447344179173</v>
      </c>
      <c r="F2775">
        <v>2.5329948614368401</v>
      </c>
      <c r="G2775">
        <v>190462.5</v>
      </c>
      <c r="H2775">
        <v>5001.65038406849</v>
      </c>
      <c r="I2775">
        <v>0.77396374042193306</v>
      </c>
      <c r="J2775">
        <v>9.5673724745338695E-2</v>
      </c>
      <c r="K2775">
        <v>0.54811324148350704</v>
      </c>
      <c r="L2775" t="s">
        <v>38</v>
      </c>
      <c r="M2775" t="s">
        <v>34</v>
      </c>
      <c r="N2775" t="s">
        <v>35</v>
      </c>
      <c r="O2775">
        <v>0.70452180595578295</v>
      </c>
      <c r="P2775" t="s">
        <v>36</v>
      </c>
    </row>
    <row r="2776" spans="1:16">
      <c r="A2776">
        <v>2775</v>
      </c>
      <c r="B2776" t="s">
        <v>2839</v>
      </c>
      <c r="C2776">
        <v>880</v>
      </c>
      <c r="D2776">
        <v>511</v>
      </c>
      <c r="E2776">
        <v>495.57238894545299</v>
      </c>
      <c r="F2776">
        <v>1.7229451137724801</v>
      </c>
      <c r="G2776">
        <v>192887.5</v>
      </c>
      <c r="H2776">
        <v>6361.1835592985199</v>
      </c>
      <c r="I2776">
        <v>0.77936075675386196</v>
      </c>
      <c r="J2776">
        <v>5.9901554467654501E-2</v>
      </c>
      <c r="K2776">
        <v>0.56045472705480703</v>
      </c>
      <c r="L2776" t="s">
        <v>33</v>
      </c>
      <c r="M2776" t="s">
        <v>34</v>
      </c>
      <c r="N2776" t="s">
        <v>35</v>
      </c>
      <c r="O2776">
        <v>0.73999305365328505</v>
      </c>
      <c r="P2776" t="s">
        <v>36</v>
      </c>
    </row>
    <row r="2777" spans="1:16">
      <c r="A2777">
        <v>2776</v>
      </c>
      <c r="B2777" t="s">
        <v>2840</v>
      </c>
      <c r="C2777">
        <v>976</v>
      </c>
      <c r="D2777">
        <v>609</v>
      </c>
      <c r="E2777">
        <v>496.16616770447399</v>
      </c>
      <c r="F2777">
        <v>1.60267034688016</v>
      </c>
      <c r="G2777">
        <v>193350</v>
      </c>
      <c r="H2777">
        <v>4814.8736917972601</v>
      </c>
      <c r="I2777">
        <v>0.60873849495503696</v>
      </c>
      <c r="J2777">
        <v>0.10480554069085</v>
      </c>
      <c r="K2777">
        <v>0.46645155453695603</v>
      </c>
      <c r="L2777" t="s">
        <v>298</v>
      </c>
      <c r="M2777" t="s">
        <v>34</v>
      </c>
      <c r="N2777" t="s">
        <v>35</v>
      </c>
      <c r="O2777">
        <v>0.690366514539</v>
      </c>
      <c r="P2777" t="s">
        <v>36</v>
      </c>
    </row>
  </sheetData>
  <sortState xmlns:xlrd2="http://schemas.microsoft.com/office/spreadsheetml/2017/richdata2" ref="A2:P642">
    <sortCondition ref="E2:E642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D8C8E-2C18-40B4-BEF2-C248237C7D45}">
  <dimension ref="A1:AW2777"/>
  <sheetViews>
    <sheetView workbookViewId="0">
      <selection activeCell="V3" sqref="V3"/>
    </sheetView>
  </sheetViews>
  <sheetFormatPr defaultRowHeight="15"/>
  <sheetData>
    <row r="1" spans="1:49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</row>
    <row r="2" spans="1:49">
      <c r="A2">
        <v>1</v>
      </c>
      <c r="B2" t="s">
        <v>32</v>
      </c>
      <c r="C2">
        <v>73</v>
      </c>
      <c r="D2">
        <v>68</v>
      </c>
      <c r="E2">
        <v>50.019795815599103</v>
      </c>
      <c r="F2">
        <v>1.0640000000000001</v>
      </c>
      <c r="G2">
        <v>1965.0504759924399</v>
      </c>
      <c r="H2">
        <v>452.22434905871103</v>
      </c>
      <c r="I2">
        <v>0.61832086241142203</v>
      </c>
      <c r="J2">
        <v>0.120746816659596</v>
      </c>
      <c r="K2">
        <v>0.51192596608069396</v>
      </c>
      <c r="L2" t="s">
        <v>33</v>
      </c>
      <c r="M2" t="s">
        <v>34</v>
      </c>
      <c r="N2" t="s">
        <v>35</v>
      </c>
      <c r="O2">
        <v>0.84068639605066398</v>
      </c>
      <c r="P2" t="s">
        <v>36</v>
      </c>
      <c r="R2" t="s">
        <v>41</v>
      </c>
      <c r="S2">
        <f>COUNTIF($L$2:$L$4000, "Rubber")</f>
        <v>89</v>
      </c>
      <c r="V2" t="s">
        <v>41</v>
      </c>
      <c r="W2" t="s">
        <v>830</v>
      </c>
      <c r="X2" t="s">
        <v>58</v>
      </c>
      <c r="Y2" t="s">
        <v>49</v>
      </c>
      <c r="Z2" t="s">
        <v>101</v>
      </c>
      <c r="AA2" t="s">
        <v>2841</v>
      </c>
      <c r="AB2" t="s">
        <v>2422</v>
      </c>
      <c r="AC2" t="s">
        <v>1494</v>
      </c>
      <c r="AD2" t="s">
        <v>47</v>
      </c>
      <c r="AE2" t="s">
        <v>1038</v>
      </c>
      <c r="AF2" t="s">
        <v>2842</v>
      </c>
      <c r="AG2" t="s">
        <v>2843</v>
      </c>
      <c r="AH2" t="s">
        <v>2844</v>
      </c>
      <c r="AI2" t="s">
        <v>74</v>
      </c>
      <c r="AJ2" t="s">
        <v>43</v>
      </c>
      <c r="AK2" t="s">
        <v>144</v>
      </c>
      <c r="AL2" t="s">
        <v>2845</v>
      </c>
      <c r="AM2" t="s">
        <v>331</v>
      </c>
      <c r="AN2" t="s">
        <v>67</v>
      </c>
      <c r="AO2" t="s">
        <v>2547</v>
      </c>
      <c r="AP2" t="s">
        <v>288</v>
      </c>
      <c r="AQ2" t="s">
        <v>2846</v>
      </c>
      <c r="AR2" t="s">
        <v>957</v>
      </c>
      <c r="AS2" t="s">
        <v>1072</v>
      </c>
      <c r="AT2" t="s">
        <v>873</v>
      </c>
      <c r="AU2" t="s">
        <v>61</v>
      </c>
      <c r="AV2" t="s">
        <v>893</v>
      </c>
      <c r="AW2" t="s">
        <v>211</v>
      </c>
    </row>
    <row r="3" spans="1:49">
      <c r="A3">
        <v>2</v>
      </c>
      <c r="B3" t="s">
        <v>37</v>
      </c>
      <c r="C3">
        <v>70</v>
      </c>
      <c r="D3">
        <v>70</v>
      </c>
      <c r="E3">
        <v>50.123730220716297</v>
      </c>
      <c r="F3">
        <v>1.0008524714299001</v>
      </c>
      <c r="G3">
        <v>1973.2251810964101</v>
      </c>
      <c r="H3">
        <v>533.01671513495205</v>
      </c>
      <c r="I3">
        <v>0.68895842343022495</v>
      </c>
      <c r="J3">
        <v>8.7278014136639895E-2</v>
      </c>
      <c r="K3">
        <v>0.53705501618122997</v>
      </c>
      <c r="L3" t="s">
        <v>38</v>
      </c>
      <c r="M3" t="s">
        <v>34</v>
      </c>
      <c r="N3" t="s">
        <v>35</v>
      </c>
      <c r="O3">
        <v>0.75997481464049899</v>
      </c>
      <c r="P3" t="s">
        <v>36</v>
      </c>
      <c r="R3" t="s">
        <v>830</v>
      </c>
      <c r="S3">
        <f>COUNTIF($L$2:$L$4000, "Polyvinylchloride (PVC)")</f>
        <v>7</v>
      </c>
      <c r="V3">
        <f>COUNTIF($L$2:$L$4000, "Rubber")</f>
        <v>89</v>
      </c>
      <c r="W3">
        <f>COUNTIF($L$2:$L$4000, "Polyvinylchloride (PVC)")</f>
        <v>7</v>
      </c>
      <c r="X3">
        <f>COUNTIF($L$2:$L$4000, "Polyvinyl alcohol")</f>
        <v>16</v>
      </c>
      <c r="Y3">
        <f>COUNTIF($L$2:$L$4000, "Polyurethane (PU)")</f>
        <v>163</v>
      </c>
      <c r="Z3">
        <f>COUNTIF($L$2:$L$4000, "Polytetrafluoroethylene (PTFE)")</f>
        <v>10</v>
      </c>
      <c r="AA3">
        <f>COUNTIF($L$2:$L$4000, "Polysulfones")</f>
        <v>0</v>
      </c>
      <c r="AB3">
        <f>COUNTIF($L$2:$L$4000, "Polysulfone")</f>
        <v>1</v>
      </c>
      <c r="AC3">
        <f>COUNTIF($L$2:$L$4000, "Polystyrene (PS)")</f>
        <v>1</v>
      </c>
      <c r="AD3">
        <f>COUNTIF($L$2:$L$4000, "Polypropylene (PP)")</f>
        <v>228</v>
      </c>
      <c r="AE3">
        <f>COUNTIF($L$2:$L$4000, "Polymethylmethacrylate (PMMA)")</f>
        <v>9</v>
      </c>
      <c r="AF3">
        <f>COUNTIF($L$2:$L$4000, "Polylactic acid (PLA)")</f>
        <v>0</v>
      </c>
      <c r="AG3">
        <f>COUNTIF($L$2:$L$4000, "Polyisoprene Chlorinated")</f>
        <v>0</v>
      </c>
      <c r="AH3">
        <f>COUNTIF($L$2:$L$4000, "Polyimide")</f>
        <v>0</v>
      </c>
      <c r="AI3">
        <f>COUNTIF($L$2:$L$4000, "Polyethylene Terephthalate (PET)")</f>
        <v>134</v>
      </c>
      <c r="AJ3">
        <f>COUNTIF($L$2:$L$4000, "Polyethylene Chlorinated")</f>
        <v>155</v>
      </c>
      <c r="AK3">
        <f>COUNTIF($L$2:$L$4000, "Polyethylene (PE)")</f>
        <v>55</v>
      </c>
      <c r="AL3">
        <f>COUNTIF($L$2:$L$4000, "Polyether")</f>
        <v>0</v>
      </c>
      <c r="AM3">
        <f>COUNTIF($L$2:$L$4000, "Polycarbonate (PC)")</f>
        <v>21</v>
      </c>
      <c r="AN3">
        <f>COUNTIF($L$2:$L$4000, "Polycaprolactone")</f>
        <v>7</v>
      </c>
      <c r="AO3">
        <f>COUNTIF($L$2:$L$4000, "Polybutadiene")</f>
        <v>1</v>
      </c>
      <c r="AP3">
        <f>COUNTIF($L$2:$L$4000, "Polyamide (PA)")</f>
        <v>29</v>
      </c>
      <c r="AQ3">
        <f>COUNTIF($L$2:$L$4000, "Polyacetal")</f>
        <v>0</v>
      </c>
      <c r="AR3">
        <f>COUNTIF($L$2:$L$4000, "Ethylene Vinyl Acetate (EVA)")</f>
        <v>2</v>
      </c>
      <c r="AS3">
        <f>COUNTIF($L$2:$L$4000, "Cellulose chemically modified")</f>
        <v>4</v>
      </c>
      <c r="AT3">
        <f>COUNTIF($L$2:$L$4000, "Cellulose Acetate")</f>
        <v>7</v>
      </c>
      <c r="AU3">
        <f>COUNTIF($L$2:$L$4000, "Alkyd Varnish")</f>
        <v>23</v>
      </c>
      <c r="AV3">
        <f>COUNTIF($L$2:$L$4000, "Acrylonitrile Butadiene")</f>
        <v>9</v>
      </c>
      <c r="AW3">
        <f>COUNTIF($L$2:$L$4000, "Acrylates")</f>
        <v>19</v>
      </c>
    </row>
    <row r="4" spans="1:49">
      <c r="A4">
        <v>3</v>
      </c>
      <c r="B4" t="s">
        <v>39</v>
      </c>
      <c r="C4">
        <v>79</v>
      </c>
      <c r="D4">
        <v>84</v>
      </c>
      <c r="E4">
        <v>50.148265060104499</v>
      </c>
      <c r="F4">
        <v>0.94243079054927603</v>
      </c>
      <c r="G4">
        <v>1975.1573841209799</v>
      </c>
      <c r="H4">
        <v>659.71693648245002</v>
      </c>
      <c r="I4">
        <v>0.57763908355862004</v>
      </c>
      <c r="J4">
        <v>5.7029071861071999E-2</v>
      </c>
      <c r="K4">
        <v>0.37847459557985902</v>
      </c>
      <c r="L4" t="s">
        <v>33</v>
      </c>
      <c r="M4" t="s">
        <v>34</v>
      </c>
      <c r="N4" t="s">
        <v>35</v>
      </c>
      <c r="O4">
        <v>0.66320486809472001</v>
      </c>
      <c r="P4" t="s">
        <v>36</v>
      </c>
      <c r="R4" t="s">
        <v>58</v>
      </c>
      <c r="S4">
        <f>COUNTIF($L$2:$L$4000, "Polyvinyl alcohol")</f>
        <v>16</v>
      </c>
    </row>
    <row r="5" spans="1:49">
      <c r="A5">
        <v>4</v>
      </c>
      <c r="B5" t="s">
        <v>40</v>
      </c>
      <c r="C5">
        <v>83</v>
      </c>
      <c r="D5">
        <v>63</v>
      </c>
      <c r="E5">
        <v>50.189758234728203</v>
      </c>
      <c r="F5">
        <v>1.3103447368680701</v>
      </c>
      <c r="G5">
        <v>1978.42726616257</v>
      </c>
      <c r="H5">
        <v>595.677967793942</v>
      </c>
      <c r="I5">
        <v>0.48953439014253203</v>
      </c>
      <c r="J5">
        <v>7.0065927966430505E-2</v>
      </c>
      <c r="K5">
        <v>0.46949068848758502</v>
      </c>
      <c r="L5" t="s">
        <v>41</v>
      </c>
      <c r="M5" t="s">
        <v>34</v>
      </c>
      <c r="N5" t="s">
        <v>35</v>
      </c>
      <c r="O5">
        <v>0.73005019947683103</v>
      </c>
      <c r="P5" t="s">
        <v>36</v>
      </c>
      <c r="R5" t="s">
        <v>49</v>
      </c>
      <c r="S5">
        <f>COUNTIF($L$2:$L$4000, "Polyurethane (PU)")</f>
        <v>163</v>
      </c>
    </row>
    <row r="6" spans="1:49">
      <c r="A6">
        <v>5</v>
      </c>
      <c r="B6" t="s">
        <v>42</v>
      </c>
      <c r="C6">
        <v>81</v>
      </c>
      <c r="D6">
        <v>50</v>
      </c>
      <c r="E6">
        <v>50.1935286406408</v>
      </c>
      <c r="F6">
        <v>1.6242377708000899</v>
      </c>
      <c r="G6">
        <v>1978.72452816635</v>
      </c>
      <c r="H6">
        <v>326.29518152724103</v>
      </c>
      <c r="I6">
        <v>0.78882506227300797</v>
      </c>
      <c r="J6">
        <v>0.233546778071542</v>
      </c>
      <c r="K6">
        <v>0.71509910297040302</v>
      </c>
      <c r="L6" t="s">
        <v>43</v>
      </c>
      <c r="M6" t="s">
        <v>34</v>
      </c>
      <c r="N6" t="s">
        <v>35</v>
      </c>
      <c r="O6">
        <v>0.73394701802094797</v>
      </c>
      <c r="P6" t="s">
        <v>36</v>
      </c>
      <c r="R6" t="s">
        <v>101</v>
      </c>
      <c r="S6">
        <f>COUNTIF($L$2:$L$4000, "Polytetrafluoroethylene (PTFE)")</f>
        <v>10</v>
      </c>
    </row>
    <row r="7" spans="1:49">
      <c r="A7">
        <v>6</v>
      </c>
      <c r="B7" t="s">
        <v>44</v>
      </c>
      <c r="C7">
        <v>58</v>
      </c>
      <c r="D7">
        <v>58</v>
      </c>
      <c r="E7">
        <v>50.221797662335099</v>
      </c>
      <c r="F7">
        <v>1</v>
      </c>
      <c r="G7">
        <v>1980.9539931947099</v>
      </c>
      <c r="H7">
        <v>307.62549834002601</v>
      </c>
      <c r="I7">
        <v>0.57486250389691396</v>
      </c>
      <c r="J7">
        <v>0.26305077937459098</v>
      </c>
      <c r="K7">
        <v>0.75176264876755605</v>
      </c>
      <c r="L7" t="s">
        <v>33</v>
      </c>
      <c r="M7" t="s">
        <v>34</v>
      </c>
      <c r="N7" t="s">
        <v>35</v>
      </c>
      <c r="O7">
        <v>0.77214527950746703</v>
      </c>
      <c r="P7" t="s">
        <v>36</v>
      </c>
      <c r="R7" t="s">
        <v>2841</v>
      </c>
      <c r="S7">
        <f>COUNTIF($L$2:$L$4000, "Polysulfones")</f>
        <v>0</v>
      </c>
    </row>
    <row r="8" spans="1:49">
      <c r="A8">
        <v>7</v>
      </c>
      <c r="B8" t="s">
        <v>45</v>
      </c>
      <c r="C8">
        <v>53</v>
      </c>
      <c r="D8">
        <v>78</v>
      </c>
      <c r="E8">
        <v>50.3253148846727</v>
      </c>
      <c r="F8">
        <v>0.68531468531468498</v>
      </c>
      <c r="G8">
        <v>1989.1286982986801</v>
      </c>
      <c r="H8">
        <v>377.09394346040199</v>
      </c>
      <c r="I8">
        <v>0.58527693260129898</v>
      </c>
      <c r="J8">
        <v>0.17578168890150001</v>
      </c>
      <c r="K8">
        <v>0.63892867373245499</v>
      </c>
      <c r="L8" t="s">
        <v>33</v>
      </c>
      <c r="M8" t="s">
        <v>34</v>
      </c>
      <c r="N8" t="s">
        <v>35</v>
      </c>
      <c r="O8">
        <v>0.73700448382180805</v>
      </c>
      <c r="P8" t="s">
        <v>36</v>
      </c>
      <c r="R8" t="s">
        <v>2422</v>
      </c>
      <c r="S8">
        <f>COUNTIF($L$2:$L$4000, "Polysulfone")</f>
        <v>1</v>
      </c>
    </row>
    <row r="9" spans="1:49">
      <c r="A9">
        <v>8</v>
      </c>
      <c r="B9" t="s">
        <v>46</v>
      </c>
      <c r="C9">
        <v>54</v>
      </c>
      <c r="D9">
        <v>63</v>
      </c>
      <c r="E9">
        <v>50.473631778451498</v>
      </c>
      <c r="F9">
        <v>0.85344827586206895</v>
      </c>
      <c r="G9">
        <v>2000.87054744802</v>
      </c>
      <c r="H9">
        <v>239.30228520310399</v>
      </c>
      <c r="I9">
        <v>0.72128828088254004</v>
      </c>
      <c r="J9">
        <v>0.439071414705276</v>
      </c>
      <c r="K9">
        <v>0.80427769148046402</v>
      </c>
      <c r="L9" t="s">
        <v>47</v>
      </c>
      <c r="M9" t="s">
        <v>34</v>
      </c>
      <c r="N9" t="s">
        <v>35</v>
      </c>
      <c r="O9">
        <v>0.929624187519137</v>
      </c>
      <c r="P9" t="s">
        <v>36</v>
      </c>
      <c r="R9" t="s">
        <v>1494</v>
      </c>
      <c r="S9">
        <f>COUNTIF($L$2:$L$4000, "Polystyrene (PS)")</f>
        <v>1</v>
      </c>
    </row>
    <row r="10" spans="1:49">
      <c r="A10">
        <v>9</v>
      </c>
      <c r="B10" t="s">
        <v>48</v>
      </c>
      <c r="C10">
        <v>58</v>
      </c>
      <c r="D10">
        <v>81</v>
      </c>
      <c r="E10">
        <v>50.580375131566498</v>
      </c>
      <c r="F10">
        <v>0.71190156263232995</v>
      </c>
      <c r="G10">
        <v>2009.3425145557701</v>
      </c>
      <c r="H10">
        <v>381.98485012230702</v>
      </c>
      <c r="I10">
        <v>0.62498724938376404</v>
      </c>
      <c r="J10">
        <v>0.17304998257679399</v>
      </c>
      <c r="K10">
        <v>0.61660205245153898</v>
      </c>
      <c r="L10" t="s">
        <v>49</v>
      </c>
      <c r="M10" t="s">
        <v>34</v>
      </c>
      <c r="N10" t="s">
        <v>35</v>
      </c>
      <c r="O10">
        <v>0.76226956609860197</v>
      </c>
      <c r="P10" t="s">
        <v>36</v>
      </c>
      <c r="R10" t="s">
        <v>47</v>
      </c>
      <c r="S10">
        <f>COUNTIF($L$2:$L$4000, "Polypropylene (PP)")</f>
        <v>228</v>
      </c>
    </row>
    <row r="11" spans="1:49">
      <c r="A11">
        <v>10</v>
      </c>
      <c r="B11" t="s">
        <v>50</v>
      </c>
      <c r="C11">
        <v>78</v>
      </c>
      <c r="D11">
        <v>63</v>
      </c>
      <c r="E11">
        <v>50.698093151600503</v>
      </c>
      <c r="F11">
        <v>1.2327586206896599</v>
      </c>
      <c r="G11">
        <v>2018.7062676748601</v>
      </c>
      <c r="H11">
        <v>508.79466587149602</v>
      </c>
      <c r="I11">
        <v>0.55428630556677605</v>
      </c>
      <c r="J11">
        <v>9.7993641426335501E-2</v>
      </c>
      <c r="K11">
        <v>0.50456943309309799</v>
      </c>
      <c r="L11" t="s">
        <v>49</v>
      </c>
      <c r="M11" t="s">
        <v>34</v>
      </c>
      <c r="N11" t="s">
        <v>35</v>
      </c>
      <c r="O11">
        <v>0.67651311792911295</v>
      </c>
      <c r="P11" t="s">
        <v>36</v>
      </c>
      <c r="R11" t="s">
        <v>1038</v>
      </c>
      <c r="S11">
        <f>COUNTIF($L$2:$L$4000, "Polymethylmethacrylate (PMMA)")</f>
        <v>9</v>
      </c>
    </row>
    <row r="12" spans="1:49">
      <c r="A12">
        <v>11</v>
      </c>
      <c r="B12" t="s">
        <v>51</v>
      </c>
      <c r="C12">
        <v>107</v>
      </c>
      <c r="D12">
        <v>68</v>
      </c>
      <c r="E12">
        <v>50.759646018183702</v>
      </c>
      <c r="F12">
        <v>1.57599994824218</v>
      </c>
      <c r="G12">
        <v>2023.6110907372399</v>
      </c>
      <c r="H12">
        <v>521.07672972710202</v>
      </c>
      <c r="I12">
        <v>0.57364024810124903</v>
      </c>
      <c r="J12">
        <v>9.3655558334070702E-2</v>
      </c>
      <c r="K12">
        <v>0.34208542713567802</v>
      </c>
      <c r="L12" t="s">
        <v>33</v>
      </c>
      <c r="M12" t="s">
        <v>34</v>
      </c>
      <c r="N12" t="s">
        <v>35</v>
      </c>
      <c r="O12">
        <v>0.69718038853892195</v>
      </c>
      <c r="P12" t="s">
        <v>36</v>
      </c>
      <c r="R12" t="s">
        <v>2842</v>
      </c>
      <c r="S12">
        <f>COUNTIF($L$2:$L$4000, "Polylactic acid (PLA)")</f>
        <v>0</v>
      </c>
    </row>
    <row r="13" spans="1:49">
      <c r="A13">
        <v>12</v>
      </c>
      <c r="B13" t="s">
        <v>52</v>
      </c>
      <c r="C13">
        <v>69</v>
      </c>
      <c r="D13">
        <v>77</v>
      </c>
      <c r="E13">
        <v>50.8006398287785</v>
      </c>
      <c r="F13">
        <v>0.88732402690275503</v>
      </c>
      <c r="G13">
        <v>2026.88097277883</v>
      </c>
      <c r="H13">
        <v>581.87649378745505</v>
      </c>
      <c r="I13">
        <v>0.50170902564133701</v>
      </c>
      <c r="J13">
        <v>7.52274747051489E-2</v>
      </c>
      <c r="K13">
        <v>0.45432436034115098</v>
      </c>
      <c r="L13" t="s">
        <v>33</v>
      </c>
      <c r="M13" t="s">
        <v>34</v>
      </c>
      <c r="N13" t="s">
        <v>35</v>
      </c>
      <c r="O13">
        <v>0.71908459463429897</v>
      </c>
      <c r="P13" t="s">
        <v>36</v>
      </c>
      <c r="R13" t="s">
        <v>2843</v>
      </c>
      <c r="S13">
        <f>COUNTIF($L$2:$L$4000, "Polyisoprene Chlorinated")</f>
        <v>0</v>
      </c>
    </row>
    <row r="14" spans="1:49">
      <c r="A14">
        <v>13</v>
      </c>
      <c r="B14" t="s">
        <v>53</v>
      </c>
      <c r="C14">
        <v>63</v>
      </c>
      <c r="D14">
        <v>58</v>
      </c>
      <c r="E14">
        <v>50.876949246684198</v>
      </c>
      <c r="F14">
        <v>1.08411216152757</v>
      </c>
      <c r="G14">
        <v>2032.9748438563299</v>
      </c>
      <c r="H14">
        <v>486.53429736987403</v>
      </c>
      <c r="I14">
        <v>0.66167816769809396</v>
      </c>
      <c r="J14">
        <v>0.10792323322771701</v>
      </c>
      <c r="K14">
        <v>0.63371015567086697</v>
      </c>
      <c r="L14" t="s">
        <v>38</v>
      </c>
      <c r="M14" t="s">
        <v>34</v>
      </c>
      <c r="N14" t="s">
        <v>35</v>
      </c>
      <c r="O14">
        <v>0.76501114709818996</v>
      </c>
      <c r="P14" t="s">
        <v>36</v>
      </c>
      <c r="R14" t="s">
        <v>2844</v>
      </c>
      <c r="S14">
        <f>COUNTIF($L$2:$L$4000, "Polyimide")</f>
        <v>0</v>
      </c>
    </row>
    <row r="15" spans="1:49">
      <c r="A15">
        <v>14</v>
      </c>
      <c r="B15" t="s">
        <v>54</v>
      </c>
      <c r="C15">
        <v>56</v>
      </c>
      <c r="D15">
        <v>125</v>
      </c>
      <c r="E15">
        <v>50.9327129723628</v>
      </c>
      <c r="F15">
        <v>0.45080922426662701</v>
      </c>
      <c r="G15">
        <v>2037.4337739130401</v>
      </c>
      <c r="H15">
        <v>509.510922486678</v>
      </c>
      <c r="I15">
        <v>0.66037320022546198</v>
      </c>
      <c r="J15">
        <v>9.8624852811122904E-2</v>
      </c>
      <c r="K15">
        <v>0.47091964684461901</v>
      </c>
      <c r="L15" t="s">
        <v>33</v>
      </c>
      <c r="M15" t="s">
        <v>34</v>
      </c>
      <c r="N15" t="s">
        <v>35</v>
      </c>
      <c r="O15">
        <v>0.78566465675533403</v>
      </c>
      <c r="P15" t="s">
        <v>36</v>
      </c>
      <c r="R15" t="s">
        <v>74</v>
      </c>
      <c r="S15">
        <f>COUNTIF($L$2:$L$4000, "Polyethylene Terephthalate (PET)")</f>
        <v>134</v>
      </c>
    </row>
    <row r="16" spans="1:49">
      <c r="A16">
        <v>15</v>
      </c>
      <c r="B16" t="s">
        <v>55</v>
      </c>
      <c r="C16">
        <v>83</v>
      </c>
      <c r="D16">
        <v>54</v>
      </c>
      <c r="E16">
        <v>50.936428383460999</v>
      </c>
      <c r="F16">
        <v>1.5454545454545501</v>
      </c>
      <c r="G16">
        <v>2037.73103591682</v>
      </c>
      <c r="H16">
        <v>473.71366374430499</v>
      </c>
      <c r="I16">
        <v>0.740468754147383</v>
      </c>
      <c r="J16">
        <v>0.114110314097705</v>
      </c>
      <c r="K16">
        <v>0.60695944749424502</v>
      </c>
      <c r="L16" t="s">
        <v>33</v>
      </c>
      <c r="M16" t="s">
        <v>34</v>
      </c>
      <c r="N16" t="s">
        <v>35</v>
      </c>
      <c r="O16">
        <v>0.72063326891224599</v>
      </c>
      <c r="P16" t="s">
        <v>36</v>
      </c>
      <c r="R16" t="s">
        <v>43</v>
      </c>
      <c r="S16">
        <f>COUNTIF($L$2:$L$4000, "Polyethylene Chlorinated")</f>
        <v>155</v>
      </c>
    </row>
    <row r="17" spans="1:19">
      <c r="A17">
        <v>16</v>
      </c>
      <c r="B17" t="s">
        <v>56</v>
      </c>
      <c r="C17">
        <v>62</v>
      </c>
      <c r="D17">
        <v>83</v>
      </c>
      <c r="E17">
        <v>51.006969773672203</v>
      </c>
      <c r="F17">
        <v>0.74228884024590502</v>
      </c>
      <c r="G17">
        <v>2043.3790139886601</v>
      </c>
      <c r="H17">
        <v>416.481887517183</v>
      </c>
      <c r="I17">
        <v>0.57093264219957096</v>
      </c>
      <c r="J17">
        <v>0.14803573173958201</v>
      </c>
      <c r="K17">
        <v>0.58185203995259904</v>
      </c>
      <c r="L17" t="s">
        <v>33</v>
      </c>
      <c r="M17" t="s">
        <v>34</v>
      </c>
      <c r="N17" t="s">
        <v>35</v>
      </c>
      <c r="O17">
        <v>0.87805170630972795</v>
      </c>
      <c r="P17" t="s">
        <v>36</v>
      </c>
      <c r="R17" t="s">
        <v>144</v>
      </c>
      <c r="S17">
        <f>COUNTIF($L$2:$L$4000, "Polyethylene (PE)")</f>
        <v>55</v>
      </c>
    </row>
    <row r="18" spans="1:19">
      <c r="A18">
        <v>17</v>
      </c>
      <c r="B18" t="s">
        <v>57</v>
      </c>
      <c r="C18">
        <v>63</v>
      </c>
      <c r="D18">
        <v>54</v>
      </c>
      <c r="E18">
        <v>51.201381492653603</v>
      </c>
      <c r="F18">
        <v>1.1673720498475799</v>
      </c>
      <c r="G18">
        <v>2058.9852691871502</v>
      </c>
      <c r="H18">
        <v>257.78487930660702</v>
      </c>
      <c r="I18">
        <v>0.68684499056059301</v>
      </c>
      <c r="J18">
        <v>0.38935721262751699</v>
      </c>
      <c r="K18">
        <v>0.81177849399355395</v>
      </c>
      <c r="L18" t="s">
        <v>58</v>
      </c>
      <c r="M18" t="s">
        <v>34</v>
      </c>
      <c r="N18" t="s">
        <v>35</v>
      </c>
      <c r="O18">
        <v>0.85750759863762305</v>
      </c>
      <c r="P18" t="s">
        <v>36</v>
      </c>
      <c r="R18" t="s">
        <v>2845</v>
      </c>
      <c r="S18">
        <f>COUNTIF($L$2:$L$4000, "Polyether")</f>
        <v>0</v>
      </c>
    </row>
    <row r="19" spans="1:19">
      <c r="A19">
        <v>18</v>
      </c>
      <c r="B19" t="s">
        <v>59</v>
      </c>
      <c r="C19">
        <v>69</v>
      </c>
      <c r="D19">
        <v>44</v>
      </c>
      <c r="E19">
        <v>51.301077782947097</v>
      </c>
      <c r="F19">
        <v>1.55555555555556</v>
      </c>
      <c r="G19">
        <v>2067.0113432892299</v>
      </c>
      <c r="H19">
        <v>248.26764974853299</v>
      </c>
      <c r="I19">
        <v>0.81132356946715301</v>
      </c>
      <c r="J19">
        <v>0.42141739487177299</v>
      </c>
      <c r="K19">
        <v>0.846800219204774</v>
      </c>
      <c r="L19" t="s">
        <v>33</v>
      </c>
      <c r="M19" t="s">
        <v>34</v>
      </c>
      <c r="N19" t="s">
        <v>35</v>
      </c>
      <c r="O19">
        <v>0.82777203156133405</v>
      </c>
      <c r="P19" t="s">
        <v>36</v>
      </c>
      <c r="R19" t="s">
        <v>331</v>
      </c>
      <c r="S19">
        <f>COUNTIF($L$2:$L$4000, "Polycarbonate (PC)")</f>
        <v>21</v>
      </c>
    </row>
    <row r="20" spans="1:19">
      <c r="A20">
        <v>19</v>
      </c>
      <c r="B20" t="s">
        <v>60</v>
      </c>
      <c r="C20">
        <v>118</v>
      </c>
      <c r="D20">
        <v>44</v>
      </c>
      <c r="E20">
        <v>51.444742447484998</v>
      </c>
      <c r="F20">
        <v>2.6666666666666701</v>
      </c>
      <c r="G20">
        <v>2078.6045614366699</v>
      </c>
      <c r="H20">
        <v>496.18381881081501</v>
      </c>
      <c r="I20">
        <v>0.87270399411115895</v>
      </c>
      <c r="J20">
        <v>0.106095397793636</v>
      </c>
      <c r="K20">
        <v>0.50683144275722103</v>
      </c>
      <c r="L20" t="s">
        <v>61</v>
      </c>
      <c r="M20" t="s">
        <v>34</v>
      </c>
      <c r="N20" t="s">
        <v>35</v>
      </c>
      <c r="O20">
        <v>0.80289417077592096</v>
      </c>
      <c r="P20" t="s">
        <v>36</v>
      </c>
      <c r="R20" t="s">
        <v>67</v>
      </c>
      <c r="S20">
        <f>COUNTIF($L$2:$L$4000, "Polycaprolactone")</f>
        <v>7</v>
      </c>
    </row>
    <row r="21" spans="1:19">
      <c r="A21">
        <v>20</v>
      </c>
      <c r="B21" t="s">
        <v>62</v>
      </c>
      <c r="C21">
        <v>44</v>
      </c>
      <c r="D21">
        <v>94</v>
      </c>
      <c r="E21">
        <v>51.448420881757102</v>
      </c>
      <c r="F21">
        <v>0.47183019637637202</v>
      </c>
      <c r="G21">
        <v>2078.9018234404498</v>
      </c>
      <c r="H21">
        <v>410.07157070439803</v>
      </c>
      <c r="I21">
        <v>0.62179477325563404</v>
      </c>
      <c r="J21">
        <v>0.155354744394265</v>
      </c>
      <c r="K21">
        <v>0.60678495509956198</v>
      </c>
      <c r="L21" t="s">
        <v>33</v>
      </c>
      <c r="M21" t="s">
        <v>34</v>
      </c>
      <c r="N21" t="s">
        <v>35</v>
      </c>
      <c r="O21">
        <v>0.79169130496066198</v>
      </c>
      <c r="P21" t="s">
        <v>36</v>
      </c>
      <c r="R21" t="s">
        <v>2547</v>
      </c>
      <c r="S21">
        <f>COUNTIF($L$2:$L$4000, "Polybutadiene")</f>
        <v>1</v>
      </c>
    </row>
    <row r="22" spans="1:19">
      <c r="A22">
        <v>21</v>
      </c>
      <c r="B22" t="s">
        <v>63</v>
      </c>
      <c r="C22">
        <v>69</v>
      </c>
      <c r="D22">
        <v>47</v>
      </c>
      <c r="E22">
        <v>51.578835339102298</v>
      </c>
      <c r="F22">
        <v>1.4690720402949999</v>
      </c>
      <c r="G22">
        <v>2089.4546245746701</v>
      </c>
      <c r="H22">
        <v>237.3085047216</v>
      </c>
      <c r="I22">
        <v>0.58779067580838995</v>
      </c>
      <c r="J22">
        <v>0.46624716336788802</v>
      </c>
      <c r="K22">
        <v>0.84159482758620696</v>
      </c>
      <c r="L22" t="s">
        <v>47</v>
      </c>
      <c r="M22" t="s">
        <v>34</v>
      </c>
      <c r="N22" t="s">
        <v>35</v>
      </c>
      <c r="O22">
        <v>0.939912743956139</v>
      </c>
      <c r="P22" t="s">
        <v>36</v>
      </c>
      <c r="R22" t="s">
        <v>288</v>
      </c>
      <c r="S22">
        <f>COUNTIF($L$2:$L$4000, "Polyamide (PA)")</f>
        <v>29</v>
      </c>
    </row>
    <row r="23" spans="1:19">
      <c r="A23">
        <v>22</v>
      </c>
      <c r="B23" t="s">
        <v>64</v>
      </c>
      <c r="C23">
        <v>53</v>
      </c>
      <c r="D23">
        <v>102</v>
      </c>
      <c r="E23">
        <v>51.686957583319597</v>
      </c>
      <c r="F23">
        <v>0.52421694987800804</v>
      </c>
      <c r="G23">
        <v>2098.2238536862001</v>
      </c>
      <c r="H23">
        <v>459.37361996785501</v>
      </c>
      <c r="I23">
        <v>0.54807645241102898</v>
      </c>
      <c r="J23">
        <v>0.12494807814933501</v>
      </c>
      <c r="K23">
        <v>0.57121469612365505</v>
      </c>
      <c r="L23" t="s">
        <v>33</v>
      </c>
      <c r="M23" t="s">
        <v>34</v>
      </c>
      <c r="N23" t="s">
        <v>35</v>
      </c>
      <c r="O23">
        <v>0.85081128726262301</v>
      </c>
      <c r="P23" t="s">
        <v>36</v>
      </c>
      <c r="R23" t="s">
        <v>2846</v>
      </c>
      <c r="S23">
        <f>COUNTIF($L$2:$L$4000, "Polyacetal")</f>
        <v>0</v>
      </c>
    </row>
    <row r="24" spans="1:19">
      <c r="A24">
        <v>23</v>
      </c>
      <c r="B24" t="s">
        <v>65</v>
      </c>
      <c r="C24">
        <v>68</v>
      </c>
      <c r="D24">
        <v>63</v>
      </c>
      <c r="E24">
        <v>51.772927279335399</v>
      </c>
      <c r="F24">
        <v>1.07758621710234</v>
      </c>
      <c r="G24">
        <v>2105.2095107750501</v>
      </c>
      <c r="H24">
        <v>592.80353909471796</v>
      </c>
      <c r="I24">
        <v>0.62113683407576004</v>
      </c>
      <c r="J24">
        <v>7.52806936108108E-2</v>
      </c>
      <c r="K24">
        <v>0.51443722078959797</v>
      </c>
      <c r="L24" t="s">
        <v>33</v>
      </c>
      <c r="M24" t="s">
        <v>34</v>
      </c>
      <c r="N24" t="s">
        <v>35</v>
      </c>
      <c r="O24">
        <v>0.78867459300528298</v>
      </c>
      <c r="P24" t="s">
        <v>36</v>
      </c>
      <c r="R24" t="s">
        <v>957</v>
      </c>
      <c r="S24">
        <f>COUNTIF($L$2:$L$4000, "Ethylene Vinyl Acetate (EVA)")</f>
        <v>2</v>
      </c>
    </row>
    <row r="25" spans="1:19">
      <c r="A25">
        <v>24</v>
      </c>
      <c r="B25" t="s">
        <v>66</v>
      </c>
      <c r="C25">
        <v>78</v>
      </c>
      <c r="D25">
        <v>57</v>
      </c>
      <c r="E25">
        <v>51.787546205866903</v>
      </c>
      <c r="F25">
        <v>1.3766832809076199</v>
      </c>
      <c r="G25">
        <v>2106.3985587901698</v>
      </c>
      <c r="H25">
        <v>441.52978779751299</v>
      </c>
      <c r="I25">
        <v>0.57733108490144203</v>
      </c>
      <c r="J25">
        <v>0.13577830906865301</v>
      </c>
      <c r="K25">
        <v>0.60086491986771795</v>
      </c>
      <c r="L25" t="s">
        <v>67</v>
      </c>
      <c r="M25" t="s">
        <v>34</v>
      </c>
      <c r="N25" t="s">
        <v>35</v>
      </c>
      <c r="O25">
        <v>0.722780407979143</v>
      </c>
      <c r="P25" t="s">
        <v>36</v>
      </c>
      <c r="R25" t="s">
        <v>1072</v>
      </c>
      <c r="S25">
        <f>COUNTIF($L$2:$L$4000, "Cellulose chemically modified")</f>
        <v>4</v>
      </c>
    </row>
    <row r="26" spans="1:19">
      <c r="A26">
        <v>25</v>
      </c>
      <c r="B26" t="s">
        <v>68</v>
      </c>
      <c r="C26">
        <v>73</v>
      </c>
      <c r="D26">
        <v>54</v>
      </c>
      <c r="E26">
        <v>51.871525078862902</v>
      </c>
      <c r="F26">
        <v>1.35353535353535</v>
      </c>
      <c r="G26">
        <v>2113.2355848771299</v>
      </c>
      <c r="H26">
        <v>490.52185833288303</v>
      </c>
      <c r="I26">
        <v>0.44740387399838699</v>
      </c>
      <c r="J26">
        <v>0.110367460402581</v>
      </c>
      <c r="K26">
        <v>0.60667349377026802</v>
      </c>
      <c r="L26" t="s">
        <v>33</v>
      </c>
      <c r="M26" t="s">
        <v>34</v>
      </c>
      <c r="N26" t="s">
        <v>35</v>
      </c>
      <c r="O26">
        <v>0.71116766273385501</v>
      </c>
      <c r="P26" t="s">
        <v>36</v>
      </c>
      <c r="R26" t="s">
        <v>873</v>
      </c>
      <c r="S26">
        <f>COUNTIF($L$2:$L$4000, "Cellulose Acetate")</f>
        <v>7</v>
      </c>
    </row>
    <row r="27" spans="1:19">
      <c r="A27">
        <v>26</v>
      </c>
      <c r="B27" t="s">
        <v>69</v>
      </c>
      <c r="C27">
        <v>46</v>
      </c>
      <c r="D27">
        <v>73</v>
      </c>
      <c r="E27">
        <v>51.944439825397197</v>
      </c>
      <c r="F27">
        <v>0.62756597755363897</v>
      </c>
      <c r="G27">
        <v>2119.1808249527398</v>
      </c>
      <c r="H27">
        <v>293.26275708240001</v>
      </c>
      <c r="I27">
        <v>0.75212655080350199</v>
      </c>
      <c r="J27">
        <v>0.30964498688044201</v>
      </c>
      <c r="K27">
        <v>0.77955166757791095</v>
      </c>
      <c r="L27" t="s">
        <v>33</v>
      </c>
      <c r="M27" t="s">
        <v>34</v>
      </c>
      <c r="N27" t="s">
        <v>35</v>
      </c>
      <c r="O27">
        <v>0.81616763225308797</v>
      </c>
      <c r="P27" t="s">
        <v>36</v>
      </c>
      <c r="R27" t="s">
        <v>61</v>
      </c>
      <c r="S27">
        <f>COUNTIF($L$2:$L$4000, "Alkyd Varnish")</f>
        <v>23</v>
      </c>
    </row>
    <row r="28" spans="1:19">
      <c r="A28">
        <v>27</v>
      </c>
      <c r="B28" t="s">
        <v>70</v>
      </c>
      <c r="C28">
        <v>44</v>
      </c>
      <c r="D28">
        <v>69</v>
      </c>
      <c r="E28">
        <v>52.006336982395197</v>
      </c>
      <c r="F28">
        <v>0.64285714285714302</v>
      </c>
      <c r="G28">
        <v>2124.2342790170101</v>
      </c>
      <c r="H28">
        <v>220.87448830044801</v>
      </c>
      <c r="I28">
        <v>0.68843389325960802</v>
      </c>
      <c r="J28">
        <v>0.54716859648532501</v>
      </c>
      <c r="K28">
        <v>0.88135175135668498</v>
      </c>
      <c r="L28" t="s">
        <v>43</v>
      </c>
      <c r="M28" t="s">
        <v>34</v>
      </c>
      <c r="N28" t="s">
        <v>35</v>
      </c>
      <c r="O28">
        <v>0.80983025517335505</v>
      </c>
      <c r="P28" t="s">
        <v>36</v>
      </c>
      <c r="R28" t="s">
        <v>893</v>
      </c>
      <c r="S28">
        <f>COUNTIF($L$2:$L$4000, "Acrylonitrile Butadiene")</f>
        <v>9</v>
      </c>
    </row>
    <row r="29" spans="1:19">
      <c r="A29">
        <v>28</v>
      </c>
      <c r="B29" t="s">
        <v>71</v>
      </c>
      <c r="C29">
        <v>63</v>
      </c>
      <c r="D29">
        <v>59</v>
      </c>
      <c r="E29">
        <v>52.155316139385498</v>
      </c>
      <c r="F29">
        <v>1.07407407407407</v>
      </c>
      <c r="G29">
        <v>2136.4220211720199</v>
      </c>
      <c r="H29">
        <v>416.559382199205</v>
      </c>
      <c r="I29">
        <v>0.66304849943975996</v>
      </c>
      <c r="J29">
        <v>0.15471879299719801</v>
      </c>
      <c r="K29">
        <v>0.67651903798183299</v>
      </c>
      <c r="L29" t="s">
        <v>72</v>
      </c>
      <c r="M29" t="s">
        <v>34</v>
      </c>
      <c r="N29" t="s">
        <v>35</v>
      </c>
      <c r="O29">
        <v>0.90005692035940199</v>
      </c>
      <c r="P29" t="s">
        <v>36</v>
      </c>
      <c r="R29" t="s">
        <v>211</v>
      </c>
      <c r="S29">
        <f>COUNTIF($L$2:$L$4000, "Acrylates")</f>
        <v>19</v>
      </c>
    </row>
    <row r="30" spans="1:19">
      <c r="A30">
        <v>29</v>
      </c>
      <c r="B30" t="s">
        <v>73</v>
      </c>
      <c r="C30">
        <v>69</v>
      </c>
      <c r="D30">
        <v>58</v>
      </c>
      <c r="E30">
        <v>52.171641601753997</v>
      </c>
      <c r="F30">
        <v>1.1865689925010301</v>
      </c>
      <c r="G30">
        <v>2137.7597001890399</v>
      </c>
      <c r="H30">
        <v>326.93394346040202</v>
      </c>
      <c r="I30">
        <v>0.76884728923370005</v>
      </c>
      <c r="J30">
        <v>0.25133254207632499</v>
      </c>
      <c r="K30">
        <v>0.75453782394292301</v>
      </c>
      <c r="L30" t="s">
        <v>74</v>
      </c>
      <c r="M30" t="s">
        <v>34</v>
      </c>
      <c r="N30" t="s">
        <v>35</v>
      </c>
      <c r="O30">
        <v>0.78955259932027499</v>
      </c>
      <c r="P30" t="s">
        <v>36</v>
      </c>
    </row>
    <row r="31" spans="1:19">
      <c r="A31">
        <v>30</v>
      </c>
      <c r="B31" t="s">
        <v>75</v>
      </c>
      <c r="C31">
        <v>54</v>
      </c>
      <c r="D31">
        <v>57</v>
      </c>
      <c r="E31">
        <v>52.253192405201297</v>
      </c>
      <c r="F31">
        <v>0.95278976461876996</v>
      </c>
      <c r="G31">
        <v>2144.4480952741001</v>
      </c>
      <c r="H31">
        <v>233.2113493569</v>
      </c>
      <c r="I31">
        <v>0.74810370672839699</v>
      </c>
      <c r="J31">
        <v>0.49547989786845498</v>
      </c>
      <c r="K31">
        <v>0.88120686496060596</v>
      </c>
      <c r="L31" t="s">
        <v>47</v>
      </c>
      <c r="M31" t="s">
        <v>34</v>
      </c>
      <c r="N31" t="s">
        <v>35</v>
      </c>
      <c r="O31">
        <v>0.94693579362415503</v>
      </c>
      <c r="P31" t="s">
        <v>36</v>
      </c>
    </row>
    <row r="32" spans="1:19">
      <c r="A32">
        <v>31</v>
      </c>
      <c r="B32" t="s">
        <v>76</v>
      </c>
      <c r="C32">
        <v>103</v>
      </c>
      <c r="D32">
        <v>49</v>
      </c>
      <c r="E32">
        <v>52.258624600562598</v>
      </c>
      <c r="F32">
        <v>2.1123595505617998</v>
      </c>
      <c r="G32">
        <v>2144.8939882797699</v>
      </c>
      <c r="H32">
        <v>542.666236575894</v>
      </c>
      <c r="I32">
        <v>0.8112913923856</v>
      </c>
      <c r="J32">
        <v>9.1527182319333905E-2</v>
      </c>
      <c r="K32">
        <v>0.55061238505856802</v>
      </c>
      <c r="L32" t="s">
        <v>33</v>
      </c>
      <c r="M32" t="s">
        <v>34</v>
      </c>
      <c r="N32" t="s">
        <v>35</v>
      </c>
      <c r="O32">
        <v>0.80250317527450699</v>
      </c>
      <c r="P32" t="s">
        <v>36</v>
      </c>
    </row>
    <row r="33" spans="1:16">
      <c r="A33">
        <v>32</v>
      </c>
      <c r="B33" t="s">
        <v>77</v>
      </c>
      <c r="C33">
        <v>73</v>
      </c>
      <c r="D33">
        <v>53</v>
      </c>
      <c r="E33">
        <v>52.320150063762803</v>
      </c>
      <c r="F33">
        <v>1.3663395464688399</v>
      </c>
      <c r="G33">
        <v>2149.9474423440502</v>
      </c>
      <c r="H33">
        <v>370.25465127934598</v>
      </c>
      <c r="I33">
        <v>0.64232988867187601</v>
      </c>
      <c r="J33">
        <v>0.19707732612835899</v>
      </c>
      <c r="K33">
        <v>0.69967108445390302</v>
      </c>
      <c r="L33" t="s">
        <v>38</v>
      </c>
      <c r="M33" t="s">
        <v>34</v>
      </c>
      <c r="N33" t="s">
        <v>35</v>
      </c>
      <c r="O33">
        <v>0.86837663778681695</v>
      </c>
      <c r="P33" t="s">
        <v>36</v>
      </c>
    </row>
    <row r="34" spans="1:16">
      <c r="A34">
        <v>33</v>
      </c>
      <c r="B34" t="s">
        <v>78</v>
      </c>
      <c r="C34">
        <v>51</v>
      </c>
      <c r="D34">
        <v>82</v>
      </c>
      <c r="E34">
        <v>52.3237669556868</v>
      </c>
      <c r="F34">
        <v>0.61915121718189103</v>
      </c>
      <c r="G34">
        <v>2150.2447043478301</v>
      </c>
      <c r="H34">
        <v>331.37317727285898</v>
      </c>
      <c r="I34">
        <v>0.69432290230131899</v>
      </c>
      <c r="J34">
        <v>0.24607248041716601</v>
      </c>
      <c r="K34">
        <v>0.70361363746899497</v>
      </c>
      <c r="L34" t="s">
        <v>33</v>
      </c>
      <c r="M34" t="s">
        <v>34</v>
      </c>
      <c r="N34" t="s">
        <v>35</v>
      </c>
      <c r="O34">
        <v>0.70366677017916102</v>
      </c>
      <c r="P34" t="s">
        <v>36</v>
      </c>
    </row>
    <row r="35" spans="1:16">
      <c r="A35">
        <v>34</v>
      </c>
      <c r="B35" t="s">
        <v>79</v>
      </c>
      <c r="C35">
        <v>49</v>
      </c>
      <c r="D35">
        <v>68</v>
      </c>
      <c r="E35">
        <v>52.536722842182598</v>
      </c>
      <c r="F35">
        <v>0.71199999999999997</v>
      </c>
      <c r="G35">
        <v>2167.78316257089</v>
      </c>
      <c r="H35">
        <v>304.78316936047202</v>
      </c>
      <c r="I35">
        <v>0.71610305533525798</v>
      </c>
      <c r="J35">
        <v>0.29325386253920399</v>
      </c>
      <c r="K35">
        <v>0.80023044003072497</v>
      </c>
      <c r="L35" t="s">
        <v>43</v>
      </c>
      <c r="M35" t="s">
        <v>34</v>
      </c>
      <c r="N35" t="s">
        <v>35</v>
      </c>
      <c r="O35">
        <v>0.78810066832813497</v>
      </c>
      <c r="P35" t="s">
        <v>36</v>
      </c>
    </row>
    <row r="36" spans="1:16">
      <c r="A36">
        <v>35</v>
      </c>
      <c r="B36" t="s">
        <v>80</v>
      </c>
      <c r="C36">
        <v>49</v>
      </c>
      <c r="D36">
        <v>73</v>
      </c>
      <c r="E36">
        <v>52.583529375603902</v>
      </c>
      <c r="F36">
        <v>0.67669176986620205</v>
      </c>
      <c r="G36">
        <v>2171.6475686200401</v>
      </c>
      <c r="H36">
        <v>386.26909457071997</v>
      </c>
      <c r="I36">
        <v>0.68557887511096505</v>
      </c>
      <c r="J36">
        <v>0.182902350586335</v>
      </c>
      <c r="K36">
        <v>0.67584069568435201</v>
      </c>
      <c r="L36" t="s">
        <v>43</v>
      </c>
      <c r="M36" t="s">
        <v>34</v>
      </c>
      <c r="N36" t="s">
        <v>35</v>
      </c>
      <c r="O36">
        <v>0.86404279256358196</v>
      </c>
      <c r="P36" t="s">
        <v>36</v>
      </c>
    </row>
    <row r="37" spans="1:16">
      <c r="A37">
        <v>36</v>
      </c>
      <c r="B37" t="s">
        <v>81</v>
      </c>
      <c r="C37">
        <v>64</v>
      </c>
      <c r="D37">
        <v>75</v>
      </c>
      <c r="E37">
        <v>52.596124017642801</v>
      </c>
      <c r="F37">
        <v>0.86216712506715598</v>
      </c>
      <c r="G37">
        <v>2172.6879856332698</v>
      </c>
      <c r="H37">
        <v>423.17948557687799</v>
      </c>
      <c r="I37">
        <v>0.55916625058148794</v>
      </c>
      <c r="J37">
        <v>0.15246073680348399</v>
      </c>
      <c r="K37">
        <v>0.61124817060422298</v>
      </c>
      <c r="L37" t="s">
        <v>47</v>
      </c>
      <c r="M37" t="s">
        <v>34</v>
      </c>
      <c r="N37" t="s">
        <v>35</v>
      </c>
      <c r="O37">
        <v>0.92157499559772504</v>
      </c>
      <c r="P37" t="s">
        <v>36</v>
      </c>
    </row>
    <row r="38" spans="1:16">
      <c r="A38">
        <v>37</v>
      </c>
      <c r="B38" t="s">
        <v>82</v>
      </c>
      <c r="C38">
        <v>58</v>
      </c>
      <c r="D38">
        <v>73</v>
      </c>
      <c r="E38">
        <v>52.739849177009397</v>
      </c>
      <c r="F38">
        <v>0.79850746268656703</v>
      </c>
      <c r="G38">
        <v>2184.5784657845002</v>
      </c>
      <c r="H38">
        <v>433.85134935690002</v>
      </c>
      <c r="I38">
        <v>0.611407621163221</v>
      </c>
      <c r="J38">
        <v>0.14584636427668499</v>
      </c>
      <c r="K38">
        <v>0.60016333197223404</v>
      </c>
      <c r="L38" t="s">
        <v>43</v>
      </c>
      <c r="M38" t="s">
        <v>34</v>
      </c>
      <c r="N38" t="s">
        <v>35</v>
      </c>
      <c r="O38">
        <v>0.75607284305414502</v>
      </c>
      <c r="P38" t="s">
        <v>36</v>
      </c>
    </row>
    <row r="39" spans="1:16">
      <c r="A39">
        <v>38</v>
      </c>
      <c r="B39" t="s">
        <v>83</v>
      </c>
      <c r="C39">
        <v>74</v>
      </c>
      <c r="D39">
        <v>49</v>
      </c>
      <c r="E39">
        <v>52.867077987396897</v>
      </c>
      <c r="F39">
        <v>1.5201330510509801</v>
      </c>
      <c r="G39">
        <v>2195.13126691872</v>
      </c>
      <c r="H39">
        <v>373.37096626312803</v>
      </c>
      <c r="I39">
        <v>0.60745845570274404</v>
      </c>
      <c r="J39">
        <v>0.197874245722758</v>
      </c>
      <c r="K39">
        <v>0.69484827099505997</v>
      </c>
      <c r="L39" t="s">
        <v>33</v>
      </c>
      <c r="M39" t="s">
        <v>34</v>
      </c>
      <c r="N39" t="s">
        <v>35</v>
      </c>
      <c r="O39">
        <v>0.73301812576983305</v>
      </c>
      <c r="P39" t="s">
        <v>36</v>
      </c>
    </row>
    <row r="40" spans="1:16">
      <c r="A40">
        <v>39</v>
      </c>
      <c r="B40" t="s">
        <v>84</v>
      </c>
      <c r="C40">
        <v>53</v>
      </c>
      <c r="D40">
        <v>63</v>
      </c>
      <c r="E40">
        <v>52.906438909148598</v>
      </c>
      <c r="F40">
        <v>0.83620687500616597</v>
      </c>
      <c r="G40">
        <v>2198.4011489602999</v>
      </c>
      <c r="H40">
        <v>361.37618365443302</v>
      </c>
      <c r="I40">
        <v>0.76095165382916397</v>
      </c>
      <c r="J40">
        <v>0.21154255821406501</v>
      </c>
      <c r="K40">
        <v>0.72000194713527699</v>
      </c>
      <c r="L40" t="s">
        <v>49</v>
      </c>
      <c r="M40" t="s">
        <v>34</v>
      </c>
      <c r="N40" t="s">
        <v>35</v>
      </c>
      <c r="O40">
        <v>0.75720196549829</v>
      </c>
      <c r="P40" t="s">
        <v>36</v>
      </c>
    </row>
    <row r="41" spans="1:16">
      <c r="A41">
        <v>40</v>
      </c>
      <c r="B41" t="s">
        <v>85</v>
      </c>
      <c r="C41">
        <v>52</v>
      </c>
      <c r="D41">
        <v>83</v>
      </c>
      <c r="E41">
        <v>52.9868588157535</v>
      </c>
      <c r="F41">
        <v>0.62620376783474097</v>
      </c>
      <c r="G41">
        <v>2205.0895440453701</v>
      </c>
      <c r="H41">
        <v>289.72686896883903</v>
      </c>
      <c r="I41">
        <v>0.855587502990517</v>
      </c>
      <c r="J41">
        <v>0.33010989906150601</v>
      </c>
      <c r="K41">
        <v>0.74541526403054803</v>
      </c>
      <c r="L41" t="s">
        <v>33</v>
      </c>
      <c r="M41" t="s">
        <v>34</v>
      </c>
      <c r="N41" t="s">
        <v>35</v>
      </c>
      <c r="O41">
        <v>0.79564168975947203</v>
      </c>
      <c r="P41" t="s">
        <v>36</v>
      </c>
    </row>
    <row r="42" spans="1:16">
      <c r="A42">
        <v>41</v>
      </c>
      <c r="B42" t="s">
        <v>86</v>
      </c>
      <c r="C42">
        <v>53</v>
      </c>
      <c r="D42">
        <v>64</v>
      </c>
      <c r="E42">
        <v>53.0546740277372</v>
      </c>
      <c r="F42">
        <v>0.83760683760683796</v>
      </c>
      <c r="G42">
        <v>2210.7375221172001</v>
      </c>
      <c r="H42">
        <v>333.79593312263501</v>
      </c>
      <c r="I42">
        <v>0.44506683962159999</v>
      </c>
      <c r="J42">
        <v>0.24933598643931101</v>
      </c>
      <c r="K42">
        <v>0.77630480167014604</v>
      </c>
      <c r="L42" t="s">
        <v>33</v>
      </c>
      <c r="M42" t="s">
        <v>34</v>
      </c>
      <c r="N42" t="s">
        <v>35</v>
      </c>
      <c r="O42">
        <v>0.714838084958616</v>
      </c>
      <c r="P42" t="s">
        <v>36</v>
      </c>
    </row>
    <row r="43" spans="1:16">
      <c r="A43">
        <v>42</v>
      </c>
      <c r="B43" t="s">
        <v>87</v>
      </c>
      <c r="C43">
        <v>93</v>
      </c>
      <c r="D43">
        <v>58</v>
      </c>
      <c r="E43">
        <v>53.072505733960298</v>
      </c>
      <c r="F43">
        <v>1.5981307838127301</v>
      </c>
      <c r="G43">
        <v>2212.2238321361101</v>
      </c>
      <c r="H43">
        <v>496.42570509537398</v>
      </c>
      <c r="I43">
        <v>0.60352936957370595</v>
      </c>
      <c r="J43">
        <v>0.11280553458979201</v>
      </c>
      <c r="K43">
        <v>0.53315184296306894</v>
      </c>
      <c r="L43" t="s">
        <v>43</v>
      </c>
      <c r="M43" t="s">
        <v>34</v>
      </c>
      <c r="N43" t="s">
        <v>35</v>
      </c>
      <c r="O43">
        <v>0.68703266128283402</v>
      </c>
      <c r="P43" t="s">
        <v>36</v>
      </c>
    </row>
    <row r="44" spans="1:16">
      <c r="A44">
        <v>43</v>
      </c>
      <c r="B44" t="s">
        <v>88</v>
      </c>
      <c r="C44">
        <v>133</v>
      </c>
      <c r="D44">
        <v>60</v>
      </c>
      <c r="E44">
        <v>53.074288575075897</v>
      </c>
      <c r="F44">
        <v>2.2240311253907299</v>
      </c>
      <c r="G44">
        <v>2212.3724631380001</v>
      </c>
      <c r="H44">
        <v>647.83174827544599</v>
      </c>
      <c r="I44">
        <v>0.55036418928225594</v>
      </c>
      <c r="J44">
        <v>6.6243558341832598E-2</v>
      </c>
      <c r="K44">
        <v>0.40623891269343099</v>
      </c>
      <c r="L44" t="s">
        <v>33</v>
      </c>
      <c r="M44" t="s">
        <v>34</v>
      </c>
      <c r="N44" t="s">
        <v>35</v>
      </c>
      <c r="O44">
        <v>0.83488116867622997</v>
      </c>
      <c r="P44" t="s">
        <v>36</v>
      </c>
    </row>
    <row r="45" spans="1:16">
      <c r="A45">
        <v>44</v>
      </c>
      <c r="B45" t="s">
        <v>89</v>
      </c>
      <c r="C45">
        <v>68</v>
      </c>
      <c r="D45">
        <v>49</v>
      </c>
      <c r="E45">
        <v>53.086766786410102</v>
      </c>
      <c r="F45">
        <v>1.40449438202247</v>
      </c>
      <c r="G45">
        <v>2213.4128801512302</v>
      </c>
      <c r="H45">
        <v>243.28984616611299</v>
      </c>
      <c r="I45">
        <v>0.75633065966311996</v>
      </c>
      <c r="J45">
        <v>0.46992043291432201</v>
      </c>
      <c r="K45">
        <v>0.87744520386518998</v>
      </c>
      <c r="L45" t="s">
        <v>33</v>
      </c>
      <c r="M45" t="s">
        <v>34</v>
      </c>
      <c r="N45" t="s">
        <v>35</v>
      </c>
      <c r="O45">
        <v>0.68798535231200697</v>
      </c>
      <c r="P45" t="s">
        <v>36</v>
      </c>
    </row>
    <row r="46" spans="1:16">
      <c r="A46">
        <v>45</v>
      </c>
      <c r="B46" t="s">
        <v>90</v>
      </c>
      <c r="C46">
        <v>49</v>
      </c>
      <c r="D46">
        <v>93</v>
      </c>
      <c r="E46">
        <v>53.090331450962502</v>
      </c>
      <c r="F46">
        <v>0.52941176470588203</v>
      </c>
      <c r="G46">
        <v>2213.7101421550101</v>
      </c>
      <c r="H46">
        <v>463.41597813170898</v>
      </c>
      <c r="I46">
        <v>0.81530945324842197</v>
      </c>
      <c r="J46">
        <v>0.12953544198477801</v>
      </c>
      <c r="K46">
        <v>0.61284615068098602</v>
      </c>
      <c r="L46" t="s">
        <v>47</v>
      </c>
      <c r="M46" t="s">
        <v>34</v>
      </c>
      <c r="N46" t="s">
        <v>35</v>
      </c>
      <c r="O46">
        <v>0.94341624976370697</v>
      </c>
      <c r="P46" t="s">
        <v>36</v>
      </c>
    </row>
    <row r="47" spans="1:16">
      <c r="A47">
        <v>46</v>
      </c>
      <c r="B47" t="s">
        <v>91</v>
      </c>
      <c r="C47">
        <v>62</v>
      </c>
      <c r="D47">
        <v>51</v>
      </c>
      <c r="E47">
        <v>53.216722346315798</v>
      </c>
      <c r="F47">
        <v>1.21514532002251</v>
      </c>
      <c r="G47">
        <v>2224.26294328923</v>
      </c>
      <c r="H47">
        <v>218.02665008659</v>
      </c>
      <c r="I47">
        <v>0.66867484862645898</v>
      </c>
      <c r="J47">
        <v>0.58799932349984196</v>
      </c>
      <c r="K47">
        <v>0.85631723506523205</v>
      </c>
      <c r="L47" t="s">
        <v>38</v>
      </c>
      <c r="M47" t="s">
        <v>34</v>
      </c>
      <c r="N47" t="s">
        <v>35</v>
      </c>
      <c r="O47">
        <v>0.83788403247963705</v>
      </c>
      <c r="P47" t="s">
        <v>36</v>
      </c>
    </row>
    <row r="48" spans="1:16">
      <c r="A48">
        <v>47</v>
      </c>
      <c r="B48" t="s">
        <v>92</v>
      </c>
      <c r="C48">
        <v>46</v>
      </c>
      <c r="D48">
        <v>108</v>
      </c>
      <c r="E48">
        <v>53.262931311406</v>
      </c>
      <c r="F48">
        <v>0.43018096744358902</v>
      </c>
      <c r="G48">
        <v>2228.1273493383701</v>
      </c>
      <c r="H48">
        <v>484.18903620212001</v>
      </c>
      <c r="I48">
        <v>0.86370556524439301</v>
      </c>
      <c r="J48">
        <v>0.11943179815354101</v>
      </c>
      <c r="K48">
        <v>0.54228765735783502</v>
      </c>
      <c r="L48" t="s">
        <v>47</v>
      </c>
      <c r="M48" t="s">
        <v>34</v>
      </c>
      <c r="N48" t="s">
        <v>35</v>
      </c>
      <c r="O48">
        <v>0.95229627302015296</v>
      </c>
      <c r="P48" t="s">
        <v>36</v>
      </c>
    </row>
    <row r="49" spans="1:16">
      <c r="A49">
        <v>48</v>
      </c>
      <c r="B49" t="s">
        <v>93</v>
      </c>
      <c r="C49">
        <v>55</v>
      </c>
      <c r="D49">
        <v>72</v>
      </c>
      <c r="E49">
        <v>53.4261190416088</v>
      </c>
      <c r="F49">
        <v>0.75982758568928199</v>
      </c>
      <c r="G49">
        <v>2241.8014015122899</v>
      </c>
      <c r="H49">
        <v>365.51873398148501</v>
      </c>
      <c r="I49">
        <v>0.674572763292142</v>
      </c>
      <c r="J49">
        <v>0.210856852154227</v>
      </c>
      <c r="K49">
        <v>0.62827508643312402</v>
      </c>
      <c r="L49" t="s">
        <v>72</v>
      </c>
      <c r="M49" t="s">
        <v>34</v>
      </c>
      <c r="N49" t="s">
        <v>35</v>
      </c>
      <c r="O49">
        <v>0.90064113156665304</v>
      </c>
      <c r="P49" t="s">
        <v>36</v>
      </c>
    </row>
    <row r="50" spans="1:16">
      <c r="A50">
        <v>49</v>
      </c>
      <c r="B50" t="s">
        <v>94</v>
      </c>
      <c r="C50">
        <v>81</v>
      </c>
      <c r="D50">
        <v>49</v>
      </c>
      <c r="E50">
        <v>53.452678500575303</v>
      </c>
      <c r="F50">
        <v>1.65432256163988</v>
      </c>
      <c r="G50">
        <v>2244.0308665406401</v>
      </c>
      <c r="H50">
        <v>306.53506355741803</v>
      </c>
      <c r="I50">
        <v>0.55566074790475695</v>
      </c>
      <c r="J50">
        <v>0.30010855231393402</v>
      </c>
      <c r="K50">
        <v>0.77949300428519797</v>
      </c>
      <c r="L50" t="s">
        <v>33</v>
      </c>
      <c r="M50" t="s">
        <v>34</v>
      </c>
      <c r="N50" t="s">
        <v>35</v>
      </c>
      <c r="O50">
        <v>0.81385568993330604</v>
      </c>
      <c r="P50" t="s">
        <v>36</v>
      </c>
    </row>
    <row r="51" spans="1:16">
      <c r="A51">
        <v>50</v>
      </c>
      <c r="B51" t="s">
        <v>95</v>
      </c>
      <c r="C51">
        <v>87</v>
      </c>
      <c r="D51">
        <v>58</v>
      </c>
      <c r="E51">
        <v>53.457988808908702</v>
      </c>
      <c r="F51">
        <v>1.49532710280374</v>
      </c>
      <c r="G51">
        <v>2244.4767595463099</v>
      </c>
      <c r="H51">
        <v>557.80943388804201</v>
      </c>
      <c r="I51">
        <v>0.68301214641336405</v>
      </c>
      <c r="J51">
        <v>9.0646964823603807E-2</v>
      </c>
      <c r="K51">
        <v>0.61048673997412695</v>
      </c>
      <c r="L51" t="s">
        <v>47</v>
      </c>
      <c r="M51" t="s">
        <v>34</v>
      </c>
      <c r="N51" t="s">
        <v>35</v>
      </c>
      <c r="O51">
        <v>0.68915464798928905</v>
      </c>
      <c r="P51" t="s">
        <v>36</v>
      </c>
    </row>
    <row r="52" spans="1:16">
      <c r="A52">
        <v>51</v>
      </c>
      <c r="B52" t="s">
        <v>96</v>
      </c>
      <c r="C52">
        <v>92</v>
      </c>
      <c r="D52">
        <v>51</v>
      </c>
      <c r="E52">
        <v>53.548183478261898</v>
      </c>
      <c r="F52">
        <v>1.82065125058213</v>
      </c>
      <c r="G52">
        <v>2252.0569406427198</v>
      </c>
      <c r="H52">
        <v>414.56560171770002</v>
      </c>
      <c r="I52">
        <v>0.711233515367798</v>
      </c>
      <c r="J52">
        <v>0.16466553253236299</v>
      </c>
      <c r="K52">
        <v>0.58790206805571699</v>
      </c>
      <c r="L52" t="s">
        <v>43</v>
      </c>
      <c r="M52" t="s">
        <v>34</v>
      </c>
      <c r="N52" t="s">
        <v>35</v>
      </c>
      <c r="O52">
        <v>0.81851715877976094</v>
      </c>
      <c r="P52" t="s">
        <v>36</v>
      </c>
    </row>
    <row r="53" spans="1:16">
      <c r="A53">
        <v>52</v>
      </c>
      <c r="B53" t="s">
        <v>97</v>
      </c>
      <c r="C53">
        <v>83</v>
      </c>
      <c r="D53">
        <v>49</v>
      </c>
      <c r="E53">
        <v>53.553484316420899</v>
      </c>
      <c r="F53">
        <v>1.68888888888889</v>
      </c>
      <c r="G53">
        <v>2252.5028336483902</v>
      </c>
      <c r="H53">
        <v>374.91307389518499</v>
      </c>
      <c r="I53">
        <v>0.69334292734802005</v>
      </c>
      <c r="J53">
        <v>0.20137893483142</v>
      </c>
      <c r="K53">
        <v>0.72176977663475705</v>
      </c>
      <c r="L53" t="s">
        <v>49</v>
      </c>
      <c r="M53" t="s">
        <v>34</v>
      </c>
      <c r="N53" t="s">
        <v>35</v>
      </c>
      <c r="O53">
        <v>0.84186216363704103</v>
      </c>
      <c r="P53" t="s">
        <v>36</v>
      </c>
    </row>
    <row r="54" spans="1:16">
      <c r="A54">
        <v>53</v>
      </c>
      <c r="B54" t="s">
        <v>98</v>
      </c>
      <c r="C54">
        <v>68</v>
      </c>
      <c r="D54">
        <v>58</v>
      </c>
      <c r="E54">
        <v>53.682310046041401</v>
      </c>
      <c r="F54">
        <v>1.1682243230551399</v>
      </c>
      <c r="G54">
        <v>2263.3528967863899</v>
      </c>
      <c r="H54">
        <v>440.65854181828701</v>
      </c>
      <c r="I54">
        <v>0.62531009108131397</v>
      </c>
      <c r="J54">
        <v>0.14647305894440801</v>
      </c>
      <c r="K54">
        <v>0.63967067125934596</v>
      </c>
      <c r="L54" t="s">
        <v>49</v>
      </c>
      <c r="M54" t="s">
        <v>34</v>
      </c>
      <c r="N54" t="s">
        <v>35</v>
      </c>
      <c r="O54">
        <v>0.67849082356567303</v>
      </c>
      <c r="P54" t="s">
        <v>36</v>
      </c>
    </row>
    <row r="55" spans="1:16">
      <c r="A55">
        <v>54</v>
      </c>
      <c r="B55" t="s">
        <v>99</v>
      </c>
      <c r="C55">
        <v>52</v>
      </c>
      <c r="D55">
        <v>63</v>
      </c>
      <c r="E55">
        <v>53.6911224153977</v>
      </c>
      <c r="F55">
        <v>0.82997123122511596</v>
      </c>
      <c r="G55">
        <v>2264.0960517958401</v>
      </c>
      <c r="H55">
        <v>251.88103254411499</v>
      </c>
      <c r="I55">
        <v>0.71598252794676498</v>
      </c>
      <c r="J55">
        <v>0.44844974509769903</v>
      </c>
      <c r="K55">
        <v>0.85887460532250803</v>
      </c>
      <c r="L55" t="s">
        <v>33</v>
      </c>
      <c r="M55" t="s">
        <v>34</v>
      </c>
      <c r="N55" t="s">
        <v>35</v>
      </c>
      <c r="O55">
        <v>0.69925199093800205</v>
      </c>
      <c r="P55" t="s">
        <v>36</v>
      </c>
    </row>
    <row r="56" spans="1:16">
      <c r="A56">
        <v>55</v>
      </c>
      <c r="B56" t="s">
        <v>100</v>
      </c>
      <c r="C56">
        <v>43</v>
      </c>
      <c r="D56">
        <v>108</v>
      </c>
      <c r="E56">
        <v>53.710504538555597</v>
      </c>
      <c r="F56">
        <v>0.39431895142517398</v>
      </c>
      <c r="G56">
        <v>2265.7309928166401</v>
      </c>
      <c r="H56">
        <v>513.95015629913496</v>
      </c>
      <c r="I56">
        <v>0.81350473456773997</v>
      </c>
      <c r="J56">
        <v>0.107789437229682</v>
      </c>
      <c r="K56">
        <v>0.54961061436400305</v>
      </c>
      <c r="L56" t="s">
        <v>101</v>
      </c>
      <c r="M56" t="s">
        <v>34</v>
      </c>
      <c r="N56" t="s">
        <v>35</v>
      </c>
      <c r="O56">
        <v>0.67529275549429901</v>
      </c>
      <c r="P56" t="s">
        <v>36</v>
      </c>
    </row>
    <row r="57" spans="1:16">
      <c r="A57">
        <v>56</v>
      </c>
      <c r="B57" t="s">
        <v>102</v>
      </c>
      <c r="C57">
        <v>72</v>
      </c>
      <c r="D57">
        <v>50</v>
      </c>
      <c r="E57">
        <v>53.733401670520998</v>
      </c>
      <c r="F57">
        <v>1.4448978202354601</v>
      </c>
      <c r="G57">
        <v>2267.6631958412099</v>
      </c>
      <c r="H57">
        <v>242.62838675177599</v>
      </c>
      <c r="I57">
        <v>0.48172961482729898</v>
      </c>
      <c r="J57">
        <v>0.48406668526038898</v>
      </c>
      <c r="K57">
        <v>0.857713064987632</v>
      </c>
      <c r="L57" t="s">
        <v>47</v>
      </c>
      <c r="M57" t="s">
        <v>34</v>
      </c>
      <c r="N57" t="s">
        <v>35</v>
      </c>
      <c r="O57">
        <v>0.93392024589087597</v>
      </c>
      <c r="P57" t="s">
        <v>36</v>
      </c>
    </row>
    <row r="58" spans="1:16">
      <c r="A58">
        <v>57</v>
      </c>
      <c r="B58" t="s">
        <v>103</v>
      </c>
      <c r="C58">
        <v>79</v>
      </c>
      <c r="D58">
        <v>54</v>
      </c>
      <c r="E58">
        <v>53.784444761397097</v>
      </c>
      <c r="F58">
        <v>1.45969362170207</v>
      </c>
      <c r="G58">
        <v>2271.9734948960299</v>
      </c>
      <c r="H58">
        <v>296.45656674820401</v>
      </c>
      <c r="I58">
        <v>0.61122468112394701</v>
      </c>
      <c r="J58">
        <v>0.32485606176876902</v>
      </c>
      <c r="K58">
        <v>0.734021608643457</v>
      </c>
      <c r="L58" t="s">
        <v>43</v>
      </c>
      <c r="M58" t="s">
        <v>34</v>
      </c>
      <c r="N58" t="s">
        <v>35</v>
      </c>
      <c r="O58">
        <v>0.74130970093860404</v>
      </c>
      <c r="P58" t="s">
        <v>36</v>
      </c>
    </row>
    <row r="59" spans="1:16">
      <c r="A59">
        <v>58</v>
      </c>
      <c r="B59" t="s">
        <v>104</v>
      </c>
      <c r="C59">
        <v>65</v>
      </c>
      <c r="D59">
        <v>52</v>
      </c>
      <c r="E59">
        <v>53.787963189082902</v>
      </c>
      <c r="F59">
        <v>1.2499425104323101</v>
      </c>
      <c r="G59">
        <v>2272.2707568998098</v>
      </c>
      <c r="H59">
        <v>237.65058316935699</v>
      </c>
      <c r="I59">
        <v>0.67098731952441104</v>
      </c>
      <c r="J59">
        <v>0.50558266484863401</v>
      </c>
      <c r="K59">
        <v>0.87771271098863202</v>
      </c>
      <c r="L59" t="s">
        <v>49</v>
      </c>
      <c r="M59" t="s">
        <v>34</v>
      </c>
      <c r="N59" t="s">
        <v>35</v>
      </c>
      <c r="O59">
        <v>0.79062794013315896</v>
      </c>
      <c r="P59" t="s">
        <v>36</v>
      </c>
    </row>
    <row r="60" spans="1:16">
      <c r="A60">
        <v>59</v>
      </c>
      <c r="B60" t="s">
        <v>105</v>
      </c>
      <c r="C60">
        <v>53</v>
      </c>
      <c r="D60">
        <v>74</v>
      </c>
      <c r="E60">
        <v>53.793240399121501</v>
      </c>
      <c r="F60">
        <v>0.718518518518519</v>
      </c>
      <c r="G60">
        <v>2272.7166499054802</v>
      </c>
      <c r="H60">
        <v>396.050907894528</v>
      </c>
      <c r="I60">
        <v>0.62393855828693601</v>
      </c>
      <c r="J60">
        <v>0.18207617917332999</v>
      </c>
      <c r="K60">
        <v>0.75473840078973298</v>
      </c>
      <c r="L60" t="s">
        <v>43</v>
      </c>
      <c r="M60" t="s">
        <v>34</v>
      </c>
      <c r="N60" t="s">
        <v>35</v>
      </c>
      <c r="O60">
        <v>0.89108363543354197</v>
      </c>
      <c r="P60" t="s">
        <v>36</v>
      </c>
    </row>
    <row r="61" spans="1:16">
      <c r="A61">
        <v>60</v>
      </c>
      <c r="B61" t="s">
        <v>106</v>
      </c>
      <c r="C61">
        <v>61</v>
      </c>
      <c r="D61">
        <v>64</v>
      </c>
      <c r="E61">
        <v>53.820256077730598</v>
      </c>
      <c r="F61">
        <v>0.95804195960620098</v>
      </c>
      <c r="G61">
        <v>2275</v>
      </c>
      <c r="H61">
        <v>261.42135381698603</v>
      </c>
      <c r="I61">
        <v>0.67019285773758996</v>
      </c>
      <c r="J61">
        <v>0.418320498369671</v>
      </c>
      <c r="K61">
        <v>0.76150627615062805</v>
      </c>
      <c r="L61" t="s">
        <v>33</v>
      </c>
      <c r="M61" t="s">
        <v>34</v>
      </c>
      <c r="N61" t="s">
        <v>35</v>
      </c>
      <c r="O61">
        <v>0.79830256252159204</v>
      </c>
      <c r="P61" t="s">
        <v>36</v>
      </c>
    </row>
    <row r="62" spans="1:16">
      <c r="A62">
        <v>61</v>
      </c>
      <c r="B62" t="s">
        <v>107</v>
      </c>
      <c r="C62">
        <v>49</v>
      </c>
      <c r="D62">
        <v>78</v>
      </c>
      <c r="E62">
        <v>53.886385893880899</v>
      </c>
      <c r="F62">
        <v>0.62237762237762195</v>
      </c>
      <c r="G62">
        <v>2280.5940930056699</v>
      </c>
      <c r="H62">
        <v>356.585469155726</v>
      </c>
      <c r="I62">
        <v>0.79423850334080304</v>
      </c>
      <c r="J62">
        <v>0.22538788887685601</v>
      </c>
      <c r="K62">
        <v>0.72363704961328001</v>
      </c>
      <c r="L62" t="s">
        <v>33</v>
      </c>
      <c r="M62" t="s">
        <v>34</v>
      </c>
      <c r="N62" t="s">
        <v>35</v>
      </c>
      <c r="O62">
        <v>0.79566264745975002</v>
      </c>
      <c r="P62" t="s">
        <v>36</v>
      </c>
    </row>
    <row r="63" spans="1:16">
      <c r="A63">
        <v>62</v>
      </c>
      <c r="B63" t="s">
        <v>108</v>
      </c>
      <c r="C63">
        <v>76</v>
      </c>
      <c r="D63">
        <v>70</v>
      </c>
      <c r="E63">
        <v>53.954824219918301</v>
      </c>
      <c r="F63">
        <v>1.0896842718400399</v>
      </c>
      <c r="G63">
        <v>2286.3907020793999</v>
      </c>
      <c r="H63">
        <v>460.19947098472801</v>
      </c>
      <c r="I63">
        <v>0.68482725082948603</v>
      </c>
      <c r="J63">
        <v>0.13566508121958601</v>
      </c>
      <c r="K63">
        <v>0.54623251189546196</v>
      </c>
      <c r="L63" t="s">
        <v>33</v>
      </c>
      <c r="M63" t="s">
        <v>34</v>
      </c>
      <c r="N63" t="s">
        <v>35</v>
      </c>
      <c r="O63">
        <v>0.75658189040644397</v>
      </c>
      <c r="P63" t="s">
        <v>36</v>
      </c>
    </row>
    <row r="64" spans="1:16">
      <c r="A64">
        <v>63</v>
      </c>
      <c r="B64" t="s">
        <v>109</v>
      </c>
      <c r="C64">
        <v>72</v>
      </c>
      <c r="D64">
        <v>60</v>
      </c>
      <c r="E64">
        <v>53.967911378722903</v>
      </c>
      <c r="F64">
        <v>1.1851850886531401</v>
      </c>
      <c r="G64">
        <v>2287.5</v>
      </c>
      <c r="H64">
        <v>387.48736917972599</v>
      </c>
      <c r="I64">
        <v>0.57061585047588703</v>
      </c>
      <c r="J64">
        <v>0.19145021825005101</v>
      </c>
      <c r="K64">
        <v>0.6</v>
      </c>
      <c r="L64" t="s">
        <v>33</v>
      </c>
      <c r="M64" t="s">
        <v>34</v>
      </c>
      <c r="N64" t="s">
        <v>35</v>
      </c>
      <c r="O64">
        <v>0.84517190841767298</v>
      </c>
      <c r="P64" t="s">
        <v>36</v>
      </c>
    </row>
    <row r="65" spans="1:16">
      <c r="A65">
        <v>64</v>
      </c>
      <c r="B65" t="s">
        <v>110</v>
      </c>
      <c r="C65">
        <v>64</v>
      </c>
      <c r="D65">
        <v>57</v>
      </c>
      <c r="E65">
        <v>53.984629158477603</v>
      </c>
      <c r="F65">
        <v>1.1377693612187001</v>
      </c>
      <c r="G65">
        <v>2288.9174291115301</v>
      </c>
      <c r="H65">
        <v>255.84589602594801</v>
      </c>
      <c r="I65">
        <v>0.68523224060572296</v>
      </c>
      <c r="J65">
        <v>0.439423299031034</v>
      </c>
      <c r="K65">
        <v>0.82542745350270696</v>
      </c>
      <c r="L65" t="s">
        <v>49</v>
      </c>
      <c r="M65" t="s">
        <v>34</v>
      </c>
      <c r="N65" t="s">
        <v>35</v>
      </c>
      <c r="O65">
        <v>0.78312937153637396</v>
      </c>
      <c r="P65" t="s">
        <v>36</v>
      </c>
    </row>
    <row r="66" spans="1:16">
      <c r="A66">
        <v>65</v>
      </c>
      <c r="B66" t="s">
        <v>111</v>
      </c>
      <c r="C66">
        <v>68</v>
      </c>
      <c r="D66">
        <v>64</v>
      </c>
      <c r="E66">
        <v>53.998649319513397</v>
      </c>
      <c r="F66">
        <v>1.0683760683760699</v>
      </c>
      <c r="G66">
        <v>2290.1064771266501</v>
      </c>
      <c r="H66">
        <v>472.061961710557</v>
      </c>
      <c r="I66">
        <v>0.729787096025453</v>
      </c>
      <c r="J66">
        <v>0.12914200520098701</v>
      </c>
      <c r="K66">
        <v>0.65747813100064001</v>
      </c>
      <c r="L66" t="s">
        <v>33</v>
      </c>
      <c r="M66" t="s">
        <v>34</v>
      </c>
      <c r="N66" t="s">
        <v>35</v>
      </c>
      <c r="O66">
        <v>0.71511002219874098</v>
      </c>
      <c r="P66" t="s">
        <v>36</v>
      </c>
    </row>
    <row r="67" spans="1:16">
      <c r="A67">
        <v>66</v>
      </c>
      <c r="B67" t="s">
        <v>112</v>
      </c>
      <c r="C67">
        <v>49</v>
      </c>
      <c r="D67">
        <v>73</v>
      </c>
      <c r="E67">
        <v>54.009162051885902</v>
      </c>
      <c r="F67">
        <v>0.66417914186828197</v>
      </c>
      <c r="G67">
        <v>2290.9982631379999</v>
      </c>
      <c r="H67">
        <v>304.19920462815702</v>
      </c>
      <c r="I67">
        <v>0.65872080805084798</v>
      </c>
      <c r="J67">
        <v>0.31111322700962402</v>
      </c>
      <c r="K67">
        <v>0.78450732899022801</v>
      </c>
      <c r="L67" t="s">
        <v>72</v>
      </c>
      <c r="M67" t="s">
        <v>34</v>
      </c>
      <c r="N67" t="s">
        <v>35</v>
      </c>
      <c r="O67">
        <v>0.75047919579210298</v>
      </c>
      <c r="P67" t="s">
        <v>36</v>
      </c>
    </row>
    <row r="68" spans="1:16">
      <c r="A68">
        <v>67</v>
      </c>
      <c r="B68" t="s">
        <v>113</v>
      </c>
      <c r="C68">
        <v>112</v>
      </c>
      <c r="D68">
        <v>44</v>
      </c>
      <c r="E68">
        <v>54.016169403462797</v>
      </c>
      <c r="F68">
        <v>2.5625</v>
      </c>
      <c r="G68">
        <v>2291.5927871455601</v>
      </c>
      <c r="H68">
        <v>415.28185833288302</v>
      </c>
      <c r="I68">
        <v>0.83433812934733997</v>
      </c>
      <c r="J68">
        <v>0.166978821692329</v>
      </c>
      <c r="K68">
        <v>0.71785082409907797</v>
      </c>
      <c r="L68" t="s">
        <v>43</v>
      </c>
      <c r="M68" t="s">
        <v>34</v>
      </c>
      <c r="N68" t="s">
        <v>35</v>
      </c>
      <c r="O68">
        <v>0.81246932716966003</v>
      </c>
      <c r="P68" t="s">
        <v>36</v>
      </c>
    </row>
    <row r="69" spans="1:16">
      <c r="A69">
        <v>68</v>
      </c>
      <c r="B69" t="s">
        <v>114</v>
      </c>
      <c r="C69">
        <v>63</v>
      </c>
      <c r="D69">
        <v>78</v>
      </c>
      <c r="E69">
        <v>54.019672738382603</v>
      </c>
      <c r="F69">
        <v>0.81118881118881103</v>
      </c>
      <c r="G69">
        <v>2291.89004914934</v>
      </c>
      <c r="H69">
        <v>554.14125389161302</v>
      </c>
      <c r="I69">
        <v>0.45923205978342702</v>
      </c>
      <c r="J69">
        <v>9.3791326218432697E-2</v>
      </c>
      <c r="K69">
        <v>0.53793825222396696</v>
      </c>
      <c r="L69" t="s">
        <v>33</v>
      </c>
      <c r="M69" t="s">
        <v>34</v>
      </c>
      <c r="N69" t="s">
        <v>35</v>
      </c>
      <c r="O69">
        <v>0.75068918921898398</v>
      </c>
      <c r="P69" t="s">
        <v>36</v>
      </c>
    </row>
    <row r="70" spans="1:16">
      <c r="A70">
        <v>69</v>
      </c>
      <c r="B70" t="s">
        <v>115</v>
      </c>
      <c r="C70">
        <v>83</v>
      </c>
      <c r="D70">
        <v>53</v>
      </c>
      <c r="E70">
        <v>54.070445586920997</v>
      </c>
      <c r="F70">
        <v>1.5510204081632699</v>
      </c>
      <c r="G70">
        <v>2296.20034820416</v>
      </c>
      <c r="H70">
        <v>369.83507814956698</v>
      </c>
      <c r="I70">
        <v>0.66020469212202304</v>
      </c>
      <c r="J70">
        <v>0.210961614722186</v>
      </c>
      <c r="K70">
        <v>0.736648865153538</v>
      </c>
      <c r="L70" t="s">
        <v>47</v>
      </c>
      <c r="M70" t="s">
        <v>34</v>
      </c>
      <c r="N70" t="s">
        <v>35</v>
      </c>
      <c r="O70">
        <v>0.94863786920484505</v>
      </c>
      <c r="P70" t="s">
        <v>36</v>
      </c>
    </row>
    <row r="71" spans="1:16">
      <c r="A71">
        <v>70</v>
      </c>
      <c r="B71" t="s">
        <v>116</v>
      </c>
      <c r="C71">
        <v>98</v>
      </c>
      <c r="D71">
        <v>58</v>
      </c>
      <c r="E71">
        <v>54.103684721861697</v>
      </c>
      <c r="F71">
        <v>1.69219444802909</v>
      </c>
      <c r="G71">
        <v>2299.0243372400801</v>
      </c>
      <c r="H71">
        <v>491.42520403177798</v>
      </c>
      <c r="I71">
        <v>0.43112900403762699</v>
      </c>
      <c r="J71">
        <v>0.119629580390332</v>
      </c>
      <c r="K71">
        <v>0.53754995655951299</v>
      </c>
      <c r="L71" t="s">
        <v>43</v>
      </c>
      <c r="M71" t="s">
        <v>34</v>
      </c>
      <c r="N71" t="s">
        <v>35</v>
      </c>
      <c r="O71">
        <v>0.79531334222678995</v>
      </c>
      <c r="P71" t="s">
        <v>36</v>
      </c>
    </row>
    <row r="72" spans="1:16">
      <c r="A72">
        <v>71</v>
      </c>
      <c r="B72" t="s">
        <v>117</v>
      </c>
      <c r="C72">
        <v>79</v>
      </c>
      <c r="D72">
        <v>83</v>
      </c>
      <c r="E72">
        <v>54.271318538652899</v>
      </c>
      <c r="F72">
        <v>0.94736842105263197</v>
      </c>
      <c r="G72">
        <v>2313.2929134215501</v>
      </c>
      <c r="H72">
        <v>695.30440865993501</v>
      </c>
      <c r="I72">
        <v>0.51146208131031401</v>
      </c>
      <c r="J72">
        <v>6.01299060474733E-2</v>
      </c>
      <c r="K72">
        <v>0.46066418042976398</v>
      </c>
      <c r="L72" t="s">
        <v>33</v>
      </c>
      <c r="M72" t="s">
        <v>34</v>
      </c>
      <c r="N72" t="s">
        <v>35</v>
      </c>
      <c r="O72">
        <v>0.65504487390174904</v>
      </c>
      <c r="P72" t="s">
        <v>36</v>
      </c>
    </row>
    <row r="73" spans="1:16">
      <c r="A73">
        <v>72</v>
      </c>
      <c r="B73" t="s">
        <v>118</v>
      </c>
      <c r="C73">
        <v>98</v>
      </c>
      <c r="D73">
        <v>54</v>
      </c>
      <c r="E73">
        <v>54.295721894938097</v>
      </c>
      <c r="F73">
        <v>1.80808080808081</v>
      </c>
      <c r="G73">
        <v>2315.3737474480199</v>
      </c>
      <c r="H73">
        <v>659.77173368329602</v>
      </c>
      <c r="I73">
        <v>0.65494984540969103</v>
      </c>
      <c r="J73">
        <v>6.6841095343532705E-2</v>
      </c>
      <c r="K73">
        <v>0.53045935914461795</v>
      </c>
      <c r="L73" t="s">
        <v>43</v>
      </c>
      <c r="M73" t="s">
        <v>34</v>
      </c>
      <c r="N73" t="s">
        <v>35</v>
      </c>
      <c r="O73">
        <v>0.85544704655109605</v>
      </c>
      <c r="P73" t="s">
        <v>36</v>
      </c>
    </row>
    <row r="74" spans="1:16">
      <c r="A74">
        <v>73</v>
      </c>
      <c r="B74" t="s">
        <v>119</v>
      </c>
      <c r="C74">
        <v>78</v>
      </c>
      <c r="D74">
        <v>49</v>
      </c>
      <c r="E74">
        <v>54.473187796831397</v>
      </c>
      <c r="F74">
        <v>1.5888888888888899</v>
      </c>
      <c r="G74">
        <v>2330.5341096408301</v>
      </c>
      <c r="H74">
        <v>564.11015629913504</v>
      </c>
      <c r="I74">
        <v>0.66019480265811703</v>
      </c>
      <c r="J74">
        <v>9.2031709654249796E-2</v>
      </c>
      <c r="K74">
        <v>0.64102039982012204</v>
      </c>
      <c r="L74" t="s">
        <v>41</v>
      </c>
      <c r="M74" t="s">
        <v>34</v>
      </c>
      <c r="N74" t="s">
        <v>35</v>
      </c>
      <c r="O74">
        <v>0.75727308910921498</v>
      </c>
      <c r="P74" t="s">
        <v>36</v>
      </c>
    </row>
    <row r="75" spans="1:16">
      <c r="A75">
        <v>74</v>
      </c>
      <c r="B75" t="s">
        <v>120</v>
      </c>
      <c r="C75">
        <v>118</v>
      </c>
      <c r="D75">
        <v>53</v>
      </c>
      <c r="E75">
        <v>54.480135464457</v>
      </c>
      <c r="F75">
        <v>2.2040816326530601</v>
      </c>
      <c r="G75">
        <v>2331.12863364839</v>
      </c>
      <c r="H75">
        <v>728.31413562360001</v>
      </c>
      <c r="I75">
        <v>0.65027942179712905</v>
      </c>
      <c r="J75">
        <v>5.5225368785136203E-2</v>
      </c>
      <c r="K75">
        <v>0.43113969981857198</v>
      </c>
      <c r="L75" t="s">
        <v>33</v>
      </c>
      <c r="M75" t="s">
        <v>34</v>
      </c>
      <c r="N75" t="s">
        <v>35</v>
      </c>
      <c r="O75">
        <v>0.68643561956805799</v>
      </c>
      <c r="P75" t="s">
        <v>36</v>
      </c>
    </row>
    <row r="76" spans="1:16">
      <c r="A76">
        <v>75</v>
      </c>
      <c r="B76" t="s">
        <v>121</v>
      </c>
      <c r="C76">
        <v>58</v>
      </c>
      <c r="D76">
        <v>64</v>
      </c>
      <c r="E76">
        <v>54.527009066089903</v>
      </c>
      <c r="F76">
        <v>0.91452990338316098</v>
      </c>
      <c r="G76">
        <v>2335.1416706994301</v>
      </c>
      <c r="H76">
        <v>469.48421649673702</v>
      </c>
      <c r="I76">
        <v>0.67545576847121802</v>
      </c>
      <c r="J76">
        <v>0.13313158580750301</v>
      </c>
      <c r="K76">
        <v>0.68175309177695798</v>
      </c>
      <c r="L76" t="s">
        <v>47</v>
      </c>
      <c r="M76" t="s">
        <v>34</v>
      </c>
      <c r="N76" t="s">
        <v>35</v>
      </c>
      <c r="O76">
        <v>0.93872518151976603</v>
      </c>
      <c r="P76" t="s">
        <v>36</v>
      </c>
    </row>
    <row r="77" spans="1:16">
      <c r="A77">
        <v>76</v>
      </c>
      <c r="B77" t="s">
        <v>122</v>
      </c>
      <c r="C77">
        <v>89</v>
      </c>
      <c r="D77">
        <v>49</v>
      </c>
      <c r="E77">
        <v>54.653540115381603</v>
      </c>
      <c r="F77">
        <v>1.79790804334402</v>
      </c>
      <c r="G77">
        <v>2345.9917338374298</v>
      </c>
      <c r="H77">
        <v>398.09948557687801</v>
      </c>
      <c r="I77">
        <v>0.54173355862093497</v>
      </c>
      <c r="J77">
        <v>0.18601720250559101</v>
      </c>
      <c r="K77">
        <v>0.66963641763183601</v>
      </c>
      <c r="L77" t="s">
        <v>33</v>
      </c>
      <c r="M77" t="s">
        <v>34</v>
      </c>
      <c r="N77" t="s">
        <v>35</v>
      </c>
      <c r="O77">
        <v>0.68488401894783901</v>
      </c>
      <c r="P77" t="s">
        <v>36</v>
      </c>
    </row>
    <row r="78" spans="1:16">
      <c r="A78">
        <v>77</v>
      </c>
      <c r="B78" t="s">
        <v>123</v>
      </c>
      <c r="C78">
        <v>58</v>
      </c>
      <c r="D78">
        <v>54</v>
      </c>
      <c r="E78">
        <v>54.665657841353102</v>
      </c>
      <c r="F78">
        <v>1.08080809326297</v>
      </c>
      <c r="G78">
        <v>2347.0321508506599</v>
      </c>
      <c r="H78">
        <v>237.70538037020199</v>
      </c>
      <c r="I78">
        <v>0.66865680713086695</v>
      </c>
      <c r="J78">
        <v>0.52197641346618695</v>
      </c>
      <c r="K78">
        <v>0.90136423311832903</v>
      </c>
      <c r="L78" t="s">
        <v>49</v>
      </c>
      <c r="M78" t="s">
        <v>34</v>
      </c>
      <c r="N78" t="s">
        <v>35</v>
      </c>
      <c r="O78">
        <v>0.79664381385207605</v>
      </c>
      <c r="P78" t="s">
        <v>36</v>
      </c>
    </row>
    <row r="79" spans="1:16">
      <c r="A79">
        <v>78</v>
      </c>
      <c r="B79" t="s">
        <v>124</v>
      </c>
      <c r="C79">
        <v>73</v>
      </c>
      <c r="D79">
        <v>64</v>
      </c>
      <c r="E79">
        <v>54.798775973143599</v>
      </c>
      <c r="F79">
        <v>1.1452991452991499</v>
      </c>
      <c r="G79">
        <v>2358.47673799622</v>
      </c>
      <c r="H79">
        <v>452.27914625955702</v>
      </c>
      <c r="I79">
        <v>0.61181414236961595</v>
      </c>
      <c r="J79">
        <v>0.14488663756051701</v>
      </c>
      <c r="K79">
        <v>0.60254414277577395</v>
      </c>
      <c r="L79" t="s">
        <v>33</v>
      </c>
      <c r="M79" t="s">
        <v>34</v>
      </c>
      <c r="N79" t="s">
        <v>35</v>
      </c>
      <c r="O79">
        <v>0.85059412112104704</v>
      </c>
      <c r="P79" t="s">
        <v>36</v>
      </c>
    </row>
    <row r="80" spans="1:16">
      <c r="A80">
        <v>79</v>
      </c>
      <c r="B80" t="s">
        <v>125</v>
      </c>
      <c r="C80">
        <v>93</v>
      </c>
      <c r="D80">
        <v>63</v>
      </c>
      <c r="E80">
        <v>54.831573592859897</v>
      </c>
      <c r="F80">
        <v>1.4655171710727499</v>
      </c>
      <c r="G80">
        <v>2361.30072703214</v>
      </c>
      <c r="H80">
        <v>699.87593435525901</v>
      </c>
      <c r="I80">
        <v>0.65823972296368205</v>
      </c>
      <c r="J80">
        <v>6.0578573761499298E-2</v>
      </c>
      <c r="K80">
        <v>0.53607099473613196</v>
      </c>
      <c r="L80" t="s">
        <v>38</v>
      </c>
      <c r="M80" t="s">
        <v>34</v>
      </c>
      <c r="N80" t="s">
        <v>35</v>
      </c>
      <c r="O80">
        <v>0.78155871843204805</v>
      </c>
      <c r="P80" t="s">
        <v>36</v>
      </c>
    </row>
    <row r="81" spans="1:16">
      <c r="A81">
        <v>80</v>
      </c>
      <c r="B81" t="s">
        <v>126</v>
      </c>
      <c r="C81">
        <v>82</v>
      </c>
      <c r="D81">
        <v>51</v>
      </c>
      <c r="E81">
        <v>55.076074207343702</v>
      </c>
      <c r="F81">
        <v>1.6000000972339501</v>
      </c>
      <c r="G81">
        <v>2382.4063293005702</v>
      </c>
      <c r="H81">
        <v>388.97913166740699</v>
      </c>
      <c r="I81">
        <v>0.70080862445256498</v>
      </c>
      <c r="J81">
        <v>0.197866874273051</v>
      </c>
      <c r="K81">
        <v>0.66389165009940398</v>
      </c>
      <c r="L81" t="s">
        <v>33</v>
      </c>
      <c r="M81" t="s">
        <v>34</v>
      </c>
      <c r="N81" t="s">
        <v>35</v>
      </c>
      <c r="O81">
        <v>0.78080615220097105</v>
      </c>
      <c r="P81" t="s">
        <v>36</v>
      </c>
    </row>
    <row r="82" spans="1:16">
      <c r="A82">
        <v>81</v>
      </c>
      <c r="B82" t="s">
        <v>127</v>
      </c>
      <c r="C82">
        <v>58</v>
      </c>
      <c r="D82">
        <v>107</v>
      </c>
      <c r="E82">
        <v>55.134455720946001</v>
      </c>
      <c r="F82">
        <v>0.54314721480582995</v>
      </c>
      <c r="G82">
        <v>2387.45978336484</v>
      </c>
      <c r="H82">
        <v>717.69706904442398</v>
      </c>
      <c r="I82">
        <v>0.58920939489534796</v>
      </c>
      <c r="J82">
        <v>5.82456616918701E-2</v>
      </c>
      <c r="K82">
        <v>0.47337400170925098</v>
      </c>
      <c r="L82" t="s">
        <v>47</v>
      </c>
      <c r="M82" t="s">
        <v>34</v>
      </c>
      <c r="N82" t="s">
        <v>35</v>
      </c>
      <c r="O82">
        <v>0.93781842345609201</v>
      </c>
      <c r="P82" t="s">
        <v>36</v>
      </c>
    </row>
    <row r="83" spans="1:16">
      <c r="A83">
        <v>82</v>
      </c>
      <c r="B83" t="s">
        <v>128</v>
      </c>
      <c r="C83">
        <v>80</v>
      </c>
      <c r="D83">
        <v>55</v>
      </c>
      <c r="E83">
        <v>55.160192627316498</v>
      </c>
      <c r="F83">
        <v>1.4535757865118599</v>
      </c>
      <c r="G83">
        <v>2389.6892483932002</v>
      </c>
      <c r="H83">
        <v>299.80536577805202</v>
      </c>
      <c r="I83">
        <v>0.71999519725171601</v>
      </c>
      <c r="J83">
        <v>0.33409693455761502</v>
      </c>
      <c r="K83">
        <v>0.77212697497959004</v>
      </c>
      <c r="L83" t="s">
        <v>47</v>
      </c>
      <c r="M83" t="s">
        <v>34</v>
      </c>
      <c r="N83" t="s">
        <v>35</v>
      </c>
      <c r="O83">
        <v>0.921595010081808</v>
      </c>
      <c r="P83" t="s">
        <v>36</v>
      </c>
    </row>
    <row r="84" spans="1:16">
      <c r="A84">
        <v>83</v>
      </c>
      <c r="B84" t="s">
        <v>129</v>
      </c>
      <c r="C84">
        <v>63</v>
      </c>
      <c r="D84">
        <v>73</v>
      </c>
      <c r="E84">
        <v>55.168768927977403</v>
      </c>
      <c r="F84">
        <v>0.87218045112781994</v>
      </c>
      <c r="G84">
        <v>2390.4324034026499</v>
      </c>
      <c r="H84">
        <v>518.17960354670197</v>
      </c>
      <c r="I84">
        <v>0.63243797146430103</v>
      </c>
      <c r="J84">
        <v>0.1118731077094</v>
      </c>
      <c r="K84">
        <v>0.61385496183206101</v>
      </c>
      <c r="L84" t="s">
        <v>33</v>
      </c>
      <c r="M84" t="s">
        <v>34</v>
      </c>
      <c r="N84" t="s">
        <v>35</v>
      </c>
      <c r="O84">
        <v>0.72817729359264505</v>
      </c>
      <c r="P84" t="s">
        <v>36</v>
      </c>
    </row>
    <row r="85" spans="1:16">
      <c r="A85">
        <v>84</v>
      </c>
      <c r="B85" t="s">
        <v>130</v>
      </c>
      <c r="C85">
        <v>58</v>
      </c>
      <c r="D85">
        <v>82</v>
      </c>
      <c r="E85">
        <v>55.172199074959202</v>
      </c>
      <c r="F85">
        <v>0.70860927152317899</v>
      </c>
      <c r="G85">
        <v>2390.7296654064298</v>
      </c>
      <c r="H85">
        <v>400.44474674463299</v>
      </c>
      <c r="I85">
        <v>0.63828915188500801</v>
      </c>
      <c r="J85">
        <v>0.18735061933691199</v>
      </c>
      <c r="K85">
        <v>0.69665208540863599</v>
      </c>
      <c r="L85" t="s">
        <v>43</v>
      </c>
      <c r="M85" t="s">
        <v>34</v>
      </c>
      <c r="N85" t="s">
        <v>35</v>
      </c>
      <c r="O85">
        <v>0.79992884099245998</v>
      </c>
      <c r="P85" t="s">
        <v>36</v>
      </c>
    </row>
    <row r="86" spans="1:16">
      <c r="A86">
        <v>85</v>
      </c>
      <c r="B86" t="s">
        <v>131</v>
      </c>
      <c r="C86">
        <v>71</v>
      </c>
      <c r="D86">
        <v>80</v>
      </c>
      <c r="E86">
        <v>55.2407572860306</v>
      </c>
      <c r="F86">
        <v>0.89498655263142501</v>
      </c>
      <c r="G86">
        <v>2396.6749054820398</v>
      </c>
      <c r="H86">
        <v>498.23078026305097</v>
      </c>
      <c r="I86">
        <v>0.62683312557790705</v>
      </c>
      <c r="J86">
        <v>0.12132711866684701</v>
      </c>
      <c r="K86">
        <v>0.57124132067450795</v>
      </c>
      <c r="L86" t="s">
        <v>33</v>
      </c>
      <c r="M86" t="s">
        <v>34</v>
      </c>
      <c r="N86" t="s">
        <v>35</v>
      </c>
      <c r="O86">
        <v>0.795706598547959</v>
      </c>
      <c r="P86" t="s">
        <v>36</v>
      </c>
    </row>
    <row r="87" spans="1:16">
      <c r="A87">
        <v>86</v>
      </c>
      <c r="B87" t="s">
        <v>132</v>
      </c>
      <c r="C87">
        <v>60</v>
      </c>
      <c r="D87">
        <v>55</v>
      </c>
      <c r="E87">
        <v>55.279063915413701</v>
      </c>
      <c r="F87">
        <v>1.0909090909090899</v>
      </c>
      <c r="G87">
        <v>2400</v>
      </c>
      <c r="H87">
        <v>194.85281229019199</v>
      </c>
      <c r="I87">
        <v>0.71352585840464899</v>
      </c>
      <c r="J87">
        <v>0.79434240807870704</v>
      </c>
      <c r="K87">
        <v>0.95522388059701502</v>
      </c>
      <c r="L87" t="s">
        <v>47</v>
      </c>
      <c r="M87" t="s">
        <v>34</v>
      </c>
      <c r="N87" t="s">
        <v>35</v>
      </c>
      <c r="O87">
        <v>0.92908148840461202</v>
      </c>
      <c r="P87" t="s">
        <v>36</v>
      </c>
    </row>
    <row r="88" spans="1:16">
      <c r="A88">
        <v>87</v>
      </c>
      <c r="B88" t="s">
        <v>133</v>
      </c>
      <c r="C88">
        <v>53</v>
      </c>
      <c r="D88">
        <v>88</v>
      </c>
      <c r="E88">
        <v>55.49027594484</v>
      </c>
      <c r="F88">
        <v>0.60869565217391297</v>
      </c>
      <c r="G88">
        <v>2418.3750317580302</v>
      </c>
      <c r="H88">
        <v>550.86054730529395</v>
      </c>
      <c r="I88">
        <v>0.72589811432672502</v>
      </c>
      <c r="J88">
        <v>0.100149820642518</v>
      </c>
      <c r="K88">
        <v>0.65240577385725695</v>
      </c>
      <c r="L88" t="s">
        <v>47</v>
      </c>
      <c r="M88" t="s">
        <v>34</v>
      </c>
      <c r="N88" t="s">
        <v>35</v>
      </c>
      <c r="O88">
        <v>0.94071583638749301</v>
      </c>
      <c r="P88" t="s">
        <v>36</v>
      </c>
    </row>
    <row r="89" spans="1:16">
      <c r="A89">
        <v>88</v>
      </c>
      <c r="B89" t="s">
        <v>134</v>
      </c>
      <c r="C89">
        <v>68</v>
      </c>
      <c r="D89">
        <v>74</v>
      </c>
      <c r="E89">
        <v>55.566956489874499</v>
      </c>
      <c r="F89">
        <v>0.92592592592592604</v>
      </c>
      <c r="G89">
        <v>2425.0634268430999</v>
      </c>
      <c r="H89">
        <v>405.76462877480901</v>
      </c>
      <c r="I89">
        <v>0.65955081419455497</v>
      </c>
      <c r="J89">
        <v>0.18509069821462701</v>
      </c>
      <c r="K89">
        <v>0.62515805203264496</v>
      </c>
      <c r="L89" t="s">
        <v>43</v>
      </c>
      <c r="M89" t="s">
        <v>34</v>
      </c>
      <c r="N89" t="s">
        <v>35</v>
      </c>
      <c r="O89">
        <v>0.80934279439369705</v>
      </c>
      <c r="P89" t="s">
        <v>36</v>
      </c>
    </row>
    <row r="90" spans="1:16">
      <c r="A90">
        <v>89</v>
      </c>
      <c r="B90" t="s">
        <v>135</v>
      </c>
      <c r="C90">
        <v>84</v>
      </c>
      <c r="D90">
        <v>43</v>
      </c>
      <c r="E90">
        <v>55.674131823549502</v>
      </c>
      <c r="F90">
        <v>1.93519754644808</v>
      </c>
      <c r="G90">
        <v>2434.4271799621902</v>
      </c>
      <c r="H90">
        <v>249.26178537213301</v>
      </c>
      <c r="I90">
        <v>0.50357012581140803</v>
      </c>
      <c r="J90">
        <v>0.492374156074255</v>
      </c>
      <c r="K90">
        <v>0.85138787815781303</v>
      </c>
      <c r="L90" t="s">
        <v>33</v>
      </c>
      <c r="M90" t="s">
        <v>34</v>
      </c>
      <c r="N90" t="s">
        <v>35</v>
      </c>
      <c r="O90">
        <v>0.84510587791319602</v>
      </c>
      <c r="P90" t="s">
        <v>36</v>
      </c>
    </row>
    <row r="91" spans="1:16">
      <c r="A91">
        <v>90</v>
      </c>
      <c r="B91" t="s">
        <v>136</v>
      </c>
      <c r="C91">
        <v>69</v>
      </c>
      <c r="D91">
        <v>58</v>
      </c>
      <c r="E91">
        <v>55.687726630375302</v>
      </c>
      <c r="F91">
        <v>1.1775700934579401</v>
      </c>
      <c r="G91">
        <v>2435.6162279773198</v>
      </c>
      <c r="H91">
        <v>333.28946307234099</v>
      </c>
      <c r="I91">
        <v>0.69621488066251402</v>
      </c>
      <c r="J91">
        <v>0.27553422753420098</v>
      </c>
      <c r="K91">
        <v>0.73300232599749504</v>
      </c>
      <c r="L91" t="s">
        <v>72</v>
      </c>
      <c r="M91" t="s">
        <v>34</v>
      </c>
      <c r="N91" t="s">
        <v>35</v>
      </c>
      <c r="O91">
        <v>0.81874267686302205</v>
      </c>
      <c r="P91" t="s">
        <v>36</v>
      </c>
    </row>
    <row r="92" spans="1:16">
      <c r="A92">
        <v>91</v>
      </c>
      <c r="B92" t="s">
        <v>137</v>
      </c>
      <c r="C92">
        <v>54</v>
      </c>
      <c r="D92">
        <v>72</v>
      </c>
      <c r="E92">
        <v>55.7081126200626</v>
      </c>
      <c r="F92">
        <v>0.75069007683018096</v>
      </c>
      <c r="G92">
        <v>2437.3998000000001</v>
      </c>
      <c r="H92">
        <v>308.92571968752401</v>
      </c>
      <c r="I92">
        <v>0.75717408788631302</v>
      </c>
      <c r="J92">
        <v>0.32094343832479899</v>
      </c>
      <c r="K92">
        <v>0.77525646480404697</v>
      </c>
      <c r="L92" t="s">
        <v>47</v>
      </c>
      <c r="M92" t="s">
        <v>34</v>
      </c>
      <c r="N92" t="s">
        <v>35</v>
      </c>
      <c r="O92">
        <v>0.91243345639874396</v>
      </c>
      <c r="P92" t="s">
        <v>36</v>
      </c>
    </row>
    <row r="93" spans="1:16">
      <c r="A93">
        <v>92</v>
      </c>
      <c r="B93" t="s">
        <v>138</v>
      </c>
      <c r="C93">
        <v>50</v>
      </c>
      <c r="D93">
        <v>60</v>
      </c>
      <c r="E93">
        <v>55.709257671341803</v>
      </c>
      <c r="F93">
        <v>0.83333333333333304</v>
      </c>
      <c r="G93">
        <v>2437.5</v>
      </c>
      <c r="H93">
        <v>203.63960921764399</v>
      </c>
      <c r="I93">
        <v>0.64615716207026297</v>
      </c>
      <c r="J93">
        <v>0.73863516285964603</v>
      </c>
      <c r="K93">
        <v>0.92857142857142905</v>
      </c>
      <c r="L93" t="s">
        <v>41</v>
      </c>
      <c r="M93" t="s">
        <v>34</v>
      </c>
      <c r="N93" t="s">
        <v>35</v>
      </c>
      <c r="O93">
        <v>0.80012086388588299</v>
      </c>
      <c r="P93" t="s">
        <v>36</v>
      </c>
    </row>
    <row r="94" spans="1:16">
      <c r="A94">
        <v>93</v>
      </c>
      <c r="B94" t="s">
        <v>139</v>
      </c>
      <c r="C94">
        <v>72</v>
      </c>
      <c r="D94">
        <v>56</v>
      </c>
      <c r="E94">
        <v>55.789582086714297</v>
      </c>
      <c r="F94">
        <v>1.2947624966379201</v>
      </c>
      <c r="G94">
        <v>2444.5340880907402</v>
      </c>
      <c r="H94">
        <v>320.31384008272801</v>
      </c>
      <c r="I94">
        <v>0.57468794742764595</v>
      </c>
      <c r="J94">
        <v>0.29940190114708598</v>
      </c>
      <c r="K94">
        <v>0.79007541912859702</v>
      </c>
      <c r="L94" t="s">
        <v>49</v>
      </c>
      <c r="M94" t="s">
        <v>34</v>
      </c>
      <c r="N94" t="s">
        <v>35</v>
      </c>
      <c r="O94">
        <v>0.75448406658663802</v>
      </c>
      <c r="P94" t="s">
        <v>36</v>
      </c>
    </row>
    <row r="95" spans="1:16">
      <c r="A95">
        <v>94</v>
      </c>
      <c r="B95" t="s">
        <v>140</v>
      </c>
      <c r="C95">
        <v>63</v>
      </c>
      <c r="D95">
        <v>58</v>
      </c>
      <c r="E95">
        <v>55.799757406509599</v>
      </c>
      <c r="F95">
        <v>1.08411216152757</v>
      </c>
      <c r="G95">
        <v>2445.4258741020799</v>
      </c>
      <c r="H95">
        <v>458.61196839031999</v>
      </c>
      <c r="I95">
        <v>0.62158727397853197</v>
      </c>
      <c r="J95">
        <v>0.14610786624615699</v>
      </c>
      <c r="K95">
        <v>0.66560135927828801</v>
      </c>
      <c r="L95" t="s">
        <v>33</v>
      </c>
      <c r="M95" t="s">
        <v>34</v>
      </c>
      <c r="N95" t="s">
        <v>35</v>
      </c>
      <c r="O95">
        <v>0.73148111082039702</v>
      </c>
      <c r="P95" t="s">
        <v>36</v>
      </c>
    </row>
    <row r="96" spans="1:16">
      <c r="A96">
        <v>95</v>
      </c>
      <c r="B96" t="s">
        <v>141</v>
      </c>
      <c r="C96">
        <v>34</v>
      </c>
      <c r="D96">
        <v>132</v>
      </c>
      <c r="E96">
        <v>55.859076496542897</v>
      </c>
      <c r="F96">
        <v>0.255144033567833</v>
      </c>
      <c r="G96">
        <v>2450.6279591682401</v>
      </c>
      <c r="H96">
        <v>521.58319977739598</v>
      </c>
      <c r="I96">
        <v>0.886853162261933</v>
      </c>
      <c r="J96">
        <v>0.113198340340323</v>
      </c>
      <c r="K96">
        <v>0.61641991924629902</v>
      </c>
      <c r="L96" t="s">
        <v>33</v>
      </c>
      <c r="M96" t="s">
        <v>34</v>
      </c>
      <c r="N96" t="s">
        <v>35</v>
      </c>
      <c r="O96">
        <v>0.79639727772239699</v>
      </c>
      <c r="P96" t="s">
        <v>36</v>
      </c>
    </row>
    <row r="97" spans="1:16">
      <c r="A97">
        <v>96</v>
      </c>
      <c r="B97" t="s">
        <v>142</v>
      </c>
      <c r="C97">
        <v>88</v>
      </c>
      <c r="D97">
        <v>63</v>
      </c>
      <c r="E97">
        <v>55.898023337482897</v>
      </c>
      <c r="F97">
        <v>1.38793103448276</v>
      </c>
      <c r="G97">
        <v>2454.0464722117199</v>
      </c>
      <c r="H97">
        <v>713.41282459601098</v>
      </c>
      <c r="I97">
        <v>0.47773438913260702</v>
      </c>
      <c r="J97">
        <v>6.0591377010654902E-2</v>
      </c>
      <c r="K97">
        <v>0.54282144853207104</v>
      </c>
      <c r="L97" t="s">
        <v>43</v>
      </c>
      <c r="M97" t="s">
        <v>34</v>
      </c>
      <c r="N97" t="s">
        <v>35</v>
      </c>
      <c r="O97">
        <v>0.82871743341942194</v>
      </c>
      <c r="P97" t="s">
        <v>36</v>
      </c>
    </row>
    <row r="98" spans="1:16">
      <c r="A98">
        <v>97</v>
      </c>
      <c r="B98" t="s">
        <v>143</v>
      </c>
      <c r="C98">
        <v>58</v>
      </c>
      <c r="D98">
        <v>120</v>
      </c>
      <c r="E98">
        <v>55.899716062847403</v>
      </c>
      <c r="F98">
        <v>0.48485592486818802</v>
      </c>
      <c r="G98">
        <v>2454.1951032136099</v>
      </c>
      <c r="H98">
        <v>630.70417272028703</v>
      </c>
      <c r="I98">
        <v>0.41362670652876299</v>
      </c>
      <c r="J98">
        <v>7.7529599532913995E-2</v>
      </c>
      <c r="K98">
        <v>0.50034847428865803</v>
      </c>
      <c r="L98" t="s">
        <v>144</v>
      </c>
      <c r="M98" t="s">
        <v>34</v>
      </c>
      <c r="N98" t="s">
        <v>35</v>
      </c>
      <c r="O98">
        <v>0.66382375094685298</v>
      </c>
      <c r="P98" t="s">
        <v>36</v>
      </c>
    </row>
    <row r="99" spans="1:16">
      <c r="A99">
        <v>98</v>
      </c>
      <c r="B99" t="s">
        <v>145</v>
      </c>
      <c r="C99">
        <v>68</v>
      </c>
      <c r="D99">
        <v>88</v>
      </c>
      <c r="E99">
        <v>55.906486451785597</v>
      </c>
      <c r="F99">
        <v>0.77639751552795</v>
      </c>
      <c r="G99">
        <v>2454.7896272211701</v>
      </c>
      <c r="H99">
        <v>526.31911707525705</v>
      </c>
      <c r="I99">
        <v>0.66335512179925404</v>
      </c>
      <c r="J99">
        <v>0.11135913628373199</v>
      </c>
      <c r="K99">
        <v>0.58341870076654101</v>
      </c>
      <c r="L99" t="s">
        <v>43</v>
      </c>
      <c r="M99" t="s">
        <v>34</v>
      </c>
      <c r="N99" t="s">
        <v>35</v>
      </c>
      <c r="O99">
        <v>0.82879762154898196</v>
      </c>
      <c r="P99" t="s">
        <v>36</v>
      </c>
    </row>
    <row r="100" spans="1:16">
      <c r="A100">
        <v>99</v>
      </c>
      <c r="B100" t="s">
        <v>146</v>
      </c>
      <c r="C100">
        <v>83</v>
      </c>
      <c r="D100">
        <v>68</v>
      </c>
      <c r="E100">
        <v>56.014701382862299</v>
      </c>
      <c r="F100">
        <v>1.2258064516128999</v>
      </c>
      <c r="G100">
        <v>2464.3020113421599</v>
      </c>
      <c r="H100">
        <v>534.745911850722</v>
      </c>
      <c r="I100">
        <v>0.53877203874939505</v>
      </c>
      <c r="J100">
        <v>0.10829511065825401</v>
      </c>
      <c r="K100">
        <v>0.54589753720532097</v>
      </c>
      <c r="L100" t="s">
        <v>38</v>
      </c>
      <c r="M100" t="s">
        <v>34</v>
      </c>
      <c r="N100" t="s">
        <v>35</v>
      </c>
      <c r="O100">
        <v>0.77847020247949805</v>
      </c>
      <c r="P100" t="s">
        <v>36</v>
      </c>
    </row>
    <row r="101" spans="1:16">
      <c r="A101">
        <v>100</v>
      </c>
      <c r="B101" t="s">
        <v>147</v>
      </c>
      <c r="C101">
        <v>58</v>
      </c>
      <c r="D101">
        <v>103</v>
      </c>
      <c r="E101">
        <v>56.163156459543004</v>
      </c>
      <c r="F101">
        <v>0.56382978723404298</v>
      </c>
      <c r="G101">
        <v>2477.3815395085098</v>
      </c>
      <c r="H101">
        <v>526.58370084099101</v>
      </c>
      <c r="I101">
        <v>0.715128046902059</v>
      </c>
      <c r="J101">
        <v>0.11227108927401799</v>
      </c>
      <c r="K101">
        <v>0.60869882773983897</v>
      </c>
      <c r="L101" t="s">
        <v>38</v>
      </c>
      <c r="M101" t="s">
        <v>34</v>
      </c>
      <c r="N101" t="s">
        <v>35</v>
      </c>
      <c r="O101">
        <v>0.82688973325677095</v>
      </c>
      <c r="P101" t="s">
        <v>36</v>
      </c>
    </row>
    <row r="102" spans="1:16">
      <c r="A102">
        <v>101</v>
      </c>
      <c r="B102" t="s">
        <v>148</v>
      </c>
      <c r="C102">
        <v>62</v>
      </c>
      <c r="D102">
        <v>101</v>
      </c>
      <c r="E102">
        <v>56.228823706326502</v>
      </c>
      <c r="F102">
        <v>0.61621621621621603</v>
      </c>
      <c r="G102">
        <v>2483.1781485822298</v>
      </c>
      <c r="H102">
        <v>425.00336522154203</v>
      </c>
      <c r="I102">
        <v>0.82934165448895902</v>
      </c>
      <c r="J102">
        <v>0.172755946058849</v>
      </c>
      <c r="K102">
        <v>0.51766127532998696</v>
      </c>
      <c r="L102" t="s">
        <v>72</v>
      </c>
      <c r="M102" t="s">
        <v>34</v>
      </c>
      <c r="N102" t="s">
        <v>35</v>
      </c>
      <c r="O102">
        <v>0.86035009655943895</v>
      </c>
      <c r="P102" t="s">
        <v>36</v>
      </c>
    </row>
    <row r="103" spans="1:16">
      <c r="A103">
        <v>102</v>
      </c>
      <c r="B103" t="s">
        <v>149</v>
      </c>
      <c r="C103">
        <v>73</v>
      </c>
      <c r="D103">
        <v>54</v>
      </c>
      <c r="E103">
        <v>56.2473313763251</v>
      </c>
      <c r="F103">
        <v>1.35353535353535</v>
      </c>
      <c r="G103">
        <v>2484.8130896030202</v>
      </c>
      <c r="H103">
        <v>313.34225601880502</v>
      </c>
      <c r="I103">
        <v>0.71449463676393299</v>
      </c>
      <c r="J103">
        <v>0.31802821984993801</v>
      </c>
      <c r="K103">
        <v>0.79639862804878003</v>
      </c>
      <c r="L103" t="s">
        <v>33</v>
      </c>
      <c r="M103" t="s">
        <v>34</v>
      </c>
      <c r="N103" t="s">
        <v>35</v>
      </c>
      <c r="O103">
        <v>0.71550729955269099</v>
      </c>
      <c r="P103" t="s">
        <v>36</v>
      </c>
    </row>
    <row r="104" spans="1:16">
      <c r="A104">
        <v>103</v>
      </c>
      <c r="B104" t="s">
        <v>150</v>
      </c>
      <c r="C104">
        <v>68</v>
      </c>
      <c r="D104">
        <v>98</v>
      </c>
      <c r="E104">
        <v>56.398529636723403</v>
      </c>
      <c r="F104">
        <v>0.69832405615849102</v>
      </c>
      <c r="G104">
        <v>2498.1898797731601</v>
      </c>
      <c r="H104">
        <v>661.73341444513096</v>
      </c>
      <c r="I104">
        <v>0.70206942188538801</v>
      </c>
      <c r="J104">
        <v>7.1691749498436805E-2</v>
      </c>
      <c r="K104">
        <v>0.439792767805746</v>
      </c>
      <c r="L104" t="s">
        <v>38</v>
      </c>
      <c r="M104" t="s">
        <v>34</v>
      </c>
      <c r="N104" t="s">
        <v>35</v>
      </c>
      <c r="O104">
        <v>0.71533414862351896</v>
      </c>
      <c r="P104" t="s">
        <v>36</v>
      </c>
    </row>
    <row r="105" spans="1:16">
      <c r="A105">
        <v>104</v>
      </c>
      <c r="B105" t="s">
        <v>151</v>
      </c>
      <c r="C105">
        <v>121</v>
      </c>
      <c r="D105">
        <v>52</v>
      </c>
      <c r="E105">
        <v>56.403562598402502</v>
      </c>
      <c r="F105">
        <v>2.3337910950818399</v>
      </c>
      <c r="G105">
        <v>2498.63577277883</v>
      </c>
      <c r="H105">
        <v>467.75501978096798</v>
      </c>
      <c r="I105">
        <v>0.75851020595227603</v>
      </c>
      <c r="J105">
        <v>0.14350793118605301</v>
      </c>
      <c r="K105">
        <v>0.56227841327179096</v>
      </c>
      <c r="L105" t="s">
        <v>33</v>
      </c>
      <c r="M105" t="s">
        <v>34</v>
      </c>
      <c r="N105" t="s">
        <v>35</v>
      </c>
      <c r="O105">
        <v>0.83743497575902004</v>
      </c>
      <c r="P105" t="s">
        <v>36</v>
      </c>
    </row>
    <row r="106" spans="1:16">
      <c r="A106">
        <v>105</v>
      </c>
      <c r="B106" t="s">
        <v>152</v>
      </c>
      <c r="C106">
        <v>65</v>
      </c>
      <c r="D106">
        <v>55</v>
      </c>
      <c r="E106">
        <v>56.418958354775597</v>
      </c>
      <c r="F106">
        <v>1.1818181818181801</v>
      </c>
      <c r="G106">
        <v>2500</v>
      </c>
      <c r="H106">
        <v>208.99494767189</v>
      </c>
      <c r="I106">
        <v>0.61757550169158504</v>
      </c>
      <c r="J106">
        <v>0.71924739536184601</v>
      </c>
      <c r="K106">
        <v>0.90497737556561098</v>
      </c>
      <c r="L106" t="s">
        <v>74</v>
      </c>
      <c r="M106" t="s">
        <v>34</v>
      </c>
      <c r="N106" t="s">
        <v>35</v>
      </c>
      <c r="O106">
        <v>0.71012294564195599</v>
      </c>
      <c r="P106" t="s">
        <v>36</v>
      </c>
    </row>
    <row r="107" spans="1:16">
      <c r="A107">
        <v>106</v>
      </c>
      <c r="B107" t="s">
        <v>153</v>
      </c>
      <c r="C107">
        <v>49</v>
      </c>
      <c r="D107">
        <v>69</v>
      </c>
      <c r="E107">
        <v>56.4957541023822</v>
      </c>
      <c r="F107">
        <v>0.70634920634920595</v>
      </c>
      <c r="G107">
        <v>2506.8104778828001</v>
      </c>
      <c r="H107">
        <v>229.59796656131701</v>
      </c>
      <c r="I107">
        <v>0.75024749859850903</v>
      </c>
      <c r="J107">
        <v>0.59757894950847801</v>
      </c>
      <c r="K107">
        <v>0.90347118062995502</v>
      </c>
      <c r="L107" t="s">
        <v>144</v>
      </c>
      <c r="M107" t="s">
        <v>34</v>
      </c>
      <c r="N107" t="s">
        <v>35</v>
      </c>
      <c r="O107">
        <v>0.71522201952271702</v>
      </c>
      <c r="P107" t="s">
        <v>36</v>
      </c>
    </row>
    <row r="108" spans="1:16">
      <c r="A108">
        <v>107</v>
      </c>
      <c r="B108" t="s">
        <v>154</v>
      </c>
      <c r="C108">
        <v>83</v>
      </c>
      <c r="D108">
        <v>77</v>
      </c>
      <c r="E108">
        <v>56.554343175552297</v>
      </c>
      <c r="F108">
        <v>1.07746478873239</v>
      </c>
      <c r="G108">
        <v>2512.0125629489598</v>
      </c>
      <c r="H108">
        <v>616.84790151295499</v>
      </c>
      <c r="I108">
        <v>0.698701932153729</v>
      </c>
      <c r="J108">
        <v>8.2961288348728304E-2</v>
      </c>
      <c r="K108">
        <v>0.54649809222013801</v>
      </c>
      <c r="L108" t="s">
        <v>33</v>
      </c>
      <c r="M108" t="s">
        <v>34</v>
      </c>
      <c r="N108" t="s">
        <v>35</v>
      </c>
      <c r="O108">
        <v>0.679638086529751</v>
      </c>
      <c r="P108" t="s">
        <v>36</v>
      </c>
    </row>
    <row r="109" spans="1:16">
      <c r="A109">
        <v>108</v>
      </c>
      <c r="B109" t="s">
        <v>155</v>
      </c>
      <c r="C109">
        <v>74</v>
      </c>
      <c r="D109">
        <v>80</v>
      </c>
      <c r="E109">
        <v>56.647959651626003</v>
      </c>
      <c r="F109">
        <v>0.93131765841190395</v>
      </c>
      <c r="G109">
        <v>2520.3358990548199</v>
      </c>
      <c r="H109">
        <v>421.76966982768897</v>
      </c>
      <c r="I109">
        <v>0.41170904869883601</v>
      </c>
      <c r="J109">
        <v>0.17804000513359899</v>
      </c>
      <c r="K109">
        <v>0.582674730259089</v>
      </c>
      <c r="L109" t="s">
        <v>49</v>
      </c>
      <c r="M109" t="s">
        <v>34</v>
      </c>
      <c r="N109" t="s">
        <v>35</v>
      </c>
      <c r="O109">
        <v>0.71069007192863798</v>
      </c>
      <c r="P109" t="s">
        <v>36</v>
      </c>
    </row>
    <row r="110" spans="1:16">
      <c r="A110">
        <v>109</v>
      </c>
      <c r="B110" t="s">
        <v>156</v>
      </c>
      <c r="C110">
        <v>83</v>
      </c>
      <c r="D110">
        <v>63</v>
      </c>
      <c r="E110">
        <v>56.8596973002685</v>
      </c>
      <c r="F110">
        <v>1.3103447368680701</v>
      </c>
      <c r="G110">
        <v>2539.2120362948999</v>
      </c>
      <c r="H110">
        <v>628.71039223878302</v>
      </c>
      <c r="I110">
        <v>0.60671259338816697</v>
      </c>
      <c r="J110">
        <v>8.0724907110022004E-2</v>
      </c>
      <c r="K110">
        <v>0.53297560366880903</v>
      </c>
      <c r="L110" t="s">
        <v>43</v>
      </c>
      <c r="M110" t="s">
        <v>34</v>
      </c>
      <c r="N110" t="s">
        <v>35</v>
      </c>
      <c r="O110">
        <v>0.72523185070579099</v>
      </c>
      <c r="P110" t="s">
        <v>36</v>
      </c>
    </row>
    <row r="111" spans="1:16">
      <c r="A111">
        <v>110</v>
      </c>
      <c r="B111" t="s">
        <v>157</v>
      </c>
      <c r="C111">
        <v>93</v>
      </c>
      <c r="D111">
        <v>88</v>
      </c>
      <c r="E111">
        <v>56.929547491471801</v>
      </c>
      <c r="F111">
        <v>1.05590062111801</v>
      </c>
      <c r="G111">
        <v>2545.4545383742902</v>
      </c>
      <c r="H111">
        <v>791.946826425013</v>
      </c>
      <c r="I111">
        <v>0.59333093444984197</v>
      </c>
      <c r="J111">
        <v>5.1001525146590301E-2</v>
      </c>
      <c r="K111">
        <v>0.43962419139542003</v>
      </c>
      <c r="L111" t="s">
        <v>33</v>
      </c>
      <c r="M111" t="s">
        <v>34</v>
      </c>
      <c r="N111" t="s">
        <v>35</v>
      </c>
      <c r="O111">
        <v>0.78189980811658599</v>
      </c>
      <c r="P111" t="s">
        <v>36</v>
      </c>
    </row>
    <row r="112" spans="1:16">
      <c r="A112">
        <v>111</v>
      </c>
      <c r="B112" t="s">
        <v>158</v>
      </c>
      <c r="C112">
        <v>90</v>
      </c>
      <c r="D112">
        <v>48</v>
      </c>
      <c r="E112">
        <v>56.934533511668299</v>
      </c>
      <c r="F112">
        <v>1.8936902806489999</v>
      </c>
      <c r="G112">
        <v>2545.9004313799601</v>
      </c>
      <c r="H112">
        <v>295.95009669791102</v>
      </c>
      <c r="I112">
        <v>0.72838631999224002</v>
      </c>
      <c r="J112">
        <v>0.36527025369663801</v>
      </c>
      <c r="K112">
        <v>0.80365018297832402</v>
      </c>
      <c r="L112" t="s">
        <v>47</v>
      </c>
      <c r="M112" t="s">
        <v>34</v>
      </c>
      <c r="N112" t="s">
        <v>35</v>
      </c>
      <c r="O112">
        <v>0.94666345174760802</v>
      </c>
      <c r="P112" t="s">
        <v>36</v>
      </c>
    </row>
    <row r="113" spans="1:16">
      <c r="A113">
        <v>112</v>
      </c>
      <c r="B113" t="s">
        <v>159</v>
      </c>
      <c r="C113">
        <v>78</v>
      </c>
      <c r="D113">
        <v>58</v>
      </c>
      <c r="E113">
        <v>56.939519095254198</v>
      </c>
      <c r="F113">
        <v>1.33644850350474</v>
      </c>
      <c r="G113">
        <v>2546.3463243856299</v>
      </c>
      <c r="H113">
        <v>523.76406934261297</v>
      </c>
      <c r="I113">
        <v>0.61960476281344101</v>
      </c>
      <c r="J113">
        <v>0.11664226135113701</v>
      </c>
      <c r="K113">
        <v>0.60549939916590101</v>
      </c>
      <c r="L113" t="s">
        <v>49</v>
      </c>
      <c r="M113" t="s">
        <v>34</v>
      </c>
      <c r="N113" t="s">
        <v>35</v>
      </c>
      <c r="O113">
        <v>0.80063452944750302</v>
      </c>
      <c r="P113" t="s">
        <v>36</v>
      </c>
    </row>
    <row r="114" spans="1:16">
      <c r="A114">
        <v>113</v>
      </c>
      <c r="B114" t="s">
        <v>160</v>
      </c>
      <c r="C114">
        <v>53</v>
      </c>
      <c r="D114">
        <v>68</v>
      </c>
      <c r="E114">
        <v>57.010931216509498</v>
      </c>
      <c r="F114">
        <v>0.78400000000000003</v>
      </c>
      <c r="G114">
        <v>2552.7374574669202</v>
      </c>
      <c r="H114">
        <v>380.10066404249397</v>
      </c>
      <c r="I114">
        <v>0.65484660599426303</v>
      </c>
      <c r="J114">
        <v>0.22203362958237099</v>
      </c>
      <c r="K114">
        <v>0.78039803707742605</v>
      </c>
      <c r="L114" t="s">
        <v>47</v>
      </c>
      <c r="M114" t="s">
        <v>34</v>
      </c>
      <c r="N114" t="s">
        <v>35</v>
      </c>
      <c r="O114">
        <v>0.94546916315762297</v>
      </c>
      <c r="P114" t="s">
        <v>36</v>
      </c>
    </row>
    <row r="115" spans="1:16">
      <c r="A115">
        <v>114</v>
      </c>
      <c r="B115" t="s">
        <v>161</v>
      </c>
      <c r="C115">
        <v>63</v>
      </c>
      <c r="D115">
        <v>80</v>
      </c>
      <c r="E115">
        <v>57.054067276332397</v>
      </c>
      <c r="F115">
        <v>0.78593270240775404</v>
      </c>
      <c r="G115">
        <v>2556.6018635160699</v>
      </c>
      <c r="H115">
        <v>363.15077533255499</v>
      </c>
      <c r="I115">
        <v>0.84210319608779205</v>
      </c>
      <c r="J115">
        <v>0.24361218873674001</v>
      </c>
      <c r="K115">
        <v>0.68155162849671103</v>
      </c>
      <c r="L115" t="s">
        <v>33</v>
      </c>
      <c r="M115" t="s">
        <v>34</v>
      </c>
      <c r="N115" t="s">
        <v>35</v>
      </c>
      <c r="O115">
        <v>0.741282715099566</v>
      </c>
      <c r="P115" t="s">
        <v>36</v>
      </c>
    </row>
    <row r="116" spans="1:16">
      <c r="A116">
        <v>115</v>
      </c>
      <c r="B116" t="s">
        <v>162</v>
      </c>
      <c r="C116">
        <v>57</v>
      </c>
      <c r="D116">
        <v>106</v>
      </c>
      <c r="E116">
        <v>57.073965231114201</v>
      </c>
      <c r="F116">
        <v>0.54417661033364095</v>
      </c>
      <c r="G116">
        <v>2558.3854355387498</v>
      </c>
      <c r="H116">
        <v>410.258659788111</v>
      </c>
      <c r="I116">
        <v>0.76554379710516895</v>
      </c>
      <c r="J116">
        <v>0.191011855842249</v>
      </c>
      <c r="K116">
        <v>0.58942574393041802</v>
      </c>
      <c r="L116" t="s">
        <v>61</v>
      </c>
      <c r="M116" t="s">
        <v>34</v>
      </c>
      <c r="N116" t="s">
        <v>35</v>
      </c>
      <c r="O116">
        <v>0.64215795682863397</v>
      </c>
      <c r="P116" t="s">
        <v>36</v>
      </c>
    </row>
    <row r="117" spans="1:16">
      <c r="A117">
        <v>116</v>
      </c>
      <c r="B117" t="s">
        <v>163</v>
      </c>
      <c r="C117">
        <v>66</v>
      </c>
      <c r="D117">
        <v>56</v>
      </c>
      <c r="E117">
        <v>57.133617516248101</v>
      </c>
      <c r="F117">
        <v>1.18855216686591</v>
      </c>
      <c r="G117">
        <v>2563.7361516068099</v>
      </c>
      <c r="H117">
        <v>219.49126303662399</v>
      </c>
      <c r="I117">
        <v>0.65083037758747997</v>
      </c>
      <c r="J117">
        <v>0.66872678134813301</v>
      </c>
      <c r="K117">
        <v>0.91366068118014698</v>
      </c>
      <c r="L117" t="s">
        <v>33</v>
      </c>
      <c r="M117" t="s">
        <v>34</v>
      </c>
      <c r="N117" t="s">
        <v>35</v>
      </c>
      <c r="O117">
        <v>0.77250279692920198</v>
      </c>
      <c r="P117" t="s">
        <v>36</v>
      </c>
    </row>
    <row r="118" spans="1:16">
      <c r="A118">
        <v>117</v>
      </c>
      <c r="B118" t="s">
        <v>164</v>
      </c>
      <c r="C118">
        <v>88</v>
      </c>
      <c r="D118">
        <v>63</v>
      </c>
      <c r="E118">
        <v>57.1650755707307</v>
      </c>
      <c r="F118">
        <v>1.3879309539704101</v>
      </c>
      <c r="G118">
        <v>2566.5601406427199</v>
      </c>
      <c r="H118">
        <v>488.71516693509102</v>
      </c>
      <c r="I118">
        <v>0.60443214083447905</v>
      </c>
      <c r="J118">
        <v>0.13503603415584101</v>
      </c>
      <c r="K118">
        <v>0.63294479876841903</v>
      </c>
      <c r="L118" t="s">
        <v>43</v>
      </c>
      <c r="M118" t="s">
        <v>34</v>
      </c>
      <c r="N118" t="s">
        <v>35</v>
      </c>
      <c r="O118">
        <v>0.78692938420367597</v>
      </c>
      <c r="P118" t="s">
        <v>36</v>
      </c>
    </row>
    <row r="119" spans="1:16">
      <c r="A119">
        <v>118</v>
      </c>
      <c r="B119" t="s">
        <v>165</v>
      </c>
      <c r="C119">
        <v>67</v>
      </c>
      <c r="D119">
        <v>70</v>
      </c>
      <c r="E119">
        <v>57.194861977738903</v>
      </c>
      <c r="F119">
        <v>0.95536255294726002</v>
      </c>
      <c r="G119">
        <v>2569.23549867675</v>
      </c>
      <c r="H119">
        <v>346.88115051393902</v>
      </c>
      <c r="I119">
        <v>0.63832614835522306</v>
      </c>
      <c r="J119">
        <v>0.26831958653816801</v>
      </c>
      <c r="K119">
        <v>0.70408537330455001</v>
      </c>
      <c r="L119" t="s">
        <v>49</v>
      </c>
      <c r="M119" t="s">
        <v>34</v>
      </c>
      <c r="N119" t="s">
        <v>35</v>
      </c>
      <c r="O119">
        <v>0.71625429624184</v>
      </c>
      <c r="P119" t="s">
        <v>36</v>
      </c>
    </row>
    <row r="120" spans="1:16">
      <c r="A120">
        <v>119</v>
      </c>
      <c r="B120" t="s">
        <v>166</v>
      </c>
      <c r="C120">
        <v>103</v>
      </c>
      <c r="D120">
        <v>63</v>
      </c>
      <c r="E120">
        <v>57.371606423865302</v>
      </c>
      <c r="F120">
        <v>1.6206896551724099</v>
      </c>
      <c r="G120">
        <v>2585.13901587902</v>
      </c>
      <c r="H120">
        <v>822.61129222092404</v>
      </c>
      <c r="I120">
        <v>0.746156022289299</v>
      </c>
      <c r="J120">
        <v>4.8006985088458201E-2</v>
      </c>
      <c r="K120">
        <v>0.49245448625385801</v>
      </c>
      <c r="L120" t="s">
        <v>144</v>
      </c>
      <c r="M120" t="s">
        <v>34</v>
      </c>
      <c r="N120" t="s">
        <v>35</v>
      </c>
      <c r="O120">
        <v>0.94414425337516406</v>
      </c>
      <c r="P120" t="s">
        <v>36</v>
      </c>
    </row>
    <row r="121" spans="1:16">
      <c r="A121">
        <v>120</v>
      </c>
      <c r="B121" t="s">
        <v>167</v>
      </c>
      <c r="C121">
        <v>77</v>
      </c>
      <c r="D121">
        <v>49</v>
      </c>
      <c r="E121">
        <v>57.447422880728098</v>
      </c>
      <c r="F121">
        <v>1.5777777777777799</v>
      </c>
      <c r="G121">
        <v>2591.9760419659701</v>
      </c>
      <c r="H121">
        <v>254.62316936047199</v>
      </c>
      <c r="I121">
        <v>0.71870033755476204</v>
      </c>
      <c r="J121">
        <v>0.50239465209037704</v>
      </c>
      <c r="K121">
        <v>0.86597477405899304</v>
      </c>
      <c r="L121" t="s">
        <v>33</v>
      </c>
      <c r="M121" t="s">
        <v>34</v>
      </c>
      <c r="N121" t="s">
        <v>35</v>
      </c>
      <c r="O121">
        <v>0.72582794888942903</v>
      </c>
      <c r="P121" t="s">
        <v>36</v>
      </c>
    </row>
    <row r="122" spans="1:16">
      <c r="A122">
        <v>121</v>
      </c>
      <c r="B122" t="s">
        <v>168</v>
      </c>
      <c r="C122">
        <v>103</v>
      </c>
      <c r="D122">
        <v>64</v>
      </c>
      <c r="E122">
        <v>57.500105803824198</v>
      </c>
      <c r="F122">
        <v>1.6016430216812201</v>
      </c>
      <c r="G122">
        <v>2596.73223402647</v>
      </c>
      <c r="H122">
        <v>621.442124689455</v>
      </c>
      <c r="I122">
        <v>0.49256196476937802</v>
      </c>
      <c r="J122">
        <v>8.4495903774592998E-2</v>
      </c>
      <c r="K122">
        <v>0.472036096401167</v>
      </c>
      <c r="L122" t="s">
        <v>47</v>
      </c>
      <c r="M122" t="s">
        <v>34</v>
      </c>
      <c r="N122" t="s">
        <v>35</v>
      </c>
      <c r="O122">
        <v>0.93092573404599399</v>
      </c>
      <c r="P122" t="s">
        <v>36</v>
      </c>
    </row>
    <row r="123" spans="1:16">
      <c r="A123">
        <v>122</v>
      </c>
      <c r="B123" t="s">
        <v>169</v>
      </c>
      <c r="C123">
        <v>68</v>
      </c>
      <c r="D123">
        <v>74</v>
      </c>
      <c r="E123">
        <v>57.521494458596301</v>
      </c>
      <c r="F123">
        <v>0.92592592592592604</v>
      </c>
      <c r="G123">
        <v>2598.6644370510398</v>
      </c>
      <c r="H123">
        <v>364.96686896883898</v>
      </c>
      <c r="I123">
        <v>0.58338912713355395</v>
      </c>
      <c r="J123">
        <v>0.245162015782422</v>
      </c>
      <c r="K123">
        <v>0.73959390862944197</v>
      </c>
      <c r="L123" t="s">
        <v>72</v>
      </c>
      <c r="M123" t="s">
        <v>34</v>
      </c>
      <c r="N123" t="s">
        <v>35</v>
      </c>
      <c r="O123">
        <v>0.87590742528148302</v>
      </c>
      <c r="P123" t="s">
        <v>36</v>
      </c>
    </row>
    <row r="124" spans="1:16">
      <c r="A124">
        <v>123</v>
      </c>
      <c r="B124" t="s">
        <v>170</v>
      </c>
      <c r="C124">
        <v>78</v>
      </c>
      <c r="D124">
        <v>78</v>
      </c>
      <c r="E124">
        <v>57.611897057424201</v>
      </c>
      <c r="F124">
        <v>1</v>
      </c>
      <c r="G124">
        <v>2606.83914215501</v>
      </c>
      <c r="H124">
        <v>513.553280650533</v>
      </c>
      <c r="I124">
        <v>0.74097048066101501</v>
      </c>
      <c r="J124">
        <v>0.124209004659481</v>
      </c>
      <c r="K124">
        <v>0.57789126853377304</v>
      </c>
      <c r="L124" t="s">
        <v>38</v>
      </c>
      <c r="M124" t="s">
        <v>34</v>
      </c>
      <c r="N124" t="s">
        <v>35</v>
      </c>
      <c r="O124">
        <v>0.63719657968050003</v>
      </c>
      <c r="P124" t="s">
        <v>36</v>
      </c>
    </row>
    <row r="125" spans="1:16">
      <c r="A125">
        <v>124</v>
      </c>
      <c r="B125" t="s">
        <v>171</v>
      </c>
      <c r="C125">
        <v>53</v>
      </c>
      <c r="D125">
        <v>117</v>
      </c>
      <c r="E125">
        <v>57.677555403488299</v>
      </c>
      <c r="F125">
        <v>0.45327102803738301</v>
      </c>
      <c r="G125">
        <v>2612.7843822306199</v>
      </c>
      <c r="H125">
        <v>561.95198421509394</v>
      </c>
      <c r="I125">
        <v>0.70929423199454</v>
      </c>
      <c r="J125">
        <v>0.103971669453943</v>
      </c>
      <c r="K125">
        <v>0.50136900347955005</v>
      </c>
      <c r="L125" t="s">
        <v>33</v>
      </c>
      <c r="M125" t="s">
        <v>34</v>
      </c>
      <c r="N125" t="s">
        <v>35</v>
      </c>
      <c r="O125">
        <v>0.75479469460904303</v>
      </c>
      <c r="P125" t="s">
        <v>36</v>
      </c>
    </row>
    <row r="126" spans="1:16">
      <c r="A126">
        <v>125</v>
      </c>
      <c r="B126" t="s">
        <v>172</v>
      </c>
      <c r="C126">
        <v>63</v>
      </c>
      <c r="D126">
        <v>74</v>
      </c>
      <c r="E126">
        <v>57.816831815681503</v>
      </c>
      <c r="F126">
        <v>0.85461777303056596</v>
      </c>
      <c r="G126">
        <v>2625.4180173913001</v>
      </c>
      <c r="H126">
        <v>326.95664094157797</v>
      </c>
      <c r="I126">
        <v>0.61739146477668605</v>
      </c>
      <c r="J126">
        <v>0.308622794623306</v>
      </c>
      <c r="K126">
        <v>0.75837197320968597</v>
      </c>
      <c r="L126" t="s">
        <v>49</v>
      </c>
      <c r="M126" t="s">
        <v>34</v>
      </c>
      <c r="N126" t="s">
        <v>35</v>
      </c>
      <c r="O126">
        <v>0.78184740728470603</v>
      </c>
      <c r="P126" t="s">
        <v>36</v>
      </c>
    </row>
    <row r="127" spans="1:16">
      <c r="A127">
        <v>126</v>
      </c>
      <c r="B127" t="s">
        <v>173</v>
      </c>
      <c r="C127">
        <v>73</v>
      </c>
      <c r="D127">
        <v>59</v>
      </c>
      <c r="E127">
        <v>58.014519116972998</v>
      </c>
      <c r="F127">
        <v>1.23938661446205</v>
      </c>
      <c r="G127">
        <v>2643.4023686200399</v>
      </c>
      <c r="H127">
        <v>308.58364123976799</v>
      </c>
      <c r="I127">
        <v>0.66595381263265097</v>
      </c>
      <c r="J127">
        <v>0.348840853299759</v>
      </c>
      <c r="K127">
        <v>0.79100693826721202</v>
      </c>
      <c r="L127" t="s">
        <v>47</v>
      </c>
      <c r="M127" t="s">
        <v>34</v>
      </c>
      <c r="N127" t="s">
        <v>35</v>
      </c>
      <c r="O127">
        <v>0.94259387321297305</v>
      </c>
      <c r="P127" t="s">
        <v>36</v>
      </c>
    </row>
    <row r="128" spans="1:16">
      <c r="A128">
        <v>127</v>
      </c>
      <c r="B128" t="s">
        <v>174</v>
      </c>
      <c r="C128">
        <v>73</v>
      </c>
      <c r="D128">
        <v>78</v>
      </c>
      <c r="E128">
        <v>58.034087765758798</v>
      </c>
      <c r="F128">
        <v>0.93706293706293697</v>
      </c>
      <c r="G128">
        <v>2645.1859406427202</v>
      </c>
      <c r="H128">
        <v>686.33904411450703</v>
      </c>
      <c r="I128">
        <v>0.58576500290589795</v>
      </c>
      <c r="J128">
        <v>7.0564888348972593E-2</v>
      </c>
      <c r="K128">
        <v>0.55796965136694299</v>
      </c>
      <c r="L128" t="s">
        <v>33</v>
      </c>
      <c r="M128" t="s">
        <v>34</v>
      </c>
      <c r="N128" t="s">
        <v>35</v>
      </c>
      <c r="O128">
        <v>0.74845856319082504</v>
      </c>
      <c r="P128" t="s">
        <v>36</v>
      </c>
    </row>
    <row r="129" spans="1:16">
      <c r="A129">
        <v>128</v>
      </c>
      <c r="B129" t="s">
        <v>175</v>
      </c>
      <c r="C129">
        <v>63</v>
      </c>
      <c r="D129">
        <v>93</v>
      </c>
      <c r="E129">
        <v>58.061798728422602</v>
      </c>
      <c r="F129">
        <v>0.67647058823529405</v>
      </c>
      <c r="G129">
        <v>2647.7126676748599</v>
      </c>
      <c r="H129">
        <v>463.63516693509098</v>
      </c>
      <c r="I129">
        <v>0.67183705178282604</v>
      </c>
      <c r="J129">
        <v>0.154784681316295</v>
      </c>
      <c r="K129">
        <v>0.662969854856718</v>
      </c>
      <c r="L129" t="s">
        <v>43</v>
      </c>
      <c r="M129" t="s">
        <v>34</v>
      </c>
      <c r="N129" t="s">
        <v>35</v>
      </c>
      <c r="O129">
        <v>0.73407815202453897</v>
      </c>
      <c r="P129" t="s">
        <v>36</v>
      </c>
    </row>
    <row r="130" spans="1:16">
      <c r="A130">
        <v>129</v>
      </c>
      <c r="B130" t="s">
        <v>176</v>
      </c>
      <c r="C130">
        <v>63</v>
      </c>
      <c r="D130">
        <v>68</v>
      </c>
      <c r="E130">
        <v>58.0862385993237</v>
      </c>
      <c r="F130">
        <v>0.92800000000000005</v>
      </c>
      <c r="G130">
        <v>2649.9421327032101</v>
      </c>
      <c r="H130">
        <v>449.40471756033298</v>
      </c>
      <c r="I130">
        <v>0.634154489709297</v>
      </c>
      <c r="J130">
        <v>0.164881147086514</v>
      </c>
      <c r="K130">
        <v>0.71821624234611703</v>
      </c>
      <c r="L130" t="s">
        <v>38</v>
      </c>
      <c r="M130" t="s">
        <v>34</v>
      </c>
      <c r="N130" t="s">
        <v>35</v>
      </c>
      <c r="O130">
        <v>0.88695986236640001</v>
      </c>
      <c r="P130" t="s">
        <v>36</v>
      </c>
    </row>
    <row r="131" spans="1:16">
      <c r="A131">
        <v>130</v>
      </c>
      <c r="B131" t="s">
        <v>177</v>
      </c>
      <c r="C131">
        <v>88</v>
      </c>
      <c r="D131">
        <v>88</v>
      </c>
      <c r="E131">
        <v>58.172510575736098</v>
      </c>
      <c r="F131">
        <v>1</v>
      </c>
      <c r="G131">
        <v>2657.8195758033999</v>
      </c>
      <c r="H131">
        <v>867.37391550872599</v>
      </c>
      <c r="I131">
        <v>0.52855506975764899</v>
      </c>
      <c r="J131">
        <v>4.4393833090285301E-2</v>
      </c>
      <c r="K131">
        <v>0.40496410535136002</v>
      </c>
      <c r="L131" t="s">
        <v>33</v>
      </c>
      <c r="M131" t="s">
        <v>34</v>
      </c>
      <c r="N131" t="s">
        <v>35</v>
      </c>
      <c r="O131">
        <v>0.82844815518614701</v>
      </c>
      <c r="P131" t="s">
        <v>36</v>
      </c>
    </row>
    <row r="132" spans="1:16">
      <c r="A132">
        <v>131</v>
      </c>
      <c r="B132" t="s">
        <v>178</v>
      </c>
      <c r="C132">
        <v>58</v>
      </c>
      <c r="D132">
        <v>88</v>
      </c>
      <c r="E132">
        <v>58.1920260956284</v>
      </c>
      <c r="F132">
        <v>0.66459627329192505</v>
      </c>
      <c r="G132">
        <v>2659.6031478260902</v>
      </c>
      <c r="H132">
        <v>501.42620615896999</v>
      </c>
      <c r="I132">
        <v>0.71873880588802197</v>
      </c>
      <c r="J132">
        <v>0.13292682959185201</v>
      </c>
      <c r="K132">
        <v>0.61077926067515398</v>
      </c>
      <c r="L132" t="s">
        <v>38</v>
      </c>
      <c r="M132" t="s">
        <v>34</v>
      </c>
      <c r="N132" t="s">
        <v>35</v>
      </c>
      <c r="O132">
        <v>0.82026415204557401</v>
      </c>
      <c r="P132" t="s">
        <v>36</v>
      </c>
    </row>
    <row r="133" spans="1:16">
      <c r="A133">
        <v>132</v>
      </c>
      <c r="B133" t="s">
        <v>179</v>
      </c>
      <c r="C133">
        <v>83</v>
      </c>
      <c r="D133">
        <v>73</v>
      </c>
      <c r="E133">
        <v>58.231037514152398</v>
      </c>
      <c r="F133">
        <v>1.1343283582089601</v>
      </c>
      <c r="G133">
        <v>2663.17029187146</v>
      </c>
      <c r="H133">
        <v>528.04831379102598</v>
      </c>
      <c r="I133">
        <v>0.69655681557679805</v>
      </c>
      <c r="J133">
        <v>0.120022171867309</v>
      </c>
      <c r="K133">
        <v>0.59235016033587895</v>
      </c>
      <c r="L133" t="s">
        <v>33</v>
      </c>
      <c r="M133" t="s">
        <v>34</v>
      </c>
      <c r="N133" t="s">
        <v>35</v>
      </c>
      <c r="O133">
        <v>0.707132369653519</v>
      </c>
      <c r="P133" t="s">
        <v>36</v>
      </c>
    </row>
    <row r="134" spans="1:16">
      <c r="A134">
        <v>133</v>
      </c>
      <c r="B134" t="s">
        <v>180</v>
      </c>
      <c r="C134">
        <v>51</v>
      </c>
      <c r="D134">
        <v>79</v>
      </c>
      <c r="E134">
        <v>58.253782110204199</v>
      </c>
      <c r="F134">
        <v>0.65196068060752599</v>
      </c>
      <c r="G134">
        <v>2665.2511258979198</v>
      </c>
      <c r="H134">
        <v>292.09482761777002</v>
      </c>
      <c r="I134">
        <v>0.76811879352526402</v>
      </c>
      <c r="J134">
        <v>0.392554776674439</v>
      </c>
      <c r="K134">
        <v>0.78926056338028205</v>
      </c>
      <c r="L134" t="s">
        <v>47</v>
      </c>
      <c r="M134" t="s">
        <v>34</v>
      </c>
      <c r="N134" t="s">
        <v>35</v>
      </c>
      <c r="O134">
        <v>0.95022975026442502</v>
      </c>
      <c r="P134" t="s">
        <v>36</v>
      </c>
    </row>
    <row r="135" spans="1:16">
      <c r="A135">
        <v>134</v>
      </c>
      <c r="B135" t="s">
        <v>181</v>
      </c>
      <c r="C135">
        <v>132</v>
      </c>
      <c r="D135">
        <v>38</v>
      </c>
      <c r="E135">
        <v>58.351158534291102</v>
      </c>
      <c r="F135">
        <v>3.5133017074389601</v>
      </c>
      <c r="G135">
        <v>2674.1689860113402</v>
      </c>
      <c r="H135">
        <v>441.903965964939</v>
      </c>
      <c r="I135">
        <v>0.63676108849380297</v>
      </c>
      <c r="J135">
        <v>0.17208495921501299</v>
      </c>
      <c r="K135">
        <v>0.69674321341439804</v>
      </c>
      <c r="L135" t="s">
        <v>47</v>
      </c>
      <c r="M135" t="s">
        <v>34</v>
      </c>
      <c r="N135" t="s">
        <v>35</v>
      </c>
      <c r="O135">
        <v>0.957815725103489</v>
      </c>
      <c r="P135" t="s">
        <v>36</v>
      </c>
    </row>
    <row r="136" spans="1:16">
      <c r="A136">
        <v>135</v>
      </c>
      <c r="B136" t="s">
        <v>182</v>
      </c>
      <c r="C136">
        <v>65</v>
      </c>
      <c r="D136">
        <v>80</v>
      </c>
      <c r="E136">
        <v>58.383581250875501</v>
      </c>
      <c r="F136">
        <v>0.81084171808505101</v>
      </c>
      <c r="G136">
        <v>2677.1416060491501</v>
      </c>
      <c r="H136">
        <v>376.02620615897001</v>
      </c>
      <c r="I136">
        <v>0.60065197889134903</v>
      </c>
      <c r="J136">
        <v>0.23792768643130699</v>
      </c>
      <c r="K136">
        <v>0.68685173886516204</v>
      </c>
      <c r="L136" t="s">
        <v>43</v>
      </c>
      <c r="M136" t="s">
        <v>34</v>
      </c>
      <c r="N136" t="s">
        <v>35</v>
      </c>
      <c r="O136">
        <v>0.77397546147512097</v>
      </c>
      <c r="P136" t="s">
        <v>36</v>
      </c>
    </row>
    <row r="137" spans="1:16">
      <c r="A137">
        <v>136</v>
      </c>
      <c r="B137" t="s">
        <v>183</v>
      </c>
      <c r="C137">
        <v>90</v>
      </c>
      <c r="D137">
        <v>49</v>
      </c>
      <c r="E137">
        <v>58.506623708220403</v>
      </c>
      <c r="F137">
        <v>1.84890542881302</v>
      </c>
      <c r="G137">
        <v>2688.4375621928202</v>
      </c>
      <c r="H137">
        <v>324.88536577805201</v>
      </c>
      <c r="I137">
        <v>0.58731429085710396</v>
      </c>
      <c r="J137">
        <v>0.32007335344746801</v>
      </c>
      <c r="K137">
        <v>0.79809389339922299</v>
      </c>
      <c r="L137" t="s">
        <v>47</v>
      </c>
      <c r="M137" t="s">
        <v>34</v>
      </c>
      <c r="N137" t="s">
        <v>35</v>
      </c>
      <c r="O137">
        <v>0.93444274429836205</v>
      </c>
      <c r="P137" t="s">
        <v>36</v>
      </c>
    </row>
    <row r="138" spans="1:16">
      <c r="A138">
        <v>137</v>
      </c>
      <c r="B138" t="s">
        <v>184</v>
      </c>
      <c r="C138">
        <v>103</v>
      </c>
      <c r="D138">
        <v>68</v>
      </c>
      <c r="E138">
        <v>58.514709535989297</v>
      </c>
      <c r="F138">
        <v>1.52860106996791</v>
      </c>
      <c r="G138">
        <v>2689.18071720227</v>
      </c>
      <c r="H138">
        <v>588.30950808141597</v>
      </c>
      <c r="I138">
        <v>0.655185168913621</v>
      </c>
      <c r="J138">
        <v>9.7637829793144296E-2</v>
      </c>
      <c r="K138">
        <v>0.47352717946033701</v>
      </c>
      <c r="L138" t="s">
        <v>74</v>
      </c>
      <c r="M138" t="s">
        <v>34</v>
      </c>
      <c r="N138" t="s">
        <v>35</v>
      </c>
      <c r="O138">
        <v>0.74414174073212103</v>
      </c>
      <c r="P138" t="s">
        <v>36</v>
      </c>
    </row>
    <row r="139" spans="1:16">
      <c r="A139">
        <v>138</v>
      </c>
      <c r="B139" t="s">
        <v>185</v>
      </c>
      <c r="C139">
        <v>73</v>
      </c>
      <c r="D139">
        <v>107</v>
      </c>
      <c r="E139">
        <v>58.5195604963737</v>
      </c>
      <c r="F139">
        <v>0.68020304568527901</v>
      </c>
      <c r="G139">
        <v>2689.6266102079398</v>
      </c>
      <c r="H139">
        <v>764.156789328326</v>
      </c>
      <c r="I139">
        <v>0.55652053948707303</v>
      </c>
      <c r="J139">
        <v>5.7881117155242398E-2</v>
      </c>
      <c r="K139">
        <v>0.40202612636630197</v>
      </c>
      <c r="L139" t="s">
        <v>38</v>
      </c>
      <c r="M139" t="s">
        <v>34</v>
      </c>
      <c r="N139" t="s">
        <v>35</v>
      </c>
      <c r="O139">
        <v>0.78208889536542903</v>
      </c>
      <c r="P139" t="s">
        <v>36</v>
      </c>
    </row>
    <row r="140" spans="1:16">
      <c r="A140">
        <v>139</v>
      </c>
      <c r="B140" t="s">
        <v>186</v>
      </c>
      <c r="C140">
        <v>98</v>
      </c>
      <c r="D140">
        <v>53</v>
      </c>
      <c r="E140">
        <v>58.526027818103799</v>
      </c>
      <c r="F140">
        <v>1.8265306122449001</v>
      </c>
      <c r="G140">
        <v>2690.2211342155001</v>
      </c>
      <c r="H140">
        <v>498.60657466059098</v>
      </c>
      <c r="I140">
        <v>0.73657149806872102</v>
      </c>
      <c r="J140">
        <v>0.135982130905968</v>
      </c>
      <c r="K140">
        <v>0.677750318280536</v>
      </c>
      <c r="L140" t="s">
        <v>49</v>
      </c>
      <c r="M140" t="s">
        <v>34</v>
      </c>
      <c r="N140" t="s">
        <v>35</v>
      </c>
      <c r="O140">
        <v>0.62820700656999695</v>
      </c>
      <c r="P140" t="s">
        <v>36</v>
      </c>
    </row>
    <row r="141" spans="1:16">
      <c r="A141">
        <v>140</v>
      </c>
      <c r="B141" t="s">
        <v>187</v>
      </c>
      <c r="C141">
        <v>63</v>
      </c>
      <c r="D141">
        <v>73</v>
      </c>
      <c r="E141">
        <v>58.530877840444198</v>
      </c>
      <c r="F141">
        <v>0.86567164179104505</v>
      </c>
      <c r="G141">
        <v>2690.66702722117</v>
      </c>
      <c r="H141">
        <v>462.86411311906301</v>
      </c>
      <c r="I141">
        <v>0.41787145505071899</v>
      </c>
      <c r="J141">
        <v>0.15782027659158701</v>
      </c>
      <c r="K141">
        <v>0.72296325878594203</v>
      </c>
      <c r="L141" t="s">
        <v>188</v>
      </c>
      <c r="M141" t="s">
        <v>34</v>
      </c>
      <c r="N141" t="s">
        <v>35</v>
      </c>
      <c r="O141">
        <v>0.85507838557016902</v>
      </c>
      <c r="P141" t="s">
        <v>36</v>
      </c>
    </row>
    <row r="142" spans="1:16">
      <c r="A142">
        <v>141</v>
      </c>
      <c r="B142" t="s">
        <v>189</v>
      </c>
      <c r="C142">
        <v>88</v>
      </c>
      <c r="D142">
        <v>98</v>
      </c>
      <c r="E142">
        <v>58.768038614050397</v>
      </c>
      <c r="F142">
        <v>0.89944134078212301</v>
      </c>
      <c r="G142">
        <v>2712.5157844990599</v>
      </c>
      <c r="H142">
        <v>791.38555917387396</v>
      </c>
      <c r="I142">
        <v>0.70658509161025296</v>
      </c>
      <c r="J142">
        <v>5.4425934629118801E-2</v>
      </c>
      <c r="K142">
        <v>0.42766087078783299</v>
      </c>
      <c r="L142" t="s">
        <v>33</v>
      </c>
      <c r="M142" t="s">
        <v>34</v>
      </c>
      <c r="N142" t="s">
        <v>35</v>
      </c>
      <c r="O142">
        <v>0.80794817450024004</v>
      </c>
      <c r="P142" t="s">
        <v>36</v>
      </c>
    </row>
    <row r="143" spans="1:16">
      <c r="A143">
        <v>142</v>
      </c>
      <c r="B143" t="s">
        <v>190</v>
      </c>
      <c r="C143">
        <v>63</v>
      </c>
      <c r="D143">
        <v>78</v>
      </c>
      <c r="E143">
        <v>58.769648675244802</v>
      </c>
      <c r="F143">
        <v>0.81118881118881103</v>
      </c>
      <c r="G143">
        <v>2712.6644155009499</v>
      </c>
      <c r="H143">
        <v>604.401446054811</v>
      </c>
      <c r="I143">
        <v>0.71758561847018298</v>
      </c>
      <c r="J143">
        <v>9.3315748711630994E-2</v>
      </c>
      <c r="K143">
        <v>0.591681255268106</v>
      </c>
      <c r="L143" t="s">
        <v>38</v>
      </c>
      <c r="M143" t="s">
        <v>34</v>
      </c>
      <c r="N143" t="s">
        <v>35</v>
      </c>
      <c r="O143">
        <v>0.67464798250950397</v>
      </c>
      <c r="P143" t="s">
        <v>36</v>
      </c>
    </row>
    <row r="144" spans="1:16">
      <c r="A144">
        <v>143</v>
      </c>
      <c r="B144" t="s">
        <v>191</v>
      </c>
      <c r="C144">
        <v>89</v>
      </c>
      <c r="D144">
        <v>78</v>
      </c>
      <c r="E144">
        <v>58.821147364068601</v>
      </c>
      <c r="F144">
        <v>1.1413660191049699</v>
      </c>
      <c r="G144">
        <v>2717.4206075614402</v>
      </c>
      <c r="H144">
        <v>478.175595037937</v>
      </c>
      <c r="I144">
        <v>0.67710406630415099</v>
      </c>
      <c r="J144">
        <v>0.14934542208496099</v>
      </c>
      <c r="K144">
        <v>0.53138987385921099</v>
      </c>
      <c r="L144" t="s">
        <v>33</v>
      </c>
      <c r="M144" t="s">
        <v>34</v>
      </c>
      <c r="N144" t="s">
        <v>35</v>
      </c>
      <c r="O144">
        <v>0.749259361740649</v>
      </c>
      <c r="P144" t="s">
        <v>36</v>
      </c>
    </row>
    <row r="145" spans="1:16">
      <c r="A145">
        <v>144</v>
      </c>
      <c r="B145" t="s">
        <v>192</v>
      </c>
      <c r="C145">
        <v>92</v>
      </c>
      <c r="D145">
        <v>54</v>
      </c>
      <c r="E145">
        <v>58.846879807958899</v>
      </c>
      <c r="F145">
        <v>1.69201003443299</v>
      </c>
      <c r="G145">
        <v>2719.7987035916799</v>
      </c>
      <c r="H145">
        <v>389.80498268428101</v>
      </c>
      <c r="I145">
        <v>0.51336575285622899</v>
      </c>
      <c r="J145">
        <v>0.22493231554507101</v>
      </c>
      <c r="K145">
        <v>0.74253367959746797</v>
      </c>
      <c r="L145" t="s">
        <v>144</v>
      </c>
      <c r="M145" t="s">
        <v>34</v>
      </c>
      <c r="N145" t="s">
        <v>35</v>
      </c>
      <c r="O145">
        <v>0.698526715685309</v>
      </c>
      <c r="P145" t="s">
        <v>36</v>
      </c>
    </row>
    <row r="146" spans="1:16">
      <c r="A146">
        <v>145</v>
      </c>
      <c r="B146" t="s">
        <v>193</v>
      </c>
      <c r="C146">
        <v>103</v>
      </c>
      <c r="D146">
        <v>63</v>
      </c>
      <c r="E146">
        <v>58.901523924975798</v>
      </c>
      <c r="F146">
        <v>1.62068960527744</v>
      </c>
      <c r="G146">
        <v>2724.8521576559601</v>
      </c>
      <c r="H146">
        <v>733.04065068296802</v>
      </c>
      <c r="I146">
        <v>0.58179933726410205</v>
      </c>
      <c r="J146">
        <v>6.3723069839155294E-2</v>
      </c>
      <c r="K146">
        <v>0.52738622633910603</v>
      </c>
      <c r="L146" t="s">
        <v>38</v>
      </c>
      <c r="M146" t="s">
        <v>34</v>
      </c>
      <c r="N146" t="s">
        <v>35</v>
      </c>
      <c r="O146">
        <v>0.84530776784476502</v>
      </c>
      <c r="P146" t="s">
        <v>36</v>
      </c>
    </row>
    <row r="147" spans="1:16">
      <c r="A147">
        <v>146</v>
      </c>
      <c r="B147" t="s">
        <v>194</v>
      </c>
      <c r="C147">
        <v>55</v>
      </c>
      <c r="D147">
        <v>75</v>
      </c>
      <c r="E147">
        <v>58.930432650115002</v>
      </c>
      <c r="F147">
        <v>0.72820515459388302</v>
      </c>
      <c r="G147">
        <v>2727.5275156899802</v>
      </c>
      <c r="H147">
        <v>280.94859350712397</v>
      </c>
      <c r="I147">
        <v>0.67687790129594805</v>
      </c>
      <c r="J147">
        <v>0.43423545462639002</v>
      </c>
      <c r="K147">
        <v>0.87707307747454999</v>
      </c>
      <c r="L147" t="s">
        <v>47</v>
      </c>
      <c r="M147" t="s">
        <v>34</v>
      </c>
      <c r="N147" t="s">
        <v>35</v>
      </c>
      <c r="O147">
        <v>0.88504661898642401</v>
      </c>
      <c r="P147" t="s">
        <v>36</v>
      </c>
    </row>
    <row r="148" spans="1:16">
      <c r="A148">
        <v>147</v>
      </c>
      <c r="B148" t="s">
        <v>195</v>
      </c>
      <c r="C148">
        <v>45</v>
      </c>
      <c r="D148">
        <v>103</v>
      </c>
      <c r="E148">
        <v>58.988207597961797</v>
      </c>
      <c r="F148">
        <v>0.433862433862434</v>
      </c>
      <c r="G148">
        <v>2732.8782317580299</v>
      </c>
      <c r="H148">
        <v>530.09689147337599</v>
      </c>
      <c r="I148">
        <v>0.75098108859150803</v>
      </c>
      <c r="J148">
        <v>0.12221362624078901</v>
      </c>
      <c r="K148">
        <v>0.68416744186046496</v>
      </c>
      <c r="L148" t="s">
        <v>33</v>
      </c>
      <c r="M148" t="s">
        <v>34</v>
      </c>
      <c r="N148" t="s">
        <v>35</v>
      </c>
      <c r="O148">
        <v>0.75191117732368795</v>
      </c>
      <c r="P148" t="s">
        <v>36</v>
      </c>
    </row>
    <row r="149" spans="1:16">
      <c r="A149">
        <v>148</v>
      </c>
      <c r="B149" t="s">
        <v>196</v>
      </c>
      <c r="C149">
        <v>93</v>
      </c>
      <c r="D149">
        <v>49</v>
      </c>
      <c r="E149">
        <v>59.020280353483997</v>
      </c>
      <c r="F149">
        <v>1.91011234413959</v>
      </c>
      <c r="G149">
        <v>2735.8508517958398</v>
      </c>
      <c r="H149">
        <v>374.274311962024</v>
      </c>
      <c r="I149">
        <v>0.83989881631944596</v>
      </c>
      <c r="J149">
        <v>0.24542694435597201</v>
      </c>
      <c r="K149">
        <v>0.66593104446293505</v>
      </c>
      <c r="L149" t="s">
        <v>47</v>
      </c>
      <c r="M149" t="s">
        <v>34</v>
      </c>
      <c r="N149" t="s">
        <v>35</v>
      </c>
      <c r="O149">
        <v>0.85214340364101404</v>
      </c>
      <c r="P149" t="s">
        <v>36</v>
      </c>
    </row>
    <row r="150" spans="1:16">
      <c r="A150">
        <v>149</v>
      </c>
      <c r="B150" t="s">
        <v>197</v>
      </c>
      <c r="C150">
        <v>98</v>
      </c>
      <c r="D150">
        <v>58</v>
      </c>
      <c r="E150">
        <v>59.036310197162997</v>
      </c>
      <c r="F150">
        <v>1.6728971962616801</v>
      </c>
      <c r="G150">
        <v>2737.3371618147498</v>
      </c>
      <c r="H150">
        <v>476.29140895812401</v>
      </c>
      <c r="I150">
        <v>0.67099945618537904</v>
      </c>
      <c r="J150">
        <v>0.15163262777310199</v>
      </c>
      <c r="K150">
        <v>0.64593855218855201</v>
      </c>
      <c r="L150" t="s">
        <v>33</v>
      </c>
      <c r="M150" t="s">
        <v>34</v>
      </c>
      <c r="N150" t="s">
        <v>35</v>
      </c>
      <c r="O150">
        <v>0.77187496573552605</v>
      </c>
      <c r="P150" t="s">
        <v>36</v>
      </c>
    </row>
    <row r="151" spans="1:16">
      <c r="A151">
        <v>150</v>
      </c>
      <c r="B151" t="s">
        <v>198</v>
      </c>
      <c r="C151">
        <v>73</v>
      </c>
      <c r="D151">
        <v>73</v>
      </c>
      <c r="E151">
        <v>59.052335689517399</v>
      </c>
      <c r="F151">
        <v>1</v>
      </c>
      <c r="G151">
        <v>2738.8234718336498</v>
      </c>
      <c r="H151">
        <v>529.95519735201503</v>
      </c>
      <c r="I151">
        <v>0.53410961093932996</v>
      </c>
      <c r="J151">
        <v>0.122544999321042</v>
      </c>
      <c r="K151">
        <v>0.60254398011902399</v>
      </c>
      <c r="L151" t="s">
        <v>47</v>
      </c>
      <c r="M151" t="s">
        <v>34</v>
      </c>
      <c r="N151" t="s">
        <v>35</v>
      </c>
      <c r="O151">
        <v>0.94870474618634204</v>
      </c>
      <c r="P151" t="s">
        <v>36</v>
      </c>
    </row>
    <row r="152" spans="1:16">
      <c r="A152">
        <v>151</v>
      </c>
      <c r="B152" t="s">
        <v>199</v>
      </c>
      <c r="C152">
        <v>93</v>
      </c>
      <c r="D152">
        <v>57</v>
      </c>
      <c r="E152">
        <v>59.068356834088902</v>
      </c>
      <c r="F152">
        <v>1.6474273620845901</v>
      </c>
      <c r="G152">
        <v>2740.3097818525498</v>
      </c>
      <c r="H152">
        <v>473.73636122548101</v>
      </c>
      <c r="I152">
        <v>0.64179449176542502</v>
      </c>
      <c r="J152">
        <v>0.153439115091588</v>
      </c>
      <c r="K152">
        <v>0.66552358950294199</v>
      </c>
      <c r="L152" t="s">
        <v>58</v>
      </c>
      <c r="M152" t="s">
        <v>34</v>
      </c>
      <c r="N152" t="s">
        <v>35</v>
      </c>
      <c r="O152">
        <v>0.67297271047217599</v>
      </c>
      <c r="P152" t="s">
        <v>36</v>
      </c>
    </row>
    <row r="153" spans="1:16">
      <c r="A153">
        <v>152</v>
      </c>
      <c r="B153" t="s">
        <v>200</v>
      </c>
      <c r="C153">
        <v>89</v>
      </c>
      <c r="D153">
        <v>88</v>
      </c>
      <c r="E153">
        <v>59.2874105705164</v>
      </c>
      <c r="F153">
        <v>1.01586428374787</v>
      </c>
      <c r="G153">
        <v>2760.6722291115302</v>
      </c>
      <c r="H153">
        <v>669.92772517453102</v>
      </c>
      <c r="I153">
        <v>0.425936759183975</v>
      </c>
      <c r="J153">
        <v>7.7298097925519005E-2</v>
      </c>
      <c r="K153">
        <v>0.48810869051060402</v>
      </c>
      <c r="L153" t="s">
        <v>74</v>
      </c>
      <c r="M153" t="s">
        <v>34</v>
      </c>
      <c r="N153" t="s">
        <v>35</v>
      </c>
      <c r="O153">
        <v>0.71564877381866399</v>
      </c>
      <c r="P153" t="s">
        <v>36</v>
      </c>
    </row>
    <row r="154" spans="1:16">
      <c r="A154">
        <v>153</v>
      </c>
      <c r="B154" t="s">
        <v>201</v>
      </c>
      <c r="C154">
        <v>50</v>
      </c>
      <c r="D154">
        <v>80</v>
      </c>
      <c r="E154">
        <v>59.3070336665971</v>
      </c>
      <c r="F154">
        <v>0.625</v>
      </c>
      <c r="G154">
        <v>2762.5</v>
      </c>
      <c r="H154">
        <v>250.208150744438</v>
      </c>
      <c r="I154">
        <v>0.79542373840463698</v>
      </c>
      <c r="J154">
        <v>0.55450982369229695</v>
      </c>
      <c r="K154">
        <v>0.82462686567164201</v>
      </c>
      <c r="L154" t="s">
        <v>33</v>
      </c>
      <c r="M154" t="s">
        <v>34</v>
      </c>
      <c r="N154" t="s">
        <v>35</v>
      </c>
      <c r="O154">
        <v>0.84400199440031498</v>
      </c>
      <c r="P154" t="s">
        <v>36</v>
      </c>
    </row>
    <row r="155" spans="1:16">
      <c r="A155">
        <v>154</v>
      </c>
      <c r="B155" t="s">
        <v>202</v>
      </c>
      <c r="C155">
        <v>62</v>
      </c>
      <c r="D155">
        <v>65</v>
      </c>
      <c r="E155">
        <v>59.410173817990703</v>
      </c>
      <c r="F155">
        <v>0.95266267656065895</v>
      </c>
      <c r="G155">
        <v>2772.1168162570898</v>
      </c>
      <c r="H155">
        <v>266.695446651189</v>
      </c>
      <c r="I155">
        <v>0.69625418308057996</v>
      </c>
      <c r="J155">
        <v>0.48976775562967401</v>
      </c>
      <c r="K155">
        <v>0.85830648872526505</v>
      </c>
      <c r="L155" t="s">
        <v>41</v>
      </c>
      <c r="M155" t="s">
        <v>34</v>
      </c>
      <c r="N155" t="s">
        <v>35</v>
      </c>
      <c r="O155">
        <v>0.772088742569911</v>
      </c>
      <c r="P155" t="s">
        <v>36</v>
      </c>
    </row>
    <row r="156" spans="1:16">
      <c r="A156">
        <v>155</v>
      </c>
      <c r="B156" t="s">
        <v>203</v>
      </c>
      <c r="C156">
        <v>77</v>
      </c>
      <c r="D156">
        <v>54</v>
      </c>
      <c r="E156">
        <v>59.445202465849498</v>
      </c>
      <c r="F156">
        <v>1.43434343434343</v>
      </c>
      <c r="G156">
        <v>2775.3866982986801</v>
      </c>
      <c r="H156">
        <v>318.771732450672</v>
      </c>
      <c r="I156">
        <v>0.72089464525953795</v>
      </c>
      <c r="J156">
        <v>0.34322092786766401</v>
      </c>
      <c r="K156">
        <v>0.79490017453492801</v>
      </c>
      <c r="L156" t="s">
        <v>38</v>
      </c>
      <c r="M156" t="s">
        <v>34</v>
      </c>
      <c r="N156" t="s">
        <v>35</v>
      </c>
      <c r="O156">
        <v>0.71041738074887895</v>
      </c>
      <c r="P156" t="s">
        <v>36</v>
      </c>
    </row>
    <row r="157" spans="1:16">
      <c r="A157">
        <v>156</v>
      </c>
      <c r="B157" t="s">
        <v>204</v>
      </c>
      <c r="C157">
        <v>92</v>
      </c>
      <c r="D157">
        <v>66</v>
      </c>
      <c r="E157">
        <v>59.659700665903401</v>
      </c>
      <c r="F157">
        <v>1.3983309137739599</v>
      </c>
      <c r="G157">
        <v>2795.4518835538802</v>
      </c>
      <c r="H157">
        <v>559.00006083384801</v>
      </c>
      <c r="I157">
        <v>0.65200356873312904</v>
      </c>
      <c r="J157">
        <v>0.112418600674937</v>
      </c>
      <c r="K157">
        <v>0.62224574869317795</v>
      </c>
      <c r="L157" t="s">
        <v>74</v>
      </c>
      <c r="M157" t="s">
        <v>34</v>
      </c>
      <c r="N157" t="s">
        <v>35</v>
      </c>
      <c r="O157">
        <v>0.63677001557848001</v>
      </c>
      <c r="P157" t="s">
        <v>36</v>
      </c>
    </row>
    <row r="158" spans="1:16">
      <c r="A158">
        <v>157</v>
      </c>
      <c r="B158" t="s">
        <v>205</v>
      </c>
      <c r="C158">
        <v>73</v>
      </c>
      <c r="D158">
        <v>58</v>
      </c>
      <c r="E158">
        <v>59.770618905845502</v>
      </c>
      <c r="F158">
        <v>1.25233634197718</v>
      </c>
      <c r="G158">
        <v>2805.8560536862001</v>
      </c>
      <c r="H158">
        <v>570.46567591107396</v>
      </c>
      <c r="I158">
        <v>0.63864815266479602</v>
      </c>
      <c r="J158">
        <v>0.108346831102274</v>
      </c>
      <c r="K158">
        <v>0.69427384060902497</v>
      </c>
      <c r="L158" t="s">
        <v>43</v>
      </c>
      <c r="M158" t="s">
        <v>34</v>
      </c>
      <c r="N158" t="s">
        <v>35</v>
      </c>
      <c r="O158">
        <v>0.74981137283867005</v>
      </c>
      <c r="P158" t="s">
        <v>36</v>
      </c>
    </row>
    <row r="159" spans="1:16">
      <c r="A159">
        <v>158</v>
      </c>
      <c r="B159" t="s">
        <v>206</v>
      </c>
      <c r="C159">
        <v>68</v>
      </c>
      <c r="D159">
        <v>73</v>
      </c>
      <c r="E159">
        <v>60.034410495489603</v>
      </c>
      <c r="F159">
        <v>0.93283591947092503</v>
      </c>
      <c r="G159">
        <v>2830.67743100189</v>
      </c>
      <c r="H159">
        <v>585.27068777965496</v>
      </c>
      <c r="I159">
        <v>0.63938593028705804</v>
      </c>
      <c r="J159">
        <v>0.103845264942732</v>
      </c>
      <c r="K159">
        <v>0.63702043683312704</v>
      </c>
      <c r="L159" t="s">
        <v>47</v>
      </c>
      <c r="M159" t="s">
        <v>34</v>
      </c>
      <c r="N159" t="s">
        <v>35</v>
      </c>
      <c r="O159">
        <v>0.94695380881554803</v>
      </c>
      <c r="P159" t="s">
        <v>36</v>
      </c>
    </row>
    <row r="160" spans="1:16">
      <c r="A160">
        <v>159</v>
      </c>
      <c r="B160" t="s">
        <v>207</v>
      </c>
      <c r="C160">
        <v>140</v>
      </c>
      <c r="D160">
        <v>74</v>
      </c>
      <c r="E160">
        <v>60.226390175577997</v>
      </c>
      <c r="F160">
        <v>1.8941019129052901</v>
      </c>
      <c r="G160">
        <v>2848.8104132325102</v>
      </c>
      <c r="H160">
        <v>624.403450309194</v>
      </c>
      <c r="I160">
        <v>0.69650155239568201</v>
      </c>
      <c r="J160">
        <v>9.1821170303045097E-2</v>
      </c>
      <c r="K160">
        <v>0.43329942353340101</v>
      </c>
      <c r="L160" t="s">
        <v>49</v>
      </c>
      <c r="M160" t="s">
        <v>34</v>
      </c>
      <c r="N160" t="s">
        <v>35</v>
      </c>
      <c r="O160">
        <v>0.80521823674682702</v>
      </c>
      <c r="P160" t="s">
        <v>36</v>
      </c>
    </row>
    <row r="161" spans="1:16">
      <c r="A161">
        <v>160</v>
      </c>
      <c r="B161" t="s">
        <v>208</v>
      </c>
      <c r="C161">
        <v>78</v>
      </c>
      <c r="D161">
        <v>88</v>
      </c>
      <c r="E161">
        <v>60.345675335011897</v>
      </c>
      <c r="F161">
        <v>0.88819875776397506</v>
      </c>
      <c r="G161">
        <v>2860.1063693761798</v>
      </c>
      <c r="H161">
        <v>644.82502769335497</v>
      </c>
      <c r="I161">
        <v>0.63336253407954102</v>
      </c>
      <c r="J161">
        <v>8.6438710266430699E-2</v>
      </c>
      <c r="K161">
        <v>0.59939571392972801</v>
      </c>
      <c r="L161" t="s">
        <v>49</v>
      </c>
      <c r="M161" t="s">
        <v>34</v>
      </c>
      <c r="N161" t="s">
        <v>35</v>
      </c>
      <c r="O161">
        <v>0.70350008851036105</v>
      </c>
      <c r="P161" t="s">
        <v>36</v>
      </c>
    </row>
    <row r="162" spans="1:16">
      <c r="A162">
        <v>161</v>
      </c>
      <c r="B162" t="s">
        <v>209</v>
      </c>
      <c r="C162">
        <v>58</v>
      </c>
      <c r="D162">
        <v>92</v>
      </c>
      <c r="E162">
        <v>60.351946970378599</v>
      </c>
      <c r="F162">
        <v>0.63313611871592801</v>
      </c>
      <c r="G162">
        <v>2860.7008933837401</v>
      </c>
      <c r="H162">
        <v>572.70134267713695</v>
      </c>
      <c r="I162">
        <v>0.63744310576943297</v>
      </c>
      <c r="J162">
        <v>0.109603876084893</v>
      </c>
      <c r="K162">
        <v>0.60767846430713901</v>
      </c>
      <c r="L162" t="s">
        <v>47</v>
      </c>
      <c r="M162" t="s">
        <v>34</v>
      </c>
      <c r="N162" t="s">
        <v>35</v>
      </c>
      <c r="O162">
        <v>0.92597130806660499</v>
      </c>
      <c r="P162" t="s">
        <v>36</v>
      </c>
    </row>
    <row r="163" spans="1:16">
      <c r="A163">
        <v>162</v>
      </c>
      <c r="B163" t="s">
        <v>210</v>
      </c>
      <c r="C163">
        <v>88</v>
      </c>
      <c r="D163">
        <v>64</v>
      </c>
      <c r="E163">
        <v>60.608525255618801</v>
      </c>
      <c r="F163">
        <v>1.3760683760683801</v>
      </c>
      <c r="G163">
        <v>2885.0763776937602</v>
      </c>
      <c r="H163">
        <v>429.88648587506799</v>
      </c>
      <c r="I163">
        <v>0.61514417416927902</v>
      </c>
      <c r="J163">
        <v>0.19618219692963601</v>
      </c>
      <c r="K163">
        <v>0.66523869906439603</v>
      </c>
      <c r="L163" t="s">
        <v>211</v>
      </c>
      <c r="M163" t="s">
        <v>34</v>
      </c>
      <c r="N163" t="s">
        <v>35</v>
      </c>
      <c r="O163">
        <v>0.70425482082528501</v>
      </c>
      <c r="P163" t="s">
        <v>36</v>
      </c>
    </row>
    <row r="164" spans="1:16">
      <c r="A164">
        <v>163</v>
      </c>
      <c r="B164" t="s">
        <v>212</v>
      </c>
      <c r="C164">
        <v>79</v>
      </c>
      <c r="D164">
        <v>74</v>
      </c>
      <c r="E164">
        <v>60.644421999489197</v>
      </c>
      <c r="F164">
        <v>1.07407407407407</v>
      </c>
      <c r="G164">
        <v>2888.49489073724</v>
      </c>
      <c r="H164">
        <v>369.245604182948</v>
      </c>
      <c r="I164">
        <v>0.47481896341596103</v>
      </c>
      <c r="J164">
        <v>0.266226204190322</v>
      </c>
      <c r="K164">
        <v>0.67563621193158097</v>
      </c>
      <c r="L164" t="s">
        <v>47</v>
      </c>
      <c r="M164" t="s">
        <v>34</v>
      </c>
      <c r="N164" t="s">
        <v>35</v>
      </c>
      <c r="O164">
        <v>0.95233567654663898</v>
      </c>
      <c r="P164" t="s">
        <v>36</v>
      </c>
    </row>
    <row r="165" spans="1:16">
      <c r="A165">
        <v>164</v>
      </c>
      <c r="B165" t="s">
        <v>213</v>
      </c>
      <c r="C165">
        <v>98</v>
      </c>
      <c r="D165">
        <v>64</v>
      </c>
      <c r="E165">
        <v>60.653782873512597</v>
      </c>
      <c r="F165">
        <v>1.52991452991453</v>
      </c>
      <c r="G165">
        <v>2889.3866767485802</v>
      </c>
      <c r="H165">
        <v>584.56383340296497</v>
      </c>
      <c r="I165">
        <v>0.68929655065276096</v>
      </c>
      <c r="J165">
        <v>0.106255555289825</v>
      </c>
      <c r="K165">
        <v>0.62504019034145697</v>
      </c>
      <c r="L165" t="s">
        <v>33</v>
      </c>
      <c r="M165" t="s">
        <v>34</v>
      </c>
      <c r="N165" t="s">
        <v>35</v>
      </c>
      <c r="O165">
        <v>0.84691683531917505</v>
      </c>
      <c r="P165" t="s">
        <v>36</v>
      </c>
    </row>
    <row r="166" spans="1:16">
      <c r="A166">
        <v>165</v>
      </c>
      <c r="B166" t="s">
        <v>214</v>
      </c>
      <c r="C166">
        <v>68</v>
      </c>
      <c r="D166">
        <v>88</v>
      </c>
      <c r="E166">
        <v>60.660022653671398</v>
      </c>
      <c r="F166">
        <v>0.76543214876757004</v>
      </c>
      <c r="G166">
        <v>2889.98120075614</v>
      </c>
      <c r="H166">
        <v>420.12737003243501</v>
      </c>
      <c r="I166">
        <v>0.47572904209492201</v>
      </c>
      <c r="J166">
        <v>0.20575146247235801</v>
      </c>
      <c r="K166">
        <v>0.62639734544634496</v>
      </c>
      <c r="L166" t="s">
        <v>38</v>
      </c>
      <c r="M166" t="s">
        <v>34</v>
      </c>
      <c r="N166" t="s">
        <v>35</v>
      </c>
      <c r="O166">
        <v>0.753147477431104</v>
      </c>
      <c r="P166" t="s">
        <v>36</v>
      </c>
    </row>
    <row r="167" spans="1:16">
      <c r="A167">
        <v>166</v>
      </c>
      <c r="B167" t="s">
        <v>215</v>
      </c>
      <c r="C167">
        <v>78</v>
      </c>
      <c r="D167">
        <v>79</v>
      </c>
      <c r="E167">
        <v>60.720826906770398</v>
      </c>
      <c r="F167">
        <v>0.99305555555555602</v>
      </c>
      <c r="G167">
        <v>2895.77780982987</v>
      </c>
      <c r="H167">
        <v>621.022551559676</v>
      </c>
      <c r="I167">
        <v>0.48278902114948102</v>
      </c>
      <c r="J167">
        <v>9.4354008941566994E-2</v>
      </c>
      <c r="K167">
        <v>0.57928225254957899</v>
      </c>
      <c r="L167" t="s">
        <v>47</v>
      </c>
      <c r="M167" t="s">
        <v>34</v>
      </c>
      <c r="N167" t="s">
        <v>35</v>
      </c>
      <c r="O167">
        <v>0.93676946048127396</v>
      </c>
      <c r="P167" t="s">
        <v>36</v>
      </c>
    </row>
    <row r="168" spans="1:16">
      <c r="A168">
        <v>167</v>
      </c>
      <c r="B168" t="s">
        <v>216</v>
      </c>
      <c r="C168">
        <v>60</v>
      </c>
      <c r="D168">
        <v>85</v>
      </c>
      <c r="E168">
        <v>60.765077797464997</v>
      </c>
      <c r="F168">
        <v>0.70833334269930004</v>
      </c>
      <c r="G168">
        <v>2900</v>
      </c>
      <c r="H168">
        <v>271.42135381698603</v>
      </c>
      <c r="I168">
        <v>0.69953568857668702</v>
      </c>
      <c r="J168">
        <v>0.49467485731463401</v>
      </c>
      <c r="K168">
        <v>0.83154121863799302</v>
      </c>
      <c r="L168" t="s">
        <v>33</v>
      </c>
      <c r="M168" t="s">
        <v>34</v>
      </c>
      <c r="N168" t="s">
        <v>35</v>
      </c>
      <c r="O168">
        <v>0.70006539105985199</v>
      </c>
      <c r="P168" t="s">
        <v>36</v>
      </c>
    </row>
    <row r="169" spans="1:16">
      <c r="A169">
        <v>168</v>
      </c>
      <c r="B169" t="s">
        <v>217</v>
      </c>
      <c r="C169">
        <v>77</v>
      </c>
      <c r="D169">
        <v>64</v>
      </c>
      <c r="E169">
        <v>60.780013567543897</v>
      </c>
      <c r="F169">
        <v>1.21735588828223</v>
      </c>
      <c r="G169">
        <v>2901.4257879017</v>
      </c>
      <c r="H169">
        <v>348.36846094514999</v>
      </c>
      <c r="I169">
        <v>0.697078737898569</v>
      </c>
      <c r="J169">
        <v>0.30043025819811398</v>
      </c>
      <c r="K169">
        <v>0.77258875212728095</v>
      </c>
      <c r="L169" t="s">
        <v>43</v>
      </c>
      <c r="M169" t="s">
        <v>34</v>
      </c>
      <c r="N169" t="s">
        <v>35</v>
      </c>
      <c r="O169">
        <v>0.78960192393422102</v>
      </c>
      <c r="P169" t="s">
        <v>36</v>
      </c>
    </row>
    <row r="170" spans="1:16">
      <c r="A170">
        <v>169</v>
      </c>
      <c r="B170" t="s">
        <v>218</v>
      </c>
      <c r="C170">
        <v>67</v>
      </c>
      <c r="D170">
        <v>137</v>
      </c>
      <c r="E170">
        <v>60.784683744166699</v>
      </c>
      <c r="F170">
        <v>0.49164883790623798</v>
      </c>
      <c r="G170">
        <v>2901.8716809073699</v>
      </c>
      <c r="H170">
        <v>745.16772517453103</v>
      </c>
      <c r="I170">
        <v>0.755654260225746</v>
      </c>
      <c r="J170">
        <v>6.5671962625923896E-2</v>
      </c>
      <c r="K170">
        <v>0.49731271810285499</v>
      </c>
      <c r="L170" t="s">
        <v>41</v>
      </c>
      <c r="M170" t="s">
        <v>34</v>
      </c>
      <c r="N170" t="s">
        <v>35</v>
      </c>
      <c r="O170">
        <v>0.68921336788607301</v>
      </c>
      <c r="P170" t="s">
        <v>36</v>
      </c>
    </row>
    <row r="171" spans="1:16">
      <c r="A171">
        <v>170</v>
      </c>
      <c r="B171" t="s">
        <v>219</v>
      </c>
      <c r="C171">
        <v>83</v>
      </c>
      <c r="D171">
        <v>56</v>
      </c>
      <c r="E171">
        <v>60.845363420530298</v>
      </c>
      <c r="F171">
        <v>1.4836206402840599</v>
      </c>
      <c r="G171">
        <v>2907.6682899810999</v>
      </c>
      <c r="H171">
        <v>333.92822500550199</v>
      </c>
      <c r="I171">
        <v>0.62957220578098605</v>
      </c>
      <c r="J171">
        <v>0.32767889185769</v>
      </c>
      <c r="K171">
        <v>0.81265317991110397</v>
      </c>
      <c r="L171" t="s">
        <v>33</v>
      </c>
      <c r="M171" t="s">
        <v>34</v>
      </c>
      <c r="N171" t="s">
        <v>35</v>
      </c>
      <c r="O171">
        <v>0.74202192759851704</v>
      </c>
      <c r="P171" t="s">
        <v>36</v>
      </c>
    </row>
    <row r="172" spans="1:16">
      <c r="A172">
        <v>171</v>
      </c>
      <c r="B172" t="s">
        <v>220</v>
      </c>
      <c r="C172">
        <v>121</v>
      </c>
      <c r="D172">
        <v>56</v>
      </c>
      <c r="E172">
        <v>60.895896200328302</v>
      </c>
      <c r="F172">
        <v>2.1714286497693198</v>
      </c>
      <c r="G172">
        <v>2912.5</v>
      </c>
      <c r="H172">
        <v>420.91882765293099</v>
      </c>
      <c r="I172">
        <v>0.47495126707507201</v>
      </c>
      <c r="J172">
        <v>0.20657563375322499</v>
      </c>
      <c r="K172">
        <v>0.581047381546135</v>
      </c>
      <c r="L172" t="s">
        <v>33</v>
      </c>
      <c r="M172" t="s">
        <v>34</v>
      </c>
      <c r="N172" t="s">
        <v>35</v>
      </c>
      <c r="O172">
        <v>0.72912653803684402</v>
      </c>
      <c r="P172" t="s">
        <v>36</v>
      </c>
    </row>
    <row r="173" spans="1:16">
      <c r="A173">
        <v>172</v>
      </c>
      <c r="B173" t="s">
        <v>221</v>
      </c>
      <c r="C173">
        <v>82</v>
      </c>
      <c r="D173">
        <v>71</v>
      </c>
      <c r="E173">
        <v>60.9075361884194</v>
      </c>
      <c r="F173">
        <v>1.1580755792139601</v>
      </c>
      <c r="G173">
        <v>2913.6135300567098</v>
      </c>
      <c r="H173">
        <v>444.40421649673698</v>
      </c>
      <c r="I173">
        <v>0.63955390593402295</v>
      </c>
      <c r="J173">
        <v>0.18538964272689501</v>
      </c>
      <c r="K173">
        <v>0.65132737482141101</v>
      </c>
      <c r="L173" t="s">
        <v>33</v>
      </c>
      <c r="M173" t="s">
        <v>34</v>
      </c>
      <c r="N173" t="s">
        <v>35</v>
      </c>
      <c r="O173">
        <v>0.79261235127114504</v>
      </c>
      <c r="P173" t="s">
        <v>36</v>
      </c>
    </row>
    <row r="174" spans="1:16">
      <c r="A174">
        <v>173</v>
      </c>
      <c r="B174" t="s">
        <v>222</v>
      </c>
      <c r="C174">
        <v>68</v>
      </c>
      <c r="D174">
        <v>78</v>
      </c>
      <c r="E174">
        <v>60.960333185570398</v>
      </c>
      <c r="F174">
        <v>0.87412587412587395</v>
      </c>
      <c r="G174">
        <v>2918.66698412098</v>
      </c>
      <c r="H174">
        <v>589.24495349998097</v>
      </c>
      <c r="I174">
        <v>0.54072184577292304</v>
      </c>
      <c r="J174">
        <v>0.10563374231030501</v>
      </c>
      <c r="K174">
        <v>0.61388645742153303</v>
      </c>
      <c r="L174" t="s">
        <v>33</v>
      </c>
      <c r="M174" t="s">
        <v>34</v>
      </c>
      <c r="N174" t="s">
        <v>35</v>
      </c>
      <c r="O174">
        <v>0.67168141415339899</v>
      </c>
      <c r="P174" t="s">
        <v>36</v>
      </c>
    </row>
    <row r="175" spans="1:16">
      <c r="A175">
        <v>174</v>
      </c>
      <c r="B175" t="s">
        <v>223</v>
      </c>
      <c r="C175">
        <v>96</v>
      </c>
      <c r="D175">
        <v>55</v>
      </c>
      <c r="E175">
        <v>60.986714544003902</v>
      </c>
      <c r="F175">
        <v>1.7514351900005101</v>
      </c>
      <c r="G175">
        <v>2921.1937111531201</v>
      </c>
      <c r="H175">
        <v>359.966367905244</v>
      </c>
      <c r="I175">
        <v>0.60382715253651298</v>
      </c>
      <c r="J175">
        <v>0.28329986595026102</v>
      </c>
      <c r="K175">
        <v>0.66644060899935598</v>
      </c>
      <c r="L175" t="s">
        <v>47</v>
      </c>
      <c r="M175" t="s">
        <v>34</v>
      </c>
      <c r="N175" t="s">
        <v>35</v>
      </c>
      <c r="O175">
        <v>0.94424658895900804</v>
      </c>
      <c r="P175" t="s">
        <v>36</v>
      </c>
    </row>
    <row r="176" spans="1:16">
      <c r="A176">
        <v>175</v>
      </c>
      <c r="B176" t="s">
        <v>224</v>
      </c>
      <c r="C176">
        <v>88</v>
      </c>
      <c r="D176">
        <v>68</v>
      </c>
      <c r="E176">
        <v>61.095223640759698</v>
      </c>
      <c r="F176">
        <v>1.2879999130859301</v>
      </c>
      <c r="G176">
        <v>2931.5978812854401</v>
      </c>
      <c r="H176">
        <v>696.58193252625699</v>
      </c>
      <c r="I176">
        <v>0.62707348200738999</v>
      </c>
      <c r="J176">
        <v>7.5922386590578303E-2</v>
      </c>
      <c r="K176">
        <v>0.57141201691870902</v>
      </c>
      <c r="L176" t="s">
        <v>43</v>
      </c>
      <c r="M176" t="s">
        <v>34</v>
      </c>
      <c r="N176" t="s">
        <v>35</v>
      </c>
      <c r="O176">
        <v>0.81763585772095904</v>
      </c>
      <c r="P176" t="s">
        <v>36</v>
      </c>
    </row>
    <row r="177" spans="1:16">
      <c r="A177">
        <v>176</v>
      </c>
      <c r="B177" t="s">
        <v>225</v>
      </c>
      <c r="C177">
        <v>83</v>
      </c>
      <c r="D177">
        <v>112</v>
      </c>
      <c r="E177">
        <v>61.171065482826798</v>
      </c>
      <c r="F177">
        <v>0.73786407766990303</v>
      </c>
      <c r="G177">
        <v>2938.88080037807</v>
      </c>
      <c r="H177">
        <v>836.59985531112397</v>
      </c>
      <c r="I177">
        <v>0.62703672421239698</v>
      </c>
      <c r="J177">
        <v>5.2766254208443199E-2</v>
      </c>
      <c r="K177">
        <v>0.392664230677576</v>
      </c>
      <c r="L177" t="s">
        <v>33</v>
      </c>
      <c r="M177" t="s">
        <v>34</v>
      </c>
      <c r="N177" t="s">
        <v>35</v>
      </c>
      <c r="O177">
        <v>0.72244901429003605</v>
      </c>
      <c r="P177" t="s">
        <v>36</v>
      </c>
    </row>
    <row r="178" spans="1:16">
      <c r="A178">
        <v>177</v>
      </c>
      <c r="B178" t="s">
        <v>226</v>
      </c>
      <c r="C178">
        <v>61</v>
      </c>
      <c r="D178">
        <v>111</v>
      </c>
      <c r="E178">
        <v>61.192717315648103</v>
      </c>
      <c r="F178">
        <v>0.55130214625655305</v>
      </c>
      <c r="G178">
        <v>2940.9616344045398</v>
      </c>
      <c r="H178">
        <v>596.65880817485902</v>
      </c>
      <c r="I178">
        <v>0.53219791529141602</v>
      </c>
      <c r="J178">
        <v>0.103811893022032</v>
      </c>
      <c r="K178">
        <v>0.58638572783309595</v>
      </c>
      <c r="L178" t="s">
        <v>33</v>
      </c>
      <c r="M178" t="s">
        <v>34</v>
      </c>
      <c r="N178" t="s">
        <v>35</v>
      </c>
      <c r="O178">
        <v>0.68154627138915802</v>
      </c>
      <c r="P178" t="s">
        <v>36</v>
      </c>
    </row>
    <row r="179" spans="1:16">
      <c r="A179">
        <v>178</v>
      </c>
      <c r="B179" t="s">
        <v>227</v>
      </c>
      <c r="C179">
        <v>83</v>
      </c>
      <c r="D179">
        <v>122</v>
      </c>
      <c r="E179">
        <v>61.201994327700604</v>
      </c>
      <c r="F179">
        <v>0.67857142857142905</v>
      </c>
      <c r="G179">
        <v>2941.85342041588</v>
      </c>
      <c r="H179">
        <v>764.10199212748103</v>
      </c>
      <c r="I179">
        <v>0.66378151465951696</v>
      </c>
      <c r="J179">
        <v>6.3318151851645493E-2</v>
      </c>
      <c r="K179">
        <v>0.37305865500603103</v>
      </c>
      <c r="L179" t="s">
        <v>33</v>
      </c>
      <c r="M179" t="s">
        <v>34</v>
      </c>
      <c r="N179" t="s">
        <v>35</v>
      </c>
      <c r="O179">
        <v>0.82980720914145101</v>
      </c>
      <c r="P179" t="s">
        <v>36</v>
      </c>
    </row>
    <row r="180" spans="1:16">
      <c r="A180">
        <v>179</v>
      </c>
      <c r="B180" t="s">
        <v>228</v>
      </c>
      <c r="C180">
        <v>64</v>
      </c>
      <c r="D180">
        <v>68</v>
      </c>
      <c r="E180">
        <v>61.232907550364601</v>
      </c>
      <c r="F180">
        <v>0.93748681093458297</v>
      </c>
      <c r="G180">
        <v>2944.82604045369</v>
      </c>
      <c r="H180">
        <v>302.86688356098898</v>
      </c>
      <c r="I180">
        <v>0.70560365776212397</v>
      </c>
      <c r="J180">
        <v>0.40342790161237002</v>
      </c>
      <c r="K180">
        <v>0.83800702110561298</v>
      </c>
      <c r="L180" t="s">
        <v>49</v>
      </c>
      <c r="M180" t="s">
        <v>34</v>
      </c>
      <c r="N180" t="s">
        <v>35</v>
      </c>
      <c r="O180">
        <v>0.79554657071480706</v>
      </c>
      <c r="P180" t="s">
        <v>36</v>
      </c>
    </row>
    <row r="181" spans="1:16">
      <c r="A181">
        <v>180</v>
      </c>
      <c r="B181" t="s">
        <v>229</v>
      </c>
      <c r="C181">
        <v>64</v>
      </c>
      <c r="D181">
        <v>73</v>
      </c>
      <c r="E181">
        <v>61.431924088341702</v>
      </c>
      <c r="F181">
        <v>0.87313441333700503</v>
      </c>
      <c r="G181">
        <v>2963.9994396975399</v>
      </c>
      <c r="H181">
        <v>508.685071469805</v>
      </c>
      <c r="I181">
        <v>0.63260622006776501</v>
      </c>
      <c r="J181">
        <v>0.14394281654767399</v>
      </c>
      <c r="K181">
        <v>0.72261477696851095</v>
      </c>
      <c r="L181" t="s">
        <v>33</v>
      </c>
      <c r="M181" t="s">
        <v>34</v>
      </c>
      <c r="N181" t="s">
        <v>35</v>
      </c>
      <c r="O181">
        <v>0.716843885024678</v>
      </c>
      <c r="P181" t="s">
        <v>36</v>
      </c>
    </row>
    <row r="182" spans="1:16">
      <c r="A182">
        <v>181</v>
      </c>
      <c r="B182" t="s">
        <v>230</v>
      </c>
      <c r="C182">
        <v>78</v>
      </c>
      <c r="D182">
        <v>98</v>
      </c>
      <c r="E182">
        <v>61.684010308518097</v>
      </c>
      <c r="F182">
        <v>0.79888268156424602</v>
      </c>
      <c r="G182">
        <v>2988.3749240075599</v>
      </c>
      <c r="H182">
        <v>729.18538160282606</v>
      </c>
      <c r="I182">
        <v>0.49692951608001801</v>
      </c>
      <c r="J182">
        <v>7.0626720486677702E-2</v>
      </c>
      <c r="K182">
        <v>0.54445016111998701</v>
      </c>
      <c r="L182" t="s">
        <v>43</v>
      </c>
      <c r="M182" t="s">
        <v>34</v>
      </c>
      <c r="N182" t="s">
        <v>35</v>
      </c>
      <c r="O182">
        <v>0.85540426239232903</v>
      </c>
      <c r="P182" t="s">
        <v>36</v>
      </c>
    </row>
    <row r="183" spans="1:16">
      <c r="A183">
        <v>182</v>
      </c>
      <c r="B183" t="s">
        <v>231</v>
      </c>
      <c r="C183">
        <v>122</v>
      </c>
      <c r="D183">
        <v>73</v>
      </c>
      <c r="E183">
        <v>61.691679682816797</v>
      </c>
      <c r="F183">
        <v>1.67000226732297</v>
      </c>
      <c r="G183">
        <v>2989.1180790170101</v>
      </c>
      <c r="H183">
        <v>866.94494014045495</v>
      </c>
      <c r="I183">
        <v>0.56108095738281505</v>
      </c>
      <c r="J183">
        <v>4.9976967775700099E-2</v>
      </c>
      <c r="K183">
        <v>0.44686145983779602</v>
      </c>
      <c r="L183" t="s">
        <v>33</v>
      </c>
      <c r="M183" t="s">
        <v>34</v>
      </c>
      <c r="N183" t="s">
        <v>35</v>
      </c>
      <c r="O183">
        <v>0.88230534382575998</v>
      </c>
      <c r="P183" t="s">
        <v>36</v>
      </c>
    </row>
    <row r="184" spans="1:16">
      <c r="A184">
        <v>183</v>
      </c>
      <c r="B184" t="s">
        <v>232</v>
      </c>
      <c r="C184">
        <v>64</v>
      </c>
      <c r="D184">
        <v>98</v>
      </c>
      <c r="E184">
        <v>61.783637916831097</v>
      </c>
      <c r="F184">
        <v>0.65</v>
      </c>
      <c r="G184">
        <v>2998.0359391304401</v>
      </c>
      <c r="H184">
        <v>353.85273457786298</v>
      </c>
      <c r="I184">
        <v>0.48728590505102998</v>
      </c>
      <c r="J184">
        <v>0.30088572669043701</v>
      </c>
      <c r="K184">
        <v>0.71864757018668901</v>
      </c>
      <c r="L184" t="s">
        <v>38</v>
      </c>
      <c r="M184" t="s">
        <v>34</v>
      </c>
      <c r="N184" t="s">
        <v>35</v>
      </c>
      <c r="O184">
        <v>0.80145309721174796</v>
      </c>
      <c r="P184" t="s">
        <v>36</v>
      </c>
    </row>
    <row r="185" spans="1:16">
      <c r="A185">
        <v>184</v>
      </c>
      <c r="B185" t="s">
        <v>233</v>
      </c>
      <c r="C185">
        <v>73</v>
      </c>
      <c r="D185">
        <v>78</v>
      </c>
      <c r="E185">
        <v>61.8066060973728</v>
      </c>
      <c r="F185">
        <v>0.93706293706293697</v>
      </c>
      <c r="G185">
        <v>3000.2654041587898</v>
      </c>
      <c r="H185">
        <v>575.20159320893504</v>
      </c>
      <c r="I185">
        <v>0.66349421848247603</v>
      </c>
      <c r="J185">
        <v>0.113953948387406</v>
      </c>
      <c r="K185">
        <v>0.61409753277965395</v>
      </c>
      <c r="L185" t="s">
        <v>33</v>
      </c>
      <c r="M185" t="s">
        <v>34</v>
      </c>
      <c r="N185" t="s">
        <v>35</v>
      </c>
      <c r="O185">
        <v>0.82413470541204303</v>
      </c>
      <c r="P185" t="s">
        <v>36</v>
      </c>
    </row>
    <row r="186" spans="1:16">
      <c r="A186">
        <v>185</v>
      </c>
      <c r="B186" t="s">
        <v>234</v>
      </c>
      <c r="C186">
        <v>73</v>
      </c>
      <c r="D186">
        <v>86</v>
      </c>
      <c r="E186">
        <v>61.957982547244498</v>
      </c>
      <c r="F186">
        <v>0.84810123648365598</v>
      </c>
      <c r="G186">
        <v>3014.9798733459402</v>
      </c>
      <c r="H186">
        <v>576.05014170698496</v>
      </c>
      <c r="I186">
        <v>0.61388519501074901</v>
      </c>
      <c r="J186">
        <v>0.114175706008858</v>
      </c>
      <c r="K186">
        <v>0.64558734604245605</v>
      </c>
      <c r="L186" t="s">
        <v>72</v>
      </c>
      <c r="M186" t="s">
        <v>34</v>
      </c>
      <c r="N186" t="s">
        <v>35</v>
      </c>
      <c r="O186">
        <v>0.678254667055601</v>
      </c>
      <c r="P186" t="s">
        <v>36</v>
      </c>
    </row>
    <row r="187" spans="1:16">
      <c r="A187">
        <v>186</v>
      </c>
      <c r="B187" t="s">
        <v>235</v>
      </c>
      <c r="C187">
        <v>87</v>
      </c>
      <c r="D187">
        <v>63</v>
      </c>
      <c r="E187">
        <v>62.060854190253202</v>
      </c>
      <c r="F187">
        <v>1.3888888720086101</v>
      </c>
      <c r="G187">
        <v>3025</v>
      </c>
      <c r="H187">
        <v>323.84775996208202</v>
      </c>
      <c r="I187">
        <v>0.52513186060821904</v>
      </c>
      <c r="J187">
        <v>0.36245446006840898</v>
      </c>
      <c r="K187">
        <v>0.699421965317919</v>
      </c>
      <c r="L187" t="s">
        <v>43</v>
      </c>
      <c r="M187" t="s">
        <v>34</v>
      </c>
      <c r="N187" t="s">
        <v>35</v>
      </c>
      <c r="O187">
        <v>0.86762808695054305</v>
      </c>
      <c r="P187" t="s">
        <v>36</v>
      </c>
    </row>
    <row r="188" spans="1:16">
      <c r="A188">
        <v>187</v>
      </c>
      <c r="B188" t="s">
        <v>236</v>
      </c>
      <c r="C188">
        <v>71</v>
      </c>
      <c r="D188">
        <v>91</v>
      </c>
      <c r="E188">
        <v>62.0739402598415</v>
      </c>
      <c r="F188">
        <v>0.77888540159935105</v>
      </c>
      <c r="G188">
        <v>3026.2758294895998</v>
      </c>
      <c r="H188">
        <v>549.53762847661994</v>
      </c>
      <c r="I188">
        <v>0.692170427940761</v>
      </c>
      <c r="J188">
        <v>0.12592834704983399</v>
      </c>
      <c r="K188">
        <v>0.623537698291174</v>
      </c>
      <c r="L188" t="s">
        <v>33</v>
      </c>
      <c r="M188" t="s">
        <v>34</v>
      </c>
      <c r="N188" t="s">
        <v>35</v>
      </c>
      <c r="O188">
        <v>0.86160593703492905</v>
      </c>
      <c r="P188" t="s">
        <v>36</v>
      </c>
    </row>
    <row r="189" spans="1:16">
      <c r="A189">
        <v>188</v>
      </c>
      <c r="B189" t="s">
        <v>237</v>
      </c>
      <c r="C189">
        <v>87</v>
      </c>
      <c r="D189">
        <v>73</v>
      </c>
      <c r="E189">
        <v>62.1028958575749</v>
      </c>
      <c r="F189">
        <v>1.1940298507462701</v>
      </c>
      <c r="G189">
        <v>3029.0998185255198</v>
      </c>
      <c r="H189">
        <v>632.43336943605698</v>
      </c>
      <c r="I189">
        <v>0.62380745261175796</v>
      </c>
      <c r="J189">
        <v>9.5168647078644794E-2</v>
      </c>
      <c r="K189">
        <v>0.58942619157797305</v>
      </c>
      <c r="L189" t="s">
        <v>49</v>
      </c>
      <c r="M189" t="s">
        <v>34</v>
      </c>
      <c r="N189" t="s">
        <v>35</v>
      </c>
      <c r="O189">
        <v>0.69664436450022404</v>
      </c>
      <c r="P189" t="s">
        <v>36</v>
      </c>
    </row>
    <row r="190" spans="1:16">
      <c r="A190">
        <v>189</v>
      </c>
      <c r="B190" t="s">
        <v>238</v>
      </c>
      <c r="C190">
        <v>44</v>
      </c>
      <c r="D190">
        <v>107</v>
      </c>
      <c r="E190">
        <v>62.177508590217997</v>
      </c>
      <c r="F190">
        <v>0.40609135601084101</v>
      </c>
      <c r="G190">
        <v>3036.3827376181498</v>
      </c>
      <c r="H190">
        <v>519.42502769335499</v>
      </c>
      <c r="I190">
        <v>0.81739576555039695</v>
      </c>
      <c r="J190">
        <v>0.14142319175273499</v>
      </c>
      <c r="K190">
        <v>0.68947013162335502</v>
      </c>
      <c r="L190" t="s">
        <v>43</v>
      </c>
      <c r="M190" t="s">
        <v>34</v>
      </c>
      <c r="N190" t="s">
        <v>35</v>
      </c>
      <c r="O190">
        <v>0.69535152076392903</v>
      </c>
      <c r="P190" t="s">
        <v>36</v>
      </c>
    </row>
    <row r="191" spans="1:16">
      <c r="A191">
        <v>190</v>
      </c>
      <c r="B191" t="s">
        <v>239</v>
      </c>
      <c r="C191">
        <v>79</v>
      </c>
      <c r="D191">
        <v>62</v>
      </c>
      <c r="E191">
        <v>62.198810074270398</v>
      </c>
      <c r="F191">
        <v>1.27329181640857</v>
      </c>
      <c r="G191">
        <v>3038.4635716446101</v>
      </c>
      <c r="H191">
        <v>446.13341321250698</v>
      </c>
      <c r="I191">
        <v>0.65744643616003695</v>
      </c>
      <c r="J191">
        <v>0.19183789306048299</v>
      </c>
      <c r="K191">
        <v>0.70127954444101404</v>
      </c>
      <c r="L191" t="s">
        <v>43</v>
      </c>
      <c r="M191" t="s">
        <v>34</v>
      </c>
      <c r="N191" t="s">
        <v>35</v>
      </c>
      <c r="O191">
        <v>0.72625521026233797</v>
      </c>
      <c r="P191" t="s">
        <v>36</v>
      </c>
    </row>
    <row r="192" spans="1:16">
      <c r="A192">
        <v>191</v>
      </c>
      <c r="B192" t="s">
        <v>240</v>
      </c>
      <c r="C192">
        <v>103</v>
      </c>
      <c r="D192">
        <v>68</v>
      </c>
      <c r="E192">
        <v>62.247471807848797</v>
      </c>
      <c r="F192">
        <v>1.5161289727154399</v>
      </c>
      <c r="G192">
        <v>3043.2197637050999</v>
      </c>
      <c r="H192">
        <v>520.81214596136795</v>
      </c>
      <c r="I192">
        <v>0.69308557868993403</v>
      </c>
      <c r="J192">
        <v>0.140987617580284</v>
      </c>
      <c r="K192">
        <v>0.60335936348902297</v>
      </c>
      <c r="L192" t="s">
        <v>33</v>
      </c>
      <c r="M192" t="s">
        <v>34</v>
      </c>
      <c r="N192" t="s">
        <v>35</v>
      </c>
      <c r="O192">
        <v>0.78109858297875701</v>
      </c>
      <c r="P192" t="s">
        <v>36</v>
      </c>
    </row>
    <row r="193" spans="1:16">
      <c r="A193">
        <v>192</v>
      </c>
      <c r="B193" t="s">
        <v>241</v>
      </c>
      <c r="C193">
        <v>76</v>
      </c>
      <c r="D193">
        <v>59</v>
      </c>
      <c r="E193">
        <v>62.324947916521701</v>
      </c>
      <c r="F193">
        <v>1.28456998322581</v>
      </c>
      <c r="G193">
        <v>3050.7999448015098</v>
      </c>
      <c r="H193">
        <v>273.10576346397397</v>
      </c>
      <c r="I193">
        <v>0.57997081921927995</v>
      </c>
      <c r="J193">
        <v>0.51399851375093897</v>
      </c>
      <c r="K193">
        <v>0.86574718461343803</v>
      </c>
      <c r="L193" t="s">
        <v>33</v>
      </c>
      <c r="M193" t="s">
        <v>34</v>
      </c>
      <c r="N193" t="s">
        <v>35</v>
      </c>
      <c r="O193">
        <v>0.78696746733100598</v>
      </c>
      <c r="P193" t="s">
        <v>36</v>
      </c>
    </row>
    <row r="194" spans="1:16">
      <c r="A194">
        <v>193</v>
      </c>
      <c r="B194" t="s">
        <v>242</v>
      </c>
      <c r="C194">
        <v>87</v>
      </c>
      <c r="D194">
        <v>73</v>
      </c>
      <c r="E194">
        <v>62.334056421928899</v>
      </c>
      <c r="F194">
        <v>1.20300751879699</v>
      </c>
      <c r="G194">
        <v>3051.69173081285</v>
      </c>
      <c r="H194">
        <v>441.45229311549099</v>
      </c>
      <c r="I194">
        <v>0.72243494983875201</v>
      </c>
      <c r="J194">
        <v>0.19678091276642301</v>
      </c>
      <c r="K194">
        <v>0.65017891636847303</v>
      </c>
      <c r="L194" t="s">
        <v>33</v>
      </c>
      <c r="M194" t="s">
        <v>34</v>
      </c>
      <c r="N194" t="s">
        <v>35</v>
      </c>
      <c r="O194">
        <v>0.822515370288741</v>
      </c>
      <c r="P194" t="s">
        <v>36</v>
      </c>
    </row>
    <row r="195" spans="1:16">
      <c r="A195">
        <v>194</v>
      </c>
      <c r="B195" t="s">
        <v>243</v>
      </c>
      <c r="C195">
        <v>117</v>
      </c>
      <c r="D195">
        <v>58</v>
      </c>
      <c r="E195">
        <v>62.397778730639097</v>
      </c>
      <c r="F195">
        <v>2.0283018908665298</v>
      </c>
      <c r="G195">
        <v>3057.9342328922498</v>
      </c>
      <c r="H195">
        <v>623.70989117518695</v>
      </c>
      <c r="I195">
        <v>0.77070028472182905</v>
      </c>
      <c r="J195">
        <v>9.87808461506436E-2</v>
      </c>
      <c r="K195">
        <v>0.53643782754934399</v>
      </c>
      <c r="L195" t="s">
        <v>144</v>
      </c>
      <c r="M195" t="s">
        <v>34</v>
      </c>
      <c r="N195" t="s">
        <v>35</v>
      </c>
      <c r="O195">
        <v>0.76227679924409497</v>
      </c>
      <c r="P195" t="s">
        <v>36</v>
      </c>
    </row>
    <row r="196" spans="1:16">
      <c r="A196">
        <v>195</v>
      </c>
      <c r="B196" t="s">
        <v>244</v>
      </c>
      <c r="C196">
        <v>47</v>
      </c>
      <c r="D196">
        <v>98</v>
      </c>
      <c r="E196">
        <v>62.428099826131202</v>
      </c>
      <c r="F196">
        <v>0.484042280205981</v>
      </c>
      <c r="G196">
        <v>3060.9068529300598</v>
      </c>
      <c r="H196">
        <v>439.42641291431801</v>
      </c>
      <c r="I196">
        <v>0.85609497874398699</v>
      </c>
      <c r="J196">
        <v>0.19919923309735801</v>
      </c>
      <c r="K196">
        <v>0.74223311468319797</v>
      </c>
      <c r="L196" t="s">
        <v>47</v>
      </c>
      <c r="M196" t="s">
        <v>34</v>
      </c>
      <c r="N196" t="s">
        <v>35</v>
      </c>
      <c r="O196">
        <v>0.92366488229908905</v>
      </c>
      <c r="P196" t="s">
        <v>36</v>
      </c>
    </row>
    <row r="197" spans="1:16">
      <c r="A197">
        <v>196</v>
      </c>
      <c r="B197" t="s">
        <v>245</v>
      </c>
      <c r="C197">
        <v>62</v>
      </c>
      <c r="D197">
        <v>63</v>
      </c>
      <c r="E197">
        <v>62.4296154943356</v>
      </c>
      <c r="F197">
        <v>0.98407988047643902</v>
      </c>
      <c r="G197">
        <v>3061.0554839319502</v>
      </c>
      <c r="H197">
        <v>218.02665008659</v>
      </c>
      <c r="I197">
        <v>0.53756555863773103</v>
      </c>
      <c r="J197">
        <v>0.80921123070359102</v>
      </c>
      <c r="K197">
        <v>0.96972407948017703</v>
      </c>
      <c r="L197" t="s">
        <v>144</v>
      </c>
      <c r="M197" t="s">
        <v>34</v>
      </c>
      <c r="N197" t="s">
        <v>35</v>
      </c>
      <c r="O197">
        <v>0.75365340567142203</v>
      </c>
      <c r="P197" t="s">
        <v>36</v>
      </c>
    </row>
    <row r="198" spans="1:16">
      <c r="A198">
        <v>197</v>
      </c>
      <c r="B198" t="s">
        <v>246</v>
      </c>
      <c r="C198">
        <v>74</v>
      </c>
      <c r="D198">
        <v>73</v>
      </c>
      <c r="E198">
        <v>62.441739515519799</v>
      </c>
      <c r="F198">
        <v>1.0150375939849601</v>
      </c>
      <c r="G198">
        <v>3062.2445319470698</v>
      </c>
      <c r="H198">
        <v>630.57188083742005</v>
      </c>
      <c r="I198">
        <v>0.51946427230335301</v>
      </c>
      <c r="J198">
        <v>9.6778866503197503E-2</v>
      </c>
      <c r="K198">
        <v>0.62541359317609202</v>
      </c>
      <c r="L198" t="s">
        <v>33</v>
      </c>
      <c r="M198" t="s">
        <v>34</v>
      </c>
      <c r="N198" t="s">
        <v>35</v>
      </c>
      <c r="O198">
        <v>0.68841748188031904</v>
      </c>
      <c r="P198" t="s">
        <v>36</v>
      </c>
    </row>
    <row r="199" spans="1:16">
      <c r="A199">
        <v>198</v>
      </c>
      <c r="B199" t="s">
        <v>247</v>
      </c>
      <c r="C199">
        <v>92</v>
      </c>
      <c r="D199">
        <v>73</v>
      </c>
      <c r="E199">
        <v>62.450830986778001</v>
      </c>
      <c r="F199">
        <v>1.26119402985075</v>
      </c>
      <c r="G199">
        <v>3063.13631795841</v>
      </c>
      <c r="H199">
        <v>715.25161571347201</v>
      </c>
      <c r="I199">
        <v>0.57930488068251296</v>
      </c>
      <c r="J199">
        <v>7.5241681657435097E-2</v>
      </c>
      <c r="K199">
        <v>0.52623649873605205</v>
      </c>
      <c r="L199" t="s">
        <v>33</v>
      </c>
      <c r="M199" t="s">
        <v>34</v>
      </c>
      <c r="N199" t="s">
        <v>35</v>
      </c>
      <c r="O199">
        <v>0.83553217910323396</v>
      </c>
      <c r="P199" t="s">
        <v>36</v>
      </c>
    </row>
    <row r="200" spans="1:16">
      <c r="A200">
        <v>199</v>
      </c>
      <c r="B200" t="s">
        <v>248</v>
      </c>
      <c r="C200">
        <v>78</v>
      </c>
      <c r="D200">
        <v>78</v>
      </c>
      <c r="E200">
        <v>62.6520198600181</v>
      </c>
      <c r="F200">
        <v>1</v>
      </c>
      <c r="G200">
        <v>3082.9042412098302</v>
      </c>
      <c r="H200">
        <v>660.86216846590503</v>
      </c>
      <c r="I200">
        <v>0.60942649255910797</v>
      </c>
      <c r="J200">
        <v>8.8705003441794106E-2</v>
      </c>
      <c r="K200">
        <v>0.56342695713587199</v>
      </c>
      <c r="L200" t="s">
        <v>41</v>
      </c>
      <c r="M200" t="s">
        <v>34</v>
      </c>
      <c r="N200" t="s">
        <v>35</v>
      </c>
      <c r="O200">
        <v>0.67559973128898398</v>
      </c>
      <c r="P200" t="s">
        <v>36</v>
      </c>
    </row>
    <row r="201" spans="1:16">
      <c r="A201">
        <v>200</v>
      </c>
      <c r="B201" t="s">
        <v>249</v>
      </c>
      <c r="C201">
        <v>63</v>
      </c>
      <c r="D201">
        <v>69</v>
      </c>
      <c r="E201">
        <v>62.745586700813398</v>
      </c>
      <c r="F201">
        <v>0.92063492063492103</v>
      </c>
      <c r="G201">
        <v>3092.11936332703</v>
      </c>
      <c r="H201">
        <v>280.36462877480898</v>
      </c>
      <c r="I201">
        <v>0.731347615588545</v>
      </c>
      <c r="J201">
        <v>0.49433307734366</v>
      </c>
      <c r="K201">
        <v>0.88354709929499697</v>
      </c>
      <c r="L201" t="s">
        <v>47</v>
      </c>
      <c r="M201" t="s">
        <v>34</v>
      </c>
      <c r="N201" t="s">
        <v>35</v>
      </c>
      <c r="O201">
        <v>0.92931687602189395</v>
      </c>
      <c r="P201" t="s">
        <v>36</v>
      </c>
    </row>
    <row r="202" spans="1:16">
      <c r="A202">
        <v>201</v>
      </c>
      <c r="B202" t="s">
        <v>250</v>
      </c>
      <c r="C202">
        <v>83</v>
      </c>
      <c r="D202">
        <v>83</v>
      </c>
      <c r="E202">
        <v>62.783275815768</v>
      </c>
      <c r="F202">
        <v>1</v>
      </c>
      <c r="G202">
        <v>3095.8351383742902</v>
      </c>
      <c r="H202">
        <v>628.28141687051095</v>
      </c>
      <c r="I202">
        <v>0.62699553553130105</v>
      </c>
      <c r="J202">
        <v>9.8555135722662196E-2</v>
      </c>
      <c r="K202">
        <v>0.52045176282451699</v>
      </c>
      <c r="L202" t="s">
        <v>33</v>
      </c>
      <c r="M202" t="s">
        <v>34</v>
      </c>
      <c r="N202" t="s">
        <v>35</v>
      </c>
      <c r="O202">
        <v>0.82996711627562203</v>
      </c>
      <c r="P202" t="s">
        <v>36</v>
      </c>
    </row>
    <row r="203" spans="1:16">
      <c r="A203">
        <v>202</v>
      </c>
      <c r="B203" t="s">
        <v>251</v>
      </c>
      <c r="C203">
        <v>88</v>
      </c>
      <c r="D203">
        <v>59</v>
      </c>
      <c r="E203">
        <v>62.786289967612902</v>
      </c>
      <c r="F203">
        <v>1.49074074074074</v>
      </c>
      <c r="G203">
        <v>3096.1324003780701</v>
      </c>
      <c r="H203">
        <v>524.722212242355</v>
      </c>
      <c r="I203">
        <v>0.63764429708447201</v>
      </c>
      <c r="J203">
        <v>0.141309217157737</v>
      </c>
      <c r="K203">
        <v>0.69930844635423695</v>
      </c>
      <c r="L203" t="s">
        <v>38</v>
      </c>
      <c r="M203" t="s">
        <v>34</v>
      </c>
      <c r="N203" t="s">
        <v>35</v>
      </c>
      <c r="O203">
        <v>0.76972241395781305</v>
      </c>
      <c r="P203" t="s">
        <v>36</v>
      </c>
    </row>
    <row r="204" spans="1:16">
      <c r="A204">
        <v>203</v>
      </c>
      <c r="B204" t="s">
        <v>252</v>
      </c>
      <c r="C204">
        <v>83</v>
      </c>
      <c r="D204">
        <v>73</v>
      </c>
      <c r="E204">
        <v>62.840519978654399</v>
      </c>
      <c r="F204">
        <v>1.1371447830174499</v>
      </c>
      <c r="G204">
        <v>3101.4831164461302</v>
      </c>
      <c r="H204">
        <v>470.62004624169799</v>
      </c>
      <c r="I204">
        <v>0.62769464230467698</v>
      </c>
      <c r="J204">
        <v>0.17596992178892501</v>
      </c>
      <c r="K204">
        <v>0.644620184733249</v>
      </c>
      <c r="L204" t="s">
        <v>33</v>
      </c>
      <c r="M204" t="s">
        <v>34</v>
      </c>
      <c r="N204" t="s">
        <v>35</v>
      </c>
      <c r="O204">
        <v>0.83941825098692102</v>
      </c>
      <c r="P204" t="s">
        <v>36</v>
      </c>
    </row>
    <row r="205" spans="1:16">
      <c r="A205">
        <v>204</v>
      </c>
      <c r="B205" t="s">
        <v>253</v>
      </c>
      <c r="C205">
        <v>67</v>
      </c>
      <c r="D205">
        <v>103</v>
      </c>
      <c r="E205">
        <v>62.846542646866297</v>
      </c>
      <c r="F205">
        <v>0.64761605710469405</v>
      </c>
      <c r="G205">
        <v>3102.07764045369</v>
      </c>
      <c r="H205">
        <v>487.35074614825498</v>
      </c>
      <c r="I205">
        <v>0.76858983169433004</v>
      </c>
      <c r="J205">
        <v>0.16412670728377601</v>
      </c>
      <c r="K205">
        <v>0.58929327723974401</v>
      </c>
      <c r="L205" t="s">
        <v>49</v>
      </c>
      <c r="M205" t="s">
        <v>34</v>
      </c>
      <c r="N205" t="s">
        <v>35</v>
      </c>
      <c r="O205">
        <v>0.80353097126569695</v>
      </c>
      <c r="P205" t="s">
        <v>36</v>
      </c>
    </row>
    <row r="206" spans="1:16">
      <c r="A206">
        <v>205</v>
      </c>
      <c r="B206" t="s">
        <v>254</v>
      </c>
      <c r="C206">
        <v>118</v>
      </c>
      <c r="D206">
        <v>57</v>
      </c>
      <c r="E206">
        <v>62.906737615549602</v>
      </c>
      <c r="F206">
        <v>2.06782654602313</v>
      </c>
      <c r="G206">
        <v>3108.0228805293</v>
      </c>
      <c r="H206">
        <v>453.656862289076</v>
      </c>
      <c r="I206">
        <v>0.81590024134558103</v>
      </c>
      <c r="J206">
        <v>0.18977504453119801</v>
      </c>
      <c r="K206">
        <v>0.56829546689857602</v>
      </c>
      <c r="L206" t="s">
        <v>144</v>
      </c>
      <c r="M206" t="s">
        <v>34</v>
      </c>
      <c r="N206" t="s">
        <v>35</v>
      </c>
      <c r="O206">
        <v>0.75991402546146802</v>
      </c>
      <c r="P206" t="s">
        <v>36</v>
      </c>
    </row>
    <row r="207" spans="1:16">
      <c r="A207">
        <v>206</v>
      </c>
      <c r="B207" t="s">
        <v>255</v>
      </c>
      <c r="C207">
        <v>83</v>
      </c>
      <c r="D207">
        <v>58</v>
      </c>
      <c r="E207">
        <v>62.933806567510601</v>
      </c>
      <c r="F207">
        <v>1.4395155795491099</v>
      </c>
      <c r="G207">
        <v>3110.6982385633301</v>
      </c>
      <c r="H207">
        <v>278.05146732672398</v>
      </c>
      <c r="I207">
        <v>0.66115846866861905</v>
      </c>
      <c r="J207">
        <v>0.50561199067454798</v>
      </c>
      <c r="K207">
        <v>0.90195655921392903</v>
      </c>
      <c r="L207" t="s">
        <v>47</v>
      </c>
      <c r="M207" t="s">
        <v>34</v>
      </c>
      <c r="N207" t="s">
        <v>35</v>
      </c>
      <c r="O207">
        <v>0.94346621169100497</v>
      </c>
      <c r="P207" t="s">
        <v>36</v>
      </c>
    </row>
    <row r="208" spans="1:16">
      <c r="A208">
        <v>207</v>
      </c>
      <c r="B208" t="s">
        <v>256</v>
      </c>
      <c r="C208">
        <v>83</v>
      </c>
      <c r="D208">
        <v>78</v>
      </c>
      <c r="E208">
        <v>62.9803980459114</v>
      </c>
      <c r="F208">
        <v>1.06993006993007</v>
      </c>
      <c r="G208">
        <v>3115.30579962193</v>
      </c>
      <c r="H208">
        <v>549.10865310834799</v>
      </c>
      <c r="I208">
        <v>0.66058908674253802</v>
      </c>
      <c r="J208">
        <v>0.12983565477294401</v>
      </c>
      <c r="K208">
        <v>0.62087147131135401</v>
      </c>
      <c r="L208" t="s">
        <v>33</v>
      </c>
      <c r="M208" t="s">
        <v>34</v>
      </c>
      <c r="N208" t="s">
        <v>35</v>
      </c>
      <c r="O208">
        <v>0.82701605595414496</v>
      </c>
      <c r="P208" t="s">
        <v>36</v>
      </c>
    </row>
    <row r="209" spans="1:16">
      <c r="A209">
        <v>208</v>
      </c>
      <c r="B209" t="s">
        <v>257</v>
      </c>
      <c r="C209">
        <v>68</v>
      </c>
      <c r="D209">
        <v>79</v>
      </c>
      <c r="E209">
        <v>63.011940442064002</v>
      </c>
      <c r="F209">
        <v>0.86805555555555602</v>
      </c>
      <c r="G209">
        <v>3118.4270506616299</v>
      </c>
      <c r="H209">
        <v>325.39183582834602</v>
      </c>
      <c r="I209">
        <v>0.71704807404305004</v>
      </c>
      <c r="J209">
        <v>0.37011113283618902</v>
      </c>
      <c r="K209">
        <v>0.79778698809840698</v>
      </c>
      <c r="L209" t="s">
        <v>33</v>
      </c>
      <c r="M209" t="s">
        <v>34</v>
      </c>
      <c r="N209" t="s">
        <v>35</v>
      </c>
      <c r="O209">
        <v>0.77434291423760304</v>
      </c>
      <c r="P209" t="s">
        <v>36</v>
      </c>
    </row>
    <row r="210" spans="1:16">
      <c r="A210">
        <v>209</v>
      </c>
      <c r="B210" t="s">
        <v>258</v>
      </c>
      <c r="C210">
        <v>74</v>
      </c>
      <c r="D210">
        <v>72</v>
      </c>
      <c r="E210">
        <v>63.049470338804099</v>
      </c>
      <c r="F210">
        <v>1.02324505874024</v>
      </c>
      <c r="G210">
        <v>3122.1428257088901</v>
      </c>
      <c r="H210">
        <v>372.11613987798302</v>
      </c>
      <c r="I210">
        <v>0.64454119643666696</v>
      </c>
      <c r="J210">
        <v>0.28333851675662403</v>
      </c>
      <c r="K210">
        <v>0.748610121168924</v>
      </c>
      <c r="L210" t="s">
        <v>33</v>
      </c>
      <c r="M210" t="s">
        <v>34</v>
      </c>
      <c r="N210" t="s">
        <v>35</v>
      </c>
      <c r="O210">
        <v>0.67849921708370997</v>
      </c>
      <c r="P210" t="s">
        <v>36</v>
      </c>
    </row>
    <row r="211" spans="1:16">
      <c r="A211">
        <v>210</v>
      </c>
      <c r="B211" t="s">
        <v>259</v>
      </c>
      <c r="C211">
        <v>58</v>
      </c>
      <c r="D211">
        <v>93</v>
      </c>
      <c r="E211">
        <v>63.097476033653699</v>
      </c>
      <c r="F211">
        <v>0.629411764705882</v>
      </c>
      <c r="G211">
        <v>3126.89901776938</v>
      </c>
      <c r="H211">
        <v>632.62045851976995</v>
      </c>
      <c r="I211">
        <v>0.74767686493024499</v>
      </c>
      <c r="J211">
        <v>9.8183216347936406E-2</v>
      </c>
      <c r="K211">
        <v>0.64525825052140795</v>
      </c>
      <c r="L211" t="s">
        <v>33</v>
      </c>
      <c r="M211" t="s">
        <v>34</v>
      </c>
      <c r="N211" t="s">
        <v>35</v>
      </c>
      <c r="O211">
        <v>0.83081482722630895</v>
      </c>
      <c r="P211" t="s">
        <v>36</v>
      </c>
    </row>
    <row r="212" spans="1:16">
      <c r="A212">
        <v>211</v>
      </c>
      <c r="B212" t="s">
        <v>260</v>
      </c>
      <c r="C212">
        <v>78</v>
      </c>
      <c r="D212">
        <v>86</v>
      </c>
      <c r="E212">
        <v>63.269695840688698</v>
      </c>
      <c r="F212">
        <v>0.90233594901616898</v>
      </c>
      <c r="G212">
        <v>3143.99158298677</v>
      </c>
      <c r="H212">
        <v>442.90199459272901</v>
      </c>
      <c r="I212">
        <v>0.71875442254592703</v>
      </c>
      <c r="J212">
        <v>0.20140765198408001</v>
      </c>
      <c r="K212">
        <v>0.62181786113234205</v>
      </c>
      <c r="L212" t="s">
        <v>33</v>
      </c>
      <c r="M212" t="s">
        <v>34</v>
      </c>
      <c r="N212" t="s">
        <v>35</v>
      </c>
      <c r="O212">
        <v>0.72653694963012305</v>
      </c>
      <c r="P212" t="s">
        <v>36</v>
      </c>
    </row>
    <row r="213" spans="1:16">
      <c r="A213">
        <v>212</v>
      </c>
      <c r="B213" t="s">
        <v>261</v>
      </c>
      <c r="C213">
        <v>69</v>
      </c>
      <c r="D213">
        <v>93</v>
      </c>
      <c r="E213">
        <v>63.365337175784099</v>
      </c>
      <c r="F213">
        <v>0.74117647058823499</v>
      </c>
      <c r="G213">
        <v>3153.5039671077502</v>
      </c>
      <c r="H213">
        <v>584.69612528583298</v>
      </c>
      <c r="I213">
        <v>0.59204928096079101</v>
      </c>
      <c r="J213">
        <v>0.115915847287552</v>
      </c>
      <c r="K213">
        <v>0.59093694295900201</v>
      </c>
      <c r="L213" t="s">
        <v>33</v>
      </c>
      <c r="M213" t="s">
        <v>34</v>
      </c>
      <c r="N213" t="s">
        <v>35</v>
      </c>
      <c r="O213">
        <v>0.79611583250552598</v>
      </c>
      <c r="P213" t="s">
        <v>36</v>
      </c>
    </row>
    <row r="214" spans="1:16">
      <c r="A214">
        <v>213</v>
      </c>
      <c r="B214" t="s">
        <v>262</v>
      </c>
      <c r="C214">
        <v>109</v>
      </c>
      <c r="D214">
        <v>53</v>
      </c>
      <c r="E214">
        <v>63.374296150851897</v>
      </c>
      <c r="F214">
        <v>2.0474049851216898</v>
      </c>
      <c r="G214">
        <v>3154.3957531190899</v>
      </c>
      <c r="H214">
        <v>389.24371543314197</v>
      </c>
      <c r="I214">
        <v>0.72733865536338804</v>
      </c>
      <c r="J214">
        <v>0.261627158648016</v>
      </c>
      <c r="K214">
        <v>0.71830366208623797</v>
      </c>
      <c r="L214" t="s">
        <v>33</v>
      </c>
      <c r="M214" t="s">
        <v>34</v>
      </c>
      <c r="N214" t="s">
        <v>35</v>
      </c>
      <c r="O214">
        <v>0.820259148984534</v>
      </c>
      <c r="P214" t="s">
        <v>36</v>
      </c>
    </row>
    <row r="215" spans="1:16">
      <c r="A215">
        <v>214</v>
      </c>
      <c r="B215" t="s">
        <v>263</v>
      </c>
      <c r="C215">
        <v>58</v>
      </c>
      <c r="D215">
        <v>119</v>
      </c>
      <c r="E215">
        <v>63.390717649959399</v>
      </c>
      <c r="F215">
        <v>0.48510531336835899</v>
      </c>
      <c r="G215">
        <v>3156.0306941398899</v>
      </c>
      <c r="H215">
        <v>473.79115842632598</v>
      </c>
      <c r="I215">
        <v>0.58184407605086796</v>
      </c>
      <c r="J215">
        <v>0.17667584553392701</v>
      </c>
      <c r="K215">
        <v>0.60117210724498205</v>
      </c>
      <c r="L215" t="s">
        <v>47</v>
      </c>
      <c r="M215" t="s">
        <v>34</v>
      </c>
      <c r="N215" t="s">
        <v>35</v>
      </c>
      <c r="O215">
        <v>0.92250193880635201</v>
      </c>
      <c r="P215" t="s">
        <v>36</v>
      </c>
    </row>
    <row r="216" spans="1:16">
      <c r="A216">
        <v>215</v>
      </c>
      <c r="B216" t="s">
        <v>264</v>
      </c>
      <c r="C216">
        <v>64</v>
      </c>
      <c r="D216">
        <v>122</v>
      </c>
      <c r="E216">
        <v>63.502569234365602</v>
      </c>
      <c r="F216">
        <v>0.52232142857142905</v>
      </c>
      <c r="G216">
        <v>3167.17801928166</v>
      </c>
      <c r="H216">
        <v>617.48666344611502</v>
      </c>
      <c r="I216">
        <v>0.74862288095549201</v>
      </c>
      <c r="J216">
        <v>0.104382375107475</v>
      </c>
      <c r="K216">
        <v>0.566562973598149</v>
      </c>
      <c r="L216" t="s">
        <v>33</v>
      </c>
      <c r="M216" t="s">
        <v>34</v>
      </c>
      <c r="N216" t="s">
        <v>35</v>
      </c>
      <c r="O216">
        <v>0.77636805053259805</v>
      </c>
      <c r="P216" t="s">
        <v>36</v>
      </c>
    </row>
    <row r="217" spans="1:16">
      <c r="A217">
        <v>216</v>
      </c>
      <c r="B217" t="s">
        <v>265</v>
      </c>
      <c r="C217">
        <v>79</v>
      </c>
      <c r="D217">
        <v>71</v>
      </c>
      <c r="E217">
        <v>63.580937037245199</v>
      </c>
      <c r="F217">
        <v>1.1151078247064801</v>
      </c>
      <c r="G217">
        <v>3175</v>
      </c>
      <c r="H217">
        <v>313.13708305358898</v>
      </c>
      <c r="I217">
        <v>0.52046342963922998</v>
      </c>
      <c r="J217">
        <v>0.40689709592142997</v>
      </c>
      <c r="K217">
        <v>0.72779369627507196</v>
      </c>
      <c r="L217" t="s">
        <v>38</v>
      </c>
      <c r="M217" t="s">
        <v>34</v>
      </c>
      <c r="N217" t="s">
        <v>35</v>
      </c>
      <c r="O217">
        <v>0.76764372211374998</v>
      </c>
      <c r="P217" t="s">
        <v>36</v>
      </c>
    </row>
    <row r="218" spans="1:16">
      <c r="A218">
        <v>217</v>
      </c>
      <c r="B218" t="s">
        <v>266</v>
      </c>
      <c r="C218">
        <v>128</v>
      </c>
      <c r="D218">
        <v>58</v>
      </c>
      <c r="E218">
        <v>63.582980539615697</v>
      </c>
      <c r="F218">
        <v>2.2073896070501902</v>
      </c>
      <c r="G218">
        <v>3175.2040933837402</v>
      </c>
      <c r="H218">
        <v>777.93556585363694</v>
      </c>
      <c r="I218">
        <v>0.61452616052092601</v>
      </c>
      <c r="J218">
        <v>6.5931697221549193E-2</v>
      </c>
      <c r="K218">
        <v>0.57778438903012896</v>
      </c>
      <c r="L218" t="s">
        <v>43</v>
      </c>
      <c r="M218" t="s">
        <v>34</v>
      </c>
      <c r="N218" t="s">
        <v>35</v>
      </c>
      <c r="O218">
        <v>0.84431353963979305</v>
      </c>
      <c r="P218" t="s">
        <v>36</v>
      </c>
    </row>
    <row r="219" spans="1:16">
      <c r="A219">
        <v>218</v>
      </c>
      <c r="B219" t="s">
        <v>267</v>
      </c>
      <c r="C219">
        <v>88</v>
      </c>
      <c r="D219">
        <v>73</v>
      </c>
      <c r="E219">
        <v>63.608274171503901</v>
      </c>
      <c r="F219">
        <v>1.20149253731343</v>
      </c>
      <c r="G219">
        <v>3177.7308204158799</v>
      </c>
      <c r="H219">
        <v>541.43021466773496</v>
      </c>
      <c r="I219">
        <v>0.617757759739199</v>
      </c>
      <c r="J219">
        <v>0.13622035072101099</v>
      </c>
      <c r="K219">
        <v>0.65633154259401405</v>
      </c>
      <c r="L219" t="s">
        <v>33</v>
      </c>
      <c r="M219" t="s">
        <v>34</v>
      </c>
      <c r="N219" t="s">
        <v>35</v>
      </c>
      <c r="O219">
        <v>0.78009907116286203</v>
      </c>
      <c r="P219" t="s">
        <v>36</v>
      </c>
    </row>
    <row r="220" spans="1:16">
      <c r="A220">
        <v>219</v>
      </c>
      <c r="B220" t="s">
        <v>268</v>
      </c>
      <c r="C220">
        <v>54</v>
      </c>
      <c r="D220">
        <v>111</v>
      </c>
      <c r="E220">
        <v>63.629096671615102</v>
      </c>
      <c r="F220">
        <v>0.483897993370206</v>
      </c>
      <c r="G220">
        <v>3179.8116544423401</v>
      </c>
      <c r="H220">
        <v>495.70944848019099</v>
      </c>
      <c r="I220">
        <v>0.68347731378014098</v>
      </c>
      <c r="J220">
        <v>0.16261360095920499</v>
      </c>
      <c r="K220">
        <v>0.67228105458316301</v>
      </c>
      <c r="L220" t="s">
        <v>47</v>
      </c>
      <c r="M220" t="s">
        <v>34</v>
      </c>
      <c r="N220" t="s">
        <v>35</v>
      </c>
      <c r="O220">
        <v>0.92788188018780904</v>
      </c>
      <c r="P220" t="s">
        <v>36</v>
      </c>
    </row>
    <row r="221" spans="1:16">
      <c r="A221">
        <v>220</v>
      </c>
      <c r="B221" t="s">
        <v>269</v>
      </c>
      <c r="C221">
        <v>78</v>
      </c>
      <c r="D221">
        <v>68</v>
      </c>
      <c r="E221">
        <v>63.6692351195898</v>
      </c>
      <c r="F221">
        <v>1.1439999999999999</v>
      </c>
      <c r="G221">
        <v>3183.8246914933802</v>
      </c>
      <c r="H221">
        <v>714.98703194773702</v>
      </c>
      <c r="I221">
        <v>0.64102102713425102</v>
      </c>
      <c r="J221">
        <v>7.8264115381055405E-2</v>
      </c>
      <c r="K221">
        <v>0.62579608530528796</v>
      </c>
      <c r="L221" t="s">
        <v>47</v>
      </c>
      <c r="M221" t="s">
        <v>34</v>
      </c>
      <c r="N221" t="s">
        <v>35</v>
      </c>
      <c r="O221">
        <v>0.93759273264255905</v>
      </c>
      <c r="P221" t="s">
        <v>36</v>
      </c>
    </row>
    <row r="222" spans="1:16">
      <c r="A222">
        <v>221</v>
      </c>
      <c r="B222" t="s">
        <v>270</v>
      </c>
      <c r="C222">
        <v>68</v>
      </c>
      <c r="D222">
        <v>78</v>
      </c>
      <c r="E222">
        <v>63.7093482793654</v>
      </c>
      <c r="F222">
        <v>0.86713286713286697</v>
      </c>
      <c r="G222">
        <v>3187.8377285444199</v>
      </c>
      <c r="H222">
        <v>549.03115842632599</v>
      </c>
      <c r="I222">
        <v>0.65571997492159095</v>
      </c>
      <c r="J222">
        <v>0.13289605407038299</v>
      </c>
      <c r="K222">
        <v>0.71766044301679699</v>
      </c>
      <c r="L222" t="s">
        <v>33</v>
      </c>
      <c r="M222" t="s">
        <v>34</v>
      </c>
      <c r="N222" t="s">
        <v>35</v>
      </c>
      <c r="O222">
        <v>0.70407661139576405</v>
      </c>
      <c r="P222" t="s">
        <v>36</v>
      </c>
    </row>
    <row r="223" spans="1:16">
      <c r="A223">
        <v>222</v>
      </c>
      <c r="B223" t="s">
        <v>271</v>
      </c>
      <c r="C223">
        <v>58</v>
      </c>
      <c r="D223">
        <v>78</v>
      </c>
      <c r="E223">
        <v>63.789498925114799</v>
      </c>
      <c r="F223">
        <v>0.74356377453740596</v>
      </c>
      <c r="G223">
        <v>3195.8638026465001</v>
      </c>
      <c r="H223">
        <v>297.35991244709999</v>
      </c>
      <c r="I223">
        <v>0.76102963425008496</v>
      </c>
      <c r="J223">
        <v>0.45418552224537401</v>
      </c>
      <c r="K223">
        <v>0.88481955475083296</v>
      </c>
      <c r="L223" t="s">
        <v>33</v>
      </c>
      <c r="M223" t="s">
        <v>34</v>
      </c>
      <c r="N223" t="s">
        <v>35</v>
      </c>
      <c r="O223">
        <v>0.70015614389625702</v>
      </c>
      <c r="P223" t="s">
        <v>36</v>
      </c>
    </row>
    <row r="224" spans="1:16">
      <c r="A224">
        <v>223</v>
      </c>
      <c r="B224" t="s">
        <v>272</v>
      </c>
      <c r="C224">
        <v>42</v>
      </c>
      <c r="D224">
        <v>143</v>
      </c>
      <c r="E224">
        <v>63.931740853495803</v>
      </c>
      <c r="F224">
        <v>0.291953045342291</v>
      </c>
      <c r="G224">
        <v>3210.1323788279801</v>
      </c>
      <c r="H224">
        <v>489.96059108174398</v>
      </c>
      <c r="I224">
        <v>0.82294997173182904</v>
      </c>
      <c r="J224">
        <v>0.168039161721315</v>
      </c>
      <c r="K224">
        <v>0.68304870335230905</v>
      </c>
      <c r="L224" t="s">
        <v>49</v>
      </c>
      <c r="M224" t="s">
        <v>34</v>
      </c>
      <c r="N224" t="s">
        <v>35</v>
      </c>
      <c r="O224">
        <v>0.81062721118230896</v>
      </c>
      <c r="P224" t="s">
        <v>36</v>
      </c>
    </row>
    <row r="225" spans="1:16">
      <c r="A225">
        <v>224</v>
      </c>
      <c r="B225" t="s">
        <v>273</v>
      </c>
      <c r="C225">
        <v>59</v>
      </c>
      <c r="D225">
        <v>73</v>
      </c>
      <c r="E225">
        <v>64.088432908689995</v>
      </c>
      <c r="F225">
        <v>0.80597014925373101</v>
      </c>
      <c r="G225">
        <v>3225.8872650283602</v>
      </c>
      <c r="H225">
        <v>290.44312558402203</v>
      </c>
      <c r="I225">
        <v>0.670619428348462</v>
      </c>
      <c r="J225">
        <v>0.48054808021032402</v>
      </c>
      <c r="K225">
        <v>0.91293009169681205</v>
      </c>
      <c r="L225" t="s">
        <v>49</v>
      </c>
      <c r="M225" t="s">
        <v>34</v>
      </c>
      <c r="N225" t="s">
        <v>35</v>
      </c>
      <c r="O225">
        <v>0.85573960702772101</v>
      </c>
      <c r="P225" t="s">
        <v>36</v>
      </c>
    </row>
    <row r="226" spans="1:16">
      <c r="A226">
        <v>225</v>
      </c>
      <c r="B226" t="s">
        <v>274</v>
      </c>
      <c r="C226">
        <v>110</v>
      </c>
      <c r="D226">
        <v>81</v>
      </c>
      <c r="E226">
        <v>64.318342020638298</v>
      </c>
      <c r="F226">
        <v>1.3707886708692301</v>
      </c>
      <c r="G226">
        <v>3249.0737013232501</v>
      </c>
      <c r="H226">
        <v>644.31855764306101</v>
      </c>
      <c r="I226">
        <v>0.59821277358955605</v>
      </c>
      <c r="J226">
        <v>9.8348592010001304E-2</v>
      </c>
      <c r="K226">
        <v>0.47908128602423899</v>
      </c>
      <c r="L226" t="s">
        <v>33</v>
      </c>
      <c r="M226" t="s">
        <v>34</v>
      </c>
      <c r="N226" t="s">
        <v>35</v>
      </c>
      <c r="O226">
        <v>0.70527860465996495</v>
      </c>
      <c r="P226" t="s">
        <v>36</v>
      </c>
    </row>
    <row r="227" spans="1:16">
      <c r="A227">
        <v>226</v>
      </c>
      <c r="B227" t="s">
        <v>275</v>
      </c>
      <c r="C227">
        <v>56</v>
      </c>
      <c r="D227">
        <v>85</v>
      </c>
      <c r="E227">
        <v>64.451097854873396</v>
      </c>
      <c r="F227">
        <v>0.657303405353859</v>
      </c>
      <c r="G227">
        <v>3262.5</v>
      </c>
      <c r="H227">
        <v>284.35028612613701</v>
      </c>
      <c r="I227">
        <v>0.75201641695999999</v>
      </c>
      <c r="J227">
        <v>0.50705263642709897</v>
      </c>
      <c r="K227">
        <v>0.84193548387096795</v>
      </c>
      <c r="L227" t="s">
        <v>38</v>
      </c>
      <c r="M227" t="s">
        <v>34</v>
      </c>
      <c r="N227" t="s">
        <v>35</v>
      </c>
      <c r="O227">
        <v>0.77232555208122899</v>
      </c>
      <c r="P227" t="s">
        <v>36</v>
      </c>
    </row>
    <row r="228" spans="1:16">
      <c r="A228">
        <v>227</v>
      </c>
      <c r="B228" t="s">
        <v>276</v>
      </c>
      <c r="C228">
        <v>95</v>
      </c>
      <c r="D228">
        <v>51</v>
      </c>
      <c r="E228">
        <v>64.518107152119299</v>
      </c>
      <c r="F228">
        <v>1.85937851684596</v>
      </c>
      <c r="G228">
        <v>3269.2875175803401</v>
      </c>
      <c r="H228">
        <v>347.33282336338698</v>
      </c>
      <c r="I228">
        <v>0.54063178238336995</v>
      </c>
      <c r="J228">
        <v>0.34054250562656502</v>
      </c>
      <c r="K228">
        <v>0.81085265602536205</v>
      </c>
      <c r="L228" t="s">
        <v>33</v>
      </c>
      <c r="M228" t="s">
        <v>34</v>
      </c>
      <c r="N228" t="s">
        <v>35</v>
      </c>
      <c r="O228">
        <v>0.75446665973879001</v>
      </c>
      <c r="P228" t="s">
        <v>36</v>
      </c>
    </row>
    <row r="229" spans="1:16">
      <c r="A229">
        <v>228</v>
      </c>
      <c r="B229" t="s">
        <v>277</v>
      </c>
      <c r="C229">
        <v>69</v>
      </c>
      <c r="D229">
        <v>67</v>
      </c>
      <c r="E229">
        <v>64.574449351176497</v>
      </c>
      <c r="F229">
        <v>1.0232557313886701</v>
      </c>
      <c r="G229">
        <v>3275</v>
      </c>
      <c r="H229">
        <v>277.27921843528702</v>
      </c>
      <c r="I229">
        <v>0.67111914159857999</v>
      </c>
      <c r="J229">
        <v>0.53528679006326396</v>
      </c>
      <c r="K229">
        <v>0.82389937106918198</v>
      </c>
      <c r="L229" t="s">
        <v>33</v>
      </c>
      <c r="M229" t="s">
        <v>34</v>
      </c>
      <c r="N229" t="s">
        <v>35</v>
      </c>
      <c r="O229">
        <v>0.79609841709098506</v>
      </c>
      <c r="P229" t="s">
        <v>36</v>
      </c>
    </row>
    <row r="230" spans="1:16">
      <c r="A230">
        <v>229</v>
      </c>
      <c r="B230" t="s">
        <v>278</v>
      </c>
      <c r="C230">
        <v>98</v>
      </c>
      <c r="D230">
        <v>63</v>
      </c>
      <c r="E230">
        <v>64.588464977989702</v>
      </c>
      <c r="F230">
        <v>1.54310338817509</v>
      </c>
      <c r="G230">
        <v>3276.4218056710802</v>
      </c>
      <c r="H230">
        <v>645.64147647173502</v>
      </c>
      <c r="I230">
        <v>0.70551777868487298</v>
      </c>
      <c r="J230">
        <v>9.8770403432042506E-2</v>
      </c>
      <c r="K230">
        <v>0.66990822342430001</v>
      </c>
      <c r="L230" t="s">
        <v>47</v>
      </c>
      <c r="M230" t="s">
        <v>34</v>
      </c>
      <c r="N230" t="s">
        <v>35</v>
      </c>
      <c r="O230">
        <v>0.94849450978570005</v>
      </c>
      <c r="P230" t="s">
        <v>36</v>
      </c>
    </row>
    <row r="231" spans="1:16">
      <c r="A231">
        <v>230</v>
      </c>
      <c r="B231" t="s">
        <v>279</v>
      </c>
      <c r="C231">
        <v>90</v>
      </c>
      <c r="D231">
        <v>58</v>
      </c>
      <c r="E231">
        <v>64.633863702842305</v>
      </c>
      <c r="F231">
        <v>1.5509024718276001</v>
      </c>
      <c r="G231">
        <v>3281.0293667296801</v>
      </c>
      <c r="H231">
        <v>468.20669263041498</v>
      </c>
      <c r="I231">
        <v>0.63135747966046796</v>
      </c>
      <c r="J231">
        <v>0.188080922818011</v>
      </c>
      <c r="K231">
        <v>0.75277067348678595</v>
      </c>
      <c r="L231" t="s">
        <v>49</v>
      </c>
      <c r="M231" t="s">
        <v>34</v>
      </c>
      <c r="N231" t="s">
        <v>35</v>
      </c>
      <c r="O231">
        <v>0.810727685105046</v>
      </c>
      <c r="P231" t="s">
        <v>36</v>
      </c>
    </row>
    <row r="232" spans="1:16">
      <c r="A232">
        <v>231</v>
      </c>
      <c r="B232" t="s">
        <v>280</v>
      </c>
      <c r="C232">
        <v>62</v>
      </c>
      <c r="D232">
        <v>109</v>
      </c>
      <c r="E232">
        <v>64.712869292694293</v>
      </c>
      <c r="F232">
        <v>0.56758061064850296</v>
      </c>
      <c r="G232">
        <v>3289.0554408317598</v>
      </c>
      <c r="H232">
        <v>390.895417466889</v>
      </c>
      <c r="I232">
        <v>0.58644061532044101</v>
      </c>
      <c r="J232">
        <v>0.27049540985822002</v>
      </c>
      <c r="K232">
        <v>0.69354687059265996</v>
      </c>
      <c r="L232" t="s">
        <v>33</v>
      </c>
      <c r="M232" t="s">
        <v>34</v>
      </c>
      <c r="N232" t="s">
        <v>35</v>
      </c>
      <c r="O232">
        <v>0.76162332500657404</v>
      </c>
      <c r="P232" t="s">
        <v>36</v>
      </c>
    </row>
    <row r="233" spans="1:16">
      <c r="A233">
        <v>232</v>
      </c>
      <c r="B233" t="s">
        <v>281</v>
      </c>
      <c r="C233">
        <v>71</v>
      </c>
      <c r="D233">
        <v>122</v>
      </c>
      <c r="E233">
        <v>64.742106155707901</v>
      </c>
      <c r="F233">
        <v>0.58095861846544605</v>
      </c>
      <c r="G233">
        <v>3292.0280608695698</v>
      </c>
      <c r="H233">
        <v>807.50019462844602</v>
      </c>
      <c r="I233">
        <v>0.715734633738766</v>
      </c>
      <c r="J233">
        <v>6.3443644231360494E-2</v>
      </c>
      <c r="K233">
        <v>0.50498164656528599</v>
      </c>
      <c r="L233" t="s">
        <v>41</v>
      </c>
      <c r="M233" t="s">
        <v>34</v>
      </c>
      <c r="N233" t="s">
        <v>35</v>
      </c>
      <c r="O233">
        <v>0.74394220196024496</v>
      </c>
      <c r="P233" t="s">
        <v>36</v>
      </c>
    </row>
    <row r="234" spans="1:16">
      <c r="A234">
        <v>233</v>
      </c>
      <c r="B234" t="s">
        <v>282</v>
      </c>
      <c r="C234">
        <v>66</v>
      </c>
      <c r="D234">
        <v>87</v>
      </c>
      <c r="E234">
        <v>64.905589210985198</v>
      </c>
      <c r="F234">
        <v>0.75774641863415504</v>
      </c>
      <c r="G234">
        <v>3308.67473308129</v>
      </c>
      <c r="H234">
        <v>388.869537265715</v>
      </c>
      <c r="I234">
        <v>0.81395285185132504</v>
      </c>
      <c r="J234">
        <v>0.27495149937968499</v>
      </c>
      <c r="K234">
        <v>0.78029373619825404</v>
      </c>
      <c r="L234" t="s">
        <v>47</v>
      </c>
      <c r="M234" t="s">
        <v>34</v>
      </c>
      <c r="N234" t="s">
        <v>35</v>
      </c>
      <c r="O234">
        <v>0.89404905688167702</v>
      </c>
      <c r="P234" t="s">
        <v>36</v>
      </c>
    </row>
    <row r="235" spans="1:16">
      <c r="A235">
        <v>234</v>
      </c>
      <c r="B235" t="s">
        <v>283</v>
      </c>
      <c r="C235">
        <v>135</v>
      </c>
      <c r="D235">
        <v>56</v>
      </c>
      <c r="E235">
        <v>65.017745360417095</v>
      </c>
      <c r="F235">
        <v>2.4100660811811099</v>
      </c>
      <c r="G235">
        <v>3320.11932022684</v>
      </c>
      <c r="H235">
        <v>452.16955185786497</v>
      </c>
      <c r="I235">
        <v>0.77930559774809105</v>
      </c>
      <c r="J235">
        <v>0.20406143053666501</v>
      </c>
      <c r="K235">
        <v>0.64898314933178403</v>
      </c>
      <c r="L235" t="s">
        <v>47</v>
      </c>
      <c r="M235" t="s">
        <v>34</v>
      </c>
      <c r="N235" t="s">
        <v>35</v>
      </c>
      <c r="O235">
        <v>0.93416268613856501</v>
      </c>
      <c r="P235" t="s">
        <v>36</v>
      </c>
    </row>
    <row r="236" spans="1:16">
      <c r="A236">
        <v>235</v>
      </c>
      <c r="B236" t="s">
        <v>284</v>
      </c>
      <c r="C236">
        <v>112</v>
      </c>
      <c r="D236">
        <v>82</v>
      </c>
      <c r="E236">
        <v>65.045390507448502</v>
      </c>
      <c r="F236">
        <v>1.3642384105960299</v>
      </c>
      <c r="G236">
        <v>3322.9433092627601</v>
      </c>
      <c r="H236">
        <v>671.49253028776297</v>
      </c>
      <c r="I236">
        <v>0.70087874841411502</v>
      </c>
      <c r="J236">
        <v>9.2608409243157594E-2</v>
      </c>
      <c r="K236">
        <v>0.49962009475283797</v>
      </c>
      <c r="L236" t="s">
        <v>33</v>
      </c>
      <c r="M236" t="s">
        <v>34</v>
      </c>
      <c r="N236" t="s">
        <v>35</v>
      </c>
      <c r="O236">
        <v>0.79035914740145496</v>
      </c>
      <c r="P236" t="s">
        <v>36</v>
      </c>
    </row>
    <row r="237" spans="1:16">
      <c r="A237">
        <v>236</v>
      </c>
      <c r="B237" t="s">
        <v>285</v>
      </c>
      <c r="C237">
        <v>68</v>
      </c>
      <c r="D237">
        <v>107</v>
      </c>
      <c r="E237">
        <v>65.067207326764702</v>
      </c>
      <c r="F237">
        <v>0.63451776649746205</v>
      </c>
      <c r="G237">
        <v>3325.1727742911198</v>
      </c>
      <c r="H237">
        <v>624.90992035948705</v>
      </c>
      <c r="I237">
        <v>0.74660694874108102</v>
      </c>
      <c r="J237">
        <v>0.10700134623687101</v>
      </c>
      <c r="K237">
        <v>0.58955912193322302</v>
      </c>
      <c r="L237" t="s">
        <v>61</v>
      </c>
      <c r="M237" t="s">
        <v>34</v>
      </c>
      <c r="N237" t="s">
        <v>35</v>
      </c>
      <c r="O237">
        <v>0.80867104222400799</v>
      </c>
      <c r="P237" t="s">
        <v>36</v>
      </c>
    </row>
    <row r="238" spans="1:16">
      <c r="A238">
        <v>237</v>
      </c>
      <c r="B238" t="s">
        <v>286</v>
      </c>
      <c r="C238">
        <v>132</v>
      </c>
      <c r="D238">
        <v>56</v>
      </c>
      <c r="E238">
        <v>65.091924215529602</v>
      </c>
      <c r="F238">
        <v>2.3584903338068299</v>
      </c>
      <c r="G238">
        <v>3327.6995013232499</v>
      </c>
      <c r="H238">
        <v>514.98579388089797</v>
      </c>
      <c r="I238">
        <v>0.60433199358090595</v>
      </c>
      <c r="J238">
        <v>0.157675228001454</v>
      </c>
      <c r="K238">
        <v>0.65135426061152601</v>
      </c>
      <c r="L238" t="s">
        <v>33</v>
      </c>
      <c r="M238" t="s">
        <v>34</v>
      </c>
      <c r="N238" t="s">
        <v>35</v>
      </c>
      <c r="O238">
        <v>0.71089415270850798</v>
      </c>
      <c r="P238" t="s">
        <v>36</v>
      </c>
    </row>
    <row r="239" spans="1:16">
      <c r="A239">
        <v>238</v>
      </c>
      <c r="B239" t="s">
        <v>287</v>
      </c>
      <c r="C239">
        <v>52</v>
      </c>
      <c r="D239">
        <v>120</v>
      </c>
      <c r="E239">
        <v>65.455775591192307</v>
      </c>
      <c r="F239">
        <v>0.43038635989215202</v>
      </c>
      <c r="G239">
        <v>3365.00588279773</v>
      </c>
      <c r="H239">
        <v>542.37895532898301</v>
      </c>
      <c r="I239">
        <v>0.72557219911418902</v>
      </c>
      <c r="J239">
        <v>0.143744101078147</v>
      </c>
      <c r="K239">
        <v>0.69771025301241996</v>
      </c>
      <c r="L239" t="s">
        <v>288</v>
      </c>
      <c r="M239" t="s">
        <v>34</v>
      </c>
      <c r="N239" t="s">
        <v>35</v>
      </c>
      <c r="O239">
        <v>0.70119814085307597</v>
      </c>
      <c r="P239" t="s">
        <v>36</v>
      </c>
    </row>
    <row r="240" spans="1:16">
      <c r="A240">
        <v>239</v>
      </c>
      <c r="B240" t="s">
        <v>289</v>
      </c>
      <c r="C240">
        <v>99</v>
      </c>
      <c r="D240">
        <v>65</v>
      </c>
      <c r="E240">
        <v>65.569876810238</v>
      </c>
      <c r="F240">
        <v>1.5182266495552801</v>
      </c>
      <c r="G240">
        <v>3376.74773194707</v>
      </c>
      <c r="H240">
        <v>444.18502769335498</v>
      </c>
      <c r="I240">
        <v>0.659452559080689</v>
      </c>
      <c r="J240">
        <v>0.21507040344245101</v>
      </c>
      <c r="K240">
        <v>0.68094353195060497</v>
      </c>
      <c r="L240" t="s">
        <v>49</v>
      </c>
      <c r="M240" t="s">
        <v>34</v>
      </c>
      <c r="N240" t="s">
        <v>35</v>
      </c>
      <c r="O240">
        <v>0.76086847752290698</v>
      </c>
      <c r="P240" t="s">
        <v>36</v>
      </c>
    </row>
    <row r="241" spans="1:16">
      <c r="A241">
        <v>240</v>
      </c>
      <c r="B241" t="s">
        <v>290</v>
      </c>
      <c r="C241">
        <v>83</v>
      </c>
      <c r="D241">
        <v>56</v>
      </c>
      <c r="E241">
        <v>65.594404286385995</v>
      </c>
      <c r="F241">
        <v>1.48471609214224</v>
      </c>
      <c r="G241">
        <v>3379.2744589792101</v>
      </c>
      <c r="H241">
        <v>270.47322104930902</v>
      </c>
      <c r="I241">
        <v>0.60803122328583503</v>
      </c>
      <c r="J241">
        <v>0.58047668892809301</v>
      </c>
      <c r="K241">
        <v>0.92475392499796605</v>
      </c>
      <c r="L241" t="s">
        <v>47</v>
      </c>
      <c r="M241" t="s">
        <v>34</v>
      </c>
      <c r="N241" t="s">
        <v>35</v>
      </c>
      <c r="O241">
        <v>0.89046267820358105</v>
      </c>
      <c r="P241" t="s">
        <v>36</v>
      </c>
    </row>
    <row r="242" spans="1:16">
      <c r="A242">
        <v>241</v>
      </c>
      <c r="B242" t="s">
        <v>291</v>
      </c>
      <c r="C242">
        <v>115</v>
      </c>
      <c r="D242">
        <v>51</v>
      </c>
      <c r="E242">
        <v>65.711144763194199</v>
      </c>
      <c r="F242">
        <v>2.25659060890401</v>
      </c>
      <c r="G242">
        <v>3391.3135701323299</v>
      </c>
      <c r="H242">
        <v>359.45989785494999</v>
      </c>
      <c r="I242">
        <v>0.58296431978653995</v>
      </c>
      <c r="J242">
        <v>0.32981994777794399</v>
      </c>
      <c r="K242">
        <v>0.76567114093959698</v>
      </c>
      <c r="L242" t="s">
        <v>41</v>
      </c>
      <c r="M242" t="s">
        <v>34</v>
      </c>
      <c r="N242" t="s">
        <v>35</v>
      </c>
      <c r="O242">
        <v>0.83096725090650503</v>
      </c>
      <c r="P242" t="s">
        <v>36</v>
      </c>
    </row>
    <row r="243" spans="1:16">
      <c r="A243">
        <v>242</v>
      </c>
      <c r="B243" t="s">
        <v>292</v>
      </c>
      <c r="C243">
        <v>63</v>
      </c>
      <c r="D243">
        <v>117</v>
      </c>
      <c r="E243">
        <v>65.873659305574094</v>
      </c>
      <c r="F243">
        <v>0.53488372093023295</v>
      </c>
      <c r="G243">
        <v>3408.1088733459401</v>
      </c>
      <c r="H243">
        <v>791.23056980983097</v>
      </c>
      <c r="I243">
        <v>0.70909779624005398</v>
      </c>
      <c r="J243">
        <v>6.84096246595087E-2</v>
      </c>
      <c r="K243">
        <v>0.55683722285630999</v>
      </c>
      <c r="L243" t="s">
        <v>33</v>
      </c>
      <c r="M243" t="s">
        <v>34</v>
      </c>
      <c r="N243" t="s">
        <v>35</v>
      </c>
      <c r="O243">
        <v>0.73114823790399996</v>
      </c>
      <c r="P243" t="s">
        <v>36</v>
      </c>
    </row>
    <row r="244" spans="1:16">
      <c r="A244">
        <v>243</v>
      </c>
      <c r="B244" t="s">
        <v>293</v>
      </c>
      <c r="C244">
        <v>88</v>
      </c>
      <c r="D244">
        <v>78</v>
      </c>
      <c r="E244">
        <v>65.999942142358904</v>
      </c>
      <c r="F244">
        <v>1.12587412587413</v>
      </c>
      <c r="G244">
        <v>3421.1884015122901</v>
      </c>
      <c r="H244">
        <v>540.49476924916996</v>
      </c>
      <c r="I244">
        <v>0.61892788356607598</v>
      </c>
      <c r="J244">
        <v>0.14716477282929799</v>
      </c>
      <c r="K244">
        <v>0.62146984178411402</v>
      </c>
      <c r="L244" t="s">
        <v>74</v>
      </c>
      <c r="M244" t="s">
        <v>34</v>
      </c>
      <c r="N244" t="s">
        <v>35</v>
      </c>
      <c r="O244">
        <v>0.79065998148356198</v>
      </c>
      <c r="P244" t="s">
        <v>36</v>
      </c>
    </row>
    <row r="245" spans="1:16">
      <c r="A245">
        <v>244</v>
      </c>
      <c r="B245" t="s">
        <v>294</v>
      </c>
      <c r="C245">
        <v>81</v>
      </c>
      <c r="D245">
        <v>71</v>
      </c>
      <c r="E245">
        <v>66.001375786144806</v>
      </c>
      <c r="F245">
        <v>1.1452184266554699</v>
      </c>
      <c r="G245">
        <v>3421.33703251418</v>
      </c>
      <c r="H245">
        <v>351.26558712554998</v>
      </c>
      <c r="I245">
        <v>0.68096982508001103</v>
      </c>
      <c r="J245">
        <v>0.34844522113194998</v>
      </c>
      <c r="K245">
        <v>0.80847850519808895</v>
      </c>
      <c r="L245" t="s">
        <v>33</v>
      </c>
      <c r="M245" t="s">
        <v>34</v>
      </c>
      <c r="N245" t="s">
        <v>35</v>
      </c>
      <c r="O245">
        <v>0.75602533985396903</v>
      </c>
      <c r="P245" t="s">
        <v>36</v>
      </c>
    </row>
    <row r="246" spans="1:16">
      <c r="A246">
        <v>245</v>
      </c>
      <c r="B246" t="s">
        <v>295</v>
      </c>
      <c r="C246">
        <v>73</v>
      </c>
      <c r="D246">
        <v>112</v>
      </c>
      <c r="E246">
        <v>66.051533714859502</v>
      </c>
      <c r="F246">
        <v>0.65048543689320404</v>
      </c>
      <c r="G246">
        <v>3426.5391175803402</v>
      </c>
      <c r="H246">
        <v>936.94255279230003</v>
      </c>
      <c r="I246">
        <v>0.68443545506435699</v>
      </c>
      <c r="J246">
        <v>4.9050069936257802E-2</v>
      </c>
      <c r="K246">
        <v>0.47744687901255001</v>
      </c>
      <c r="L246" t="s">
        <v>41</v>
      </c>
      <c r="M246" t="s">
        <v>34</v>
      </c>
      <c r="N246" t="s">
        <v>35</v>
      </c>
      <c r="O246">
        <v>0.68920898453903501</v>
      </c>
      <c r="P246" t="s">
        <v>36</v>
      </c>
    </row>
    <row r="247" spans="1:16">
      <c r="A247">
        <v>246</v>
      </c>
      <c r="B247" t="s">
        <v>296</v>
      </c>
      <c r="C247">
        <v>68</v>
      </c>
      <c r="D247">
        <v>132</v>
      </c>
      <c r="E247">
        <v>66.131707272376701</v>
      </c>
      <c r="F247">
        <v>0.51652892561983499</v>
      </c>
      <c r="G247">
        <v>3434.8624536861998</v>
      </c>
      <c r="H247">
        <v>858.19876439840903</v>
      </c>
      <c r="I247">
        <v>0.69048829007289902</v>
      </c>
      <c r="J247">
        <v>5.8606184093297799E-2</v>
      </c>
      <c r="K247">
        <v>0.55637142788357397</v>
      </c>
      <c r="L247" t="s">
        <v>72</v>
      </c>
      <c r="M247" t="s">
        <v>34</v>
      </c>
      <c r="N247" t="s">
        <v>35</v>
      </c>
      <c r="O247">
        <v>0.81158471569658097</v>
      </c>
      <c r="P247" t="s">
        <v>36</v>
      </c>
    </row>
    <row r="248" spans="1:16">
      <c r="A248">
        <v>247</v>
      </c>
      <c r="B248" t="s">
        <v>297</v>
      </c>
      <c r="C248">
        <v>63</v>
      </c>
      <c r="D248">
        <v>103</v>
      </c>
      <c r="E248">
        <v>66.248929214230401</v>
      </c>
      <c r="F248">
        <v>0.61702127659574502</v>
      </c>
      <c r="G248">
        <v>3447.0501958412101</v>
      </c>
      <c r="H248">
        <v>590.91935301490503</v>
      </c>
      <c r="I248">
        <v>0.57449781255875099</v>
      </c>
      <c r="J248">
        <v>0.12405122131002901</v>
      </c>
      <c r="K248">
        <v>0.630645819170632</v>
      </c>
      <c r="L248" t="s">
        <v>298</v>
      </c>
      <c r="M248" t="s">
        <v>34</v>
      </c>
      <c r="N248" t="s">
        <v>35</v>
      </c>
      <c r="O248">
        <v>0.76481518209467403</v>
      </c>
      <c r="P248" t="s">
        <v>36</v>
      </c>
    </row>
    <row r="249" spans="1:16">
      <c r="A249">
        <v>248</v>
      </c>
      <c r="B249" t="s">
        <v>299</v>
      </c>
      <c r="C249">
        <v>63</v>
      </c>
      <c r="D249">
        <v>107</v>
      </c>
      <c r="E249">
        <v>66.323157729630907</v>
      </c>
      <c r="F249">
        <v>0.58883248730964499</v>
      </c>
      <c r="G249">
        <v>3454.7790079395099</v>
      </c>
      <c r="H249">
        <v>669.61774644644402</v>
      </c>
      <c r="I249">
        <v>0.64876512319313795</v>
      </c>
      <c r="J249">
        <v>9.6822485291465796E-2</v>
      </c>
      <c r="K249">
        <v>0.58588964787134801</v>
      </c>
      <c r="L249" t="s">
        <v>33</v>
      </c>
      <c r="M249" t="s">
        <v>34</v>
      </c>
      <c r="N249" t="s">
        <v>35</v>
      </c>
      <c r="O249">
        <v>0.76130702210093004</v>
      </c>
      <c r="P249" t="s">
        <v>36</v>
      </c>
    </row>
    <row r="250" spans="1:16">
      <c r="A250">
        <v>249</v>
      </c>
      <c r="B250" t="s">
        <v>300</v>
      </c>
      <c r="C250">
        <v>56</v>
      </c>
      <c r="D250">
        <v>89</v>
      </c>
      <c r="E250">
        <v>66.328864174703199</v>
      </c>
      <c r="F250">
        <v>0.62605518616557698</v>
      </c>
      <c r="G250">
        <v>3455.3735319470702</v>
      </c>
      <c r="H250">
        <v>350.68162239323499</v>
      </c>
      <c r="I250">
        <v>0.78560587561105</v>
      </c>
      <c r="J250">
        <v>0.353084661866015</v>
      </c>
      <c r="K250">
        <v>0.84608945663645996</v>
      </c>
      <c r="L250" t="s">
        <v>47</v>
      </c>
      <c r="M250" t="s">
        <v>34</v>
      </c>
      <c r="N250" t="s">
        <v>35</v>
      </c>
      <c r="O250">
        <v>0.93727058359668403</v>
      </c>
      <c r="P250" t="s">
        <v>36</v>
      </c>
    </row>
    <row r="251" spans="1:16">
      <c r="A251">
        <v>250</v>
      </c>
      <c r="B251" t="s">
        <v>301</v>
      </c>
      <c r="C251">
        <v>74</v>
      </c>
      <c r="D251">
        <v>131</v>
      </c>
      <c r="E251">
        <v>66.414402013848203</v>
      </c>
      <c r="F251">
        <v>0.56431535269709499</v>
      </c>
      <c r="G251">
        <v>3464.2913920604901</v>
      </c>
      <c r="H251">
        <v>550.48475290775298</v>
      </c>
      <c r="I251">
        <v>0.77102619010778495</v>
      </c>
      <c r="J251">
        <v>0.14365928135912201</v>
      </c>
      <c r="K251">
        <v>0.51857784897432502</v>
      </c>
      <c r="L251" t="s">
        <v>47</v>
      </c>
      <c r="M251" t="s">
        <v>34</v>
      </c>
      <c r="N251" t="s">
        <v>35</v>
      </c>
      <c r="O251">
        <v>0.96176581172953202</v>
      </c>
      <c r="P251" t="s">
        <v>36</v>
      </c>
    </row>
    <row r="252" spans="1:16">
      <c r="A252">
        <v>251</v>
      </c>
      <c r="B252" t="s">
        <v>302</v>
      </c>
      <c r="C252">
        <v>114</v>
      </c>
      <c r="D252">
        <v>62</v>
      </c>
      <c r="E252">
        <v>66.475636425925302</v>
      </c>
      <c r="F252">
        <v>1.8201563386402799</v>
      </c>
      <c r="G252">
        <v>3470.6825251417799</v>
      </c>
      <c r="H252">
        <v>631.39773185429397</v>
      </c>
      <c r="I252">
        <v>0.55409298799080198</v>
      </c>
      <c r="J252">
        <v>0.109400351716036</v>
      </c>
      <c r="K252">
        <v>0.62640163098878698</v>
      </c>
      <c r="L252" t="s">
        <v>72</v>
      </c>
      <c r="M252" t="s">
        <v>34</v>
      </c>
      <c r="N252" t="s">
        <v>35</v>
      </c>
      <c r="O252">
        <v>0.67790056268697496</v>
      </c>
      <c r="P252" t="s">
        <v>36</v>
      </c>
    </row>
    <row r="253" spans="1:16">
      <c r="A253">
        <v>252</v>
      </c>
      <c r="B253" t="s">
        <v>303</v>
      </c>
      <c r="C253">
        <v>73</v>
      </c>
      <c r="D253">
        <v>93</v>
      </c>
      <c r="E253">
        <v>66.568093143250906</v>
      </c>
      <c r="F253">
        <v>0.782352902105516</v>
      </c>
      <c r="G253">
        <v>3480.3435402646501</v>
      </c>
      <c r="H253">
        <v>528.12580847304798</v>
      </c>
      <c r="I253">
        <v>0.72596525574021298</v>
      </c>
      <c r="J253">
        <v>0.15680402142347799</v>
      </c>
      <c r="K253">
        <v>0.69037089451028999</v>
      </c>
      <c r="L253" t="s">
        <v>74</v>
      </c>
      <c r="M253" t="s">
        <v>34</v>
      </c>
      <c r="N253" t="s">
        <v>35</v>
      </c>
      <c r="O253">
        <v>0.67020370644134597</v>
      </c>
      <c r="P253" t="s">
        <v>36</v>
      </c>
    </row>
    <row r="254" spans="1:16">
      <c r="A254">
        <v>253</v>
      </c>
      <c r="B254" t="s">
        <v>304</v>
      </c>
      <c r="C254">
        <v>93</v>
      </c>
      <c r="D254">
        <v>69</v>
      </c>
      <c r="E254">
        <v>66.712920767906198</v>
      </c>
      <c r="F254">
        <v>1.3571428571428601</v>
      </c>
      <c r="G254">
        <v>3495.5039024574698</v>
      </c>
      <c r="H254">
        <v>578.924570406209</v>
      </c>
      <c r="I254">
        <v>0.57279627966096203</v>
      </c>
      <c r="J254">
        <v>0.131061668118162</v>
      </c>
      <c r="K254">
        <v>0.67119495419389796</v>
      </c>
      <c r="L254" t="s">
        <v>33</v>
      </c>
      <c r="M254" t="s">
        <v>34</v>
      </c>
      <c r="N254" t="s">
        <v>35</v>
      </c>
      <c r="O254">
        <v>0.73893243682373599</v>
      </c>
      <c r="P254" t="s">
        <v>36</v>
      </c>
    </row>
    <row r="255" spans="1:16">
      <c r="A255">
        <v>254</v>
      </c>
      <c r="B255" t="s">
        <v>305</v>
      </c>
      <c r="C255">
        <v>123</v>
      </c>
      <c r="D255">
        <v>79</v>
      </c>
      <c r="E255">
        <v>66.728520656057697</v>
      </c>
      <c r="F255">
        <v>1.5625</v>
      </c>
      <c r="G255">
        <v>3497.1388434782598</v>
      </c>
      <c r="H255">
        <v>699.68884527154603</v>
      </c>
      <c r="I255">
        <v>0.62208581111026495</v>
      </c>
      <c r="J255">
        <v>8.9766199498984803E-2</v>
      </c>
      <c r="K255">
        <v>0.52344827586206899</v>
      </c>
      <c r="L255" t="s">
        <v>33</v>
      </c>
      <c r="M255" t="s">
        <v>34</v>
      </c>
      <c r="N255" t="s">
        <v>35</v>
      </c>
      <c r="O255">
        <v>0.82021791326339399</v>
      </c>
      <c r="P255" t="s">
        <v>36</v>
      </c>
    </row>
    <row r="256" spans="1:16">
      <c r="A256">
        <v>255</v>
      </c>
      <c r="B256" t="s">
        <v>306</v>
      </c>
      <c r="C256">
        <v>72</v>
      </c>
      <c r="D256">
        <v>114</v>
      </c>
      <c r="E256">
        <v>66.755811781245498</v>
      </c>
      <c r="F256">
        <v>0.62559235425987103</v>
      </c>
      <c r="G256">
        <v>3500</v>
      </c>
      <c r="H256">
        <v>685.26911377906799</v>
      </c>
      <c r="I256">
        <v>0.70268464963983801</v>
      </c>
      <c r="J256">
        <v>9.3660310370226901E-2</v>
      </c>
      <c r="K256">
        <v>0.46822742474916401</v>
      </c>
      <c r="L256" t="s">
        <v>33</v>
      </c>
      <c r="M256" t="s">
        <v>34</v>
      </c>
      <c r="N256" t="s">
        <v>35</v>
      </c>
      <c r="O256">
        <v>0.83739802514330197</v>
      </c>
      <c r="P256" t="s">
        <v>36</v>
      </c>
    </row>
    <row r="257" spans="1:16">
      <c r="A257">
        <v>256</v>
      </c>
      <c r="B257" t="s">
        <v>307</v>
      </c>
      <c r="C257">
        <v>64</v>
      </c>
      <c r="D257">
        <v>93</v>
      </c>
      <c r="E257">
        <v>66.932402034499702</v>
      </c>
      <c r="F257">
        <v>0.68421052631578905</v>
      </c>
      <c r="G257">
        <v>3518.5417077504699</v>
      </c>
      <c r="H257">
        <v>377.81020007558499</v>
      </c>
      <c r="I257">
        <v>0.64945099382112803</v>
      </c>
      <c r="J257">
        <v>0.30975991029782601</v>
      </c>
      <c r="K257">
        <v>0.79165969969568295</v>
      </c>
      <c r="L257" t="s">
        <v>49</v>
      </c>
      <c r="M257" t="s">
        <v>34</v>
      </c>
      <c r="N257" t="s">
        <v>35</v>
      </c>
      <c r="O257">
        <v>0.79537922560758001</v>
      </c>
      <c r="P257" t="s">
        <v>36</v>
      </c>
    </row>
    <row r="258" spans="1:16">
      <c r="A258">
        <v>257</v>
      </c>
      <c r="B258" t="s">
        <v>308</v>
      </c>
      <c r="C258">
        <v>70</v>
      </c>
      <c r="D258">
        <v>105</v>
      </c>
      <c r="E258">
        <v>67.059513123300604</v>
      </c>
      <c r="F258">
        <v>0.67279002879366201</v>
      </c>
      <c r="G258">
        <v>3531.9184979206102</v>
      </c>
      <c r="H258">
        <v>642.42496932475501</v>
      </c>
      <c r="I258">
        <v>0.60690799802766304</v>
      </c>
      <c r="J258">
        <v>0.107541406558783</v>
      </c>
      <c r="K258">
        <v>0.62219836614997903</v>
      </c>
      <c r="L258" t="s">
        <v>41</v>
      </c>
      <c r="M258" t="s">
        <v>34</v>
      </c>
      <c r="N258" t="s">
        <v>35</v>
      </c>
      <c r="O258">
        <v>0.75962996851185904</v>
      </c>
      <c r="P258" t="s">
        <v>36</v>
      </c>
    </row>
    <row r="259" spans="1:16">
      <c r="A259">
        <v>258</v>
      </c>
      <c r="B259" t="s">
        <v>309</v>
      </c>
      <c r="C259">
        <v>57</v>
      </c>
      <c r="D259">
        <v>128</v>
      </c>
      <c r="E259">
        <v>67.079264310982595</v>
      </c>
      <c r="F259">
        <v>0.44579397476056498</v>
      </c>
      <c r="G259">
        <v>3533.99933194707</v>
      </c>
      <c r="H259">
        <v>571.57880817485898</v>
      </c>
      <c r="I259">
        <v>0.73416477851634498</v>
      </c>
      <c r="J259">
        <v>0.13593274592986801</v>
      </c>
      <c r="K259">
        <v>0.65615255125976202</v>
      </c>
      <c r="L259" t="s">
        <v>47</v>
      </c>
      <c r="M259" t="s">
        <v>34</v>
      </c>
      <c r="N259" t="s">
        <v>35</v>
      </c>
      <c r="O259">
        <v>0.90921299940571998</v>
      </c>
      <c r="P259" t="s">
        <v>36</v>
      </c>
    </row>
    <row r="260" spans="1:16">
      <c r="A260">
        <v>259</v>
      </c>
      <c r="B260" t="s">
        <v>310</v>
      </c>
      <c r="C260">
        <v>60</v>
      </c>
      <c r="D260">
        <v>113</v>
      </c>
      <c r="E260">
        <v>67.183566984955505</v>
      </c>
      <c r="F260">
        <v>0.533319766777685</v>
      </c>
      <c r="G260">
        <v>3544.9980260869602</v>
      </c>
      <c r="H260">
        <v>456.92816663690201</v>
      </c>
      <c r="I260">
        <v>0.57863262328482501</v>
      </c>
      <c r="J260">
        <v>0.213368351149097</v>
      </c>
      <c r="K260">
        <v>0.69705117339334199</v>
      </c>
      <c r="L260" t="s">
        <v>33</v>
      </c>
      <c r="M260" t="s">
        <v>34</v>
      </c>
      <c r="N260" t="s">
        <v>35</v>
      </c>
      <c r="O260">
        <v>0.761535642206708</v>
      </c>
      <c r="P260" t="s">
        <v>36</v>
      </c>
    </row>
    <row r="261" spans="1:16">
      <c r="A261">
        <v>260</v>
      </c>
      <c r="B261" t="s">
        <v>311</v>
      </c>
      <c r="C261">
        <v>91</v>
      </c>
      <c r="D261">
        <v>58</v>
      </c>
      <c r="E261">
        <v>67.331286740162298</v>
      </c>
      <c r="F261">
        <v>1.58431800727286</v>
      </c>
      <c r="G261">
        <v>3560.6042812854398</v>
      </c>
      <c r="H261">
        <v>301.98623534326998</v>
      </c>
      <c r="I261">
        <v>0.65858825939810595</v>
      </c>
      <c r="J261">
        <v>0.49063584920519598</v>
      </c>
      <c r="K261">
        <v>0.87638558624474105</v>
      </c>
      <c r="L261" t="s">
        <v>47</v>
      </c>
      <c r="M261" t="s">
        <v>34</v>
      </c>
      <c r="N261" t="s">
        <v>35</v>
      </c>
      <c r="O261">
        <v>0.95034398309905099</v>
      </c>
      <c r="P261" t="s">
        <v>36</v>
      </c>
    </row>
    <row r="262" spans="1:16">
      <c r="A262">
        <v>261</v>
      </c>
      <c r="B262" t="s">
        <v>312</v>
      </c>
      <c r="C262">
        <v>69</v>
      </c>
      <c r="D262">
        <v>124</v>
      </c>
      <c r="E262">
        <v>67.380454692049</v>
      </c>
      <c r="F262">
        <v>0.55380485921553402</v>
      </c>
      <c r="G262">
        <v>3565.80636635161</v>
      </c>
      <c r="H262">
        <v>580.67646460315495</v>
      </c>
      <c r="I262">
        <v>0.83109691022295695</v>
      </c>
      <c r="J262">
        <v>0.132892102362655</v>
      </c>
      <c r="K262">
        <v>0.65285185588331296</v>
      </c>
      <c r="L262" t="s">
        <v>47</v>
      </c>
      <c r="M262" t="s">
        <v>34</v>
      </c>
      <c r="N262" t="s">
        <v>35</v>
      </c>
      <c r="O262">
        <v>0.94053503522547599</v>
      </c>
      <c r="P262" t="s">
        <v>36</v>
      </c>
    </row>
    <row r="263" spans="1:16">
      <c r="A263">
        <v>262</v>
      </c>
      <c r="B263" t="s">
        <v>313</v>
      </c>
      <c r="C263">
        <v>91</v>
      </c>
      <c r="D263">
        <v>103</v>
      </c>
      <c r="E263">
        <v>67.4646592421402</v>
      </c>
      <c r="F263">
        <v>0.87543394065784297</v>
      </c>
      <c r="G263">
        <v>3574.7242264650299</v>
      </c>
      <c r="H263">
        <v>572.06258074397601</v>
      </c>
      <c r="I263">
        <v>0.54695017409742097</v>
      </c>
      <c r="J263">
        <v>0.13726674190906599</v>
      </c>
      <c r="K263">
        <v>0.55224908727698596</v>
      </c>
      <c r="L263" t="s">
        <v>47</v>
      </c>
      <c r="M263" t="s">
        <v>34</v>
      </c>
      <c r="N263" t="s">
        <v>35</v>
      </c>
      <c r="O263">
        <v>0.95709240063236101</v>
      </c>
      <c r="P263" t="s">
        <v>36</v>
      </c>
    </row>
    <row r="264" spans="1:16">
      <c r="A264">
        <v>263</v>
      </c>
      <c r="B264" t="s">
        <v>314</v>
      </c>
      <c r="C264">
        <v>88</v>
      </c>
      <c r="D264">
        <v>68</v>
      </c>
      <c r="E264">
        <v>67.551560341322102</v>
      </c>
      <c r="F264">
        <v>1.2879999130859301</v>
      </c>
      <c r="G264">
        <v>3583.9393485822302</v>
      </c>
      <c r="H264">
        <v>778.69721743117202</v>
      </c>
      <c r="I264">
        <v>0.65312559661507796</v>
      </c>
      <c r="J264">
        <v>7.4273393989515296E-2</v>
      </c>
      <c r="K264">
        <v>0.65414247734794595</v>
      </c>
      <c r="L264" t="s">
        <v>47</v>
      </c>
      <c r="M264" t="s">
        <v>34</v>
      </c>
      <c r="N264" t="s">
        <v>35</v>
      </c>
      <c r="O264">
        <v>0.93741052707418104</v>
      </c>
      <c r="P264" t="s">
        <v>36</v>
      </c>
    </row>
    <row r="265" spans="1:16">
      <c r="A265">
        <v>264</v>
      </c>
      <c r="B265" t="s">
        <v>315</v>
      </c>
      <c r="C265">
        <v>97</v>
      </c>
      <c r="D265">
        <v>107</v>
      </c>
      <c r="E265">
        <v>67.635551869546404</v>
      </c>
      <c r="F265">
        <v>0.90355329949238605</v>
      </c>
      <c r="G265">
        <v>3592.8572086956501</v>
      </c>
      <c r="H265">
        <v>797.04751965180697</v>
      </c>
      <c r="I265">
        <v>0.62507267694019697</v>
      </c>
      <c r="J265">
        <v>7.1069194325284302E-2</v>
      </c>
      <c r="K265">
        <v>0.45575037707390598</v>
      </c>
      <c r="L265" t="s">
        <v>33</v>
      </c>
      <c r="M265" t="s">
        <v>34</v>
      </c>
      <c r="N265" t="s">
        <v>35</v>
      </c>
      <c r="O265">
        <v>0.75122052833930797</v>
      </c>
      <c r="P265" t="s">
        <v>36</v>
      </c>
    </row>
    <row r="266" spans="1:16">
      <c r="A266">
        <v>265</v>
      </c>
      <c r="B266" t="s">
        <v>316</v>
      </c>
      <c r="C266">
        <v>98</v>
      </c>
      <c r="D266">
        <v>77</v>
      </c>
      <c r="E266">
        <v>67.745981898289401</v>
      </c>
      <c r="F266">
        <v>1.2775368154954201</v>
      </c>
      <c r="G266">
        <v>3604.5990578449901</v>
      </c>
      <c r="H266">
        <v>536.92678141593899</v>
      </c>
      <c r="I266">
        <v>0.71132076545517298</v>
      </c>
      <c r="J266">
        <v>0.157121890324525</v>
      </c>
      <c r="K266">
        <v>0.58489291915878805</v>
      </c>
      <c r="L266" t="s">
        <v>33</v>
      </c>
      <c r="M266" t="s">
        <v>34</v>
      </c>
      <c r="N266" t="s">
        <v>35</v>
      </c>
      <c r="O266">
        <v>0.82888800210414604</v>
      </c>
      <c r="P266" t="s">
        <v>36</v>
      </c>
    </row>
    <row r="267" spans="1:16">
      <c r="A267">
        <v>266</v>
      </c>
      <c r="B267" t="s">
        <v>317</v>
      </c>
      <c r="C267">
        <v>69</v>
      </c>
      <c r="D267">
        <v>67</v>
      </c>
      <c r="E267">
        <v>67.820187668243605</v>
      </c>
      <c r="F267">
        <v>1.0333333759829499</v>
      </c>
      <c r="G267">
        <v>3612.5</v>
      </c>
      <c r="H267">
        <v>230.208150744438</v>
      </c>
      <c r="I267">
        <v>0.62080900337047895</v>
      </c>
      <c r="J267">
        <v>0.85659656282069296</v>
      </c>
      <c r="K267">
        <v>0.95695364238410596</v>
      </c>
      <c r="L267" t="s">
        <v>33</v>
      </c>
      <c r="M267" t="s">
        <v>34</v>
      </c>
      <c r="N267" t="s">
        <v>35</v>
      </c>
      <c r="O267">
        <v>0.77625441359631797</v>
      </c>
      <c r="P267" t="s">
        <v>36</v>
      </c>
    </row>
    <row r="268" spans="1:16">
      <c r="A268">
        <v>267</v>
      </c>
      <c r="B268" t="s">
        <v>318</v>
      </c>
      <c r="C268">
        <v>83</v>
      </c>
      <c r="D268">
        <v>98</v>
      </c>
      <c r="E268">
        <v>67.824152512489604</v>
      </c>
      <c r="F268">
        <v>0.84916201117318402</v>
      </c>
      <c r="G268">
        <v>3612.9223939508502</v>
      </c>
      <c r="H268">
        <v>658.86838798439999</v>
      </c>
      <c r="I268">
        <v>0.60535051986694899</v>
      </c>
      <c r="J268">
        <v>0.10458542248914</v>
      </c>
      <c r="K268">
        <v>0.57246479204936196</v>
      </c>
      <c r="L268" t="s">
        <v>33</v>
      </c>
      <c r="M268" t="s">
        <v>34</v>
      </c>
      <c r="N268" t="s">
        <v>35</v>
      </c>
      <c r="O268">
        <v>0.649483469699218</v>
      </c>
      <c r="P268" t="s">
        <v>36</v>
      </c>
    </row>
    <row r="269" spans="1:16">
      <c r="A269">
        <v>268</v>
      </c>
      <c r="B269" t="s">
        <v>319</v>
      </c>
      <c r="C269">
        <v>68</v>
      </c>
      <c r="D269">
        <v>103</v>
      </c>
      <c r="E269">
        <v>68.017794898493506</v>
      </c>
      <c r="F269">
        <v>0.66489361702127703</v>
      </c>
      <c r="G269">
        <v>3633.58210321361</v>
      </c>
      <c r="H269">
        <v>774.81925086985495</v>
      </c>
      <c r="I269">
        <v>0.69529377887978205</v>
      </c>
      <c r="J269">
        <v>7.6057848634884406E-2</v>
      </c>
      <c r="K269">
        <v>0.61571590479788396</v>
      </c>
      <c r="L269" t="s">
        <v>33</v>
      </c>
      <c r="M269" t="s">
        <v>34</v>
      </c>
      <c r="N269" t="s">
        <v>35</v>
      </c>
      <c r="O269">
        <v>0.80323543940179998</v>
      </c>
      <c r="P269" t="s">
        <v>36</v>
      </c>
    </row>
    <row r="270" spans="1:16">
      <c r="A270">
        <v>269</v>
      </c>
      <c r="B270" t="s">
        <v>320</v>
      </c>
      <c r="C270">
        <v>117</v>
      </c>
      <c r="D270">
        <v>68</v>
      </c>
      <c r="E270">
        <v>68.048392824338606</v>
      </c>
      <c r="F270">
        <v>1.72</v>
      </c>
      <c r="G270">
        <v>3636.8519852551999</v>
      </c>
      <c r="H270">
        <v>610.11820373358898</v>
      </c>
      <c r="I270">
        <v>0.65707629825254898</v>
      </c>
      <c r="J270">
        <v>0.12277431629703101</v>
      </c>
      <c r="K270">
        <v>0.60444148016402399</v>
      </c>
      <c r="L270" t="s">
        <v>49</v>
      </c>
      <c r="M270" t="s">
        <v>34</v>
      </c>
      <c r="N270" t="s">
        <v>35</v>
      </c>
      <c r="O270">
        <v>0.79496033794946197</v>
      </c>
      <c r="P270" t="s">
        <v>36</v>
      </c>
    </row>
    <row r="271" spans="1:16">
      <c r="A271">
        <v>270</v>
      </c>
      <c r="B271" t="s">
        <v>321</v>
      </c>
      <c r="C271">
        <v>73</v>
      </c>
      <c r="D271">
        <v>93</v>
      </c>
      <c r="E271">
        <v>68.105379549723494</v>
      </c>
      <c r="F271">
        <v>0.78823529411764703</v>
      </c>
      <c r="G271">
        <v>3642.9458563326998</v>
      </c>
      <c r="H271">
        <v>761.22756342825699</v>
      </c>
      <c r="I271">
        <v>0.73173856586058905</v>
      </c>
      <c r="J271">
        <v>7.9001178489430404E-2</v>
      </c>
      <c r="K271">
        <v>0.58588707749677305</v>
      </c>
      <c r="L271" t="s">
        <v>43</v>
      </c>
      <c r="M271" t="s">
        <v>34</v>
      </c>
      <c r="N271" t="s">
        <v>35</v>
      </c>
      <c r="O271">
        <v>0.78978499636786503</v>
      </c>
      <c r="P271" t="s">
        <v>36</v>
      </c>
    </row>
    <row r="272" spans="1:16">
      <c r="A272">
        <v>271</v>
      </c>
      <c r="B272" t="s">
        <v>322</v>
      </c>
      <c r="C272">
        <v>78</v>
      </c>
      <c r="D272">
        <v>78</v>
      </c>
      <c r="E272">
        <v>68.307921813741601</v>
      </c>
      <c r="F272">
        <v>1</v>
      </c>
      <c r="G272">
        <v>3664.6459826086998</v>
      </c>
      <c r="H272">
        <v>593.364806345857</v>
      </c>
      <c r="I272">
        <v>0.54510054066052205</v>
      </c>
      <c r="J272">
        <v>0.130797162619185</v>
      </c>
      <c r="K272">
        <v>0.68025934611670602</v>
      </c>
      <c r="L272" t="s">
        <v>47</v>
      </c>
      <c r="M272" t="s">
        <v>34</v>
      </c>
      <c r="N272" t="s">
        <v>35</v>
      </c>
      <c r="O272">
        <v>0.94671014671609199</v>
      </c>
      <c r="P272" t="s">
        <v>36</v>
      </c>
    </row>
    <row r="273" spans="1:16">
      <c r="A273">
        <v>272</v>
      </c>
      <c r="B273" t="s">
        <v>323</v>
      </c>
      <c r="C273">
        <v>98</v>
      </c>
      <c r="D273">
        <v>77</v>
      </c>
      <c r="E273">
        <v>68.328696940231097</v>
      </c>
      <c r="F273">
        <v>1.2676056338028201</v>
      </c>
      <c r="G273">
        <v>3666.87544763705</v>
      </c>
      <c r="H273">
        <v>764.55366497692899</v>
      </c>
      <c r="I273">
        <v>0.61176956114745296</v>
      </c>
      <c r="J273">
        <v>7.8829736272443496E-2</v>
      </c>
      <c r="K273">
        <v>0.55555305350387296</v>
      </c>
      <c r="L273" t="s">
        <v>33</v>
      </c>
      <c r="M273" t="s">
        <v>34</v>
      </c>
      <c r="N273" t="s">
        <v>35</v>
      </c>
      <c r="O273">
        <v>0.81165159734605796</v>
      </c>
      <c r="P273" t="s">
        <v>36</v>
      </c>
    </row>
    <row r="274" spans="1:16">
      <c r="A274">
        <v>273</v>
      </c>
      <c r="B274" t="s">
        <v>324</v>
      </c>
      <c r="C274">
        <v>75</v>
      </c>
      <c r="D274">
        <v>89</v>
      </c>
      <c r="E274">
        <v>68.3799152654463</v>
      </c>
      <c r="F274">
        <v>0.84049079754601197</v>
      </c>
      <c r="G274">
        <v>3672.3747947069901</v>
      </c>
      <c r="H274">
        <v>380.49203045679201</v>
      </c>
      <c r="I274">
        <v>0.64309981060902199</v>
      </c>
      <c r="J274">
        <v>0.31876140506855999</v>
      </c>
      <c r="K274">
        <v>0.75649857628364103</v>
      </c>
      <c r="L274" t="s">
        <v>43</v>
      </c>
      <c r="M274" t="s">
        <v>34</v>
      </c>
      <c r="N274" t="s">
        <v>35</v>
      </c>
      <c r="O274">
        <v>0.74549385406232804</v>
      </c>
      <c r="P274" t="s">
        <v>36</v>
      </c>
    </row>
    <row r="275" spans="1:16">
      <c r="A275">
        <v>274</v>
      </c>
      <c r="B275" t="s">
        <v>325</v>
      </c>
      <c r="C275">
        <v>69</v>
      </c>
      <c r="D275">
        <v>74</v>
      </c>
      <c r="E275">
        <v>68.384066421332093</v>
      </c>
      <c r="F275">
        <v>0.93333333333333302</v>
      </c>
      <c r="G275">
        <v>3672.82068771267</v>
      </c>
      <c r="H275">
        <v>276.32227061095398</v>
      </c>
      <c r="I275">
        <v>0.66393475692648496</v>
      </c>
      <c r="J275">
        <v>0.60447425980165304</v>
      </c>
      <c r="K275">
        <v>0.91349672840190799</v>
      </c>
      <c r="L275" t="s">
        <v>72</v>
      </c>
      <c r="M275" t="s">
        <v>34</v>
      </c>
      <c r="N275" t="s">
        <v>35</v>
      </c>
      <c r="O275">
        <v>0.73541214154712298</v>
      </c>
      <c r="P275" t="s">
        <v>36</v>
      </c>
    </row>
    <row r="276" spans="1:16">
      <c r="A276">
        <v>275</v>
      </c>
      <c r="B276" t="s">
        <v>326</v>
      </c>
      <c r="C276">
        <v>137</v>
      </c>
      <c r="D276">
        <v>53</v>
      </c>
      <c r="E276">
        <v>68.450450678120603</v>
      </c>
      <c r="F276">
        <v>2.56122448979592</v>
      </c>
      <c r="G276">
        <v>3679.9549758034</v>
      </c>
      <c r="H276">
        <v>1006.41099791268</v>
      </c>
      <c r="I276">
        <v>0.83409777813094899</v>
      </c>
      <c r="J276">
        <v>4.5656395439692098E-2</v>
      </c>
      <c r="K276">
        <v>0.56656750572082404</v>
      </c>
      <c r="L276" t="s">
        <v>33</v>
      </c>
      <c r="M276" t="s">
        <v>34</v>
      </c>
      <c r="N276" t="s">
        <v>35</v>
      </c>
      <c r="O276">
        <v>0.82011449055835395</v>
      </c>
      <c r="P276" t="s">
        <v>36</v>
      </c>
    </row>
    <row r="277" spans="1:16">
      <c r="A277">
        <v>276</v>
      </c>
      <c r="B277" t="s">
        <v>327</v>
      </c>
      <c r="C277">
        <v>62</v>
      </c>
      <c r="D277">
        <v>117</v>
      </c>
      <c r="E277">
        <v>68.511246407299893</v>
      </c>
      <c r="F277">
        <v>0.53255482333715998</v>
      </c>
      <c r="G277">
        <v>3686.4947398865802</v>
      </c>
      <c r="H277">
        <v>446.28840257655003</v>
      </c>
      <c r="I277">
        <v>0.87961909631193802</v>
      </c>
      <c r="J277">
        <v>0.232590664848395</v>
      </c>
      <c r="K277">
        <v>0.73814058686982897</v>
      </c>
      <c r="L277" t="s">
        <v>47</v>
      </c>
      <c r="M277" t="s">
        <v>34</v>
      </c>
      <c r="N277" t="s">
        <v>35</v>
      </c>
      <c r="O277">
        <v>0.94145786032729994</v>
      </c>
      <c r="P277" t="s">
        <v>36</v>
      </c>
    </row>
    <row r="278" spans="1:16">
      <c r="A278">
        <v>277</v>
      </c>
      <c r="B278" t="s">
        <v>328</v>
      </c>
      <c r="C278">
        <v>85</v>
      </c>
      <c r="D278">
        <v>72</v>
      </c>
      <c r="E278">
        <v>68.613372287048506</v>
      </c>
      <c r="F278">
        <v>1.18579701040073</v>
      </c>
      <c r="G278">
        <v>3697.4934340264699</v>
      </c>
      <c r="H278">
        <v>490.43496141236801</v>
      </c>
      <c r="I278">
        <v>0.65944286423245502</v>
      </c>
      <c r="J278">
        <v>0.19317656153995599</v>
      </c>
      <c r="K278">
        <v>0.74625029997600201</v>
      </c>
      <c r="L278" t="s">
        <v>33</v>
      </c>
      <c r="M278" t="s">
        <v>34</v>
      </c>
      <c r="N278" t="s">
        <v>35</v>
      </c>
      <c r="O278">
        <v>0.71702747050741</v>
      </c>
      <c r="P278" t="s">
        <v>36</v>
      </c>
    </row>
    <row r="279" spans="1:16">
      <c r="A279">
        <v>278</v>
      </c>
      <c r="B279" t="s">
        <v>329</v>
      </c>
      <c r="C279">
        <v>107</v>
      </c>
      <c r="D279">
        <v>64</v>
      </c>
      <c r="E279">
        <v>68.614751325573494</v>
      </c>
      <c r="F279">
        <v>1.68376068376068</v>
      </c>
      <c r="G279">
        <v>3697.6420650283599</v>
      </c>
      <c r="H279">
        <v>544.85650837960497</v>
      </c>
      <c r="I279">
        <v>0.69789980030376597</v>
      </c>
      <c r="J279">
        <v>0.156520218991996</v>
      </c>
      <c r="K279">
        <v>0.69520748917144104</v>
      </c>
      <c r="L279" t="s">
        <v>74</v>
      </c>
      <c r="M279" t="s">
        <v>34</v>
      </c>
      <c r="N279" t="s">
        <v>35</v>
      </c>
      <c r="O279">
        <v>0.74922333407060804</v>
      </c>
      <c r="P279" t="s">
        <v>36</v>
      </c>
    </row>
    <row r="280" spans="1:16">
      <c r="A280">
        <v>279</v>
      </c>
      <c r="B280" t="s">
        <v>330</v>
      </c>
      <c r="C280">
        <v>68</v>
      </c>
      <c r="D280">
        <v>83</v>
      </c>
      <c r="E280">
        <v>68.638190741353</v>
      </c>
      <c r="F280">
        <v>0.81699346405228801</v>
      </c>
      <c r="G280">
        <v>3700.16879206049</v>
      </c>
      <c r="H280">
        <v>348.742639112576</v>
      </c>
      <c r="I280">
        <v>0.69788015538554304</v>
      </c>
      <c r="J280">
        <v>0.38231496713362201</v>
      </c>
      <c r="K280">
        <v>0.78232040726541396</v>
      </c>
      <c r="L280" t="s">
        <v>331</v>
      </c>
      <c r="M280" t="s">
        <v>34</v>
      </c>
      <c r="N280" t="s">
        <v>35</v>
      </c>
      <c r="O280">
        <v>0.67762752317119201</v>
      </c>
      <c r="P280" t="s">
        <v>36</v>
      </c>
    </row>
    <row r="281" spans="1:16">
      <c r="A281">
        <v>280</v>
      </c>
      <c r="B281" t="s">
        <v>332</v>
      </c>
      <c r="C281">
        <v>74</v>
      </c>
      <c r="D281">
        <v>103</v>
      </c>
      <c r="E281">
        <v>69.034072562541994</v>
      </c>
      <c r="F281">
        <v>0.720306447567723</v>
      </c>
      <c r="G281">
        <v>3742.9745206049201</v>
      </c>
      <c r="H281">
        <v>470.65214596136798</v>
      </c>
      <c r="I281">
        <v>0.74720252760217398</v>
      </c>
      <c r="J281">
        <v>0.21233747485297999</v>
      </c>
      <c r="K281">
        <v>0.68947296372347699</v>
      </c>
      <c r="L281" t="s">
        <v>49</v>
      </c>
      <c r="M281" t="s">
        <v>34</v>
      </c>
      <c r="N281" t="s">
        <v>35</v>
      </c>
      <c r="O281">
        <v>0.76196981160413102</v>
      </c>
      <c r="P281" t="s">
        <v>36</v>
      </c>
    </row>
    <row r="282" spans="1:16">
      <c r="A282">
        <v>281</v>
      </c>
      <c r="B282" t="s">
        <v>333</v>
      </c>
      <c r="C282">
        <v>97</v>
      </c>
      <c r="D282">
        <v>79</v>
      </c>
      <c r="E282">
        <v>69.047777685180606</v>
      </c>
      <c r="F282">
        <v>1.22474957432955</v>
      </c>
      <c r="G282">
        <v>3744.4608306238201</v>
      </c>
      <c r="H282">
        <v>480.46605900484599</v>
      </c>
      <c r="I282">
        <v>0.69903680776035604</v>
      </c>
      <c r="J282">
        <v>0.203832639575564</v>
      </c>
      <c r="K282">
        <v>0.66486329568246605</v>
      </c>
      <c r="L282" t="s">
        <v>101</v>
      </c>
      <c r="M282" t="s">
        <v>34</v>
      </c>
      <c r="N282" t="s">
        <v>35</v>
      </c>
      <c r="O282">
        <v>0.73505335742439704</v>
      </c>
      <c r="P282" t="s">
        <v>36</v>
      </c>
    </row>
    <row r="283" spans="1:16">
      <c r="A283">
        <v>282</v>
      </c>
      <c r="B283" t="s">
        <v>334</v>
      </c>
      <c r="C283">
        <v>112</v>
      </c>
      <c r="D283">
        <v>68</v>
      </c>
      <c r="E283">
        <v>69.098829894267098</v>
      </c>
      <c r="F283">
        <v>1.64935053997327</v>
      </c>
      <c r="G283">
        <v>3750</v>
      </c>
      <c r="H283">
        <v>337.98989534378097</v>
      </c>
      <c r="I283">
        <v>0.59185320285091503</v>
      </c>
      <c r="J283">
        <v>0.41250925657666199</v>
      </c>
      <c r="K283">
        <v>0.75376884422110602</v>
      </c>
      <c r="L283" t="s">
        <v>47</v>
      </c>
      <c r="M283" t="s">
        <v>34</v>
      </c>
      <c r="N283" t="s">
        <v>35</v>
      </c>
      <c r="O283">
        <v>0.95553348369556901</v>
      </c>
      <c r="P283" t="s">
        <v>36</v>
      </c>
    </row>
    <row r="284" spans="1:16">
      <c r="A284">
        <v>283</v>
      </c>
      <c r="B284" t="s">
        <v>335</v>
      </c>
      <c r="C284">
        <v>68</v>
      </c>
      <c r="D284">
        <v>112</v>
      </c>
      <c r="E284">
        <v>69.127213813913997</v>
      </c>
      <c r="F284">
        <v>0.60679611650485399</v>
      </c>
      <c r="G284">
        <v>3753.0814287334601</v>
      </c>
      <c r="H284">
        <v>864.01571424038502</v>
      </c>
      <c r="I284">
        <v>0.61530161269832995</v>
      </c>
      <c r="J284">
        <v>6.3176355479298105E-2</v>
      </c>
      <c r="K284">
        <v>0.57806419120003705</v>
      </c>
      <c r="L284" t="s">
        <v>43</v>
      </c>
      <c r="M284" t="s">
        <v>34</v>
      </c>
      <c r="N284" t="s">
        <v>35</v>
      </c>
      <c r="O284">
        <v>0.77421970316530098</v>
      </c>
      <c r="P284" t="s">
        <v>36</v>
      </c>
    </row>
    <row r="285" spans="1:16">
      <c r="A285">
        <v>284</v>
      </c>
      <c r="B285" t="s">
        <v>336</v>
      </c>
      <c r="C285">
        <v>78</v>
      </c>
      <c r="D285">
        <v>83</v>
      </c>
      <c r="E285">
        <v>69.135426135156393</v>
      </c>
      <c r="F285">
        <v>0.94078947368421095</v>
      </c>
      <c r="G285">
        <v>3753.9732147447999</v>
      </c>
      <c r="H285">
        <v>804.48017880367195</v>
      </c>
      <c r="I285">
        <v>0.54249060912787495</v>
      </c>
      <c r="J285">
        <v>7.2890400612625098E-2</v>
      </c>
      <c r="K285">
        <v>0.62100759755108104</v>
      </c>
      <c r="L285" t="s">
        <v>33</v>
      </c>
      <c r="M285" t="s">
        <v>34</v>
      </c>
      <c r="N285" t="s">
        <v>35</v>
      </c>
      <c r="O285">
        <v>0.64948753457860797</v>
      </c>
      <c r="P285" t="s">
        <v>36</v>
      </c>
    </row>
    <row r="286" spans="1:16">
      <c r="A286">
        <v>285</v>
      </c>
      <c r="B286" t="s">
        <v>337</v>
      </c>
      <c r="C286">
        <v>92</v>
      </c>
      <c r="D286">
        <v>77</v>
      </c>
      <c r="E286">
        <v>69.147742788266697</v>
      </c>
      <c r="F286">
        <v>1.19404944575468</v>
      </c>
      <c r="G286">
        <v>3755.3108937618199</v>
      </c>
      <c r="H286">
        <v>421.94184743860501</v>
      </c>
      <c r="I286">
        <v>0.51285428379842501</v>
      </c>
      <c r="J286">
        <v>0.26506388616744198</v>
      </c>
      <c r="K286">
        <v>0.74476050110537995</v>
      </c>
      <c r="L286" t="s">
        <v>41</v>
      </c>
      <c r="M286" t="s">
        <v>34</v>
      </c>
      <c r="N286" t="s">
        <v>35</v>
      </c>
      <c r="O286">
        <v>0.81989799284921705</v>
      </c>
      <c r="P286" t="s">
        <v>36</v>
      </c>
    </row>
    <row r="287" spans="1:16">
      <c r="A287">
        <v>286</v>
      </c>
      <c r="B287" t="s">
        <v>338</v>
      </c>
      <c r="C287">
        <v>73</v>
      </c>
      <c r="D287">
        <v>78</v>
      </c>
      <c r="E287">
        <v>69.299468188372998</v>
      </c>
      <c r="F287">
        <v>0.93706292363155796</v>
      </c>
      <c r="G287">
        <v>3771.8089349716502</v>
      </c>
      <c r="H287">
        <v>567.70084161354202</v>
      </c>
      <c r="I287">
        <v>0.59806830571818903</v>
      </c>
      <c r="J287">
        <v>0.14706877427335499</v>
      </c>
      <c r="K287">
        <v>0.702749854614937</v>
      </c>
      <c r="L287" t="s">
        <v>33</v>
      </c>
      <c r="M287" t="s">
        <v>34</v>
      </c>
      <c r="N287" t="s">
        <v>35</v>
      </c>
      <c r="O287">
        <v>0.82682885795731698</v>
      </c>
      <c r="P287" t="s">
        <v>36</v>
      </c>
    </row>
    <row r="288" spans="1:16">
      <c r="A288">
        <v>287</v>
      </c>
      <c r="B288" t="s">
        <v>339</v>
      </c>
      <c r="C288">
        <v>74</v>
      </c>
      <c r="D288">
        <v>83</v>
      </c>
      <c r="E288">
        <v>69.300833574066701</v>
      </c>
      <c r="F288">
        <v>0.89289953757523999</v>
      </c>
      <c r="G288">
        <v>3771.9575659735401</v>
      </c>
      <c r="H288">
        <v>364.67018548343498</v>
      </c>
      <c r="I288">
        <v>0.72478977224969598</v>
      </c>
      <c r="J288">
        <v>0.35643155596808901</v>
      </c>
      <c r="K288">
        <v>0.77317734515431302</v>
      </c>
      <c r="L288" t="s">
        <v>43</v>
      </c>
      <c r="M288" t="s">
        <v>34</v>
      </c>
      <c r="N288" t="s">
        <v>35</v>
      </c>
      <c r="O288">
        <v>0.79302999550625097</v>
      </c>
      <c r="P288" t="s">
        <v>36</v>
      </c>
    </row>
    <row r="289" spans="1:16">
      <c r="A289">
        <v>288</v>
      </c>
      <c r="B289" t="s">
        <v>340</v>
      </c>
      <c r="C289">
        <v>85</v>
      </c>
      <c r="D289">
        <v>76</v>
      </c>
      <c r="E289">
        <v>69.311755691325104</v>
      </c>
      <c r="F289">
        <v>1.1209419059391501</v>
      </c>
      <c r="G289">
        <v>3773.1466139886602</v>
      </c>
      <c r="H289">
        <v>420.81152692794802</v>
      </c>
      <c r="I289">
        <v>0.78840982430669604</v>
      </c>
      <c r="J289">
        <v>0.26775543181557598</v>
      </c>
      <c r="K289">
        <v>0.69690065061630102</v>
      </c>
      <c r="L289" t="s">
        <v>47</v>
      </c>
      <c r="M289" t="s">
        <v>34</v>
      </c>
      <c r="N289" t="s">
        <v>35</v>
      </c>
      <c r="O289">
        <v>0.94279269823998502</v>
      </c>
      <c r="P289" t="s">
        <v>36</v>
      </c>
    </row>
    <row r="290" spans="1:16">
      <c r="A290">
        <v>289</v>
      </c>
      <c r="B290" t="s">
        <v>341</v>
      </c>
      <c r="C290">
        <v>53</v>
      </c>
      <c r="D290">
        <v>107</v>
      </c>
      <c r="E290">
        <v>69.390889628440405</v>
      </c>
      <c r="F290">
        <v>0.49746192893400998</v>
      </c>
      <c r="G290">
        <v>3781.7672120983002</v>
      </c>
      <c r="H290">
        <v>665.03681851262604</v>
      </c>
      <c r="I290">
        <v>0.70834306885674203</v>
      </c>
      <c r="J290">
        <v>0.107451696438043</v>
      </c>
      <c r="K290">
        <v>0.69711498945176598</v>
      </c>
      <c r="L290" t="s">
        <v>33</v>
      </c>
      <c r="M290" t="s">
        <v>34</v>
      </c>
      <c r="N290" t="s">
        <v>35</v>
      </c>
      <c r="O290">
        <v>0.73709142110177495</v>
      </c>
      <c r="P290" t="s">
        <v>36</v>
      </c>
    </row>
    <row r="291" spans="1:16">
      <c r="A291">
        <v>290</v>
      </c>
      <c r="B291" t="s">
        <v>342</v>
      </c>
      <c r="C291">
        <v>153</v>
      </c>
      <c r="D291">
        <v>60</v>
      </c>
      <c r="E291">
        <v>69.409977406673505</v>
      </c>
      <c r="F291">
        <v>2.5626186019267099</v>
      </c>
      <c r="G291">
        <v>3783.84804612476</v>
      </c>
      <c r="H291">
        <v>779.87454913429599</v>
      </c>
      <c r="I291">
        <v>0.64722047003699801</v>
      </c>
      <c r="J291">
        <v>7.8179710218388099E-2</v>
      </c>
      <c r="K291">
        <v>0.54013111832474103</v>
      </c>
      <c r="L291" t="s">
        <v>33</v>
      </c>
      <c r="M291" t="s">
        <v>34</v>
      </c>
      <c r="N291" t="s">
        <v>35</v>
      </c>
      <c r="O291">
        <v>0.79841719655955401</v>
      </c>
      <c r="P291" t="s">
        <v>36</v>
      </c>
    </row>
    <row r="292" spans="1:16">
      <c r="A292">
        <v>291</v>
      </c>
      <c r="B292" t="s">
        <v>343</v>
      </c>
      <c r="C292">
        <v>88</v>
      </c>
      <c r="D292">
        <v>107</v>
      </c>
      <c r="E292">
        <v>69.467209272436605</v>
      </c>
      <c r="F292">
        <v>0.81725888324873097</v>
      </c>
      <c r="G292">
        <v>3790.0905482041599</v>
      </c>
      <c r="H292">
        <v>875.98779936790504</v>
      </c>
      <c r="I292">
        <v>0.46168915260979398</v>
      </c>
      <c r="J292">
        <v>6.2067368803529401E-2</v>
      </c>
      <c r="K292">
        <v>0.54170030165271699</v>
      </c>
      <c r="L292" t="s">
        <v>38</v>
      </c>
      <c r="M292" t="s">
        <v>34</v>
      </c>
      <c r="N292" t="s">
        <v>35</v>
      </c>
      <c r="O292">
        <v>0.70015366011048696</v>
      </c>
      <c r="P292" t="s">
        <v>36</v>
      </c>
    </row>
    <row r="293" spans="1:16">
      <c r="A293">
        <v>292</v>
      </c>
      <c r="B293" t="s">
        <v>344</v>
      </c>
      <c r="C293">
        <v>95</v>
      </c>
      <c r="D293">
        <v>82</v>
      </c>
      <c r="E293">
        <v>69.595129095386199</v>
      </c>
      <c r="F293">
        <v>1.15172814346769</v>
      </c>
      <c r="G293">
        <v>3804.06186238185</v>
      </c>
      <c r="H293">
        <v>620.25149774364797</v>
      </c>
      <c r="I293">
        <v>0.63537071687769997</v>
      </c>
      <c r="J293">
        <v>0.124257265400879</v>
      </c>
      <c r="K293">
        <v>0.62292209214593397</v>
      </c>
      <c r="L293" t="s">
        <v>33</v>
      </c>
      <c r="M293" t="s">
        <v>34</v>
      </c>
      <c r="N293" t="s">
        <v>35</v>
      </c>
      <c r="O293">
        <v>0.766871442898163</v>
      </c>
      <c r="P293" t="s">
        <v>36</v>
      </c>
    </row>
    <row r="294" spans="1:16">
      <c r="A294">
        <v>293</v>
      </c>
      <c r="B294" t="s">
        <v>345</v>
      </c>
      <c r="C294">
        <v>107</v>
      </c>
      <c r="D294">
        <v>83</v>
      </c>
      <c r="E294">
        <v>69.603286208472596</v>
      </c>
      <c r="F294">
        <v>1.29605263157895</v>
      </c>
      <c r="G294">
        <v>3804.9536483932002</v>
      </c>
      <c r="H294">
        <v>553.09621407135705</v>
      </c>
      <c r="I294">
        <v>0.62958827026754405</v>
      </c>
      <c r="J294">
        <v>0.156299598759785</v>
      </c>
      <c r="K294">
        <v>0.62102760661782497</v>
      </c>
      <c r="L294" t="s">
        <v>33</v>
      </c>
      <c r="M294" t="s">
        <v>34</v>
      </c>
      <c r="N294" t="s">
        <v>35</v>
      </c>
      <c r="O294">
        <v>0.721632280002101</v>
      </c>
      <c r="P294" t="s">
        <v>36</v>
      </c>
    </row>
    <row r="295" spans="1:16">
      <c r="A295">
        <v>294</v>
      </c>
      <c r="B295" t="s">
        <v>346</v>
      </c>
      <c r="C295">
        <v>72</v>
      </c>
      <c r="D295">
        <v>123</v>
      </c>
      <c r="E295">
        <v>69.664434111902906</v>
      </c>
      <c r="F295">
        <v>0.587325337950096</v>
      </c>
      <c r="G295">
        <v>3811.6420434782599</v>
      </c>
      <c r="H295">
        <v>595.55735492364204</v>
      </c>
      <c r="I295">
        <v>0.86105092215021894</v>
      </c>
      <c r="J295">
        <v>0.13504384286315099</v>
      </c>
      <c r="K295">
        <v>0.63378889355707702</v>
      </c>
      <c r="L295" t="s">
        <v>41</v>
      </c>
      <c r="M295" t="s">
        <v>34</v>
      </c>
      <c r="N295" t="s">
        <v>35</v>
      </c>
      <c r="O295">
        <v>0.700156522549087</v>
      </c>
      <c r="P295" t="s">
        <v>36</v>
      </c>
    </row>
    <row r="296" spans="1:16">
      <c r="A296">
        <v>295</v>
      </c>
      <c r="B296" t="s">
        <v>347</v>
      </c>
      <c r="C296">
        <v>70</v>
      </c>
      <c r="D296">
        <v>70</v>
      </c>
      <c r="E296">
        <v>69.672273999797099</v>
      </c>
      <c r="F296">
        <v>1</v>
      </c>
      <c r="G296">
        <v>3812.5</v>
      </c>
      <c r="H296">
        <v>241.92387998104101</v>
      </c>
      <c r="I296">
        <v>0.64080019473792504</v>
      </c>
      <c r="J296">
        <v>0.81858208965429602</v>
      </c>
      <c r="K296">
        <v>0.93846153846153801</v>
      </c>
      <c r="L296" t="s">
        <v>49</v>
      </c>
      <c r="M296" t="s">
        <v>34</v>
      </c>
      <c r="N296" t="s">
        <v>35</v>
      </c>
      <c r="O296">
        <v>0.79731831544625398</v>
      </c>
      <c r="P296" t="s">
        <v>36</v>
      </c>
    </row>
    <row r="297" spans="1:16">
      <c r="A297">
        <v>296</v>
      </c>
      <c r="B297" t="s">
        <v>348</v>
      </c>
      <c r="C297">
        <v>103</v>
      </c>
      <c r="D297">
        <v>88</v>
      </c>
      <c r="E297">
        <v>69.813681293436403</v>
      </c>
      <c r="F297">
        <v>1.1604938271604901</v>
      </c>
      <c r="G297">
        <v>3827.9914536862002</v>
      </c>
      <c r="H297">
        <v>689.98452662975899</v>
      </c>
      <c r="I297">
        <v>0.67795449712710398</v>
      </c>
      <c r="J297">
        <v>0.101042043410074</v>
      </c>
      <c r="K297">
        <v>0.54115100960225204</v>
      </c>
      <c r="L297" t="s">
        <v>61</v>
      </c>
      <c r="M297" t="s">
        <v>34</v>
      </c>
      <c r="N297" t="s">
        <v>35</v>
      </c>
      <c r="O297">
        <v>0.77047519752897797</v>
      </c>
      <c r="P297" t="s">
        <v>36</v>
      </c>
    </row>
    <row r="298" spans="1:16">
      <c r="A298">
        <v>297</v>
      </c>
      <c r="B298" t="s">
        <v>349</v>
      </c>
      <c r="C298">
        <v>77</v>
      </c>
      <c r="D298">
        <v>92</v>
      </c>
      <c r="E298">
        <v>70.130114267194301</v>
      </c>
      <c r="F298">
        <v>0.84287515305428296</v>
      </c>
      <c r="G298">
        <v>3862.7711081285402</v>
      </c>
      <c r="H298">
        <v>513.89535909828896</v>
      </c>
      <c r="I298">
        <v>0.68499159773677198</v>
      </c>
      <c r="J298">
        <v>0.18380589973682401</v>
      </c>
      <c r="K298">
        <v>0.69228310380650504</v>
      </c>
      <c r="L298" t="s">
        <v>47</v>
      </c>
      <c r="M298" t="s">
        <v>34</v>
      </c>
      <c r="N298" t="s">
        <v>35</v>
      </c>
      <c r="O298">
        <v>0.93002832397830504</v>
      </c>
      <c r="P298" t="s">
        <v>36</v>
      </c>
    </row>
    <row r="299" spans="1:16">
      <c r="A299">
        <v>298</v>
      </c>
      <c r="B299" t="s">
        <v>350</v>
      </c>
      <c r="C299">
        <v>102</v>
      </c>
      <c r="D299">
        <v>82</v>
      </c>
      <c r="E299">
        <v>70.262214086302507</v>
      </c>
      <c r="F299">
        <v>1.24452560996017</v>
      </c>
      <c r="G299">
        <v>3877.3369463138001</v>
      </c>
      <c r="H299">
        <v>617.53205840846795</v>
      </c>
      <c r="I299">
        <v>0.63873498119734096</v>
      </c>
      <c r="J299">
        <v>0.127768674912245</v>
      </c>
      <c r="K299">
        <v>0.63094374304648604</v>
      </c>
      <c r="L299" t="s">
        <v>72</v>
      </c>
      <c r="M299" t="s">
        <v>34</v>
      </c>
      <c r="N299" t="s">
        <v>35</v>
      </c>
      <c r="O299">
        <v>0.79028657873319796</v>
      </c>
      <c r="P299" t="s">
        <v>36</v>
      </c>
    </row>
    <row r="300" spans="1:16">
      <c r="A300">
        <v>299</v>
      </c>
      <c r="B300" t="s">
        <v>351</v>
      </c>
      <c r="C300">
        <v>83</v>
      </c>
      <c r="D300">
        <v>69</v>
      </c>
      <c r="E300">
        <v>70.264907415065807</v>
      </c>
      <c r="F300">
        <v>1.2063492063492101</v>
      </c>
      <c r="G300">
        <v>3877.63420831758</v>
      </c>
      <c r="H300">
        <v>338.367458817959</v>
      </c>
      <c r="I300">
        <v>0.75778996464150605</v>
      </c>
      <c r="J300">
        <v>0.42559794521001698</v>
      </c>
      <c r="K300">
        <v>0.85610684517949698</v>
      </c>
      <c r="L300" t="s">
        <v>74</v>
      </c>
      <c r="M300" t="s">
        <v>34</v>
      </c>
      <c r="N300" t="s">
        <v>35</v>
      </c>
      <c r="O300">
        <v>0.74362648186090696</v>
      </c>
      <c r="P300" t="s">
        <v>36</v>
      </c>
    </row>
    <row r="301" spans="1:16">
      <c r="A301">
        <v>300</v>
      </c>
      <c r="B301" t="s">
        <v>352</v>
      </c>
      <c r="C301">
        <v>73</v>
      </c>
      <c r="D301">
        <v>68</v>
      </c>
      <c r="E301">
        <v>70.365832825571701</v>
      </c>
      <c r="F301">
        <v>1.0720000000000001</v>
      </c>
      <c r="G301">
        <v>3888.7815334593602</v>
      </c>
      <c r="H301">
        <v>532.33255823943898</v>
      </c>
      <c r="I301">
        <v>0.633746949818353</v>
      </c>
      <c r="J301">
        <v>0.172447678254286</v>
      </c>
      <c r="K301">
        <v>0.78101492537313399</v>
      </c>
      <c r="L301" t="s">
        <v>74</v>
      </c>
      <c r="M301" t="s">
        <v>34</v>
      </c>
      <c r="N301" t="s">
        <v>35</v>
      </c>
      <c r="O301">
        <v>0.72494323992663501</v>
      </c>
      <c r="P301" t="s">
        <v>36</v>
      </c>
    </row>
    <row r="302" spans="1:16">
      <c r="A302">
        <v>301</v>
      </c>
      <c r="B302" t="s">
        <v>353</v>
      </c>
      <c r="C302">
        <v>73</v>
      </c>
      <c r="D302">
        <v>93</v>
      </c>
      <c r="E302">
        <v>70.540428140391597</v>
      </c>
      <c r="F302">
        <v>0.78823529411764703</v>
      </c>
      <c r="G302">
        <v>3908.1035637051</v>
      </c>
      <c r="H302">
        <v>443.82025176442198</v>
      </c>
      <c r="I302">
        <v>0.69691533983929599</v>
      </c>
      <c r="J302">
        <v>0.24932262861191301</v>
      </c>
      <c r="K302">
        <v>0.75509735224857799</v>
      </c>
      <c r="L302" t="s">
        <v>43</v>
      </c>
      <c r="M302" t="s">
        <v>34</v>
      </c>
      <c r="N302" t="s">
        <v>35</v>
      </c>
      <c r="O302">
        <v>0.809795832736107</v>
      </c>
      <c r="P302" t="s">
        <v>36</v>
      </c>
    </row>
    <row r="303" spans="1:16">
      <c r="A303">
        <v>302</v>
      </c>
      <c r="B303" t="s">
        <v>354</v>
      </c>
      <c r="C303">
        <v>61</v>
      </c>
      <c r="D303">
        <v>94</v>
      </c>
      <c r="E303">
        <v>71.029653638554905</v>
      </c>
      <c r="F303">
        <v>0.64705874916691697</v>
      </c>
      <c r="G303">
        <v>3962.5</v>
      </c>
      <c r="H303">
        <v>294.35028612613701</v>
      </c>
      <c r="I303">
        <v>0.76606499796539795</v>
      </c>
      <c r="J303">
        <v>0.57471193293825296</v>
      </c>
      <c r="K303">
        <v>0.856756756756757</v>
      </c>
      <c r="L303" t="s">
        <v>33</v>
      </c>
      <c r="M303" t="s">
        <v>34</v>
      </c>
      <c r="N303" t="s">
        <v>35</v>
      </c>
      <c r="O303">
        <v>0.81209911603017904</v>
      </c>
      <c r="P303" t="s">
        <v>36</v>
      </c>
    </row>
    <row r="304" spans="1:16">
      <c r="A304">
        <v>303</v>
      </c>
      <c r="B304" t="s">
        <v>355</v>
      </c>
      <c r="C304">
        <v>74</v>
      </c>
      <c r="D304">
        <v>123</v>
      </c>
      <c r="E304">
        <v>71.357955975751906</v>
      </c>
      <c r="F304">
        <v>0.60577054176932299</v>
      </c>
      <c r="G304">
        <v>3999.2143678638899</v>
      </c>
      <c r="H304">
        <v>617.93833629556298</v>
      </c>
      <c r="I304">
        <v>0.80243746174527497</v>
      </c>
      <c r="J304">
        <v>0.13161163050505201</v>
      </c>
      <c r="K304">
        <v>0.60885208064625596</v>
      </c>
      <c r="L304" t="s">
        <v>41</v>
      </c>
      <c r="M304" t="s">
        <v>34</v>
      </c>
      <c r="N304" t="s">
        <v>35</v>
      </c>
      <c r="O304">
        <v>0.64312799011869703</v>
      </c>
      <c r="P304" t="s">
        <v>36</v>
      </c>
    </row>
    <row r="305" spans="1:16">
      <c r="A305">
        <v>304</v>
      </c>
      <c r="B305" t="s">
        <v>356</v>
      </c>
      <c r="C305">
        <v>68</v>
      </c>
      <c r="D305">
        <v>73</v>
      </c>
      <c r="E305">
        <v>71.364585722774606</v>
      </c>
      <c r="F305">
        <v>0.93283582089552197</v>
      </c>
      <c r="G305">
        <v>3999.9575228733502</v>
      </c>
      <c r="H305">
        <v>349.17161448084801</v>
      </c>
      <c r="I305">
        <v>0.59111269120201104</v>
      </c>
      <c r="J305">
        <v>0.41227536178930202</v>
      </c>
      <c r="K305">
        <v>0.89790471106365899</v>
      </c>
      <c r="L305" t="s">
        <v>47</v>
      </c>
      <c r="M305" t="s">
        <v>34</v>
      </c>
      <c r="N305" t="s">
        <v>35</v>
      </c>
      <c r="O305">
        <v>0.94259488692490001</v>
      </c>
      <c r="P305" t="s">
        <v>36</v>
      </c>
    </row>
    <row r="306" spans="1:16">
      <c r="A306">
        <v>305</v>
      </c>
      <c r="B306" t="s">
        <v>357</v>
      </c>
      <c r="C306">
        <v>85</v>
      </c>
      <c r="D306">
        <v>86</v>
      </c>
      <c r="E306">
        <v>71.403026116471295</v>
      </c>
      <c r="F306">
        <v>0.99150486178001096</v>
      </c>
      <c r="G306">
        <v>4004.2678219281702</v>
      </c>
      <c r="H306">
        <v>551.68639832216797</v>
      </c>
      <c r="I306">
        <v>0.57985255070757502</v>
      </c>
      <c r="J306">
        <v>0.165328767381859</v>
      </c>
      <c r="K306">
        <v>0.69483919222139101</v>
      </c>
      <c r="L306" t="s">
        <v>33</v>
      </c>
      <c r="M306" t="s">
        <v>34</v>
      </c>
      <c r="N306" t="s">
        <v>35</v>
      </c>
      <c r="O306">
        <v>0.81299234917764396</v>
      </c>
      <c r="P306" t="s">
        <v>36</v>
      </c>
    </row>
    <row r="307" spans="1:16">
      <c r="A307">
        <v>306</v>
      </c>
      <c r="B307" t="s">
        <v>358</v>
      </c>
      <c r="C307">
        <v>71</v>
      </c>
      <c r="D307">
        <v>120</v>
      </c>
      <c r="E307">
        <v>71.573769418088901</v>
      </c>
      <c r="F307">
        <v>0.59185305177619696</v>
      </c>
      <c r="G307">
        <v>4023.4412211720201</v>
      </c>
      <c r="H307">
        <v>746.33565463916102</v>
      </c>
      <c r="I307">
        <v>0.72089680049667804</v>
      </c>
      <c r="J307">
        <v>9.0769333351298498E-2</v>
      </c>
      <c r="K307">
        <v>0.60662423807816401</v>
      </c>
      <c r="L307" t="s">
        <v>43</v>
      </c>
      <c r="M307" t="s">
        <v>34</v>
      </c>
      <c r="N307" t="s">
        <v>35</v>
      </c>
      <c r="O307">
        <v>0.815339084737562</v>
      </c>
      <c r="P307" t="s">
        <v>36</v>
      </c>
    </row>
    <row r="308" spans="1:16">
      <c r="A308">
        <v>307</v>
      </c>
      <c r="B308" t="s">
        <v>359</v>
      </c>
      <c r="C308">
        <v>84</v>
      </c>
      <c r="D308">
        <v>93</v>
      </c>
      <c r="E308">
        <v>71.653046277632697</v>
      </c>
      <c r="F308">
        <v>0.90781852892069204</v>
      </c>
      <c r="G308">
        <v>4032.35908128544</v>
      </c>
      <c r="H308">
        <v>495.864437844235</v>
      </c>
      <c r="I308">
        <v>0.67671345990010401</v>
      </c>
      <c r="J308">
        <v>0.20608346001705699</v>
      </c>
      <c r="K308">
        <v>0.72644995447973004</v>
      </c>
      <c r="L308" t="s">
        <v>47</v>
      </c>
      <c r="M308" t="s">
        <v>34</v>
      </c>
      <c r="N308" t="s">
        <v>35</v>
      </c>
      <c r="O308">
        <v>0.89972324612288002</v>
      </c>
      <c r="P308" t="s">
        <v>36</v>
      </c>
    </row>
    <row r="309" spans="1:16">
      <c r="A309">
        <v>308</v>
      </c>
      <c r="B309" t="s">
        <v>360</v>
      </c>
      <c r="C309">
        <v>83</v>
      </c>
      <c r="D309">
        <v>88</v>
      </c>
      <c r="E309">
        <v>71.915355605263301</v>
      </c>
      <c r="F309">
        <v>0.94409937888198803</v>
      </c>
      <c r="G309">
        <v>4061.9366506616302</v>
      </c>
      <c r="H309">
        <v>743.79000914501103</v>
      </c>
      <c r="I309">
        <v>0.65474181934035802</v>
      </c>
      <c r="J309">
        <v>9.2266135106012198E-2</v>
      </c>
      <c r="K309">
        <v>0.63245469903496798</v>
      </c>
      <c r="L309" t="s">
        <v>47</v>
      </c>
      <c r="M309" t="s">
        <v>34</v>
      </c>
      <c r="N309" t="s">
        <v>35</v>
      </c>
      <c r="O309">
        <v>0.93284732961957295</v>
      </c>
      <c r="P309" t="s">
        <v>36</v>
      </c>
    </row>
    <row r="310" spans="1:16">
      <c r="A310">
        <v>309</v>
      </c>
      <c r="B310" t="s">
        <v>361</v>
      </c>
      <c r="C310">
        <v>98</v>
      </c>
      <c r="D310">
        <v>93</v>
      </c>
      <c r="E310">
        <v>71.916671326617006</v>
      </c>
      <c r="F310">
        <v>1.05294117647059</v>
      </c>
      <c r="G310">
        <v>4062.0852816635202</v>
      </c>
      <c r="H310">
        <v>795.405219856553</v>
      </c>
      <c r="I310">
        <v>0.63422242599243595</v>
      </c>
      <c r="J310">
        <v>8.0682998057050107E-2</v>
      </c>
      <c r="K310">
        <v>0.59061243895059901</v>
      </c>
      <c r="L310" t="s">
        <v>144</v>
      </c>
      <c r="M310" t="s">
        <v>34</v>
      </c>
      <c r="N310" t="s">
        <v>35</v>
      </c>
      <c r="O310">
        <v>0.688721643664715</v>
      </c>
      <c r="P310" t="s">
        <v>36</v>
      </c>
    </row>
    <row r="311" spans="1:16">
      <c r="A311">
        <v>310</v>
      </c>
      <c r="B311" t="s">
        <v>362</v>
      </c>
      <c r="C311">
        <v>125</v>
      </c>
      <c r="D311">
        <v>61</v>
      </c>
      <c r="E311">
        <v>71.999513300153794</v>
      </c>
      <c r="F311">
        <v>2.05561079550814</v>
      </c>
      <c r="G311">
        <v>4071.4490347826099</v>
      </c>
      <c r="H311">
        <v>739.78364370501595</v>
      </c>
      <c r="I311">
        <v>0.81992869279425595</v>
      </c>
      <c r="J311">
        <v>9.3486611083476098E-2</v>
      </c>
      <c r="K311">
        <v>0.59984233691724897</v>
      </c>
      <c r="L311" t="s">
        <v>33</v>
      </c>
      <c r="M311" t="s">
        <v>34</v>
      </c>
      <c r="N311" t="s">
        <v>35</v>
      </c>
      <c r="O311">
        <v>0.71946937073148598</v>
      </c>
      <c r="P311" t="s">
        <v>36</v>
      </c>
    </row>
    <row r="312" spans="1:16">
      <c r="A312">
        <v>311</v>
      </c>
      <c r="B312" t="s">
        <v>363</v>
      </c>
      <c r="C312">
        <v>70</v>
      </c>
      <c r="D312">
        <v>120</v>
      </c>
      <c r="E312">
        <v>72.030904095365798</v>
      </c>
      <c r="F312">
        <v>0.58333333333333304</v>
      </c>
      <c r="G312">
        <v>4075</v>
      </c>
      <c r="H312">
        <v>476.27416610717802</v>
      </c>
      <c r="I312">
        <v>0.54406146300771396</v>
      </c>
      <c r="J312">
        <v>0.22574774794225</v>
      </c>
      <c r="K312">
        <v>0.64299802761341196</v>
      </c>
      <c r="L312" t="s">
        <v>33</v>
      </c>
      <c r="M312" t="s">
        <v>34</v>
      </c>
      <c r="N312" t="s">
        <v>35</v>
      </c>
      <c r="O312">
        <v>0.80245122679355796</v>
      </c>
      <c r="P312" t="s">
        <v>36</v>
      </c>
    </row>
    <row r="313" spans="1:16">
      <c r="A313">
        <v>312</v>
      </c>
      <c r="B313" t="s">
        <v>364</v>
      </c>
      <c r="C313">
        <v>146</v>
      </c>
      <c r="D313">
        <v>66</v>
      </c>
      <c r="E313">
        <v>72.073070672291493</v>
      </c>
      <c r="F313">
        <v>2.1964295343148401</v>
      </c>
      <c r="G313">
        <v>4079.77237088847</v>
      </c>
      <c r="H313">
        <v>689.98452662975899</v>
      </c>
      <c r="I313">
        <v>0.82107574487564405</v>
      </c>
      <c r="J313">
        <v>0.10768794601293399</v>
      </c>
      <c r="K313">
        <v>0.53979272777329801</v>
      </c>
      <c r="L313" t="s">
        <v>298</v>
      </c>
      <c r="M313" t="s">
        <v>34</v>
      </c>
      <c r="N313" t="s">
        <v>35</v>
      </c>
      <c r="O313">
        <v>0.67195584008779996</v>
      </c>
      <c r="P313" t="s">
        <v>36</v>
      </c>
    </row>
    <row r="314" spans="1:16">
      <c r="A314">
        <v>313</v>
      </c>
      <c r="B314" t="s">
        <v>365</v>
      </c>
      <c r="C314">
        <v>131</v>
      </c>
      <c r="D314">
        <v>90</v>
      </c>
      <c r="E314">
        <v>72.213409441290295</v>
      </c>
      <c r="F314">
        <v>1.45507915818088</v>
      </c>
      <c r="G314">
        <v>4095.67588809074</v>
      </c>
      <c r="H314">
        <v>588.58577085971797</v>
      </c>
      <c r="I314">
        <v>0.65734580274107202</v>
      </c>
      <c r="J314">
        <v>0.14856480178899001</v>
      </c>
      <c r="K314">
        <v>0.50630213500900301</v>
      </c>
      <c r="L314" t="s">
        <v>33</v>
      </c>
      <c r="M314" t="s">
        <v>34</v>
      </c>
      <c r="N314" t="s">
        <v>35</v>
      </c>
      <c r="O314">
        <v>0.76901199920957997</v>
      </c>
      <c r="P314" t="s">
        <v>36</v>
      </c>
    </row>
    <row r="315" spans="1:16">
      <c r="A315">
        <v>314</v>
      </c>
      <c r="B315" t="s">
        <v>366</v>
      </c>
      <c r="C315">
        <v>68</v>
      </c>
      <c r="D315">
        <v>117</v>
      </c>
      <c r="E315">
        <v>72.235681154893996</v>
      </c>
      <c r="F315">
        <v>0.581395348837209</v>
      </c>
      <c r="G315">
        <v>4098.2026151228702</v>
      </c>
      <c r="H315">
        <v>630.04271330594997</v>
      </c>
      <c r="I315">
        <v>0.62362644100654496</v>
      </c>
      <c r="J315">
        <v>0.12973683648600501</v>
      </c>
      <c r="K315">
        <v>0.63649584487534605</v>
      </c>
      <c r="L315" t="s">
        <v>188</v>
      </c>
      <c r="M315" t="s">
        <v>34</v>
      </c>
      <c r="N315" t="s">
        <v>35</v>
      </c>
      <c r="O315">
        <v>0.77864982360002</v>
      </c>
      <c r="P315" t="s">
        <v>36</v>
      </c>
    </row>
    <row r="316" spans="1:16">
      <c r="A316">
        <v>315</v>
      </c>
      <c r="B316" t="s">
        <v>367</v>
      </c>
      <c r="C316">
        <v>78</v>
      </c>
      <c r="D316">
        <v>93</v>
      </c>
      <c r="E316">
        <v>72.353476005909599</v>
      </c>
      <c r="F316">
        <v>0.83691107902735395</v>
      </c>
      <c r="G316">
        <v>4111.5794052930096</v>
      </c>
      <c r="H316">
        <v>396.42508606195503</v>
      </c>
      <c r="I316">
        <v>0.75551957324920305</v>
      </c>
      <c r="J316">
        <v>0.32877310842490898</v>
      </c>
      <c r="K316">
        <v>0.80841053216049596</v>
      </c>
      <c r="L316" t="s">
        <v>41</v>
      </c>
      <c r="M316" t="s">
        <v>34</v>
      </c>
      <c r="N316" t="s">
        <v>35</v>
      </c>
      <c r="O316">
        <v>0.76163134906474195</v>
      </c>
      <c r="P316" t="s">
        <v>36</v>
      </c>
    </row>
    <row r="317" spans="1:16">
      <c r="A317">
        <v>316</v>
      </c>
      <c r="B317" t="s">
        <v>368</v>
      </c>
      <c r="C317">
        <v>78</v>
      </c>
      <c r="D317">
        <v>73</v>
      </c>
      <c r="E317">
        <v>72.384855591470696</v>
      </c>
      <c r="F317">
        <v>1.0671641791044799</v>
      </c>
      <c r="G317">
        <v>4115.1465493383703</v>
      </c>
      <c r="H317">
        <v>322.12053148052001</v>
      </c>
      <c r="I317">
        <v>0.603070523756986</v>
      </c>
      <c r="J317">
        <v>0.49837741833639998</v>
      </c>
      <c r="K317">
        <v>0.89154725487039099</v>
      </c>
      <c r="L317" t="s">
        <v>47</v>
      </c>
      <c r="M317" t="s">
        <v>34</v>
      </c>
      <c r="N317" t="s">
        <v>35</v>
      </c>
      <c r="O317">
        <v>0.90453877701116003</v>
      </c>
      <c r="P317" t="s">
        <v>36</v>
      </c>
    </row>
    <row r="318" spans="1:16">
      <c r="A318">
        <v>317</v>
      </c>
      <c r="B318" t="s">
        <v>369</v>
      </c>
      <c r="C318">
        <v>88</v>
      </c>
      <c r="D318">
        <v>76</v>
      </c>
      <c r="E318">
        <v>72.407074569921207</v>
      </c>
      <c r="F318">
        <v>1.1683736381759799</v>
      </c>
      <c r="G318">
        <v>4117.6732763705104</v>
      </c>
      <c r="H318">
        <v>399.04271700382202</v>
      </c>
      <c r="I318">
        <v>0.56731180856770302</v>
      </c>
      <c r="J318">
        <v>0.324954810285419</v>
      </c>
      <c r="K318">
        <v>0.76906420897759797</v>
      </c>
      <c r="L318" t="s">
        <v>74</v>
      </c>
      <c r="M318" t="s">
        <v>34</v>
      </c>
      <c r="N318" t="s">
        <v>35</v>
      </c>
      <c r="O318">
        <v>0.71007109654654399</v>
      </c>
      <c r="P318" t="s">
        <v>36</v>
      </c>
    </row>
    <row r="319" spans="1:16">
      <c r="A319">
        <v>318</v>
      </c>
      <c r="B319" t="s">
        <v>370</v>
      </c>
      <c r="C319">
        <v>70</v>
      </c>
      <c r="D319">
        <v>75</v>
      </c>
      <c r="E319">
        <v>72.471464191311497</v>
      </c>
      <c r="F319">
        <v>0.93333333333333302</v>
      </c>
      <c r="G319">
        <v>4125</v>
      </c>
      <c r="H319">
        <v>253.13708305358901</v>
      </c>
      <c r="I319">
        <v>0.60572347404288096</v>
      </c>
      <c r="J319">
        <v>0.80895110808846504</v>
      </c>
      <c r="K319">
        <v>0.94827586206896597</v>
      </c>
      <c r="L319" t="s">
        <v>74</v>
      </c>
      <c r="M319" t="s">
        <v>34</v>
      </c>
      <c r="N319" t="s">
        <v>35</v>
      </c>
      <c r="O319">
        <v>0.73505250804085798</v>
      </c>
      <c r="P319" t="s">
        <v>36</v>
      </c>
    </row>
    <row r="320" spans="1:16">
      <c r="A320">
        <v>319</v>
      </c>
      <c r="B320" t="s">
        <v>371</v>
      </c>
      <c r="C320">
        <v>98</v>
      </c>
      <c r="D320">
        <v>73</v>
      </c>
      <c r="E320">
        <v>72.518067346382495</v>
      </c>
      <c r="F320">
        <v>1.3533835397324001</v>
      </c>
      <c r="G320">
        <v>4130.3069115311901</v>
      </c>
      <c r="H320">
        <v>659.60734208075905</v>
      </c>
      <c r="I320">
        <v>0.57282066708572799</v>
      </c>
      <c r="J320">
        <v>0.119294721007358</v>
      </c>
      <c r="K320">
        <v>0.71847044831687301</v>
      </c>
      <c r="L320" t="s">
        <v>43</v>
      </c>
      <c r="M320" t="s">
        <v>34</v>
      </c>
      <c r="N320" t="s">
        <v>35</v>
      </c>
      <c r="O320">
        <v>0.74904858499692195</v>
      </c>
      <c r="P320" t="s">
        <v>36</v>
      </c>
    </row>
    <row r="321" spans="1:16">
      <c r="A321">
        <v>320</v>
      </c>
      <c r="B321" t="s">
        <v>372</v>
      </c>
      <c r="C321">
        <v>118</v>
      </c>
      <c r="D321">
        <v>73</v>
      </c>
      <c r="E321">
        <v>72.519372132718104</v>
      </c>
      <c r="F321">
        <v>1.6005844922732899</v>
      </c>
      <c r="G321">
        <v>4130.45554253308</v>
      </c>
      <c r="H321">
        <v>474.42992035948703</v>
      </c>
      <c r="I321">
        <v>0.71448239080164699</v>
      </c>
      <c r="J321">
        <v>0.23060232161395799</v>
      </c>
      <c r="K321">
        <v>0.68308630140353499</v>
      </c>
      <c r="L321" t="s">
        <v>43</v>
      </c>
      <c r="M321" t="s">
        <v>34</v>
      </c>
      <c r="N321" t="s">
        <v>35</v>
      </c>
      <c r="O321">
        <v>0.74016173328375101</v>
      </c>
      <c r="P321" t="s">
        <v>36</v>
      </c>
    </row>
    <row r="322" spans="1:16">
      <c r="A322">
        <v>321</v>
      </c>
      <c r="B322" t="s">
        <v>373</v>
      </c>
      <c r="C322">
        <v>69</v>
      </c>
      <c r="D322">
        <v>113</v>
      </c>
      <c r="E322">
        <v>72.635404245317602</v>
      </c>
      <c r="F322">
        <v>0.60986107916840804</v>
      </c>
      <c r="G322">
        <v>4143.6837017013204</v>
      </c>
      <c r="H322">
        <v>347.00793316250298</v>
      </c>
      <c r="I322">
        <v>0.61182219181645803</v>
      </c>
      <c r="J322">
        <v>0.43243183046090999</v>
      </c>
      <c r="K322">
        <v>0.85523651757776598</v>
      </c>
      <c r="L322" t="s">
        <v>43</v>
      </c>
      <c r="M322" t="s">
        <v>34</v>
      </c>
      <c r="N322" t="s">
        <v>35</v>
      </c>
      <c r="O322">
        <v>0.75198877274631104</v>
      </c>
      <c r="P322" t="s">
        <v>36</v>
      </c>
    </row>
    <row r="323" spans="1:16">
      <c r="A323">
        <v>322</v>
      </c>
      <c r="B323" t="s">
        <v>374</v>
      </c>
      <c r="C323">
        <v>78</v>
      </c>
      <c r="D323">
        <v>90</v>
      </c>
      <c r="E323">
        <v>72.888986200734706</v>
      </c>
      <c r="F323">
        <v>0.86462617999925495</v>
      </c>
      <c r="G323">
        <v>4172.6667470699404</v>
      </c>
      <c r="H323">
        <v>411.74597021932198</v>
      </c>
      <c r="I323">
        <v>0.74615757879179401</v>
      </c>
      <c r="J323">
        <v>0.30928926755222502</v>
      </c>
      <c r="K323">
        <v>0.77187869456435099</v>
      </c>
      <c r="L323" t="s">
        <v>47</v>
      </c>
      <c r="M323" t="s">
        <v>34</v>
      </c>
      <c r="N323" t="s">
        <v>35</v>
      </c>
      <c r="O323">
        <v>0.90559686089847602</v>
      </c>
      <c r="P323" t="s">
        <v>36</v>
      </c>
    </row>
    <row r="324" spans="1:16">
      <c r="A324">
        <v>323</v>
      </c>
      <c r="B324" t="s">
        <v>375</v>
      </c>
      <c r="C324">
        <v>64</v>
      </c>
      <c r="D324">
        <v>145</v>
      </c>
      <c r="E324">
        <v>72.905860304026504</v>
      </c>
      <c r="F324">
        <v>0.44013645003791801</v>
      </c>
      <c r="G324">
        <v>4174.5989500945198</v>
      </c>
      <c r="H324">
        <v>625.38429069011102</v>
      </c>
      <c r="I324">
        <v>0.79814777177663099</v>
      </c>
      <c r="J324">
        <v>0.13413147115580401</v>
      </c>
      <c r="K324">
        <v>0.59510138356251496</v>
      </c>
      <c r="L324" t="s">
        <v>33</v>
      </c>
      <c r="M324" t="s">
        <v>34</v>
      </c>
      <c r="N324" t="s">
        <v>35</v>
      </c>
      <c r="O324">
        <v>0.70826720286369205</v>
      </c>
      <c r="P324" t="s">
        <v>36</v>
      </c>
    </row>
    <row r="325" spans="1:16">
      <c r="A325">
        <v>324</v>
      </c>
      <c r="B325" t="s">
        <v>376</v>
      </c>
      <c r="C325">
        <v>166</v>
      </c>
      <c r="D325">
        <v>49</v>
      </c>
      <c r="E325">
        <v>72.909362219603196</v>
      </c>
      <c r="F325">
        <v>3.39024380291906</v>
      </c>
      <c r="G325">
        <v>4175</v>
      </c>
      <c r="H325">
        <v>407.98989534378097</v>
      </c>
      <c r="I325">
        <v>0.53716625583428101</v>
      </c>
      <c r="J325">
        <v>0.31518644344064201</v>
      </c>
      <c r="K325">
        <v>0.681632653061224</v>
      </c>
      <c r="L325" t="s">
        <v>33</v>
      </c>
      <c r="M325" t="s">
        <v>34</v>
      </c>
      <c r="N325" t="s">
        <v>35</v>
      </c>
      <c r="O325">
        <v>0.89359246786167701</v>
      </c>
      <c r="P325" t="s">
        <v>36</v>
      </c>
    </row>
    <row r="326" spans="1:16">
      <c r="A326">
        <v>325</v>
      </c>
      <c r="B326" t="s">
        <v>377</v>
      </c>
      <c r="C326">
        <v>112</v>
      </c>
      <c r="D326">
        <v>73</v>
      </c>
      <c r="E326">
        <v>72.951271182149696</v>
      </c>
      <c r="F326">
        <v>1.53731343283582</v>
      </c>
      <c r="G326">
        <v>4179.8010351606799</v>
      </c>
      <c r="H326">
        <v>958.067091548961</v>
      </c>
      <c r="I326">
        <v>0.51401216536805105</v>
      </c>
      <c r="J326">
        <v>5.7223395911500601E-2</v>
      </c>
      <c r="K326">
        <v>0.53891113964317905</v>
      </c>
      <c r="L326" t="s">
        <v>33</v>
      </c>
      <c r="M326" t="s">
        <v>34</v>
      </c>
      <c r="N326" t="s">
        <v>35</v>
      </c>
      <c r="O326">
        <v>0.79657537115700505</v>
      </c>
      <c r="P326" t="s">
        <v>36</v>
      </c>
    </row>
    <row r="327" spans="1:16">
      <c r="A327">
        <v>326</v>
      </c>
      <c r="B327" t="s">
        <v>378</v>
      </c>
      <c r="C327">
        <v>73</v>
      </c>
      <c r="D327">
        <v>97</v>
      </c>
      <c r="E327">
        <v>72.990172305365604</v>
      </c>
      <c r="F327">
        <v>0.75685151287153196</v>
      </c>
      <c r="G327">
        <v>4184.2599652173903</v>
      </c>
      <c r="H327">
        <v>451.15661175727797</v>
      </c>
      <c r="I327">
        <v>0.79260285589110702</v>
      </c>
      <c r="J327">
        <v>0.25832942088133798</v>
      </c>
      <c r="K327">
        <v>0.77607167470709904</v>
      </c>
      <c r="L327" t="s">
        <v>33</v>
      </c>
      <c r="M327" t="s">
        <v>34</v>
      </c>
      <c r="N327" t="s">
        <v>35</v>
      </c>
      <c r="O327">
        <v>0.79380191701684</v>
      </c>
      <c r="P327" t="s">
        <v>36</v>
      </c>
    </row>
    <row r="328" spans="1:16">
      <c r="A328">
        <v>327</v>
      </c>
      <c r="B328" t="s">
        <v>379</v>
      </c>
      <c r="C328">
        <v>126</v>
      </c>
      <c r="D328">
        <v>91</v>
      </c>
      <c r="E328">
        <v>73.109340012966598</v>
      </c>
      <c r="F328">
        <v>1.389274033085</v>
      </c>
      <c r="G328">
        <v>4197.9340173913097</v>
      </c>
      <c r="H328">
        <v>771.33815995713996</v>
      </c>
      <c r="I328">
        <v>0.66354442603674202</v>
      </c>
      <c r="J328">
        <v>8.8665738803168095E-2</v>
      </c>
      <c r="K328">
        <v>0.49597864643697498</v>
      </c>
      <c r="L328" t="s">
        <v>33</v>
      </c>
      <c r="M328" t="s">
        <v>34</v>
      </c>
      <c r="N328" t="s">
        <v>35</v>
      </c>
      <c r="O328">
        <v>0.79071828984848502</v>
      </c>
      <c r="P328" t="s">
        <v>36</v>
      </c>
    </row>
    <row r="329" spans="1:16">
      <c r="A329">
        <v>328</v>
      </c>
      <c r="B329" t="s">
        <v>380</v>
      </c>
      <c r="C329">
        <v>115</v>
      </c>
      <c r="D329">
        <v>77</v>
      </c>
      <c r="E329">
        <v>73.424456805696394</v>
      </c>
      <c r="F329">
        <v>1.49952380175679</v>
      </c>
      <c r="G329">
        <v>4234.1999818525501</v>
      </c>
      <c r="H329">
        <v>732.23749714727001</v>
      </c>
      <c r="I329">
        <v>0.59047892607858099</v>
      </c>
      <c r="J329">
        <v>9.9237839379118203E-2</v>
      </c>
      <c r="K329">
        <v>0.604442935647451</v>
      </c>
      <c r="L329" t="s">
        <v>43</v>
      </c>
      <c r="M329" t="s">
        <v>34</v>
      </c>
      <c r="N329" t="s">
        <v>35</v>
      </c>
      <c r="O329">
        <v>0.822481325907086</v>
      </c>
      <c r="P329" t="s">
        <v>36</v>
      </c>
    </row>
    <row r="330" spans="1:16">
      <c r="A330">
        <v>329</v>
      </c>
      <c r="B330" t="s">
        <v>381</v>
      </c>
      <c r="C330">
        <v>120</v>
      </c>
      <c r="D330">
        <v>64</v>
      </c>
      <c r="E330">
        <v>73.453063726540705</v>
      </c>
      <c r="F330">
        <v>1.88235287053436</v>
      </c>
      <c r="G330">
        <v>4237.5</v>
      </c>
      <c r="H330">
        <v>443.34523379802698</v>
      </c>
      <c r="I330">
        <v>0.70842934673275904</v>
      </c>
      <c r="J330">
        <v>0.270916519407921</v>
      </c>
      <c r="K330">
        <v>0.69325153374233095</v>
      </c>
      <c r="L330" t="s">
        <v>33</v>
      </c>
      <c r="M330" t="s">
        <v>34</v>
      </c>
      <c r="N330" t="s">
        <v>35</v>
      </c>
      <c r="O330">
        <v>0.72381068769850199</v>
      </c>
      <c r="P330" t="s">
        <v>36</v>
      </c>
    </row>
    <row r="331" spans="1:16">
      <c r="A331">
        <v>330</v>
      </c>
      <c r="B331" t="s">
        <v>382</v>
      </c>
      <c r="C331">
        <v>78</v>
      </c>
      <c r="D331">
        <v>87</v>
      </c>
      <c r="E331">
        <v>73.494013172144307</v>
      </c>
      <c r="F331">
        <v>0.89375000000000004</v>
      </c>
      <c r="G331">
        <v>4242.2260559546303</v>
      </c>
      <c r="H331">
        <v>398.738247510039</v>
      </c>
      <c r="I331">
        <v>0.69454775226591103</v>
      </c>
      <c r="J331">
        <v>0.33529561948821202</v>
      </c>
      <c r="K331">
        <v>0.80345681792590895</v>
      </c>
      <c r="L331" t="s">
        <v>288</v>
      </c>
      <c r="M331" t="s">
        <v>34</v>
      </c>
      <c r="N331" t="s">
        <v>35</v>
      </c>
      <c r="O331">
        <v>0.73084388186435201</v>
      </c>
      <c r="P331" t="s">
        <v>36</v>
      </c>
    </row>
    <row r="332" spans="1:16">
      <c r="A332">
        <v>331</v>
      </c>
      <c r="B332" t="s">
        <v>383</v>
      </c>
      <c r="C332">
        <v>112</v>
      </c>
      <c r="D332">
        <v>74</v>
      </c>
      <c r="E332">
        <v>73.517184003419004</v>
      </c>
      <c r="F332">
        <v>1.5094340471163801</v>
      </c>
      <c r="G332">
        <v>4244.9014139886604</v>
      </c>
      <c r="H332">
        <v>579.34414353598697</v>
      </c>
      <c r="I332">
        <v>0.67157293903355297</v>
      </c>
      <c r="J332">
        <v>0.15892939499667</v>
      </c>
      <c r="K332">
        <v>0.68338437978560496</v>
      </c>
      <c r="L332" t="s">
        <v>38</v>
      </c>
      <c r="M332" t="s">
        <v>34</v>
      </c>
      <c r="N332" t="s">
        <v>35</v>
      </c>
      <c r="O332">
        <v>0.82761061216332499</v>
      </c>
      <c r="P332" t="s">
        <v>36</v>
      </c>
    </row>
    <row r="333" spans="1:16">
      <c r="A333">
        <v>332</v>
      </c>
      <c r="B333" t="s">
        <v>384</v>
      </c>
      <c r="C333">
        <v>73</v>
      </c>
      <c r="D333">
        <v>88</v>
      </c>
      <c r="E333">
        <v>73.582795068689606</v>
      </c>
      <c r="F333">
        <v>0.82941172797385998</v>
      </c>
      <c r="G333">
        <v>4252.4815950850698</v>
      </c>
      <c r="H333">
        <v>384.53989785495003</v>
      </c>
      <c r="I333">
        <v>0.61996081901766997</v>
      </c>
      <c r="J333">
        <v>0.36138447668613299</v>
      </c>
      <c r="K333">
        <v>0.80539916676050005</v>
      </c>
      <c r="L333" t="s">
        <v>43</v>
      </c>
      <c r="M333" t="s">
        <v>34</v>
      </c>
      <c r="N333" t="s">
        <v>35</v>
      </c>
      <c r="O333">
        <v>0.88039731025186296</v>
      </c>
      <c r="P333" t="s">
        <v>36</v>
      </c>
    </row>
    <row r="334" spans="1:16">
      <c r="A334">
        <v>333</v>
      </c>
      <c r="B334" t="s">
        <v>385</v>
      </c>
      <c r="C334">
        <v>98</v>
      </c>
      <c r="D334">
        <v>98</v>
      </c>
      <c r="E334">
        <v>73.587938560592207</v>
      </c>
      <c r="F334">
        <v>1</v>
      </c>
      <c r="G334">
        <v>4253.0761190926296</v>
      </c>
      <c r="H334">
        <v>796.09877899055903</v>
      </c>
      <c r="I334">
        <v>0.58137376414628095</v>
      </c>
      <c r="J334">
        <v>8.4329418166348105E-2</v>
      </c>
      <c r="K334">
        <v>0.55397452278623105</v>
      </c>
      <c r="L334" t="s">
        <v>47</v>
      </c>
      <c r="M334" t="s">
        <v>34</v>
      </c>
      <c r="N334" t="s">
        <v>35</v>
      </c>
      <c r="O334">
        <v>0.93160347935773802</v>
      </c>
      <c r="P334" t="s">
        <v>36</v>
      </c>
    </row>
    <row r="335" spans="1:16">
      <c r="A335">
        <v>334</v>
      </c>
      <c r="B335" t="s">
        <v>386</v>
      </c>
      <c r="C335">
        <v>98</v>
      </c>
      <c r="D335">
        <v>58</v>
      </c>
      <c r="E335">
        <v>73.744642731777503</v>
      </c>
      <c r="F335">
        <v>1.6728971962616801</v>
      </c>
      <c r="G335">
        <v>4271.2091013232503</v>
      </c>
      <c r="H335">
        <v>468.12919794839399</v>
      </c>
      <c r="I335">
        <v>0.72379020142125505</v>
      </c>
      <c r="J335">
        <v>0.24492281261899301</v>
      </c>
      <c r="K335">
        <v>0.83319802841403301</v>
      </c>
      <c r="L335" t="s">
        <v>298</v>
      </c>
      <c r="M335" t="s">
        <v>34</v>
      </c>
      <c r="N335" t="s">
        <v>35</v>
      </c>
      <c r="O335">
        <v>0.63094169264292699</v>
      </c>
      <c r="P335" t="s">
        <v>36</v>
      </c>
    </row>
    <row r="336" spans="1:16">
      <c r="A336">
        <v>335</v>
      </c>
      <c r="B336" t="s">
        <v>387</v>
      </c>
      <c r="C336">
        <v>67</v>
      </c>
      <c r="D336">
        <v>121</v>
      </c>
      <c r="E336">
        <v>73.822870078706003</v>
      </c>
      <c r="F336">
        <v>0.55418429614811404</v>
      </c>
      <c r="G336">
        <v>4280.2755924385601</v>
      </c>
      <c r="H336">
        <v>573.54989117518699</v>
      </c>
      <c r="I336">
        <v>0.78639326591644498</v>
      </c>
      <c r="J336">
        <v>0.16350807037885601</v>
      </c>
      <c r="K336">
        <v>0.65769880783812196</v>
      </c>
      <c r="L336" t="s">
        <v>47</v>
      </c>
      <c r="M336" t="s">
        <v>34</v>
      </c>
      <c r="N336" t="s">
        <v>35</v>
      </c>
      <c r="O336">
        <v>0.85283174934794703</v>
      </c>
      <c r="P336" t="s">
        <v>36</v>
      </c>
    </row>
    <row r="337" spans="1:16">
      <c r="A337">
        <v>336</v>
      </c>
      <c r="B337" t="s">
        <v>388</v>
      </c>
      <c r="C337">
        <v>118</v>
      </c>
      <c r="D337">
        <v>79</v>
      </c>
      <c r="E337">
        <v>74.002095567238896</v>
      </c>
      <c r="F337">
        <v>1.5</v>
      </c>
      <c r="G337">
        <v>4301.0839327032099</v>
      </c>
      <c r="H337">
        <v>861.81214719399202</v>
      </c>
      <c r="I337">
        <v>0.69021600422463902</v>
      </c>
      <c r="J337">
        <v>7.2771706507838804E-2</v>
      </c>
      <c r="K337">
        <v>0.516805372004143</v>
      </c>
      <c r="L337" t="s">
        <v>33</v>
      </c>
      <c r="M337" t="s">
        <v>34</v>
      </c>
      <c r="N337" t="s">
        <v>35</v>
      </c>
      <c r="O337">
        <v>0.72818020654827198</v>
      </c>
      <c r="P337" t="s">
        <v>36</v>
      </c>
    </row>
    <row r="338" spans="1:16">
      <c r="A338">
        <v>337</v>
      </c>
      <c r="B338" t="s">
        <v>389</v>
      </c>
      <c r="C338">
        <v>78</v>
      </c>
      <c r="D338">
        <v>112</v>
      </c>
      <c r="E338">
        <v>74.007209917814706</v>
      </c>
      <c r="F338">
        <v>0.69417475728155298</v>
      </c>
      <c r="G338">
        <v>4301.6784567107798</v>
      </c>
      <c r="H338">
        <v>803.22535241852597</v>
      </c>
      <c r="I338">
        <v>0.64117965909487296</v>
      </c>
      <c r="J338">
        <v>8.3786296245847394E-2</v>
      </c>
      <c r="K338">
        <v>0.60729798350714503</v>
      </c>
      <c r="L338" t="s">
        <v>41</v>
      </c>
      <c r="M338" t="s">
        <v>34</v>
      </c>
      <c r="N338" t="s">
        <v>35</v>
      </c>
      <c r="O338">
        <v>0.69335878642562299</v>
      </c>
      <c r="P338" t="s">
        <v>36</v>
      </c>
    </row>
    <row r="339" spans="1:16">
      <c r="A339">
        <v>338</v>
      </c>
      <c r="B339" t="s">
        <v>390</v>
      </c>
      <c r="C339">
        <v>77</v>
      </c>
      <c r="D339">
        <v>91</v>
      </c>
      <c r="E339">
        <v>74.080051048597198</v>
      </c>
      <c r="F339">
        <v>0.84726328657598804</v>
      </c>
      <c r="G339">
        <v>4310.1504238185298</v>
      </c>
      <c r="H339">
        <v>423.68595562717201</v>
      </c>
      <c r="I339">
        <v>0.74681118724554296</v>
      </c>
      <c r="J339">
        <v>0.301726986212631</v>
      </c>
      <c r="K339">
        <v>0.75423949230128995</v>
      </c>
      <c r="L339" t="s">
        <v>33</v>
      </c>
      <c r="M339" t="s">
        <v>34</v>
      </c>
      <c r="N339" t="s">
        <v>35</v>
      </c>
      <c r="O339">
        <v>0.77749642912913997</v>
      </c>
      <c r="P339" t="s">
        <v>36</v>
      </c>
    </row>
    <row r="340" spans="1:16">
      <c r="A340">
        <v>339</v>
      </c>
      <c r="B340" t="s">
        <v>391</v>
      </c>
      <c r="C340">
        <v>123</v>
      </c>
      <c r="D340">
        <v>73</v>
      </c>
      <c r="E340">
        <v>74.174510013090895</v>
      </c>
      <c r="F340">
        <v>1.6791044776119399</v>
      </c>
      <c r="G340">
        <v>4321.14911795841</v>
      </c>
      <c r="H340">
        <v>746.235462475963</v>
      </c>
      <c r="I340">
        <v>0.62929978992189695</v>
      </c>
      <c r="J340">
        <v>9.75118397387887E-2</v>
      </c>
      <c r="K340">
        <v>0.570853541204422</v>
      </c>
      <c r="L340" t="s">
        <v>33</v>
      </c>
      <c r="M340" t="s">
        <v>34</v>
      </c>
      <c r="N340" t="s">
        <v>35</v>
      </c>
      <c r="O340">
        <v>0.79596644680300699</v>
      </c>
      <c r="P340" t="s">
        <v>36</v>
      </c>
    </row>
    <row r="341" spans="1:16">
      <c r="A341">
        <v>340</v>
      </c>
      <c r="B341" t="s">
        <v>392</v>
      </c>
      <c r="C341">
        <v>128</v>
      </c>
      <c r="D341">
        <v>73</v>
      </c>
      <c r="E341">
        <v>74.177061288652297</v>
      </c>
      <c r="F341">
        <v>1.7462686567164201</v>
      </c>
      <c r="G341">
        <v>4321.4463799621899</v>
      </c>
      <c r="H341">
        <v>799.55717242209801</v>
      </c>
      <c r="I341">
        <v>0.63833139815439299</v>
      </c>
      <c r="J341">
        <v>8.4945415655432496E-2</v>
      </c>
      <c r="K341">
        <v>0.52786855482933903</v>
      </c>
      <c r="L341" t="s">
        <v>33</v>
      </c>
      <c r="M341" t="s">
        <v>34</v>
      </c>
      <c r="N341" t="s">
        <v>35</v>
      </c>
      <c r="O341">
        <v>0.84539791106056805</v>
      </c>
      <c r="P341" t="s">
        <v>36</v>
      </c>
    </row>
    <row r="342" spans="1:16">
      <c r="A342">
        <v>341</v>
      </c>
      <c r="B342" t="s">
        <v>393</v>
      </c>
      <c r="C342">
        <v>64</v>
      </c>
      <c r="D342">
        <v>106</v>
      </c>
      <c r="E342">
        <v>74.314712710800194</v>
      </c>
      <c r="F342">
        <v>0.60483876464919795</v>
      </c>
      <c r="G342">
        <v>4337.5</v>
      </c>
      <c r="H342">
        <v>326.776692271233</v>
      </c>
      <c r="I342">
        <v>0.80687789051333503</v>
      </c>
      <c r="J342">
        <v>0.51044294658206901</v>
      </c>
      <c r="K342">
        <v>0.78153153153153199</v>
      </c>
      <c r="L342" t="s">
        <v>33</v>
      </c>
      <c r="M342" t="s">
        <v>34</v>
      </c>
      <c r="N342" t="s">
        <v>35</v>
      </c>
      <c r="O342">
        <v>0.82809785900783595</v>
      </c>
      <c r="P342" t="s">
        <v>36</v>
      </c>
    </row>
    <row r="343" spans="1:16">
      <c r="A343">
        <v>342</v>
      </c>
      <c r="B343" t="s">
        <v>394</v>
      </c>
      <c r="C343">
        <v>83</v>
      </c>
      <c r="D343">
        <v>87</v>
      </c>
      <c r="E343">
        <v>74.3350693629787</v>
      </c>
      <c r="F343">
        <v>0.94999999046325501</v>
      </c>
      <c r="G343">
        <v>4339.8766241965996</v>
      </c>
      <c r="H343">
        <v>507.46234480432798</v>
      </c>
      <c r="I343">
        <v>0.64715288213448896</v>
      </c>
      <c r="J343">
        <v>0.21177739587774</v>
      </c>
      <c r="K343">
        <v>0.78034635736811198</v>
      </c>
      <c r="L343" t="s">
        <v>47</v>
      </c>
      <c r="M343" t="s">
        <v>34</v>
      </c>
      <c r="N343" t="s">
        <v>35</v>
      </c>
      <c r="O343">
        <v>0.94240117280097901</v>
      </c>
      <c r="P343" t="s">
        <v>36</v>
      </c>
    </row>
    <row r="344" spans="1:16">
      <c r="A344">
        <v>343</v>
      </c>
      <c r="B344" t="s">
        <v>395</v>
      </c>
      <c r="C344">
        <v>93</v>
      </c>
      <c r="D344">
        <v>83</v>
      </c>
      <c r="E344">
        <v>74.702032946848206</v>
      </c>
      <c r="F344">
        <v>1.1184210526315801</v>
      </c>
      <c r="G344">
        <v>4382.8309837429097</v>
      </c>
      <c r="H344">
        <v>828.22785773650503</v>
      </c>
      <c r="I344">
        <v>0.54146979066893197</v>
      </c>
      <c r="J344">
        <v>8.0290639881340206E-2</v>
      </c>
      <c r="K344">
        <v>0.59710438392224396</v>
      </c>
      <c r="L344" t="s">
        <v>33</v>
      </c>
      <c r="M344" t="s">
        <v>34</v>
      </c>
      <c r="N344" t="s">
        <v>35</v>
      </c>
      <c r="O344">
        <v>0.72020683198563495</v>
      </c>
      <c r="P344" t="s">
        <v>36</v>
      </c>
    </row>
    <row r="345" spans="1:16">
      <c r="A345">
        <v>344</v>
      </c>
      <c r="B345" t="s">
        <v>396</v>
      </c>
      <c r="C345">
        <v>78</v>
      </c>
      <c r="D345">
        <v>78</v>
      </c>
      <c r="E345">
        <v>75.0520752621469</v>
      </c>
      <c r="F345">
        <v>1</v>
      </c>
      <c r="G345">
        <v>4424.0017712665403</v>
      </c>
      <c r="H345">
        <v>587.81244026961497</v>
      </c>
      <c r="I345">
        <v>0.62028817466773301</v>
      </c>
      <c r="J345">
        <v>0.16089687531542701</v>
      </c>
      <c r="K345">
        <v>0.72778619981417203</v>
      </c>
      <c r="L345" t="s">
        <v>47</v>
      </c>
      <c r="M345" t="s">
        <v>34</v>
      </c>
      <c r="N345" t="s">
        <v>35</v>
      </c>
      <c r="O345">
        <v>0.94385709348597502</v>
      </c>
      <c r="P345" t="s">
        <v>36</v>
      </c>
    </row>
    <row r="346" spans="1:16">
      <c r="A346">
        <v>345</v>
      </c>
      <c r="B346" t="s">
        <v>397</v>
      </c>
      <c r="C346">
        <v>98</v>
      </c>
      <c r="D346">
        <v>88</v>
      </c>
      <c r="E346">
        <v>75.107527501568697</v>
      </c>
      <c r="F346">
        <v>1.1118012634279699</v>
      </c>
      <c r="G346">
        <v>4430.5415353497201</v>
      </c>
      <c r="H346">
        <v>681.37064277058096</v>
      </c>
      <c r="I346">
        <v>0.59047952640067403</v>
      </c>
      <c r="J346">
        <v>0.119922270018262</v>
      </c>
      <c r="K346">
        <v>0.66800376479024703</v>
      </c>
      <c r="L346" t="s">
        <v>33</v>
      </c>
      <c r="M346" t="s">
        <v>34</v>
      </c>
      <c r="N346" t="s">
        <v>35</v>
      </c>
      <c r="O346">
        <v>0.807956899450335</v>
      </c>
      <c r="P346" t="s">
        <v>36</v>
      </c>
    </row>
    <row r="347" spans="1:16">
      <c r="A347">
        <v>346</v>
      </c>
      <c r="B347" t="s">
        <v>398</v>
      </c>
      <c r="C347">
        <v>52</v>
      </c>
      <c r="D347">
        <v>194</v>
      </c>
      <c r="E347">
        <v>75.369113064891707</v>
      </c>
      <c r="F347">
        <v>0.26699159410437101</v>
      </c>
      <c r="G347">
        <v>4461.4567837429104</v>
      </c>
      <c r="H347">
        <v>601.50431987441095</v>
      </c>
      <c r="I347">
        <v>0.95390375210238998</v>
      </c>
      <c r="J347">
        <v>0.15495623408541501</v>
      </c>
      <c r="K347">
        <v>0.613480757832778</v>
      </c>
      <c r="L347" t="s">
        <v>49</v>
      </c>
      <c r="M347" t="s">
        <v>34</v>
      </c>
      <c r="N347" t="s">
        <v>35</v>
      </c>
      <c r="O347">
        <v>0.79986559144390901</v>
      </c>
      <c r="P347" t="s">
        <v>36</v>
      </c>
    </row>
    <row r="348" spans="1:16">
      <c r="A348">
        <v>347</v>
      </c>
      <c r="B348" t="s">
        <v>399</v>
      </c>
      <c r="C348">
        <v>97</v>
      </c>
      <c r="D348">
        <v>77</v>
      </c>
      <c r="E348">
        <v>75.547175272223399</v>
      </c>
      <c r="F348">
        <v>1.2624113475177301</v>
      </c>
      <c r="G348">
        <v>4482.5623860113401</v>
      </c>
      <c r="H348">
        <v>593.12292006129803</v>
      </c>
      <c r="I348">
        <v>0.64705078124045401</v>
      </c>
      <c r="J348">
        <v>0.160120446682221</v>
      </c>
      <c r="K348">
        <v>0.69590197978679202</v>
      </c>
      <c r="L348" t="s">
        <v>47</v>
      </c>
      <c r="M348" t="s">
        <v>34</v>
      </c>
      <c r="N348" t="s">
        <v>35</v>
      </c>
      <c r="O348">
        <v>0.86156753818004805</v>
      </c>
      <c r="P348" t="s">
        <v>36</v>
      </c>
    </row>
    <row r="349" spans="1:16">
      <c r="A349">
        <v>348</v>
      </c>
      <c r="B349" t="s">
        <v>400</v>
      </c>
      <c r="C349">
        <v>110</v>
      </c>
      <c r="D349">
        <v>85</v>
      </c>
      <c r="E349">
        <v>75.674820543351501</v>
      </c>
      <c r="F349">
        <v>1.29411767003374</v>
      </c>
      <c r="G349">
        <v>4497.7227482041599</v>
      </c>
      <c r="H349">
        <v>653.47101127220196</v>
      </c>
      <c r="I349">
        <v>0.68722533700367305</v>
      </c>
      <c r="J349">
        <v>0.132357907249121</v>
      </c>
      <c r="K349">
        <v>0.60888549065373598</v>
      </c>
      <c r="L349" t="s">
        <v>43</v>
      </c>
      <c r="M349" t="s">
        <v>34</v>
      </c>
      <c r="N349" t="s">
        <v>35</v>
      </c>
      <c r="O349">
        <v>0.82996196647824105</v>
      </c>
      <c r="P349" t="s">
        <v>36</v>
      </c>
    </row>
    <row r="350" spans="1:16">
      <c r="A350">
        <v>349</v>
      </c>
      <c r="B350" t="s">
        <v>401</v>
      </c>
      <c r="C350">
        <v>97</v>
      </c>
      <c r="D350">
        <v>92</v>
      </c>
      <c r="E350">
        <v>75.797257638044698</v>
      </c>
      <c r="F350">
        <v>1.05467970744949</v>
      </c>
      <c r="G350">
        <v>4512.2885863894098</v>
      </c>
      <c r="H350">
        <v>755.26891946492003</v>
      </c>
      <c r="I350">
        <v>0.65602943777849998</v>
      </c>
      <c r="J350">
        <v>9.9403918630677296E-2</v>
      </c>
      <c r="K350">
        <v>0.66506747283561196</v>
      </c>
      <c r="L350" t="s">
        <v>33</v>
      </c>
      <c r="M350" t="s">
        <v>34</v>
      </c>
      <c r="N350" t="s">
        <v>35</v>
      </c>
      <c r="O350">
        <v>0.75350539140996398</v>
      </c>
      <c r="P350" t="s">
        <v>36</v>
      </c>
    </row>
    <row r="351" spans="1:16">
      <c r="A351">
        <v>350</v>
      </c>
      <c r="B351" t="s">
        <v>402</v>
      </c>
      <c r="C351">
        <v>107</v>
      </c>
      <c r="D351">
        <v>83</v>
      </c>
      <c r="E351">
        <v>75.809740100728007</v>
      </c>
      <c r="F351">
        <v>1.28758169934641</v>
      </c>
      <c r="G351">
        <v>4513.7748964083203</v>
      </c>
      <c r="H351">
        <v>796.09877899055903</v>
      </c>
      <c r="I351">
        <v>0.57570355903251202</v>
      </c>
      <c r="J351">
        <v>8.9498518269922306E-2</v>
      </c>
      <c r="K351">
        <v>0.63536131218879499</v>
      </c>
      <c r="L351" t="s">
        <v>33</v>
      </c>
      <c r="M351" t="s">
        <v>34</v>
      </c>
      <c r="N351" t="s">
        <v>35</v>
      </c>
      <c r="O351">
        <v>0.83012326661125502</v>
      </c>
      <c r="P351" t="s">
        <v>36</v>
      </c>
    </row>
    <row r="352" spans="1:16">
      <c r="A352">
        <v>351</v>
      </c>
      <c r="B352" t="s">
        <v>403</v>
      </c>
      <c r="C352">
        <v>105</v>
      </c>
      <c r="D352">
        <v>84</v>
      </c>
      <c r="E352">
        <v>75.913265324855502</v>
      </c>
      <c r="F352">
        <v>1.24175816905235</v>
      </c>
      <c r="G352">
        <v>4526.11126956522</v>
      </c>
      <c r="H352">
        <v>713.46762179685697</v>
      </c>
      <c r="I352">
        <v>0.60078611047586605</v>
      </c>
      <c r="J352">
        <v>0.11173431027331999</v>
      </c>
      <c r="K352">
        <v>0.63813914501257296</v>
      </c>
      <c r="L352" t="s">
        <v>33</v>
      </c>
      <c r="M352" t="s">
        <v>34</v>
      </c>
      <c r="N352" t="s">
        <v>35</v>
      </c>
      <c r="O352">
        <v>0.81215024605281005</v>
      </c>
      <c r="P352" t="s">
        <v>36</v>
      </c>
    </row>
    <row r="353" spans="1:16">
      <c r="A353">
        <v>352</v>
      </c>
      <c r="B353" t="s">
        <v>404</v>
      </c>
      <c r="C353">
        <v>73</v>
      </c>
      <c r="D353">
        <v>107</v>
      </c>
      <c r="E353">
        <v>76.025362284622801</v>
      </c>
      <c r="F353">
        <v>0.68020304568527901</v>
      </c>
      <c r="G353">
        <v>4539.4880597353504</v>
      </c>
      <c r="H353">
        <v>803.038263334813</v>
      </c>
      <c r="I353">
        <v>0.67352181818534396</v>
      </c>
      <c r="J353">
        <v>8.8459455922623595E-2</v>
      </c>
      <c r="K353">
        <v>0.70578176272126403</v>
      </c>
      <c r="L353" t="s">
        <v>47</v>
      </c>
      <c r="M353" t="s">
        <v>34</v>
      </c>
      <c r="N353" t="s">
        <v>35</v>
      </c>
      <c r="O353">
        <v>0.92879189396353801</v>
      </c>
      <c r="P353" t="s">
        <v>36</v>
      </c>
    </row>
    <row r="354" spans="1:16">
      <c r="A354">
        <v>353</v>
      </c>
      <c r="B354" t="s">
        <v>405</v>
      </c>
      <c r="C354">
        <v>83</v>
      </c>
      <c r="D354">
        <v>93</v>
      </c>
      <c r="E354">
        <v>76.068910935608002</v>
      </c>
      <c r="F354">
        <v>0.89411762805133199</v>
      </c>
      <c r="G354">
        <v>4544.6901448015096</v>
      </c>
      <c r="H354">
        <v>810.00984739873695</v>
      </c>
      <c r="I354">
        <v>0.55625075084088305</v>
      </c>
      <c r="J354">
        <v>8.7042938730666694E-2</v>
      </c>
      <c r="K354">
        <v>0.62449196331924095</v>
      </c>
      <c r="L354" t="s">
        <v>47</v>
      </c>
      <c r="M354" t="s">
        <v>34</v>
      </c>
      <c r="N354" t="s">
        <v>35</v>
      </c>
      <c r="O354">
        <v>0.92721758345528205</v>
      </c>
      <c r="P354" t="s">
        <v>36</v>
      </c>
    </row>
    <row r="355" spans="1:16">
      <c r="A355">
        <v>354</v>
      </c>
      <c r="B355" t="s">
        <v>406</v>
      </c>
      <c r="C355">
        <v>103</v>
      </c>
      <c r="D355">
        <v>63</v>
      </c>
      <c r="E355">
        <v>76.129837196195894</v>
      </c>
      <c r="F355">
        <v>1.62068960527744</v>
      </c>
      <c r="G355">
        <v>4551.9730638941401</v>
      </c>
      <c r="H355">
        <v>383.69134935689999</v>
      </c>
      <c r="I355">
        <v>0.75183692584315298</v>
      </c>
      <c r="J355">
        <v>0.388548764150698</v>
      </c>
      <c r="K355">
        <v>0.81693296700365403</v>
      </c>
      <c r="L355" t="s">
        <v>33</v>
      </c>
      <c r="M355" t="s">
        <v>34</v>
      </c>
      <c r="N355" t="s">
        <v>35</v>
      </c>
      <c r="O355">
        <v>0.70871520718660497</v>
      </c>
      <c r="P355" t="s">
        <v>36</v>
      </c>
    </row>
    <row r="356" spans="1:16">
      <c r="A356">
        <v>355</v>
      </c>
      <c r="B356" t="s">
        <v>407</v>
      </c>
      <c r="C356">
        <v>93</v>
      </c>
      <c r="D356">
        <v>93</v>
      </c>
      <c r="E356">
        <v>76.150963488949799</v>
      </c>
      <c r="F356">
        <v>1</v>
      </c>
      <c r="G356">
        <v>4554.4997909262802</v>
      </c>
      <c r="H356">
        <v>829.947652213781</v>
      </c>
      <c r="I356">
        <v>0.71771053936965001</v>
      </c>
      <c r="J356">
        <v>8.3090074631063701E-2</v>
      </c>
      <c r="K356">
        <v>0.63440437248975201</v>
      </c>
      <c r="L356" t="s">
        <v>47</v>
      </c>
      <c r="M356" t="s">
        <v>34</v>
      </c>
      <c r="N356" t="s">
        <v>35</v>
      </c>
      <c r="O356">
        <v>0.95072454713433796</v>
      </c>
      <c r="P356" t="s">
        <v>36</v>
      </c>
    </row>
    <row r="357" spans="1:16">
      <c r="A357">
        <v>356</v>
      </c>
      <c r="B357" t="s">
        <v>408</v>
      </c>
      <c r="C357">
        <v>98</v>
      </c>
      <c r="D357">
        <v>83</v>
      </c>
      <c r="E357">
        <v>76.318523489613696</v>
      </c>
      <c r="F357">
        <v>1.1776315789473699</v>
      </c>
      <c r="G357">
        <v>4574.5649761814702</v>
      </c>
      <c r="H357">
        <v>1023.58396843019</v>
      </c>
      <c r="I357">
        <v>0.58768519020621002</v>
      </c>
      <c r="J357">
        <v>5.4867189436638597E-2</v>
      </c>
      <c r="K357">
        <v>0.59316219549799598</v>
      </c>
      <c r="L357" t="s">
        <v>33</v>
      </c>
      <c r="M357" t="s">
        <v>34</v>
      </c>
      <c r="N357" t="s">
        <v>35</v>
      </c>
      <c r="O357">
        <v>0.72677047719836396</v>
      </c>
      <c r="P357" t="s">
        <v>36</v>
      </c>
    </row>
    <row r="358" spans="1:16">
      <c r="A358">
        <v>357</v>
      </c>
      <c r="B358" t="s">
        <v>409</v>
      </c>
      <c r="C358">
        <v>102</v>
      </c>
      <c r="D358">
        <v>118</v>
      </c>
      <c r="E358">
        <v>76.368100293263396</v>
      </c>
      <c r="F358">
        <v>0.86574074074074103</v>
      </c>
      <c r="G358">
        <v>4580.5102162570902</v>
      </c>
      <c r="H358">
        <v>909.12041597594396</v>
      </c>
      <c r="I358">
        <v>0.506024683891663</v>
      </c>
      <c r="J358">
        <v>6.9643549671578597E-2</v>
      </c>
      <c r="K358">
        <v>0.45886749750599298</v>
      </c>
      <c r="L358" t="s">
        <v>47</v>
      </c>
      <c r="M358" t="s">
        <v>34</v>
      </c>
      <c r="N358" t="s">
        <v>35</v>
      </c>
      <c r="O358">
        <v>0.90018808639543102</v>
      </c>
      <c r="P358" t="s">
        <v>36</v>
      </c>
    </row>
    <row r="359" spans="1:16">
      <c r="A359">
        <v>358</v>
      </c>
      <c r="B359" t="s">
        <v>410</v>
      </c>
      <c r="C359">
        <v>93</v>
      </c>
      <c r="D359">
        <v>73</v>
      </c>
      <c r="E359">
        <v>76.485716411458696</v>
      </c>
      <c r="F359">
        <v>1.2686567776026401</v>
      </c>
      <c r="G359">
        <v>4594.6301614366703</v>
      </c>
      <c r="H359">
        <v>400.33515234294202</v>
      </c>
      <c r="I359">
        <v>0.62646465506010396</v>
      </c>
      <c r="J359">
        <v>0.36025745046865398</v>
      </c>
      <c r="K359">
        <v>0.87189395007756298</v>
      </c>
      <c r="L359" t="s">
        <v>33</v>
      </c>
      <c r="M359" t="s">
        <v>34</v>
      </c>
      <c r="N359" t="s">
        <v>35</v>
      </c>
      <c r="O359">
        <v>0.707919417959604</v>
      </c>
      <c r="P359" t="s">
        <v>36</v>
      </c>
    </row>
    <row r="360" spans="1:16">
      <c r="A360">
        <v>359</v>
      </c>
      <c r="B360" t="s">
        <v>411</v>
      </c>
      <c r="C360">
        <v>135</v>
      </c>
      <c r="D360">
        <v>97</v>
      </c>
      <c r="E360">
        <v>76.515401350541197</v>
      </c>
      <c r="F360">
        <v>1.3979019793276</v>
      </c>
      <c r="G360">
        <v>4598.1973054820401</v>
      </c>
      <c r="H360">
        <v>922.18293588607196</v>
      </c>
      <c r="I360">
        <v>0.65794199969812195</v>
      </c>
      <c r="J360">
        <v>6.7945907434337802E-2</v>
      </c>
      <c r="K360">
        <v>0.49128183954773602</v>
      </c>
      <c r="L360" t="s">
        <v>43</v>
      </c>
      <c r="M360" t="s">
        <v>34</v>
      </c>
      <c r="N360" t="s">
        <v>35</v>
      </c>
      <c r="O360">
        <v>0.76380617212448798</v>
      </c>
      <c r="P360" t="s">
        <v>36</v>
      </c>
    </row>
    <row r="361" spans="1:16">
      <c r="A361">
        <v>360</v>
      </c>
      <c r="B361" t="s">
        <v>412</v>
      </c>
      <c r="C361">
        <v>132</v>
      </c>
      <c r="D361">
        <v>49</v>
      </c>
      <c r="E361">
        <v>76.667356265516304</v>
      </c>
      <c r="F361">
        <v>2.71910112359551</v>
      </c>
      <c r="G361">
        <v>4616.4789187145598</v>
      </c>
      <c r="H361">
        <v>502.40704653988701</v>
      </c>
      <c r="I361">
        <v>0.84928294226235801</v>
      </c>
      <c r="J361">
        <v>0.22983135458179699</v>
      </c>
      <c r="K361">
        <v>0.79354129940471596</v>
      </c>
      <c r="L361" t="s">
        <v>33</v>
      </c>
      <c r="M361" t="s">
        <v>34</v>
      </c>
      <c r="N361" t="s">
        <v>35</v>
      </c>
      <c r="O361">
        <v>0.86855128993662201</v>
      </c>
      <c r="P361" t="s">
        <v>36</v>
      </c>
    </row>
    <row r="362" spans="1:16">
      <c r="A362">
        <v>361</v>
      </c>
      <c r="B362" t="s">
        <v>413</v>
      </c>
      <c r="C362">
        <v>152</v>
      </c>
      <c r="D362">
        <v>65</v>
      </c>
      <c r="E362">
        <v>76.731506866091095</v>
      </c>
      <c r="F362">
        <v>2.35744245431952</v>
      </c>
      <c r="G362">
        <v>4624.2077308128501</v>
      </c>
      <c r="H362">
        <v>1027.0744615814001</v>
      </c>
      <c r="I362">
        <v>0.70170373773712202</v>
      </c>
      <c r="J362">
        <v>5.5086266442810498E-2</v>
      </c>
      <c r="K362">
        <v>0.57258539458186097</v>
      </c>
      <c r="L362" t="s">
        <v>43</v>
      </c>
      <c r="M362" t="s">
        <v>34</v>
      </c>
      <c r="N362" t="s">
        <v>35</v>
      </c>
      <c r="O362">
        <v>0.86688202030801298</v>
      </c>
      <c r="P362" t="s">
        <v>36</v>
      </c>
    </row>
    <row r="363" spans="1:16">
      <c r="A363">
        <v>362</v>
      </c>
      <c r="B363" t="s">
        <v>414</v>
      </c>
      <c r="C363">
        <v>112</v>
      </c>
      <c r="D363">
        <v>78</v>
      </c>
      <c r="E363">
        <v>76.844872892767398</v>
      </c>
      <c r="F363">
        <v>1.4400976744862699</v>
      </c>
      <c r="G363">
        <v>4637.8817829867703</v>
      </c>
      <c r="H363">
        <v>696.54983280658701</v>
      </c>
      <c r="I363">
        <v>0.62628750757874996</v>
      </c>
      <c r="J363">
        <v>0.120122718982153</v>
      </c>
      <c r="K363">
        <v>0.64367341887041496</v>
      </c>
      <c r="L363" t="s">
        <v>43</v>
      </c>
      <c r="M363" t="s">
        <v>34</v>
      </c>
      <c r="N363" t="s">
        <v>35</v>
      </c>
      <c r="O363">
        <v>0.72703051414937703</v>
      </c>
      <c r="P363" t="s">
        <v>36</v>
      </c>
    </row>
    <row r="364" spans="1:16">
      <c r="A364">
        <v>363</v>
      </c>
      <c r="B364" t="s">
        <v>415</v>
      </c>
      <c r="C364">
        <v>78</v>
      </c>
      <c r="D364">
        <v>120</v>
      </c>
      <c r="E364">
        <v>77.007236988723307</v>
      </c>
      <c r="F364">
        <v>0.64448874097368702</v>
      </c>
      <c r="G364">
        <v>4657.5010752362996</v>
      </c>
      <c r="H364">
        <v>623.22611860607003</v>
      </c>
      <c r="I364">
        <v>0.61691519050754895</v>
      </c>
      <c r="J364">
        <v>0.15068552526027901</v>
      </c>
      <c r="K364">
        <v>0.64486654456403203</v>
      </c>
      <c r="L364" t="s">
        <v>33</v>
      </c>
      <c r="M364" t="s">
        <v>34</v>
      </c>
      <c r="N364" t="s">
        <v>35</v>
      </c>
      <c r="O364">
        <v>0.84972267776682397</v>
      </c>
      <c r="P364" t="s">
        <v>36</v>
      </c>
    </row>
    <row r="365" spans="1:16">
      <c r="A365">
        <v>364</v>
      </c>
      <c r="B365" t="s">
        <v>416</v>
      </c>
      <c r="C365">
        <v>118</v>
      </c>
      <c r="D365">
        <v>73</v>
      </c>
      <c r="E365">
        <v>77.039177456902294</v>
      </c>
      <c r="F365">
        <v>1.6240602935699899</v>
      </c>
      <c r="G365">
        <v>4661.3654812854402</v>
      </c>
      <c r="H365">
        <v>654.506648853966</v>
      </c>
      <c r="I365">
        <v>0.64309193451652102</v>
      </c>
      <c r="J365">
        <v>0.13673978551633401</v>
      </c>
      <c r="K365">
        <v>0.70029474812433001</v>
      </c>
      <c r="L365" t="s">
        <v>43</v>
      </c>
      <c r="M365" t="s">
        <v>34</v>
      </c>
      <c r="N365" t="s">
        <v>35</v>
      </c>
      <c r="O365">
        <v>0.78828608622111596</v>
      </c>
      <c r="P365" t="s">
        <v>36</v>
      </c>
    </row>
    <row r="366" spans="1:16">
      <c r="A366">
        <v>365</v>
      </c>
      <c r="B366" t="s">
        <v>417</v>
      </c>
      <c r="C366">
        <v>70</v>
      </c>
      <c r="D366">
        <v>104</v>
      </c>
      <c r="E366">
        <v>77.0477745513804</v>
      </c>
      <c r="F366">
        <v>0.67183670604599799</v>
      </c>
      <c r="G366">
        <v>4662.4058982986799</v>
      </c>
      <c r="H366">
        <v>386.61117301847599</v>
      </c>
      <c r="I366">
        <v>0.80754375688890401</v>
      </c>
      <c r="J366">
        <v>0.39198652840079801</v>
      </c>
      <c r="K366">
        <v>0.81172208565144299</v>
      </c>
      <c r="L366" t="s">
        <v>33</v>
      </c>
      <c r="M366" t="s">
        <v>34</v>
      </c>
      <c r="N366" t="s">
        <v>35</v>
      </c>
      <c r="O366">
        <v>0.84951915368523701</v>
      </c>
      <c r="P366" t="s">
        <v>36</v>
      </c>
    </row>
    <row r="367" spans="1:16">
      <c r="A367">
        <v>366</v>
      </c>
      <c r="B367" t="s">
        <v>418</v>
      </c>
      <c r="C367">
        <v>93</v>
      </c>
      <c r="D367">
        <v>83</v>
      </c>
      <c r="E367">
        <v>77.101791480900602</v>
      </c>
      <c r="F367">
        <v>1.1111111111111101</v>
      </c>
      <c r="G367">
        <v>4668.9456623818496</v>
      </c>
      <c r="H367">
        <v>535.89114383417598</v>
      </c>
      <c r="I367">
        <v>0.58886753555778804</v>
      </c>
      <c r="J367">
        <v>0.20430336687282899</v>
      </c>
      <c r="K367">
        <v>0.75891476613838404</v>
      </c>
      <c r="L367" t="s">
        <v>33</v>
      </c>
      <c r="M367" t="s">
        <v>34</v>
      </c>
      <c r="N367" t="s">
        <v>35</v>
      </c>
      <c r="O367">
        <v>0.67336198318012797</v>
      </c>
      <c r="P367" t="s">
        <v>36</v>
      </c>
    </row>
    <row r="368" spans="1:16">
      <c r="A368">
        <v>367</v>
      </c>
      <c r="B368" t="s">
        <v>419</v>
      </c>
      <c r="C368">
        <v>96</v>
      </c>
      <c r="D368">
        <v>93</v>
      </c>
      <c r="E368">
        <v>77.202358544522994</v>
      </c>
      <c r="F368">
        <v>1.0333333692986399</v>
      </c>
      <c r="G368">
        <v>4681.1334045368603</v>
      </c>
      <c r="H368">
        <v>584.32194711840702</v>
      </c>
      <c r="I368">
        <v>0.58489063140692699</v>
      </c>
      <c r="J368">
        <v>0.17228857722998001</v>
      </c>
      <c r="K368">
        <v>0.68424254274479102</v>
      </c>
      <c r="L368" t="s">
        <v>47</v>
      </c>
      <c r="M368" t="s">
        <v>34</v>
      </c>
      <c r="N368" t="s">
        <v>35</v>
      </c>
      <c r="O368">
        <v>0.94555290570994499</v>
      </c>
      <c r="P368" t="s">
        <v>36</v>
      </c>
    </row>
    <row r="369" spans="1:16">
      <c r="A369">
        <v>368</v>
      </c>
      <c r="B369" t="s">
        <v>420</v>
      </c>
      <c r="C369">
        <v>110</v>
      </c>
      <c r="D369">
        <v>82</v>
      </c>
      <c r="E369">
        <v>77.212162952416506</v>
      </c>
      <c r="F369">
        <v>1.34598045756537</v>
      </c>
      <c r="G369">
        <v>4682.32245255199</v>
      </c>
      <c r="H369">
        <v>611.92489513138105</v>
      </c>
      <c r="I369">
        <v>0.63235358778640305</v>
      </c>
      <c r="J369">
        <v>0.15713572669129999</v>
      </c>
      <c r="K369">
        <v>0.658039854618373</v>
      </c>
      <c r="L369" t="s">
        <v>41</v>
      </c>
      <c r="M369" t="s">
        <v>34</v>
      </c>
      <c r="N369" t="s">
        <v>35</v>
      </c>
      <c r="O369">
        <v>0.74041677100127401</v>
      </c>
      <c r="P369" t="s">
        <v>36</v>
      </c>
    </row>
    <row r="370" spans="1:16">
      <c r="A370">
        <v>369</v>
      </c>
      <c r="B370" t="s">
        <v>421</v>
      </c>
      <c r="C370">
        <v>122</v>
      </c>
      <c r="D370">
        <v>83</v>
      </c>
      <c r="E370">
        <v>77.247693499526306</v>
      </c>
      <c r="F370">
        <v>1.4736842105263199</v>
      </c>
      <c r="G370">
        <v>4686.6327516068104</v>
      </c>
      <c r="H370">
        <v>912.61090912715304</v>
      </c>
      <c r="I370">
        <v>0.48174842759348802</v>
      </c>
      <c r="J370">
        <v>7.0713034646074299E-2</v>
      </c>
      <c r="K370">
        <v>0.56857441667568298</v>
      </c>
      <c r="L370" t="s">
        <v>33</v>
      </c>
      <c r="M370" t="s">
        <v>34</v>
      </c>
      <c r="N370" t="s">
        <v>35</v>
      </c>
      <c r="O370">
        <v>0.77961786666978095</v>
      </c>
      <c r="P370" t="s">
        <v>36</v>
      </c>
    </row>
    <row r="371" spans="1:16">
      <c r="A371">
        <v>370</v>
      </c>
      <c r="B371" t="s">
        <v>422</v>
      </c>
      <c r="C371">
        <v>77</v>
      </c>
      <c r="D371">
        <v>103</v>
      </c>
      <c r="E371">
        <v>77.281983355331903</v>
      </c>
      <c r="F371">
        <v>0.75132275132275095</v>
      </c>
      <c r="G371">
        <v>4690.79441965974</v>
      </c>
      <c r="H371">
        <v>492.25105504865201</v>
      </c>
      <c r="I371">
        <v>0.55279706050849198</v>
      </c>
      <c r="J371">
        <v>0.24326686174154</v>
      </c>
      <c r="K371">
        <v>0.80761553815445997</v>
      </c>
      <c r="L371" t="s">
        <v>47</v>
      </c>
      <c r="M371" t="s">
        <v>34</v>
      </c>
      <c r="N371" t="s">
        <v>35</v>
      </c>
      <c r="O371">
        <v>0.89454561455583503</v>
      </c>
      <c r="P371" t="s">
        <v>36</v>
      </c>
    </row>
    <row r="372" spans="1:16">
      <c r="A372">
        <v>371</v>
      </c>
      <c r="B372" t="s">
        <v>423</v>
      </c>
      <c r="C372">
        <v>103</v>
      </c>
      <c r="D372">
        <v>98</v>
      </c>
      <c r="E372">
        <v>77.345624184766805</v>
      </c>
      <c r="F372">
        <v>1.05586592178771</v>
      </c>
      <c r="G372">
        <v>4698.5232317580303</v>
      </c>
      <c r="H372">
        <v>591.63560963008695</v>
      </c>
      <c r="I372">
        <v>0.69694287644476705</v>
      </c>
      <c r="J372">
        <v>0.168679626744281</v>
      </c>
      <c r="K372">
        <v>0.69499835110476005</v>
      </c>
      <c r="L372" t="s">
        <v>47</v>
      </c>
      <c r="M372" t="s">
        <v>34</v>
      </c>
      <c r="N372" t="s">
        <v>35</v>
      </c>
      <c r="O372">
        <v>0.93025930847490501</v>
      </c>
      <c r="P372" t="s">
        <v>36</v>
      </c>
    </row>
    <row r="373" spans="1:16">
      <c r="A373">
        <v>372</v>
      </c>
      <c r="B373" t="s">
        <v>424</v>
      </c>
      <c r="C373">
        <v>90</v>
      </c>
      <c r="D373">
        <v>98</v>
      </c>
      <c r="E373">
        <v>77.429989916728204</v>
      </c>
      <c r="F373">
        <v>0.92341827298374901</v>
      </c>
      <c r="G373">
        <v>4708.7787708884698</v>
      </c>
      <c r="H373">
        <v>529.05185165312002</v>
      </c>
      <c r="I373">
        <v>0.69150602805566297</v>
      </c>
      <c r="J373">
        <v>0.21140812446696999</v>
      </c>
      <c r="K373">
        <v>0.70124839523661997</v>
      </c>
      <c r="L373" t="s">
        <v>43</v>
      </c>
      <c r="M373" t="s">
        <v>34</v>
      </c>
      <c r="N373" t="s">
        <v>35</v>
      </c>
      <c r="O373">
        <v>0.71687900765908197</v>
      </c>
      <c r="P373" t="s">
        <v>36</v>
      </c>
    </row>
    <row r="374" spans="1:16">
      <c r="A374">
        <v>373</v>
      </c>
      <c r="B374" t="s">
        <v>425</v>
      </c>
      <c r="C374">
        <v>146</v>
      </c>
      <c r="D374">
        <v>53</v>
      </c>
      <c r="E374">
        <v>77.513043119264097</v>
      </c>
      <c r="F374">
        <v>2.7346936805403899</v>
      </c>
      <c r="G374">
        <v>4718.8856790170103</v>
      </c>
      <c r="H374">
        <v>682.474372795872</v>
      </c>
      <c r="I374">
        <v>0.78893358377783795</v>
      </c>
      <c r="J374">
        <v>0.127314135090456</v>
      </c>
      <c r="K374">
        <v>0.68066632364291202</v>
      </c>
      <c r="L374" t="s">
        <v>38</v>
      </c>
      <c r="M374" t="s">
        <v>34</v>
      </c>
      <c r="N374" t="s">
        <v>35</v>
      </c>
      <c r="O374">
        <v>0.73720020794921004</v>
      </c>
      <c r="P374" t="s">
        <v>36</v>
      </c>
    </row>
    <row r="375" spans="1:16">
      <c r="A375">
        <v>374</v>
      </c>
      <c r="B375" t="s">
        <v>426</v>
      </c>
      <c r="C375">
        <v>102</v>
      </c>
      <c r="D375">
        <v>97</v>
      </c>
      <c r="E375">
        <v>77.548435811530894</v>
      </c>
      <c r="F375">
        <v>1.0505617977528099</v>
      </c>
      <c r="G375">
        <v>4723.1959780718298</v>
      </c>
      <c r="H375">
        <v>861.01839589678696</v>
      </c>
      <c r="I375">
        <v>0.77566597431509898</v>
      </c>
      <c r="J375">
        <v>8.00609924267148E-2</v>
      </c>
      <c r="K375">
        <v>0.57526112850962197</v>
      </c>
      <c r="L375" t="s">
        <v>33</v>
      </c>
      <c r="M375" t="s">
        <v>34</v>
      </c>
      <c r="N375" t="s">
        <v>35</v>
      </c>
      <c r="O375">
        <v>0.79471228254722304</v>
      </c>
      <c r="P375" t="s">
        <v>36</v>
      </c>
    </row>
    <row r="376" spans="1:16">
      <c r="A376">
        <v>375</v>
      </c>
      <c r="B376" t="s">
        <v>427</v>
      </c>
      <c r="C376">
        <v>135</v>
      </c>
      <c r="D376">
        <v>68</v>
      </c>
      <c r="E376">
        <v>77.841938749543104</v>
      </c>
      <c r="F376">
        <v>1.9841813073702499</v>
      </c>
      <c r="G376">
        <v>4759.0160495274104</v>
      </c>
      <c r="H376">
        <v>520.81214596136795</v>
      </c>
      <c r="I376">
        <v>0.68036981763337601</v>
      </c>
      <c r="J376">
        <v>0.22047777911126301</v>
      </c>
      <c r="K376">
        <v>0.71965746651083295</v>
      </c>
      <c r="L376" t="s">
        <v>33</v>
      </c>
      <c r="M376" t="s">
        <v>34</v>
      </c>
      <c r="N376" t="s">
        <v>35</v>
      </c>
      <c r="O376">
        <v>0.734330139058192</v>
      </c>
      <c r="P376" t="s">
        <v>36</v>
      </c>
    </row>
    <row r="377" spans="1:16">
      <c r="A377">
        <v>376</v>
      </c>
      <c r="B377" t="s">
        <v>428</v>
      </c>
      <c r="C377">
        <v>86</v>
      </c>
      <c r="D377">
        <v>88</v>
      </c>
      <c r="E377">
        <v>77.8954049641669</v>
      </c>
      <c r="F377">
        <v>0.98616176220776797</v>
      </c>
      <c r="G377">
        <v>4765.5558136105901</v>
      </c>
      <c r="H377">
        <v>444.217127413024</v>
      </c>
      <c r="I377">
        <v>0.732256433958556</v>
      </c>
      <c r="J377">
        <v>0.303481921823544</v>
      </c>
      <c r="K377">
        <v>0.76200774770064394</v>
      </c>
      <c r="L377" t="s">
        <v>49</v>
      </c>
      <c r="M377" t="s">
        <v>34</v>
      </c>
      <c r="N377" t="s">
        <v>35</v>
      </c>
      <c r="O377">
        <v>0.78232287899570596</v>
      </c>
      <c r="P377" t="s">
        <v>36</v>
      </c>
    </row>
    <row r="378" spans="1:16">
      <c r="A378">
        <v>377</v>
      </c>
      <c r="B378" t="s">
        <v>429</v>
      </c>
      <c r="C378">
        <v>73</v>
      </c>
      <c r="D378">
        <v>73</v>
      </c>
      <c r="E378">
        <v>77.926981393675504</v>
      </c>
      <c r="F378">
        <v>1</v>
      </c>
      <c r="G378">
        <v>4769.4202196597398</v>
      </c>
      <c r="H378">
        <v>436.91286713983698</v>
      </c>
      <c r="I378">
        <v>0.43246333291779598</v>
      </c>
      <c r="J378">
        <v>0.31396828642693497</v>
      </c>
      <c r="K378">
        <v>0.89354533303631101</v>
      </c>
      <c r="L378" t="s">
        <v>41</v>
      </c>
      <c r="M378" t="s">
        <v>34</v>
      </c>
      <c r="N378" t="s">
        <v>35</v>
      </c>
      <c r="O378">
        <v>0.71638151338784295</v>
      </c>
      <c r="P378" t="s">
        <v>36</v>
      </c>
    </row>
    <row r="379" spans="1:16">
      <c r="A379">
        <v>378</v>
      </c>
      <c r="B379" t="s">
        <v>430</v>
      </c>
      <c r="C379">
        <v>85</v>
      </c>
      <c r="D379">
        <v>78</v>
      </c>
      <c r="E379">
        <v>78.074543357099401</v>
      </c>
      <c r="F379">
        <v>1.0909090686165399</v>
      </c>
      <c r="G379">
        <v>4787.5</v>
      </c>
      <c r="H379">
        <v>296.776692271233</v>
      </c>
      <c r="I379">
        <v>0.62691844727296397</v>
      </c>
      <c r="J379">
        <v>0.68306034135595095</v>
      </c>
      <c r="K379">
        <v>0.90543735224586297</v>
      </c>
      <c r="L379" t="s">
        <v>43</v>
      </c>
      <c r="M379" t="s">
        <v>34</v>
      </c>
      <c r="N379" t="s">
        <v>35</v>
      </c>
      <c r="O379">
        <v>0.65609114826216397</v>
      </c>
      <c r="P379" t="s">
        <v>36</v>
      </c>
    </row>
    <row r="380" spans="1:16">
      <c r="A380">
        <v>379</v>
      </c>
      <c r="B380" t="s">
        <v>431</v>
      </c>
      <c r="C380">
        <v>112</v>
      </c>
      <c r="D380">
        <v>76</v>
      </c>
      <c r="E380">
        <v>78.074543357099401</v>
      </c>
      <c r="F380">
        <v>1.47598248572793</v>
      </c>
      <c r="G380">
        <v>4787.5</v>
      </c>
      <c r="H380">
        <v>402.634556889534</v>
      </c>
      <c r="I380">
        <v>0.56548539421822097</v>
      </c>
      <c r="J380">
        <v>0.37110478860425999</v>
      </c>
      <c r="K380">
        <v>0.71322160148975799</v>
      </c>
      <c r="L380" t="s">
        <v>41</v>
      </c>
      <c r="M380" t="s">
        <v>34</v>
      </c>
      <c r="N380" t="s">
        <v>35</v>
      </c>
      <c r="O380">
        <v>0.73514848772294705</v>
      </c>
      <c r="P380" t="s">
        <v>36</v>
      </c>
    </row>
    <row r="381" spans="1:16">
      <c r="A381">
        <v>380</v>
      </c>
      <c r="B381" t="s">
        <v>432</v>
      </c>
      <c r="C381">
        <v>90</v>
      </c>
      <c r="D381">
        <v>106</v>
      </c>
      <c r="E381">
        <v>78.0774009871526</v>
      </c>
      <c r="F381">
        <v>0.84608640199060903</v>
      </c>
      <c r="G381">
        <v>4787.8504638941404</v>
      </c>
      <c r="H381">
        <v>449.98706606253302</v>
      </c>
      <c r="I381">
        <v>0.537937011319228</v>
      </c>
      <c r="J381">
        <v>0.29713265240172698</v>
      </c>
      <c r="K381">
        <v>0.67481565275682898</v>
      </c>
      <c r="L381" t="s">
        <v>33</v>
      </c>
      <c r="M381" t="s">
        <v>34</v>
      </c>
      <c r="N381" t="s">
        <v>35</v>
      </c>
      <c r="O381">
        <v>0.70334030483666099</v>
      </c>
      <c r="P381" t="s">
        <v>36</v>
      </c>
    </row>
    <row r="382" spans="1:16">
      <c r="A382">
        <v>381</v>
      </c>
      <c r="B382" t="s">
        <v>433</v>
      </c>
      <c r="C382">
        <v>107</v>
      </c>
      <c r="D382">
        <v>73</v>
      </c>
      <c r="E382">
        <v>78.182764561809293</v>
      </c>
      <c r="F382">
        <v>1.4812030075188001</v>
      </c>
      <c r="G382">
        <v>4800.7813610585999</v>
      </c>
      <c r="H382">
        <v>813.14885986369598</v>
      </c>
      <c r="I382">
        <v>0.74292870957075496</v>
      </c>
      <c r="J382">
        <v>9.1239243736335393E-2</v>
      </c>
      <c r="K382">
        <v>0.67114093959731502</v>
      </c>
      <c r="L382" t="s">
        <v>41</v>
      </c>
      <c r="M382" t="s">
        <v>34</v>
      </c>
      <c r="N382" t="s">
        <v>35</v>
      </c>
      <c r="O382">
        <v>0.693735453097999</v>
      </c>
      <c r="P382" t="s">
        <v>36</v>
      </c>
    </row>
    <row r="383" spans="1:16">
      <c r="A383">
        <v>382</v>
      </c>
      <c r="B383" t="s">
        <v>434</v>
      </c>
      <c r="C383">
        <v>71</v>
      </c>
      <c r="D383">
        <v>113</v>
      </c>
      <c r="E383">
        <v>78.186395256047305</v>
      </c>
      <c r="F383">
        <v>0.625289036129553</v>
      </c>
      <c r="G383">
        <v>4801.2272540642698</v>
      </c>
      <c r="H383">
        <v>493.81586016188498</v>
      </c>
      <c r="I383">
        <v>0.54031497254910898</v>
      </c>
      <c r="J383">
        <v>0.24741843647965001</v>
      </c>
      <c r="K383">
        <v>0.76051795173631598</v>
      </c>
      <c r="L383" t="s">
        <v>33</v>
      </c>
      <c r="M383" t="s">
        <v>34</v>
      </c>
      <c r="N383" t="s">
        <v>35</v>
      </c>
      <c r="O383">
        <v>0.83001334752455003</v>
      </c>
      <c r="P383" t="s">
        <v>36</v>
      </c>
    </row>
    <row r="384" spans="1:16">
      <c r="A384">
        <v>383</v>
      </c>
      <c r="B384" t="s">
        <v>435</v>
      </c>
      <c r="C384">
        <v>71</v>
      </c>
      <c r="D384">
        <v>116</v>
      </c>
      <c r="E384">
        <v>78.372544969451098</v>
      </c>
      <c r="F384">
        <v>0.61112072680606599</v>
      </c>
      <c r="G384">
        <v>4824.1164283553899</v>
      </c>
      <c r="H384">
        <v>541.07873398148502</v>
      </c>
      <c r="I384">
        <v>0.79633449758560504</v>
      </c>
      <c r="J384">
        <v>0.20706500845315601</v>
      </c>
      <c r="K384">
        <v>0.71207301287817304</v>
      </c>
      <c r="L384" t="s">
        <v>47</v>
      </c>
      <c r="M384" t="s">
        <v>34</v>
      </c>
      <c r="N384" t="s">
        <v>35</v>
      </c>
      <c r="O384">
        <v>0.93679745343858301</v>
      </c>
      <c r="P384" t="s">
        <v>36</v>
      </c>
    </row>
    <row r="385" spans="1:16">
      <c r="A385">
        <v>384</v>
      </c>
      <c r="B385" t="s">
        <v>436</v>
      </c>
      <c r="C385">
        <v>76</v>
      </c>
      <c r="D385">
        <v>98</v>
      </c>
      <c r="E385">
        <v>78.379721888682198</v>
      </c>
      <c r="F385">
        <v>0.77272715376658097</v>
      </c>
      <c r="G385">
        <v>4825</v>
      </c>
      <c r="H385">
        <v>315.56348919868498</v>
      </c>
      <c r="I385">
        <v>0.65233570252430495</v>
      </c>
      <c r="J385">
        <v>0.60888276743029601</v>
      </c>
      <c r="K385">
        <v>0.85209713024282596</v>
      </c>
      <c r="L385" t="s">
        <v>33</v>
      </c>
      <c r="M385" t="s">
        <v>34</v>
      </c>
      <c r="N385" t="s">
        <v>35</v>
      </c>
      <c r="O385">
        <v>0.74873911350129496</v>
      </c>
      <c r="P385" t="s">
        <v>36</v>
      </c>
    </row>
    <row r="386" spans="1:16">
      <c r="A386">
        <v>385</v>
      </c>
      <c r="B386" t="s">
        <v>437</v>
      </c>
      <c r="C386">
        <v>74</v>
      </c>
      <c r="D386">
        <v>124</v>
      </c>
      <c r="E386">
        <v>78.379721888682198</v>
      </c>
      <c r="F386">
        <v>0.59428578518875497</v>
      </c>
      <c r="G386">
        <v>4825</v>
      </c>
      <c r="H386">
        <v>412.13203072547901</v>
      </c>
      <c r="I386">
        <v>0.75972627823943695</v>
      </c>
      <c r="J386">
        <v>0.35697223935586903</v>
      </c>
      <c r="K386">
        <v>0.69675090252707605</v>
      </c>
      <c r="L386" t="s">
        <v>33</v>
      </c>
      <c r="M386" t="s">
        <v>34</v>
      </c>
      <c r="N386" t="s">
        <v>35</v>
      </c>
      <c r="O386">
        <v>0.75560403623965899</v>
      </c>
      <c r="P386" t="s">
        <v>36</v>
      </c>
    </row>
    <row r="387" spans="1:16">
      <c r="A387">
        <v>386</v>
      </c>
      <c r="B387" t="s">
        <v>438</v>
      </c>
      <c r="C387">
        <v>76</v>
      </c>
      <c r="D387">
        <v>116</v>
      </c>
      <c r="E387">
        <v>78.481184354317406</v>
      </c>
      <c r="F387">
        <v>0.653846097064124</v>
      </c>
      <c r="G387">
        <v>4837.5</v>
      </c>
      <c r="H387">
        <v>463.34523379802698</v>
      </c>
      <c r="I387">
        <v>0.83206923788209097</v>
      </c>
      <c r="J387">
        <v>0.28315317910251703</v>
      </c>
      <c r="K387">
        <v>0.72201492537313405</v>
      </c>
      <c r="L387" t="s">
        <v>49</v>
      </c>
      <c r="M387" t="s">
        <v>34</v>
      </c>
      <c r="N387" t="s">
        <v>35</v>
      </c>
      <c r="O387">
        <v>0.70787100766423205</v>
      </c>
      <c r="P387" t="s">
        <v>36</v>
      </c>
    </row>
    <row r="388" spans="1:16">
      <c r="A388">
        <v>387</v>
      </c>
      <c r="B388" t="s">
        <v>439</v>
      </c>
      <c r="C388">
        <v>88</v>
      </c>
      <c r="D388">
        <v>107</v>
      </c>
      <c r="E388">
        <v>78.620861328529102</v>
      </c>
      <c r="F388">
        <v>0.81725885494001405</v>
      </c>
      <c r="G388">
        <v>4854.7344147448002</v>
      </c>
      <c r="H388">
        <v>1014.94738708983</v>
      </c>
      <c r="I388">
        <v>0.61285022569390701</v>
      </c>
      <c r="J388">
        <v>5.9222710534790599E-2</v>
      </c>
      <c r="K388">
        <v>0.56507447710326497</v>
      </c>
      <c r="L388" t="s">
        <v>33</v>
      </c>
      <c r="M388" t="s">
        <v>34</v>
      </c>
      <c r="N388" t="s">
        <v>35</v>
      </c>
      <c r="O388">
        <v>0.78604098392675903</v>
      </c>
      <c r="P388" t="s">
        <v>36</v>
      </c>
    </row>
    <row r="389" spans="1:16">
      <c r="A389">
        <v>388</v>
      </c>
      <c r="B389" t="s">
        <v>440</v>
      </c>
      <c r="C389">
        <v>64</v>
      </c>
      <c r="D389">
        <v>122</v>
      </c>
      <c r="E389">
        <v>78.660567317575001</v>
      </c>
      <c r="F389">
        <v>0.52232142857142905</v>
      </c>
      <c r="G389">
        <v>4859.6392378071796</v>
      </c>
      <c r="H389">
        <v>606.60501310120503</v>
      </c>
      <c r="I389">
        <v>0.76178325057394503</v>
      </c>
      <c r="J389">
        <v>0.16595941827104499</v>
      </c>
      <c r="K389">
        <v>0.77383319132822104</v>
      </c>
      <c r="L389" t="s">
        <v>74</v>
      </c>
      <c r="M389" t="s">
        <v>34</v>
      </c>
      <c r="N389" t="s">
        <v>35</v>
      </c>
      <c r="O389">
        <v>0.72808366757192899</v>
      </c>
      <c r="P389" t="s">
        <v>36</v>
      </c>
    </row>
    <row r="390" spans="1:16">
      <c r="A390">
        <v>389</v>
      </c>
      <c r="B390" t="s">
        <v>441</v>
      </c>
      <c r="C390">
        <v>75</v>
      </c>
      <c r="D390">
        <v>92</v>
      </c>
      <c r="E390">
        <v>78.793976985565195</v>
      </c>
      <c r="F390">
        <v>0.81128575095534705</v>
      </c>
      <c r="G390">
        <v>4876.1372790170099</v>
      </c>
      <c r="H390">
        <v>380.44274249025</v>
      </c>
      <c r="I390">
        <v>0.80122529358727002</v>
      </c>
      <c r="J390">
        <v>0.42335742454433101</v>
      </c>
      <c r="K390">
        <v>0.80749729250763003</v>
      </c>
      <c r="L390" t="s">
        <v>33</v>
      </c>
      <c r="M390" t="s">
        <v>34</v>
      </c>
      <c r="N390" t="s">
        <v>35</v>
      </c>
      <c r="O390">
        <v>0.71187847072690702</v>
      </c>
      <c r="P390" t="s">
        <v>36</v>
      </c>
    </row>
    <row r="391" spans="1:16">
      <c r="A391">
        <v>390</v>
      </c>
      <c r="B391" t="s">
        <v>442</v>
      </c>
      <c r="C391">
        <v>101</v>
      </c>
      <c r="D391">
        <v>122</v>
      </c>
      <c r="E391">
        <v>78.798780324815297</v>
      </c>
      <c r="F391">
        <v>0.83074067315481004</v>
      </c>
      <c r="G391">
        <v>4876.7318030245797</v>
      </c>
      <c r="H391">
        <v>662.83325146623304</v>
      </c>
      <c r="I391">
        <v>0.70285650416813505</v>
      </c>
      <c r="J391">
        <v>0.13948585287111701</v>
      </c>
      <c r="K391">
        <v>0.55934197067848601</v>
      </c>
      <c r="L391" t="s">
        <v>47</v>
      </c>
      <c r="M391" t="s">
        <v>34</v>
      </c>
      <c r="N391" t="s">
        <v>35</v>
      </c>
      <c r="O391">
        <v>0.92495231694352098</v>
      </c>
      <c r="P391" t="s">
        <v>36</v>
      </c>
    </row>
    <row r="392" spans="1:16">
      <c r="A392">
        <v>391</v>
      </c>
      <c r="B392" t="s">
        <v>443</v>
      </c>
      <c r="C392">
        <v>98</v>
      </c>
      <c r="D392">
        <v>87</v>
      </c>
      <c r="E392">
        <v>78.8491977206114</v>
      </c>
      <c r="F392">
        <v>1.1238986891335701</v>
      </c>
      <c r="G392">
        <v>4882.9743051039704</v>
      </c>
      <c r="H392">
        <v>501.93267620926298</v>
      </c>
      <c r="I392">
        <v>0.51254482952340696</v>
      </c>
      <c r="J392">
        <v>0.24355854108582101</v>
      </c>
      <c r="K392">
        <v>0.77119718309859198</v>
      </c>
      <c r="L392" t="s">
        <v>33</v>
      </c>
      <c r="M392" t="s">
        <v>34</v>
      </c>
      <c r="N392" t="s">
        <v>35</v>
      </c>
      <c r="O392">
        <v>0.70676767506957106</v>
      </c>
      <c r="P392" t="s">
        <v>36</v>
      </c>
    </row>
    <row r="393" spans="1:16">
      <c r="A393">
        <v>392</v>
      </c>
      <c r="B393" t="s">
        <v>444</v>
      </c>
      <c r="C393">
        <v>111</v>
      </c>
      <c r="D393">
        <v>83</v>
      </c>
      <c r="E393">
        <v>78.892386986797206</v>
      </c>
      <c r="F393">
        <v>1.33092493077105</v>
      </c>
      <c r="G393">
        <v>4888.3250211720197</v>
      </c>
      <c r="H393">
        <v>598.20091580691599</v>
      </c>
      <c r="I393">
        <v>0.80309213977259097</v>
      </c>
      <c r="J393">
        <v>0.17166264147815999</v>
      </c>
      <c r="K393">
        <v>0.66940079785068796</v>
      </c>
      <c r="L393" t="s">
        <v>43</v>
      </c>
      <c r="M393" t="s">
        <v>34</v>
      </c>
      <c r="N393" t="s">
        <v>35</v>
      </c>
      <c r="O393">
        <v>0.74748560674734399</v>
      </c>
      <c r="P393" t="s">
        <v>36</v>
      </c>
    </row>
    <row r="394" spans="1:16">
      <c r="A394">
        <v>393</v>
      </c>
      <c r="B394" t="s">
        <v>445</v>
      </c>
      <c r="C394">
        <v>130</v>
      </c>
      <c r="D394">
        <v>66</v>
      </c>
      <c r="E394">
        <v>78.941545982524104</v>
      </c>
      <c r="F394">
        <v>1.9784052638262499</v>
      </c>
      <c r="G394">
        <v>4894.4188922495296</v>
      </c>
      <c r="H394">
        <v>503.49748132249601</v>
      </c>
      <c r="I394">
        <v>0.42705444894481098</v>
      </c>
      <c r="J394">
        <v>0.24261430003891199</v>
      </c>
      <c r="K394">
        <v>0.70364751383576596</v>
      </c>
      <c r="L394" t="s">
        <v>38</v>
      </c>
      <c r="M394" t="s">
        <v>34</v>
      </c>
      <c r="N394" t="s">
        <v>35</v>
      </c>
      <c r="O394">
        <v>0.79443510562269004</v>
      </c>
      <c r="P394" t="s">
        <v>36</v>
      </c>
    </row>
    <row r="395" spans="1:16">
      <c r="A395">
        <v>394</v>
      </c>
      <c r="B395" t="s">
        <v>446</v>
      </c>
      <c r="C395">
        <v>122</v>
      </c>
      <c r="D395">
        <v>67</v>
      </c>
      <c r="E395">
        <v>79.032589102019699</v>
      </c>
      <c r="F395">
        <v>1.8300147287522901</v>
      </c>
      <c r="G395">
        <v>4905.7148483931996</v>
      </c>
      <c r="H395">
        <v>491.50269871379999</v>
      </c>
      <c r="I395">
        <v>0.518715491951665</v>
      </c>
      <c r="J395">
        <v>0.25518806046400999</v>
      </c>
      <c r="K395">
        <v>0.72308636025062401</v>
      </c>
      <c r="L395" t="s">
        <v>38</v>
      </c>
      <c r="M395" t="s">
        <v>34</v>
      </c>
      <c r="N395" t="s">
        <v>35</v>
      </c>
      <c r="O395">
        <v>0.72661342385677696</v>
      </c>
      <c r="P395" t="s">
        <v>36</v>
      </c>
    </row>
    <row r="396" spans="1:16">
      <c r="A396">
        <v>395</v>
      </c>
      <c r="B396" t="s">
        <v>447</v>
      </c>
      <c r="C396">
        <v>165</v>
      </c>
      <c r="D396">
        <v>65</v>
      </c>
      <c r="E396">
        <v>79.0601209596838</v>
      </c>
      <c r="F396">
        <v>2.5543092399790699</v>
      </c>
      <c r="G396">
        <v>4909.1333614366704</v>
      </c>
      <c r="H396">
        <v>563.22950808141502</v>
      </c>
      <c r="I396">
        <v>0.67945664755345203</v>
      </c>
      <c r="J396">
        <v>0.19446609560311401</v>
      </c>
      <c r="K396">
        <v>0.66684837472239</v>
      </c>
      <c r="L396" t="s">
        <v>144</v>
      </c>
      <c r="M396" t="s">
        <v>34</v>
      </c>
      <c r="N396" t="s">
        <v>35</v>
      </c>
      <c r="O396">
        <v>0.80400341370959905</v>
      </c>
      <c r="P396" t="s">
        <v>36</v>
      </c>
    </row>
    <row r="397" spans="1:16">
      <c r="A397">
        <v>396</v>
      </c>
      <c r="B397" t="s">
        <v>448</v>
      </c>
      <c r="C397">
        <v>93</v>
      </c>
      <c r="D397">
        <v>118</v>
      </c>
      <c r="E397">
        <v>79.237053647889596</v>
      </c>
      <c r="F397">
        <v>0.78710209446090296</v>
      </c>
      <c r="G397">
        <v>4931.1307497164498</v>
      </c>
      <c r="H397">
        <v>870.06125512423705</v>
      </c>
      <c r="I397">
        <v>0.61278467431473604</v>
      </c>
      <c r="J397">
        <v>8.1857169486015804E-2</v>
      </c>
      <c r="K397">
        <v>0.59936047982078999</v>
      </c>
      <c r="L397" t="s">
        <v>33</v>
      </c>
      <c r="M397" t="s">
        <v>34</v>
      </c>
      <c r="N397" t="s">
        <v>35</v>
      </c>
      <c r="O397">
        <v>0.83062625106482901</v>
      </c>
      <c r="P397" t="s">
        <v>36</v>
      </c>
    </row>
    <row r="398" spans="1:16">
      <c r="A398">
        <v>397</v>
      </c>
      <c r="B398" t="s">
        <v>449</v>
      </c>
      <c r="C398">
        <v>111</v>
      </c>
      <c r="D398">
        <v>81</v>
      </c>
      <c r="E398">
        <v>79.256157847232402</v>
      </c>
      <c r="F398">
        <v>1.3753023079708599</v>
      </c>
      <c r="G398">
        <v>4933.50884574669</v>
      </c>
      <c r="H398">
        <v>511.71448953307203</v>
      </c>
      <c r="I398">
        <v>0.63375554116089505</v>
      </c>
      <c r="J398">
        <v>0.236761098492831</v>
      </c>
      <c r="K398">
        <v>0.732042432128443</v>
      </c>
      <c r="L398" t="s">
        <v>49</v>
      </c>
      <c r="M398" t="s">
        <v>34</v>
      </c>
      <c r="N398" t="s">
        <v>35</v>
      </c>
      <c r="O398">
        <v>0.81235739619889702</v>
      </c>
      <c r="P398" t="s">
        <v>36</v>
      </c>
    </row>
    <row r="399" spans="1:16">
      <c r="A399">
        <v>398</v>
      </c>
      <c r="B399" t="s">
        <v>450</v>
      </c>
      <c r="C399">
        <v>71</v>
      </c>
      <c r="D399">
        <v>98</v>
      </c>
      <c r="E399">
        <v>79.284805515090596</v>
      </c>
      <c r="F399">
        <v>0.73184357541899403</v>
      </c>
      <c r="G399">
        <v>4937.0759897920598</v>
      </c>
      <c r="H399">
        <v>413.072782052185</v>
      </c>
      <c r="I399">
        <v>0.64338821317003003</v>
      </c>
      <c r="J399">
        <v>0.36360221191525799</v>
      </c>
      <c r="K399">
        <v>0.85202380341661099</v>
      </c>
      <c r="L399" t="s">
        <v>188</v>
      </c>
      <c r="M399" t="s">
        <v>34</v>
      </c>
      <c r="N399" t="s">
        <v>35</v>
      </c>
      <c r="O399">
        <v>0.84367656173345296</v>
      </c>
      <c r="P399" t="s">
        <v>36</v>
      </c>
    </row>
    <row r="400" spans="1:16">
      <c r="A400">
        <v>399</v>
      </c>
      <c r="B400" t="s">
        <v>451</v>
      </c>
      <c r="C400">
        <v>69</v>
      </c>
      <c r="D400">
        <v>151</v>
      </c>
      <c r="E400">
        <v>79.464810191757095</v>
      </c>
      <c r="F400">
        <v>0.45768988921922099</v>
      </c>
      <c r="G400">
        <v>4959.51927107751</v>
      </c>
      <c r="H400">
        <v>676.31534450613901</v>
      </c>
      <c r="I400">
        <v>0.66009108068230704</v>
      </c>
      <c r="J400">
        <v>0.13625453445093699</v>
      </c>
      <c r="K400">
        <v>0.61619146107253697</v>
      </c>
      <c r="L400" t="s">
        <v>47</v>
      </c>
      <c r="M400" t="s">
        <v>34</v>
      </c>
      <c r="N400" t="s">
        <v>35</v>
      </c>
      <c r="O400">
        <v>0.87171088056614399</v>
      </c>
      <c r="P400" t="s">
        <v>36</v>
      </c>
    </row>
    <row r="401" spans="1:16">
      <c r="A401">
        <v>400</v>
      </c>
      <c r="B401" t="s">
        <v>452</v>
      </c>
      <c r="C401">
        <v>78</v>
      </c>
      <c r="D401">
        <v>103</v>
      </c>
      <c r="E401">
        <v>79.691915818515994</v>
      </c>
      <c r="F401">
        <v>0.76063825901733695</v>
      </c>
      <c r="G401">
        <v>4987.9077924385601</v>
      </c>
      <c r="H401">
        <v>752.82346613396805</v>
      </c>
      <c r="I401">
        <v>0.63272744633487898</v>
      </c>
      <c r="J401">
        <v>0.110596653121597</v>
      </c>
      <c r="K401">
        <v>0.63966986256981095</v>
      </c>
      <c r="L401" t="s">
        <v>47</v>
      </c>
      <c r="M401" t="s">
        <v>34</v>
      </c>
      <c r="N401" t="s">
        <v>35</v>
      </c>
      <c r="O401">
        <v>0.94681455784118995</v>
      </c>
      <c r="P401" t="s">
        <v>36</v>
      </c>
    </row>
    <row r="402" spans="1:16">
      <c r="A402">
        <v>401</v>
      </c>
      <c r="B402" t="s">
        <v>453</v>
      </c>
      <c r="C402">
        <v>68</v>
      </c>
      <c r="D402">
        <v>131</v>
      </c>
      <c r="E402">
        <v>79.914824070577595</v>
      </c>
      <c r="F402">
        <v>0.51867219917012497</v>
      </c>
      <c r="G402">
        <v>5015.8504207939504</v>
      </c>
      <c r="H402">
        <v>549.35053939290697</v>
      </c>
      <c r="I402">
        <v>0.67190654367489699</v>
      </c>
      <c r="J402">
        <v>0.20886002721652799</v>
      </c>
      <c r="K402">
        <v>0.75728743576509705</v>
      </c>
      <c r="L402" t="s">
        <v>33</v>
      </c>
      <c r="M402" t="s">
        <v>34</v>
      </c>
      <c r="N402" t="s">
        <v>35</v>
      </c>
      <c r="O402">
        <v>0.70189755618695804</v>
      </c>
      <c r="P402" t="s">
        <v>36</v>
      </c>
    </row>
    <row r="403" spans="1:16">
      <c r="A403">
        <v>402</v>
      </c>
      <c r="B403" t="s">
        <v>454</v>
      </c>
      <c r="C403">
        <v>74</v>
      </c>
      <c r="D403">
        <v>112</v>
      </c>
      <c r="E403">
        <v>79.951520530731401</v>
      </c>
      <c r="F403">
        <v>0.65533980582524298</v>
      </c>
      <c r="G403">
        <v>5020.4579818525499</v>
      </c>
      <c r="H403">
        <v>586.74470296818299</v>
      </c>
      <c r="I403">
        <v>0.50144963381559204</v>
      </c>
      <c r="J403">
        <v>0.18325458337279901</v>
      </c>
      <c r="K403">
        <v>0.71218031162369</v>
      </c>
      <c r="L403" t="s">
        <v>33</v>
      </c>
      <c r="M403" t="s">
        <v>34</v>
      </c>
      <c r="N403" t="s">
        <v>35</v>
      </c>
      <c r="O403">
        <v>0.85738569885479299</v>
      </c>
      <c r="P403" t="s">
        <v>36</v>
      </c>
    </row>
    <row r="404" spans="1:16">
      <c r="A404">
        <v>403</v>
      </c>
      <c r="B404" t="s">
        <v>455</v>
      </c>
      <c r="C404">
        <v>117</v>
      </c>
      <c r="D404">
        <v>71</v>
      </c>
      <c r="E404">
        <v>79.956254331057096</v>
      </c>
      <c r="F404">
        <v>1.6552463566100799</v>
      </c>
      <c r="G404">
        <v>5021.0525058601097</v>
      </c>
      <c r="H404">
        <v>483.79216055351799</v>
      </c>
      <c r="I404">
        <v>0.65730642418034402</v>
      </c>
      <c r="J404">
        <v>0.26957956829014001</v>
      </c>
      <c r="K404">
        <v>0.791017865923619</v>
      </c>
      <c r="L404" t="s">
        <v>74</v>
      </c>
      <c r="M404" t="s">
        <v>34</v>
      </c>
      <c r="N404" t="s">
        <v>35</v>
      </c>
      <c r="O404">
        <v>0.740851432146438</v>
      </c>
      <c r="P404" t="s">
        <v>36</v>
      </c>
    </row>
    <row r="405" spans="1:16">
      <c r="A405">
        <v>404</v>
      </c>
      <c r="B405" t="s">
        <v>456</v>
      </c>
      <c r="C405">
        <v>91</v>
      </c>
      <c r="D405">
        <v>86</v>
      </c>
      <c r="E405">
        <v>79.964537807311501</v>
      </c>
      <c r="F405">
        <v>1.0693705936033999</v>
      </c>
      <c r="G405">
        <v>5022.0929228733503</v>
      </c>
      <c r="H405">
        <v>482.19525572061502</v>
      </c>
      <c r="I405">
        <v>0.675967344478413</v>
      </c>
      <c r="J405">
        <v>0.27142430970870901</v>
      </c>
      <c r="K405">
        <v>0.75597368892070904</v>
      </c>
      <c r="L405" t="s">
        <v>33</v>
      </c>
      <c r="M405" t="s">
        <v>34</v>
      </c>
      <c r="N405" t="s">
        <v>35</v>
      </c>
      <c r="O405">
        <v>0.81332650264546902</v>
      </c>
      <c r="P405" t="s">
        <v>36</v>
      </c>
    </row>
    <row r="406" spans="1:16">
      <c r="A406">
        <v>405</v>
      </c>
      <c r="B406" t="s">
        <v>457</v>
      </c>
      <c r="C406">
        <v>184</v>
      </c>
      <c r="D406">
        <v>82</v>
      </c>
      <c r="E406">
        <v>80.196127768716494</v>
      </c>
      <c r="F406">
        <v>2.2476015934263001</v>
      </c>
      <c r="G406">
        <v>5051.2245992438602</v>
      </c>
      <c r="H406">
        <v>1294.1064774460399</v>
      </c>
      <c r="I406">
        <v>0.48472543887258501</v>
      </c>
      <c r="J406">
        <v>3.7902383502476801E-2</v>
      </c>
      <c r="K406">
        <v>0.44814990637444901</v>
      </c>
      <c r="L406" t="s">
        <v>43</v>
      </c>
      <c r="M406" t="s">
        <v>34</v>
      </c>
      <c r="N406" t="s">
        <v>35</v>
      </c>
      <c r="O406">
        <v>0.75392925836674396</v>
      </c>
      <c r="P406" t="s">
        <v>36</v>
      </c>
    </row>
    <row r="407" spans="1:16">
      <c r="A407">
        <v>406</v>
      </c>
      <c r="B407" t="s">
        <v>458</v>
      </c>
      <c r="C407">
        <v>70</v>
      </c>
      <c r="D407">
        <v>115</v>
      </c>
      <c r="E407">
        <v>80.197307635390601</v>
      </c>
      <c r="F407">
        <v>0.605748613223972</v>
      </c>
      <c r="G407">
        <v>5051.3732302457502</v>
      </c>
      <c r="H407">
        <v>453.97624325565698</v>
      </c>
      <c r="I407">
        <v>0.80269999043937801</v>
      </c>
      <c r="J407">
        <v>0.308001668434425</v>
      </c>
      <c r="K407">
        <v>0.79818689964536504</v>
      </c>
      <c r="L407" t="s">
        <v>33</v>
      </c>
      <c r="M407" t="s">
        <v>34</v>
      </c>
      <c r="N407" t="s">
        <v>35</v>
      </c>
      <c r="O407">
        <v>0.732708854781149</v>
      </c>
      <c r="P407" t="s">
        <v>36</v>
      </c>
    </row>
    <row r="408" spans="1:16">
      <c r="A408">
        <v>407</v>
      </c>
      <c r="B408" t="s">
        <v>459</v>
      </c>
      <c r="C408">
        <v>142</v>
      </c>
      <c r="D408">
        <v>80</v>
      </c>
      <c r="E408">
        <v>80.199667316665597</v>
      </c>
      <c r="F408">
        <v>1.77682153325046</v>
      </c>
      <c r="G408">
        <v>5051.6704922495301</v>
      </c>
      <c r="H408">
        <v>800.88949348926599</v>
      </c>
      <c r="I408">
        <v>0.45595059571587598</v>
      </c>
      <c r="J408">
        <v>9.8969114858920904E-2</v>
      </c>
      <c r="K408">
        <v>0.62635681772109897</v>
      </c>
      <c r="L408" t="s">
        <v>49</v>
      </c>
      <c r="M408" t="s">
        <v>34</v>
      </c>
      <c r="N408" t="s">
        <v>35</v>
      </c>
      <c r="O408">
        <v>0.69705980054994399</v>
      </c>
      <c r="P408" t="s">
        <v>36</v>
      </c>
    </row>
    <row r="409" spans="1:16">
      <c r="A409">
        <v>408</v>
      </c>
      <c r="B409" t="s">
        <v>460</v>
      </c>
      <c r="C409">
        <v>107</v>
      </c>
      <c r="D409">
        <v>83</v>
      </c>
      <c r="E409">
        <v>80.235054208115699</v>
      </c>
      <c r="F409">
        <v>1.28758169934641</v>
      </c>
      <c r="G409">
        <v>5056.1294223062396</v>
      </c>
      <c r="H409">
        <v>577.19537369043906</v>
      </c>
      <c r="I409">
        <v>0.56051359272939005</v>
      </c>
      <c r="J409">
        <v>0.19071390693343401</v>
      </c>
      <c r="K409">
        <v>0.75101554221123301</v>
      </c>
      <c r="L409" t="s">
        <v>33</v>
      </c>
      <c r="M409" t="s">
        <v>34</v>
      </c>
      <c r="N409" t="s">
        <v>35</v>
      </c>
      <c r="O409">
        <v>0.74810885717624098</v>
      </c>
      <c r="P409" t="s">
        <v>36</v>
      </c>
    </row>
    <row r="410" spans="1:16">
      <c r="A410">
        <v>409</v>
      </c>
      <c r="B410" t="s">
        <v>461</v>
      </c>
      <c r="C410">
        <v>70</v>
      </c>
      <c r="D410">
        <v>105</v>
      </c>
      <c r="E410">
        <v>80.281033847835403</v>
      </c>
      <c r="F410">
        <v>0.66629334879204105</v>
      </c>
      <c r="G410">
        <v>5061.9260313799596</v>
      </c>
      <c r="H410">
        <v>439.40371543314097</v>
      </c>
      <c r="I410">
        <v>0.72222926845774205</v>
      </c>
      <c r="J410">
        <v>0.329456597578482</v>
      </c>
      <c r="K410">
        <v>0.83522169903864996</v>
      </c>
      <c r="L410" t="s">
        <v>33</v>
      </c>
      <c r="M410" t="s">
        <v>34</v>
      </c>
      <c r="N410" t="s">
        <v>35</v>
      </c>
      <c r="O410">
        <v>0.78906336249265496</v>
      </c>
      <c r="P410" t="s">
        <v>36</v>
      </c>
    </row>
    <row r="411" spans="1:16">
      <c r="A411">
        <v>410</v>
      </c>
      <c r="B411" t="s">
        <v>462</v>
      </c>
      <c r="C411">
        <v>69</v>
      </c>
      <c r="D411">
        <v>142</v>
      </c>
      <c r="E411">
        <v>80.3328767188206</v>
      </c>
      <c r="F411">
        <v>0.484615384615385</v>
      </c>
      <c r="G411">
        <v>5068.4657954631402</v>
      </c>
      <c r="H411">
        <v>524.61261784066301</v>
      </c>
      <c r="I411">
        <v>0.73107531568584005</v>
      </c>
      <c r="J411">
        <v>0.23142427944588501</v>
      </c>
      <c r="K411">
        <v>0.68155654155174505</v>
      </c>
      <c r="L411" t="s">
        <v>33</v>
      </c>
      <c r="M411" t="s">
        <v>34</v>
      </c>
      <c r="N411" t="s">
        <v>35</v>
      </c>
      <c r="O411">
        <v>0.79504772506871002</v>
      </c>
      <c r="P411" t="s">
        <v>36</v>
      </c>
    </row>
    <row r="412" spans="1:16">
      <c r="A412">
        <v>411</v>
      </c>
      <c r="B412" t="s">
        <v>463</v>
      </c>
      <c r="C412">
        <v>112</v>
      </c>
      <c r="D412">
        <v>81</v>
      </c>
      <c r="E412">
        <v>80.348187529157002</v>
      </c>
      <c r="F412">
        <v>1.3737965388765001</v>
      </c>
      <c r="G412">
        <v>5070.3979984877096</v>
      </c>
      <c r="H412">
        <v>709.74464459958301</v>
      </c>
      <c r="I412">
        <v>0.70181223461420394</v>
      </c>
      <c r="J412">
        <v>0.12648751661883201</v>
      </c>
      <c r="K412">
        <v>0.67452298566485402</v>
      </c>
      <c r="L412" t="s">
        <v>43</v>
      </c>
      <c r="M412" t="s">
        <v>34</v>
      </c>
      <c r="N412" t="s">
        <v>35</v>
      </c>
      <c r="O412">
        <v>0.83871184017690203</v>
      </c>
      <c r="P412" t="s">
        <v>36</v>
      </c>
    </row>
    <row r="413" spans="1:16">
      <c r="A413">
        <v>412</v>
      </c>
      <c r="B413" t="s">
        <v>464</v>
      </c>
      <c r="C413">
        <v>107</v>
      </c>
      <c r="D413">
        <v>107</v>
      </c>
      <c r="E413">
        <v>80.610374016300199</v>
      </c>
      <c r="F413">
        <v>1</v>
      </c>
      <c r="G413">
        <v>5103.5427119092601</v>
      </c>
      <c r="H413">
        <v>1330.28342359014</v>
      </c>
      <c r="I413">
        <v>0.64141334430072505</v>
      </c>
      <c r="J413">
        <v>3.6240423061421403E-2</v>
      </c>
      <c r="K413">
        <v>0.45538579878517799</v>
      </c>
      <c r="L413" t="s">
        <v>43</v>
      </c>
      <c r="M413" t="s">
        <v>34</v>
      </c>
      <c r="N413" t="s">
        <v>35</v>
      </c>
      <c r="O413">
        <v>0.81359313689639401</v>
      </c>
      <c r="P413" t="s">
        <v>36</v>
      </c>
    </row>
    <row r="414" spans="1:16">
      <c r="A414">
        <v>413</v>
      </c>
      <c r="B414" t="s">
        <v>465</v>
      </c>
      <c r="C414">
        <v>113</v>
      </c>
      <c r="D414">
        <v>80</v>
      </c>
      <c r="E414">
        <v>80.790938853943203</v>
      </c>
      <c r="F414">
        <v>1.4163115993547</v>
      </c>
      <c r="G414">
        <v>5126.4318862003802</v>
      </c>
      <c r="H414">
        <v>596.58131349283701</v>
      </c>
      <c r="I414">
        <v>0.58048708452854203</v>
      </c>
      <c r="J414">
        <v>0.181002995982885</v>
      </c>
      <c r="K414">
        <v>0.73067960342343896</v>
      </c>
      <c r="L414" t="s">
        <v>47</v>
      </c>
      <c r="M414" t="s">
        <v>34</v>
      </c>
      <c r="N414" t="s">
        <v>35</v>
      </c>
      <c r="O414">
        <v>0.66060664768927801</v>
      </c>
      <c r="P414" t="s">
        <v>36</v>
      </c>
    </row>
    <row r="415" spans="1:16">
      <c r="A415">
        <v>414</v>
      </c>
      <c r="B415" t="s">
        <v>466</v>
      </c>
      <c r="C415">
        <v>71</v>
      </c>
      <c r="D415">
        <v>118</v>
      </c>
      <c r="E415">
        <v>80.969932443384195</v>
      </c>
      <c r="F415">
        <v>0.60051331277158104</v>
      </c>
      <c r="G415">
        <v>5149.1724294896003</v>
      </c>
      <c r="H415">
        <v>533.99755551586998</v>
      </c>
      <c r="I415">
        <v>0.66316082281017896</v>
      </c>
      <c r="J415">
        <v>0.22691790290743899</v>
      </c>
      <c r="K415">
        <v>0.75146414472257195</v>
      </c>
      <c r="L415" t="s">
        <v>38</v>
      </c>
      <c r="M415" t="s">
        <v>34</v>
      </c>
      <c r="N415" t="s">
        <v>35</v>
      </c>
      <c r="O415">
        <v>0.89637874516733296</v>
      </c>
      <c r="P415" t="s">
        <v>36</v>
      </c>
    </row>
    <row r="416" spans="1:16">
      <c r="A416">
        <v>415</v>
      </c>
      <c r="B416" t="s">
        <v>467</v>
      </c>
      <c r="C416">
        <v>109</v>
      </c>
      <c r="D416">
        <v>79</v>
      </c>
      <c r="E416">
        <v>81.090208875127303</v>
      </c>
      <c r="F416">
        <v>1.39340975541249</v>
      </c>
      <c r="G416">
        <v>5164.48142268431</v>
      </c>
      <c r="H416">
        <v>485.28725699310701</v>
      </c>
      <c r="I416">
        <v>0.61638363565120102</v>
      </c>
      <c r="J416">
        <v>0.275574360746486</v>
      </c>
      <c r="K416">
        <v>0.64924606214615399</v>
      </c>
      <c r="L416" t="s">
        <v>33</v>
      </c>
      <c r="M416" t="s">
        <v>34</v>
      </c>
      <c r="N416" t="s">
        <v>35</v>
      </c>
      <c r="O416">
        <v>0.73855190507161195</v>
      </c>
      <c r="P416" t="s">
        <v>36</v>
      </c>
    </row>
    <row r="417" spans="1:16">
      <c r="A417">
        <v>416</v>
      </c>
      <c r="B417" t="s">
        <v>468</v>
      </c>
      <c r="C417">
        <v>175</v>
      </c>
      <c r="D417">
        <v>66</v>
      </c>
      <c r="E417">
        <v>82.137130983993401</v>
      </c>
      <c r="F417">
        <v>2.63932420436673</v>
      </c>
      <c r="G417">
        <v>5298.6952173913096</v>
      </c>
      <c r="H417">
        <v>649.24156402463495</v>
      </c>
      <c r="I417">
        <v>0.67958475634983595</v>
      </c>
      <c r="J417">
        <v>0.15796692816410399</v>
      </c>
      <c r="K417">
        <v>0.63024838681163298</v>
      </c>
      <c r="L417" t="s">
        <v>61</v>
      </c>
      <c r="M417" t="s">
        <v>34</v>
      </c>
      <c r="N417" t="s">
        <v>35</v>
      </c>
      <c r="O417">
        <v>0.85762807445321199</v>
      </c>
      <c r="P417" t="s">
        <v>36</v>
      </c>
    </row>
    <row r="418" spans="1:16">
      <c r="A418">
        <v>417</v>
      </c>
      <c r="B418" t="s">
        <v>469</v>
      </c>
      <c r="C418">
        <v>137</v>
      </c>
      <c r="D418">
        <v>88</v>
      </c>
      <c r="E418">
        <v>82.542782961942706</v>
      </c>
      <c r="F418">
        <v>1.54938271604938</v>
      </c>
      <c r="G418">
        <v>5351.1619610586004</v>
      </c>
      <c r="H418">
        <v>1074.96669509566</v>
      </c>
      <c r="I418">
        <v>0.646290840248401</v>
      </c>
      <c r="J418">
        <v>5.8192624138541697E-2</v>
      </c>
      <c r="K418">
        <v>0.56959562080749304</v>
      </c>
      <c r="L418" t="s">
        <v>331</v>
      </c>
      <c r="M418" t="s">
        <v>34</v>
      </c>
      <c r="N418" t="s">
        <v>35</v>
      </c>
      <c r="O418">
        <v>0.66178798012717199</v>
      </c>
      <c r="P418" t="s">
        <v>36</v>
      </c>
    </row>
    <row r="419" spans="1:16">
      <c r="A419">
        <v>418</v>
      </c>
      <c r="B419" t="s">
        <v>470</v>
      </c>
      <c r="C419">
        <v>103</v>
      </c>
      <c r="D419">
        <v>127</v>
      </c>
      <c r="E419">
        <v>82.706545988786004</v>
      </c>
      <c r="F419">
        <v>0.8068669527897</v>
      </c>
      <c r="G419">
        <v>5372.41619432892</v>
      </c>
      <c r="H419">
        <v>1274.4160681498599</v>
      </c>
      <c r="I419">
        <v>0.428768739859472</v>
      </c>
      <c r="J419">
        <v>4.1567799684695303E-2</v>
      </c>
      <c r="K419">
        <v>0.50384722609422905</v>
      </c>
      <c r="L419" t="s">
        <v>38</v>
      </c>
      <c r="M419" t="s">
        <v>34</v>
      </c>
      <c r="N419" t="s">
        <v>35</v>
      </c>
      <c r="O419">
        <v>0.65124729130730896</v>
      </c>
      <c r="P419" t="s">
        <v>36</v>
      </c>
    </row>
    <row r="420" spans="1:16">
      <c r="A420">
        <v>419</v>
      </c>
      <c r="B420" t="s">
        <v>471</v>
      </c>
      <c r="C420">
        <v>87</v>
      </c>
      <c r="D420">
        <v>123</v>
      </c>
      <c r="E420">
        <v>82.969263039433301</v>
      </c>
      <c r="F420">
        <v>0.71236053421826895</v>
      </c>
      <c r="G420">
        <v>5406.6013247637102</v>
      </c>
      <c r="H420">
        <v>858.65043724785698</v>
      </c>
      <c r="I420">
        <v>0.72364005191207004</v>
      </c>
      <c r="J420">
        <v>9.2151290110693798E-2</v>
      </c>
      <c r="K420">
        <v>0.58474794238683103</v>
      </c>
      <c r="L420" t="s">
        <v>41</v>
      </c>
      <c r="M420" t="s">
        <v>34</v>
      </c>
      <c r="N420" t="s">
        <v>35</v>
      </c>
      <c r="O420">
        <v>0.73856543574217304</v>
      </c>
      <c r="P420" t="s">
        <v>36</v>
      </c>
    </row>
    <row r="421" spans="1:16">
      <c r="A421">
        <v>420</v>
      </c>
      <c r="B421" t="s">
        <v>472</v>
      </c>
      <c r="C421">
        <v>100</v>
      </c>
      <c r="D421">
        <v>108</v>
      </c>
      <c r="E421">
        <v>83.129909502303093</v>
      </c>
      <c r="F421">
        <v>0.92502404433184504</v>
      </c>
      <c r="G421">
        <v>5427.5582960302499</v>
      </c>
      <c r="H421">
        <v>521.79298634228496</v>
      </c>
      <c r="I421">
        <v>0.60847287080669499</v>
      </c>
      <c r="J421">
        <v>0.25050585808880599</v>
      </c>
      <c r="K421">
        <v>0.72497518364105595</v>
      </c>
      <c r="L421" t="s">
        <v>33</v>
      </c>
      <c r="M421" t="s">
        <v>34</v>
      </c>
      <c r="N421" t="s">
        <v>35</v>
      </c>
      <c r="O421">
        <v>0.69601686631693305</v>
      </c>
      <c r="P421" t="s">
        <v>36</v>
      </c>
    </row>
    <row r="422" spans="1:16">
      <c r="A422">
        <v>421</v>
      </c>
      <c r="B422" t="s">
        <v>473</v>
      </c>
      <c r="C422">
        <v>131</v>
      </c>
      <c r="D422">
        <v>95</v>
      </c>
      <c r="E422">
        <v>83.397068372430397</v>
      </c>
      <c r="F422">
        <v>1.3694581256187499</v>
      </c>
      <c r="G422">
        <v>5462.5</v>
      </c>
      <c r="H422">
        <v>706.48231685161602</v>
      </c>
      <c r="I422">
        <v>0.50523388531606706</v>
      </c>
      <c r="J422">
        <v>0.13753040503450201</v>
      </c>
      <c r="K422">
        <v>0.56606217616580301</v>
      </c>
      <c r="L422" t="s">
        <v>33</v>
      </c>
      <c r="M422" t="s">
        <v>34</v>
      </c>
      <c r="N422" t="s">
        <v>35</v>
      </c>
      <c r="O422">
        <v>0.85526479710913506</v>
      </c>
      <c r="P422" t="s">
        <v>36</v>
      </c>
    </row>
    <row r="423" spans="1:16">
      <c r="A423">
        <v>422</v>
      </c>
      <c r="B423" t="s">
        <v>474</v>
      </c>
      <c r="C423">
        <v>147</v>
      </c>
      <c r="D423">
        <v>83</v>
      </c>
      <c r="E423">
        <v>83.435533111921998</v>
      </c>
      <c r="F423">
        <v>1.75816993464052</v>
      </c>
      <c r="G423">
        <v>5467.5400355387501</v>
      </c>
      <c r="H423">
        <v>710.37238806413598</v>
      </c>
      <c r="I423">
        <v>0.63486854485759403</v>
      </c>
      <c r="J423">
        <v>0.13615377634614101</v>
      </c>
      <c r="K423">
        <v>0.55780311760781198</v>
      </c>
      <c r="L423" t="s">
        <v>33</v>
      </c>
      <c r="M423" t="s">
        <v>34</v>
      </c>
      <c r="N423" t="s">
        <v>35</v>
      </c>
      <c r="O423">
        <v>0.72714536858249301</v>
      </c>
      <c r="P423" t="s">
        <v>36</v>
      </c>
    </row>
    <row r="424" spans="1:16">
      <c r="A424">
        <v>423</v>
      </c>
      <c r="B424" t="s">
        <v>475</v>
      </c>
      <c r="C424">
        <v>147</v>
      </c>
      <c r="D424">
        <v>83</v>
      </c>
      <c r="E424">
        <v>83.4604788435377</v>
      </c>
      <c r="F424">
        <v>1.75816993464052</v>
      </c>
      <c r="G424">
        <v>5470.80991758034</v>
      </c>
      <c r="H424">
        <v>1206.5445278623799</v>
      </c>
      <c r="I424">
        <v>0.67100409386303705</v>
      </c>
      <c r="J424">
        <v>4.7225306035063697E-2</v>
      </c>
      <c r="K424">
        <v>0.50158072604382398</v>
      </c>
      <c r="L424" t="s">
        <v>33</v>
      </c>
      <c r="M424" t="s">
        <v>34</v>
      </c>
      <c r="N424" t="s">
        <v>35</v>
      </c>
      <c r="O424">
        <v>0.78265755638016998</v>
      </c>
      <c r="P424" t="s">
        <v>36</v>
      </c>
    </row>
    <row r="425" spans="1:16">
      <c r="A425">
        <v>424</v>
      </c>
      <c r="B425" t="s">
        <v>476</v>
      </c>
      <c r="C425">
        <v>83</v>
      </c>
      <c r="D425">
        <v>103</v>
      </c>
      <c r="E425">
        <v>83.461612563272396</v>
      </c>
      <c r="F425">
        <v>0.80851063829787195</v>
      </c>
      <c r="G425">
        <v>5470.9585485822299</v>
      </c>
      <c r="H425">
        <v>660.839470984728</v>
      </c>
      <c r="I425">
        <v>0.65532683382245405</v>
      </c>
      <c r="J425">
        <v>0.157427768178595</v>
      </c>
      <c r="K425">
        <v>0.74315075407320696</v>
      </c>
      <c r="L425" t="s">
        <v>47</v>
      </c>
      <c r="M425" t="s">
        <v>34</v>
      </c>
      <c r="N425" t="s">
        <v>35</v>
      </c>
      <c r="O425">
        <v>0.91703106389073996</v>
      </c>
      <c r="P425" t="s">
        <v>36</v>
      </c>
    </row>
    <row r="426" spans="1:16">
      <c r="A426">
        <v>425</v>
      </c>
      <c r="B426" t="s">
        <v>477</v>
      </c>
      <c r="C426">
        <v>89</v>
      </c>
      <c r="D426">
        <v>102</v>
      </c>
      <c r="E426">
        <v>83.525076308470901</v>
      </c>
      <c r="F426">
        <v>0.87875133495601099</v>
      </c>
      <c r="G426">
        <v>5479.28188468809</v>
      </c>
      <c r="H426">
        <v>560.59696566674995</v>
      </c>
      <c r="I426">
        <v>0.665517134746067</v>
      </c>
      <c r="J426">
        <v>0.21909477576276901</v>
      </c>
      <c r="K426">
        <v>0.81225488035958204</v>
      </c>
      <c r="L426" t="s">
        <v>47</v>
      </c>
      <c r="M426" t="s">
        <v>34</v>
      </c>
      <c r="N426" t="s">
        <v>35</v>
      </c>
      <c r="O426">
        <v>0.90185667861169105</v>
      </c>
      <c r="P426" t="s">
        <v>36</v>
      </c>
    </row>
    <row r="427" spans="1:16">
      <c r="A427">
        <v>426</v>
      </c>
      <c r="B427" t="s">
        <v>478</v>
      </c>
      <c r="C427">
        <v>134</v>
      </c>
      <c r="D427">
        <v>94</v>
      </c>
      <c r="E427">
        <v>83.571510276961504</v>
      </c>
      <c r="F427">
        <v>1.4320158268999801</v>
      </c>
      <c r="G427">
        <v>5485.3757557655999</v>
      </c>
      <c r="H427">
        <v>560.38717910186097</v>
      </c>
      <c r="I427">
        <v>0.48411189885788097</v>
      </c>
      <c r="J427">
        <v>0.219502699361866</v>
      </c>
      <c r="K427">
        <v>0.62379149482793605</v>
      </c>
      <c r="L427" t="s">
        <v>49</v>
      </c>
      <c r="M427" t="s">
        <v>34</v>
      </c>
      <c r="N427" t="s">
        <v>35</v>
      </c>
      <c r="O427">
        <v>0.75205078925149504</v>
      </c>
      <c r="P427" t="s">
        <v>36</v>
      </c>
    </row>
    <row r="428" spans="1:16">
      <c r="A428">
        <v>427</v>
      </c>
      <c r="B428" t="s">
        <v>479</v>
      </c>
      <c r="C428">
        <v>145</v>
      </c>
      <c r="D428">
        <v>82</v>
      </c>
      <c r="E428">
        <v>84.0693370693551</v>
      </c>
      <c r="F428">
        <v>1.7644299875084</v>
      </c>
      <c r="G428">
        <v>5550.9220275992402</v>
      </c>
      <c r="H428">
        <v>693.89459291074604</v>
      </c>
      <c r="I428">
        <v>0.71677448183372905</v>
      </c>
      <c r="J428">
        <v>0.144873177080902</v>
      </c>
      <c r="K428">
        <v>0.69546190946164899</v>
      </c>
      <c r="L428" t="s">
        <v>74</v>
      </c>
      <c r="M428" t="s">
        <v>34</v>
      </c>
      <c r="N428" t="s">
        <v>35</v>
      </c>
      <c r="O428">
        <v>0.79670348852259498</v>
      </c>
      <c r="P428" t="s">
        <v>36</v>
      </c>
    </row>
    <row r="429" spans="1:16">
      <c r="A429">
        <v>428</v>
      </c>
      <c r="B429" t="s">
        <v>480</v>
      </c>
      <c r="C429">
        <v>189</v>
      </c>
      <c r="D429">
        <v>65</v>
      </c>
      <c r="E429">
        <v>84.172820905833106</v>
      </c>
      <c r="F429">
        <v>2.9093298057213501</v>
      </c>
      <c r="G429">
        <v>5564.5960797731605</v>
      </c>
      <c r="H429">
        <v>857.05353241495504</v>
      </c>
      <c r="I429">
        <v>0.59601431842905395</v>
      </c>
      <c r="J429">
        <v>9.5197953211989206E-2</v>
      </c>
      <c r="K429">
        <v>0.61966632460524995</v>
      </c>
      <c r="L429" t="s">
        <v>47</v>
      </c>
      <c r="M429" t="s">
        <v>34</v>
      </c>
      <c r="N429" t="s">
        <v>35</v>
      </c>
      <c r="O429">
        <v>0.85988167278476102</v>
      </c>
      <c r="P429" t="s">
        <v>36</v>
      </c>
    </row>
    <row r="430" spans="1:16">
      <c r="A430">
        <v>429</v>
      </c>
      <c r="B430" t="s">
        <v>481</v>
      </c>
      <c r="C430">
        <v>78</v>
      </c>
      <c r="D430">
        <v>157</v>
      </c>
      <c r="E430">
        <v>84.467950453647802</v>
      </c>
      <c r="F430">
        <v>0.49652777777777801</v>
      </c>
      <c r="G430">
        <v>5603.68603327032</v>
      </c>
      <c r="H430">
        <v>774.87404807070004</v>
      </c>
      <c r="I430">
        <v>0.72938565637304098</v>
      </c>
      <c r="J430">
        <v>0.117279316632145</v>
      </c>
      <c r="K430">
        <v>0.64190005958968199</v>
      </c>
      <c r="L430" t="s">
        <v>33</v>
      </c>
      <c r="M430" t="s">
        <v>34</v>
      </c>
      <c r="N430" t="s">
        <v>35</v>
      </c>
      <c r="O430">
        <v>0.85802190668067801</v>
      </c>
      <c r="P430" t="s">
        <v>36</v>
      </c>
    </row>
    <row r="431" spans="1:16">
      <c r="A431">
        <v>430</v>
      </c>
      <c r="B431" t="s">
        <v>482</v>
      </c>
      <c r="C431">
        <v>79</v>
      </c>
      <c r="D431">
        <v>105</v>
      </c>
      <c r="E431">
        <v>84.724089082634606</v>
      </c>
      <c r="F431">
        <v>0.75440419611922405</v>
      </c>
      <c r="G431">
        <v>5637.7225327032102</v>
      </c>
      <c r="H431">
        <v>335.43272368358498</v>
      </c>
      <c r="I431">
        <v>0.74068847293092999</v>
      </c>
      <c r="J431">
        <v>0.62965506973593099</v>
      </c>
      <c r="K431">
        <v>0.880989432121705</v>
      </c>
      <c r="L431" t="s">
        <v>38</v>
      </c>
      <c r="M431" t="s">
        <v>34</v>
      </c>
      <c r="N431" t="s">
        <v>35</v>
      </c>
      <c r="O431">
        <v>0.89967575893385998</v>
      </c>
      <c r="P431" t="s">
        <v>36</v>
      </c>
    </row>
    <row r="432" spans="1:16">
      <c r="A432">
        <v>431</v>
      </c>
      <c r="B432" t="s">
        <v>483</v>
      </c>
      <c r="C432">
        <v>161</v>
      </c>
      <c r="D432">
        <v>69</v>
      </c>
      <c r="E432">
        <v>84.820081098945707</v>
      </c>
      <c r="F432">
        <v>2.3492063492063502</v>
      </c>
      <c r="G432">
        <v>5650.5047988657898</v>
      </c>
      <c r="H432">
        <v>1016.6765838056</v>
      </c>
      <c r="I432">
        <v>0.77821772950658097</v>
      </c>
      <c r="J432">
        <v>6.86960032125951E-2</v>
      </c>
      <c r="K432">
        <v>0.613078535720045</v>
      </c>
      <c r="L432" t="s">
        <v>33</v>
      </c>
      <c r="M432" t="s">
        <v>34</v>
      </c>
      <c r="N432" t="s">
        <v>35</v>
      </c>
      <c r="O432">
        <v>0.86007956181601697</v>
      </c>
      <c r="P432" t="s">
        <v>36</v>
      </c>
    </row>
    <row r="433" spans="1:16">
      <c r="A433">
        <v>432</v>
      </c>
      <c r="B433" t="s">
        <v>484</v>
      </c>
      <c r="C433">
        <v>122</v>
      </c>
      <c r="D433">
        <v>88</v>
      </c>
      <c r="E433">
        <v>84.884758608623002</v>
      </c>
      <c r="F433">
        <v>1.3850932406963501</v>
      </c>
      <c r="G433">
        <v>5659.1253969754298</v>
      </c>
      <c r="H433">
        <v>834.60607482961996</v>
      </c>
      <c r="I433">
        <v>0.72501341410161202</v>
      </c>
      <c r="J433">
        <v>0.10209303117872</v>
      </c>
      <c r="K433">
        <v>0.61208906036492206</v>
      </c>
      <c r="L433" t="s">
        <v>47</v>
      </c>
      <c r="M433" t="s">
        <v>34</v>
      </c>
      <c r="N433" t="s">
        <v>35</v>
      </c>
      <c r="O433">
        <v>0.86770633882623904</v>
      </c>
      <c r="P433" t="s">
        <v>36</v>
      </c>
    </row>
    <row r="434" spans="1:16">
      <c r="A434">
        <v>433</v>
      </c>
      <c r="B434" t="s">
        <v>485</v>
      </c>
      <c r="C434">
        <v>111</v>
      </c>
      <c r="D434">
        <v>93</v>
      </c>
      <c r="E434">
        <v>85.598512889694504</v>
      </c>
      <c r="F434">
        <v>1.1905548629070799</v>
      </c>
      <c r="G434">
        <v>5754.6951311909297</v>
      </c>
      <c r="H434">
        <v>570.16899242567001</v>
      </c>
      <c r="I434">
        <v>0.68914322200728295</v>
      </c>
      <c r="J434">
        <v>0.22244620152064101</v>
      </c>
      <c r="K434">
        <v>0.72143549228590598</v>
      </c>
      <c r="L434" t="s">
        <v>38</v>
      </c>
      <c r="M434" t="s">
        <v>34</v>
      </c>
      <c r="N434" t="s">
        <v>35</v>
      </c>
      <c r="O434">
        <v>0.73116043114312801</v>
      </c>
      <c r="P434" t="s">
        <v>36</v>
      </c>
    </row>
    <row r="435" spans="1:16">
      <c r="A435">
        <v>434</v>
      </c>
      <c r="B435" t="s">
        <v>486</v>
      </c>
      <c r="C435">
        <v>87</v>
      </c>
      <c r="D435">
        <v>137</v>
      </c>
      <c r="E435">
        <v>85.664811802034706</v>
      </c>
      <c r="F435">
        <v>0.63745019920318702</v>
      </c>
      <c r="G435">
        <v>5763.6129913043496</v>
      </c>
      <c r="H435">
        <v>879.74287628484797</v>
      </c>
      <c r="I435">
        <v>0.73228207071569795</v>
      </c>
      <c r="J435">
        <v>9.35821800201833E-2</v>
      </c>
      <c r="K435">
        <v>0.58340855750135401</v>
      </c>
      <c r="L435" t="s">
        <v>188</v>
      </c>
      <c r="M435" t="s">
        <v>34</v>
      </c>
      <c r="N435" t="s">
        <v>35</v>
      </c>
      <c r="O435">
        <v>0.76261465667867201</v>
      </c>
      <c r="P435" t="s">
        <v>36</v>
      </c>
    </row>
    <row r="436" spans="1:16">
      <c r="A436">
        <v>435</v>
      </c>
      <c r="B436" t="s">
        <v>487</v>
      </c>
      <c r="C436">
        <v>88</v>
      </c>
      <c r="D436">
        <v>147</v>
      </c>
      <c r="E436">
        <v>85.675856632833401</v>
      </c>
      <c r="F436">
        <v>0.59851301115241595</v>
      </c>
      <c r="G436">
        <v>5765.0993013232501</v>
      </c>
      <c r="H436">
        <v>790.14013502722196</v>
      </c>
      <c r="I436">
        <v>0.65209920626956797</v>
      </c>
      <c r="J436">
        <v>0.11604018478608701</v>
      </c>
      <c r="K436">
        <v>0.64149507979822995</v>
      </c>
      <c r="L436" t="s">
        <v>33</v>
      </c>
      <c r="M436" t="s">
        <v>34</v>
      </c>
      <c r="N436" t="s">
        <v>35</v>
      </c>
      <c r="O436">
        <v>0.84122148574028399</v>
      </c>
      <c r="P436" t="s">
        <v>36</v>
      </c>
    </row>
    <row r="437" spans="1:16">
      <c r="A437">
        <v>436</v>
      </c>
      <c r="B437" t="s">
        <v>488</v>
      </c>
      <c r="C437">
        <v>93</v>
      </c>
      <c r="D437">
        <v>107</v>
      </c>
      <c r="E437">
        <v>85.851278534274101</v>
      </c>
      <c r="F437">
        <v>0.86294414120501095</v>
      </c>
      <c r="G437">
        <v>5788.7316306238199</v>
      </c>
      <c r="H437">
        <v>654.29686228907599</v>
      </c>
      <c r="I437">
        <v>0.67233776840435999</v>
      </c>
      <c r="J437">
        <v>0.16991964991710201</v>
      </c>
      <c r="K437">
        <v>0.72913975475053805</v>
      </c>
      <c r="L437" t="s">
        <v>33</v>
      </c>
      <c r="M437" t="s">
        <v>34</v>
      </c>
      <c r="N437" t="s">
        <v>35</v>
      </c>
      <c r="O437">
        <v>0.79491828094749795</v>
      </c>
      <c r="P437" t="s">
        <v>36</v>
      </c>
    </row>
    <row r="438" spans="1:16">
      <c r="A438">
        <v>437</v>
      </c>
      <c r="B438" t="s">
        <v>489</v>
      </c>
      <c r="C438">
        <v>73</v>
      </c>
      <c r="D438">
        <v>132</v>
      </c>
      <c r="E438">
        <v>85.863401385750393</v>
      </c>
      <c r="F438">
        <v>0.55371895198588095</v>
      </c>
      <c r="G438">
        <v>5790.3665716446103</v>
      </c>
      <c r="H438">
        <v>1161.99169113947</v>
      </c>
      <c r="I438">
        <v>0.79275090543914595</v>
      </c>
      <c r="J438">
        <v>5.3890210167424797E-2</v>
      </c>
      <c r="K438">
        <v>0.60201196050252703</v>
      </c>
      <c r="L438" t="s">
        <v>47</v>
      </c>
      <c r="M438" t="s">
        <v>34</v>
      </c>
      <c r="N438" t="s">
        <v>35</v>
      </c>
      <c r="O438">
        <v>0.94315460581274901</v>
      </c>
      <c r="P438" t="s">
        <v>36</v>
      </c>
    </row>
    <row r="439" spans="1:16">
      <c r="A439">
        <v>438</v>
      </c>
      <c r="B439" t="s">
        <v>490</v>
      </c>
      <c r="C439">
        <v>97</v>
      </c>
      <c r="D439">
        <v>142</v>
      </c>
      <c r="E439">
        <v>85.905267164239405</v>
      </c>
      <c r="F439">
        <v>0.68461538461538496</v>
      </c>
      <c r="G439">
        <v>5796.0145497164503</v>
      </c>
      <c r="H439">
        <v>1036.1854132523699</v>
      </c>
      <c r="I439">
        <v>0.70396655411602804</v>
      </c>
      <c r="J439">
        <v>6.7836648376655304E-2</v>
      </c>
      <c r="K439">
        <v>0.51825370456508701</v>
      </c>
      <c r="L439" t="s">
        <v>47</v>
      </c>
      <c r="M439" t="s">
        <v>34</v>
      </c>
      <c r="N439" t="s">
        <v>35</v>
      </c>
      <c r="O439">
        <v>0.94609646855797502</v>
      </c>
      <c r="P439" t="s">
        <v>36</v>
      </c>
    </row>
    <row r="440" spans="1:16">
      <c r="A440">
        <v>439</v>
      </c>
      <c r="B440" t="s">
        <v>491</v>
      </c>
      <c r="C440">
        <v>106</v>
      </c>
      <c r="D440">
        <v>101</v>
      </c>
      <c r="E440">
        <v>85.964725565170596</v>
      </c>
      <c r="F440">
        <v>1.04838709677419</v>
      </c>
      <c r="G440">
        <v>5804.0406238185296</v>
      </c>
      <c r="H440">
        <v>456.82246523940103</v>
      </c>
      <c r="I440">
        <v>0.70816266016850504</v>
      </c>
      <c r="J440">
        <v>0.34949856847885002</v>
      </c>
      <c r="K440">
        <v>0.73790627362055905</v>
      </c>
      <c r="L440" t="s">
        <v>43</v>
      </c>
      <c r="M440" t="s">
        <v>34</v>
      </c>
      <c r="N440" t="s">
        <v>35</v>
      </c>
      <c r="O440">
        <v>0.79055070482628398</v>
      </c>
      <c r="P440" t="s">
        <v>36</v>
      </c>
    </row>
    <row r="441" spans="1:16">
      <c r="A441">
        <v>440</v>
      </c>
      <c r="B441" t="s">
        <v>492</v>
      </c>
      <c r="C441">
        <v>88</v>
      </c>
      <c r="D441">
        <v>127</v>
      </c>
      <c r="E441">
        <v>86.004341662415996</v>
      </c>
      <c r="F441">
        <v>0.69098712446351895</v>
      </c>
      <c r="G441">
        <v>5809.3913398865798</v>
      </c>
      <c r="H441">
        <v>938.32967106031299</v>
      </c>
      <c r="I441">
        <v>0.73246590413589197</v>
      </c>
      <c r="J441">
        <v>8.2914330462509997E-2</v>
      </c>
      <c r="K441">
        <v>0.60120283635580596</v>
      </c>
      <c r="L441" t="s">
        <v>33</v>
      </c>
      <c r="M441" t="s">
        <v>34</v>
      </c>
      <c r="N441" t="s">
        <v>35</v>
      </c>
      <c r="O441">
        <v>0.73290050957155695</v>
      </c>
      <c r="P441" t="s">
        <v>36</v>
      </c>
    </row>
    <row r="442" spans="1:16">
      <c r="A442">
        <v>441</v>
      </c>
      <c r="B442" t="s">
        <v>493</v>
      </c>
      <c r="C442">
        <v>107</v>
      </c>
      <c r="D442">
        <v>113</v>
      </c>
      <c r="E442">
        <v>86.017542973603696</v>
      </c>
      <c r="F442">
        <v>0.95169082125603899</v>
      </c>
      <c r="G442">
        <v>5811.1749119092601</v>
      </c>
      <c r="H442">
        <v>998.42647374816602</v>
      </c>
      <c r="I442">
        <v>0.73569323763554295</v>
      </c>
      <c r="J442">
        <v>7.3255735914943595E-2</v>
      </c>
      <c r="K442">
        <v>0.61656127292510998</v>
      </c>
      <c r="L442" t="s">
        <v>43</v>
      </c>
      <c r="M442" t="s">
        <v>34</v>
      </c>
      <c r="N442" t="s">
        <v>35</v>
      </c>
      <c r="O442">
        <v>0.79333569761224898</v>
      </c>
      <c r="P442" t="s">
        <v>36</v>
      </c>
    </row>
    <row r="443" spans="1:16">
      <c r="A443">
        <v>442</v>
      </c>
      <c r="B443" t="s">
        <v>494</v>
      </c>
      <c r="C443">
        <v>88</v>
      </c>
      <c r="D443">
        <v>127</v>
      </c>
      <c r="E443">
        <v>86.332672857212799</v>
      </c>
      <c r="F443">
        <v>0.69098708399001796</v>
      </c>
      <c r="G443">
        <v>5853.8320094518003</v>
      </c>
      <c r="H443">
        <v>769.59956100287604</v>
      </c>
      <c r="I443">
        <v>0.61745093258375205</v>
      </c>
      <c r="J443">
        <v>0.124199685615798</v>
      </c>
      <c r="K443">
        <v>0.63445398456755298</v>
      </c>
      <c r="L443" t="s">
        <v>47</v>
      </c>
      <c r="M443" t="s">
        <v>34</v>
      </c>
      <c r="N443" t="s">
        <v>35</v>
      </c>
      <c r="O443">
        <v>0.92844994980484097</v>
      </c>
      <c r="P443" t="s">
        <v>36</v>
      </c>
    </row>
    <row r="444" spans="1:16">
      <c r="A444">
        <v>443</v>
      </c>
      <c r="B444" t="s">
        <v>495</v>
      </c>
      <c r="C444">
        <v>102</v>
      </c>
      <c r="D444">
        <v>149</v>
      </c>
      <c r="E444">
        <v>86.506762850485899</v>
      </c>
      <c r="F444">
        <v>0.68168554349404298</v>
      </c>
      <c r="G444">
        <v>5877.4643387523602</v>
      </c>
      <c r="H444">
        <v>867.10933174299203</v>
      </c>
      <c r="I444">
        <v>0.60613296264142602</v>
      </c>
      <c r="J444">
        <v>9.8231810057943902E-2</v>
      </c>
      <c r="K444">
        <v>0.48863187030446797</v>
      </c>
      <c r="L444" t="s">
        <v>38</v>
      </c>
      <c r="M444" t="s">
        <v>34</v>
      </c>
      <c r="N444" t="s">
        <v>35</v>
      </c>
      <c r="O444">
        <v>0.74295233100061098</v>
      </c>
      <c r="P444" t="s">
        <v>36</v>
      </c>
    </row>
    <row r="445" spans="1:16">
      <c r="A445">
        <v>444</v>
      </c>
      <c r="B445" t="s">
        <v>496</v>
      </c>
      <c r="C445">
        <v>103</v>
      </c>
      <c r="D445">
        <v>107</v>
      </c>
      <c r="E445">
        <v>86.594222950521598</v>
      </c>
      <c r="F445">
        <v>0.95431472081218305</v>
      </c>
      <c r="G445">
        <v>5889.3548189035901</v>
      </c>
      <c r="H445">
        <v>1078.4023910460301</v>
      </c>
      <c r="I445">
        <v>0.670957256717435</v>
      </c>
      <c r="J445">
        <v>6.3637908823799702E-2</v>
      </c>
      <c r="K445">
        <v>0.58120159586951403</v>
      </c>
      <c r="L445" t="s">
        <v>47</v>
      </c>
      <c r="M445" t="s">
        <v>34</v>
      </c>
      <c r="N445" t="s">
        <v>35</v>
      </c>
      <c r="O445">
        <v>0.951362009967059</v>
      </c>
      <c r="P445" t="s">
        <v>36</v>
      </c>
    </row>
    <row r="446" spans="1:16">
      <c r="A446">
        <v>445</v>
      </c>
      <c r="B446" t="s">
        <v>497</v>
      </c>
      <c r="C446">
        <v>115</v>
      </c>
      <c r="D446">
        <v>96</v>
      </c>
      <c r="E446">
        <v>86.726338764965007</v>
      </c>
      <c r="F446">
        <v>1.2024338083152399</v>
      </c>
      <c r="G446">
        <v>5907.3391701323299</v>
      </c>
      <c r="H446">
        <v>591.50331774721997</v>
      </c>
      <c r="I446">
        <v>0.56791545571303403</v>
      </c>
      <c r="J446">
        <v>0.212171672954166</v>
      </c>
      <c r="K446">
        <v>0.69547490725834704</v>
      </c>
      <c r="L446" t="s">
        <v>49</v>
      </c>
      <c r="M446" t="s">
        <v>34</v>
      </c>
      <c r="N446" t="s">
        <v>35</v>
      </c>
      <c r="O446">
        <v>0.77780154924365297</v>
      </c>
      <c r="P446" t="s">
        <v>36</v>
      </c>
    </row>
    <row r="447" spans="1:16">
      <c r="A447">
        <v>446</v>
      </c>
      <c r="B447" t="s">
        <v>498</v>
      </c>
      <c r="C447">
        <v>78</v>
      </c>
      <c r="D447">
        <v>150</v>
      </c>
      <c r="E447">
        <v>86.811397750361905</v>
      </c>
      <c r="F447">
        <v>0.51862643465629599</v>
      </c>
      <c r="G447">
        <v>5918.9323882797698</v>
      </c>
      <c r="H447">
        <v>871.68085743831602</v>
      </c>
      <c r="I447">
        <v>0.72044906619579097</v>
      </c>
      <c r="J447">
        <v>9.7889976799157494E-2</v>
      </c>
      <c r="K447">
        <v>0.57510289551592197</v>
      </c>
      <c r="L447" t="s">
        <v>33</v>
      </c>
      <c r="M447" t="s">
        <v>34</v>
      </c>
      <c r="N447" t="s">
        <v>35</v>
      </c>
      <c r="O447">
        <v>0.71109680958120502</v>
      </c>
      <c r="P447" t="s">
        <v>36</v>
      </c>
    </row>
    <row r="448" spans="1:16">
      <c r="A448">
        <v>447</v>
      </c>
      <c r="B448" t="s">
        <v>499</v>
      </c>
      <c r="C448">
        <v>92</v>
      </c>
      <c r="D448">
        <v>103</v>
      </c>
      <c r="E448">
        <v>86.8255661465613</v>
      </c>
      <c r="F448">
        <v>0.89893617021276595</v>
      </c>
      <c r="G448">
        <v>5920.8645913043501</v>
      </c>
      <c r="H448">
        <v>659.47505019789196</v>
      </c>
      <c r="I448">
        <v>0.60522602305506201</v>
      </c>
      <c r="J448">
        <v>0.17107961088467799</v>
      </c>
      <c r="K448">
        <v>0.79902118100128405</v>
      </c>
      <c r="L448" t="s">
        <v>47</v>
      </c>
      <c r="M448" t="s">
        <v>34</v>
      </c>
      <c r="N448" t="s">
        <v>35</v>
      </c>
      <c r="O448">
        <v>0.94026951487120003</v>
      </c>
      <c r="P448" t="s">
        <v>36</v>
      </c>
    </row>
    <row r="449" spans="1:16">
      <c r="A449">
        <v>448</v>
      </c>
      <c r="B449" t="s">
        <v>500</v>
      </c>
      <c r="C449">
        <v>97</v>
      </c>
      <c r="D449">
        <v>103</v>
      </c>
      <c r="E449">
        <v>86.838642614340003</v>
      </c>
      <c r="F449">
        <v>0.94680850200385303</v>
      </c>
      <c r="G449">
        <v>5922.6481633270296</v>
      </c>
      <c r="H449">
        <v>800.857393769596</v>
      </c>
      <c r="I449">
        <v>0.71922483887108202</v>
      </c>
      <c r="J449">
        <v>0.116042057116654</v>
      </c>
      <c r="K449">
        <v>0.68447360736554597</v>
      </c>
      <c r="L449" t="s">
        <v>38</v>
      </c>
      <c r="M449" t="s">
        <v>34</v>
      </c>
      <c r="N449" t="s">
        <v>35</v>
      </c>
      <c r="O449">
        <v>0.73167297000031795</v>
      </c>
      <c r="P449" t="s">
        <v>36</v>
      </c>
    </row>
    <row r="450" spans="1:16">
      <c r="A450">
        <v>449</v>
      </c>
      <c r="B450" t="s">
        <v>501</v>
      </c>
      <c r="C450">
        <v>122</v>
      </c>
      <c r="D450">
        <v>92</v>
      </c>
      <c r="E450">
        <v>86.985617422884403</v>
      </c>
      <c r="F450">
        <v>1.32544378698225</v>
      </c>
      <c r="G450">
        <v>5942.7133485822296</v>
      </c>
      <c r="H450">
        <v>1030.74264157782</v>
      </c>
      <c r="I450">
        <v>0.64457681019036395</v>
      </c>
      <c r="J450">
        <v>7.0290099825351296E-2</v>
      </c>
      <c r="K450">
        <v>0.59639623513969098</v>
      </c>
      <c r="L450" t="s">
        <v>33</v>
      </c>
      <c r="M450" t="s">
        <v>34</v>
      </c>
      <c r="N450" t="s">
        <v>35</v>
      </c>
      <c r="O450">
        <v>0.80638395015159903</v>
      </c>
      <c r="P450" t="s">
        <v>36</v>
      </c>
    </row>
    <row r="451" spans="1:16">
      <c r="A451">
        <v>450</v>
      </c>
      <c r="B451" t="s">
        <v>502</v>
      </c>
      <c r="C451">
        <v>122</v>
      </c>
      <c r="D451">
        <v>73</v>
      </c>
      <c r="E451">
        <v>87.007370353459294</v>
      </c>
      <c r="F451">
        <v>1.66417910447761</v>
      </c>
      <c r="G451">
        <v>5945.6859686200396</v>
      </c>
      <c r="H451">
        <v>520.018394664163</v>
      </c>
      <c r="I451">
        <v>0.81148967327144395</v>
      </c>
      <c r="J451">
        <v>0.27629588639032798</v>
      </c>
      <c r="K451">
        <v>0.81941457219525204</v>
      </c>
      <c r="L451" t="s">
        <v>74</v>
      </c>
      <c r="M451" t="s">
        <v>34</v>
      </c>
      <c r="N451" t="s">
        <v>35</v>
      </c>
      <c r="O451">
        <v>0.70370909369944001</v>
      </c>
      <c r="P451" t="s">
        <v>36</v>
      </c>
    </row>
    <row r="452" spans="1:16">
      <c r="A452">
        <v>451</v>
      </c>
      <c r="B452" t="s">
        <v>503</v>
      </c>
      <c r="C452">
        <v>98</v>
      </c>
      <c r="D452">
        <v>137</v>
      </c>
      <c r="E452">
        <v>87.118225811138004</v>
      </c>
      <c r="F452">
        <v>0.71314741035856599</v>
      </c>
      <c r="G452">
        <v>5960.8463308128503</v>
      </c>
      <c r="H452">
        <v>981.22140351098506</v>
      </c>
      <c r="I452">
        <v>0.70977812351639202</v>
      </c>
      <c r="J452">
        <v>7.7800746498703499E-2</v>
      </c>
      <c r="K452">
        <v>0.558495453216171</v>
      </c>
      <c r="L452" t="s">
        <v>47</v>
      </c>
      <c r="M452" t="s">
        <v>34</v>
      </c>
      <c r="N452" t="s">
        <v>35</v>
      </c>
      <c r="O452">
        <v>0.93676205524641598</v>
      </c>
      <c r="P452" t="s">
        <v>36</v>
      </c>
    </row>
    <row r="453" spans="1:16">
      <c r="A453">
        <v>452</v>
      </c>
      <c r="B453" t="s">
        <v>504</v>
      </c>
      <c r="C453">
        <v>132</v>
      </c>
      <c r="D453">
        <v>83</v>
      </c>
      <c r="E453">
        <v>87.118225811138004</v>
      </c>
      <c r="F453">
        <v>1.5921053820369899</v>
      </c>
      <c r="G453">
        <v>5960.8463308128503</v>
      </c>
      <c r="H453">
        <v>1048.37668718328</v>
      </c>
      <c r="I453">
        <v>0.73626471469854005</v>
      </c>
      <c r="J453">
        <v>6.8152702223626502E-2</v>
      </c>
      <c r="K453">
        <v>0.60891547606395102</v>
      </c>
      <c r="L453" t="s">
        <v>33</v>
      </c>
      <c r="M453" t="s">
        <v>34</v>
      </c>
      <c r="N453" t="s">
        <v>35</v>
      </c>
      <c r="O453">
        <v>0.65506318794588603</v>
      </c>
      <c r="P453" t="s">
        <v>36</v>
      </c>
    </row>
    <row r="454" spans="1:16">
      <c r="A454">
        <v>453</v>
      </c>
      <c r="B454" t="s">
        <v>505</v>
      </c>
      <c r="C454">
        <v>126</v>
      </c>
      <c r="D454">
        <v>93</v>
      </c>
      <c r="E454">
        <v>87.246294632171697</v>
      </c>
      <c r="F454">
        <v>1.3567251461988299</v>
      </c>
      <c r="G454">
        <v>5978.3847890359202</v>
      </c>
      <c r="H454">
        <v>704.08268412165</v>
      </c>
      <c r="I454">
        <v>0.52475581054129306</v>
      </c>
      <c r="J454">
        <v>0.151546671111155</v>
      </c>
      <c r="K454">
        <v>0.60239321871443097</v>
      </c>
      <c r="L454" t="s">
        <v>33</v>
      </c>
      <c r="M454" t="s">
        <v>34</v>
      </c>
      <c r="N454" t="s">
        <v>35</v>
      </c>
      <c r="O454">
        <v>0.83385570714520396</v>
      </c>
      <c r="P454" t="s">
        <v>36</v>
      </c>
    </row>
    <row r="455" spans="1:16">
      <c r="A455">
        <v>454</v>
      </c>
      <c r="B455" t="s">
        <v>506</v>
      </c>
      <c r="C455">
        <v>117</v>
      </c>
      <c r="D455">
        <v>103</v>
      </c>
      <c r="E455">
        <v>87.275572095011697</v>
      </c>
      <c r="F455">
        <v>1.1436170212765999</v>
      </c>
      <c r="G455">
        <v>5982.3978260869599</v>
      </c>
      <c r="H455">
        <v>895.318941969457</v>
      </c>
      <c r="I455">
        <v>0.61545426016091898</v>
      </c>
      <c r="J455">
        <v>9.3784184937305601E-2</v>
      </c>
      <c r="K455">
        <v>0.64569430184804899</v>
      </c>
      <c r="L455" t="s">
        <v>43</v>
      </c>
      <c r="M455" t="s">
        <v>34</v>
      </c>
      <c r="N455" t="s">
        <v>35</v>
      </c>
      <c r="O455">
        <v>0.66963496728564598</v>
      </c>
      <c r="P455" t="s">
        <v>36</v>
      </c>
    </row>
    <row r="456" spans="1:16">
      <c r="A456">
        <v>455</v>
      </c>
      <c r="B456" t="s">
        <v>507</v>
      </c>
      <c r="C456">
        <v>112</v>
      </c>
      <c r="D456">
        <v>88</v>
      </c>
      <c r="E456">
        <v>87.397997280995895</v>
      </c>
      <c r="F456">
        <v>1.2716049382716099</v>
      </c>
      <c r="G456">
        <v>5999.19312930057</v>
      </c>
      <c r="H456">
        <v>590.78706113203702</v>
      </c>
      <c r="I456">
        <v>0.70069938563805301</v>
      </c>
      <c r="J456">
        <v>0.21599353723145701</v>
      </c>
      <c r="K456">
        <v>0.74314173141363205</v>
      </c>
      <c r="L456" t="s">
        <v>47</v>
      </c>
      <c r="M456" t="s">
        <v>34</v>
      </c>
      <c r="N456" t="s">
        <v>35</v>
      </c>
      <c r="O456">
        <v>0.94605932377047197</v>
      </c>
      <c r="P456" t="s">
        <v>36</v>
      </c>
    </row>
    <row r="457" spans="1:16">
      <c r="A457">
        <v>456</v>
      </c>
      <c r="B457" t="s">
        <v>508</v>
      </c>
      <c r="C457">
        <v>78</v>
      </c>
      <c r="D457">
        <v>103</v>
      </c>
      <c r="E457">
        <v>87.911828182894993</v>
      </c>
      <c r="F457">
        <v>0.76063829787234005</v>
      </c>
      <c r="G457">
        <v>6069.9414862003796</v>
      </c>
      <c r="H457">
        <v>589.08996413593695</v>
      </c>
      <c r="I457">
        <v>0.501803743758098</v>
      </c>
      <c r="J457">
        <v>0.21980173713921999</v>
      </c>
      <c r="K457">
        <v>0.80155053974484802</v>
      </c>
      <c r="L457" t="s">
        <v>47</v>
      </c>
      <c r="M457" t="s">
        <v>34</v>
      </c>
      <c r="N457" t="s">
        <v>35</v>
      </c>
      <c r="O457">
        <v>0.95179406379726905</v>
      </c>
      <c r="P457" t="s">
        <v>36</v>
      </c>
    </row>
    <row r="458" spans="1:16">
      <c r="A458">
        <v>457</v>
      </c>
      <c r="B458" t="s">
        <v>509</v>
      </c>
      <c r="C458">
        <v>93</v>
      </c>
      <c r="D458">
        <v>132</v>
      </c>
      <c r="E458">
        <v>88.012944298902994</v>
      </c>
      <c r="F458">
        <v>0.70247933884297498</v>
      </c>
      <c r="G458">
        <v>6083.9128003780697</v>
      </c>
      <c r="H458">
        <v>1022.61253028776</v>
      </c>
      <c r="I458">
        <v>0.71835495853132703</v>
      </c>
      <c r="J458">
        <v>7.31089631937719E-2</v>
      </c>
      <c r="K458">
        <v>0.58015732407341802</v>
      </c>
      <c r="L458" t="s">
        <v>41</v>
      </c>
      <c r="M458" t="s">
        <v>34</v>
      </c>
      <c r="N458" t="s">
        <v>35</v>
      </c>
      <c r="O458">
        <v>0.70702555259399602</v>
      </c>
      <c r="P458" t="s">
        <v>36</v>
      </c>
    </row>
    <row r="459" spans="1:16">
      <c r="A459">
        <v>458</v>
      </c>
      <c r="B459" t="s">
        <v>510</v>
      </c>
      <c r="C459">
        <v>122</v>
      </c>
      <c r="D459">
        <v>78</v>
      </c>
      <c r="E459">
        <v>88.218046635454698</v>
      </c>
      <c r="F459">
        <v>1.56643356643357</v>
      </c>
      <c r="G459">
        <v>6112.3013217391299</v>
      </c>
      <c r="H459">
        <v>738.88970024461298</v>
      </c>
      <c r="I459">
        <v>0.71551154502411696</v>
      </c>
      <c r="J459">
        <v>0.14068746175571301</v>
      </c>
      <c r="K459">
        <v>0.71561069831381496</v>
      </c>
      <c r="L459" t="s">
        <v>47</v>
      </c>
      <c r="M459" t="s">
        <v>34</v>
      </c>
      <c r="N459" t="s">
        <v>35</v>
      </c>
      <c r="O459">
        <v>0.93730406675058897</v>
      </c>
      <c r="P459" t="s">
        <v>36</v>
      </c>
    </row>
    <row r="460" spans="1:16">
      <c r="A460">
        <v>459</v>
      </c>
      <c r="B460" t="s">
        <v>511</v>
      </c>
      <c r="C460">
        <v>138</v>
      </c>
      <c r="D460">
        <v>79</v>
      </c>
      <c r="E460">
        <v>88.294167394494806</v>
      </c>
      <c r="F460">
        <v>1.73568298292031</v>
      </c>
      <c r="G460">
        <v>6122.8541228733502</v>
      </c>
      <c r="H460">
        <v>625.46178537213302</v>
      </c>
      <c r="I460">
        <v>0.63519626870642198</v>
      </c>
      <c r="J460">
        <v>0.196680913212019</v>
      </c>
      <c r="K460">
        <v>0.71109231512808102</v>
      </c>
      <c r="L460" t="s">
        <v>74</v>
      </c>
      <c r="M460" t="s">
        <v>34</v>
      </c>
      <c r="N460" t="s">
        <v>35</v>
      </c>
      <c r="O460">
        <v>0.72209807026360096</v>
      </c>
      <c r="P460" t="s">
        <v>36</v>
      </c>
    </row>
    <row r="461" spans="1:16">
      <c r="A461">
        <v>460</v>
      </c>
      <c r="B461" t="s">
        <v>512</v>
      </c>
      <c r="C461">
        <v>83</v>
      </c>
      <c r="D461">
        <v>117</v>
      </c>
      <c r="E461">
        <v>88.549924006862895</v>
      </c>
      <c r="F461">
        <v>0.71028033251615597</v>
      </c>
      <c r="G461">
        <v>6158.3769323251399</v>
      </c>
      <c r="H461">
        <v>821.54355491949195</v>
      </c>
      <c r="I461">
        <v>0.71121975458573605</v>
      </c>
      <c r="J461">
        <v>0.114660794090295</v>
      </c>
      <c r="K461">
        <v>0.71526722828338596</v>
      </c>
      <c r="L461" t="s">
        <v>49</v>
      </c>
      <c r="M461" t="s">
        <v>34</v>
      </c>
      <c r="N461" t="s">
        <v>35</v>
      </c>
      <c r="O461">
        <v>0.66273577149663299</v>
      </c>
      <c r="P461" t="s">
        <v>36</v>
      </c>
    </row>
    <row r="462" spans="1:16">
      <c r="A462">
        <v>461</v>
      </c>
      <c r="B462" t="s">
        <v>513</v>
      </c>
      <c r="C462">
        <v>88</v>
      </c>
      <c r="D462">
        <v>176</v>
      </c>
      <c r="E462">
        <v>88.592656334418706</v>
      </c>
      <c r="F462">
        <v>0.49845201238390102</v>
      </c>
      <c r="G462">
        <v>6164.3221724007599</v>
      </c>
      <c r="H462">
        <v>936.67796902656596</v>
      </c>
      <c r="I462">
        <v>0.812359708874133</v>
      </c>
      <c r="J462">
        <v>8.8290623025920806E-2</v>
      </c>
      <c r="K462">
        <v>0.581454688200987</v>
      </c>
      <c r="L462" t="s">
        <v>33</v>
      </c>
      <c r="M462" t="s">
        <v>34</v>
      </c>
      <c r="N462" t="s">
        <v>35</v>
      </c>
      <c r="O462">
        <v>0.709611330474749</v>
      </c>
      <c r="P462" t="s">
        <v>36</v>
      </c>
    </row>
    <row r="463" spans="1:16">
      <c r="A463">
        <v>462</v>
      </c>
      <c r="B463" t="s">
        <v>514</v>
      </c>
      <c r="C463">
        <v>161</v>
      </c>
      <c r="D463">
        <v>103</v>
      </c>
      <c r="E463">
        <v>89.282070627967201</v>
      </c>
      <c r="F463">
        <v>1.56985899601165</v>
      </c>
      <c r="G463">
        <v>6260.6350616257096</v>
      </c>
      <c r="H463">
        <v>1101.19192707912</v>
      </c>
      <c r="I463">
        <v>0.73546662356970205</v>
      </c>
      <c r="J463">
        <v>6.4878711379009094E-2</v>
      </c>
      <c r="K463">
        <v>0.50634098258183202</v>
      </c>
      <c r="L463" t="s">
        <v>33</v>
      </c>
      <c r="M463" t="s">
        <v>34</v>
      </c>
      <c r="N463" t="s">
        <v>35</v>
      </c>
      <c r="O463">
        <v>0.75621668191592595</v>
      </c>
      <c r="P463" t="s">
        <v>36</v>
      </c>
    </row>
    <row r="464" spans="1:16">
      <c r="A464">
        <v>463</v>
      </c>
      <c r="B464" t="s">
        <v>515</v>
      </c>
      <c r="C464">
        <v>83</v>
      </c>
      <c r="D464">
        <v>93</v>
      </c>
      <c r="E464">
        <v>89.662788092509501</v>
      </c>
      <c r="F464">
        <v>0.89411762805133199</v>
      </c>
      <c r="G464">
        <v>6314.14222230624</v>
      </c>
      <c r="H464">
        <v>580.54417272028695</v>
      </c>
      <c r="I464">
        <v>0.56083154999628904</v>
      </c>
      <c r="J464">
        <v>0.23542559876174701</v>
      </c>
      <c r="K464">
        <v>0.83466609033931305</v>
      </c>
      <c r="L464" t="s">
        <v>47</v>
      </c>
      <c r="M464" t="s">
        <v>34</v>
      </c>
      <c r="N464" t="s">
        <v>35</v>
      </c>
      <c r="O464">
        <v>0.94729647213471302</v>
      </c>
      <c r="P464" t="s">
        <v>36</v>
      </c>
    </row>
    <row r="465" spans="1:16">
      <c r="A465">
        <v>464</v>
      </c>
      <c r="B465" t="s">
        <v>516</v>
      </c>
      <c r="C465">
        <v>152</v>
      </c>
      <c r="D465">
        <v>81</v>
      </c>
      <c r="E465">
        <v>90.143771608124496</v>
      </c>
      <c r="F465">
        <v>1.8752729562346</v>
      </c>
      <c r="G465">
        <v>6382.0665901701304</v>
      </c>
      <c r="H465">
        <v>709.31566923131095</v>
      </c>
      <c r="I465">
        <v>0.469438171542024</v>
      </c>
      <c r="J465">
        <v>0.15940138396003201</v>
      </c>
      <c r="K465">
        <v>0.67390178445312898</v>
      </c>
      <c r="L465" t="s">
        <v>74</v>
      </c>
      <c r="M465" t="s">
        <v>34</v>
      </c>
      <c r="N465" t="s">
        <v>35</v>
      </c>
      <c r="O465">
        <v>0.62461651820642905</v>
      </c>
      <c r="P465" t="s">
        <v>36</v>
      </c>
    </row>
    <row r="466" spans="1:16">
      <c r="A466">
        <v>465</v>
      </c>
      <c r="B466" t="s">
        <v>517</v>
      </c>
      <c r="C466">
        <v>131</v>
      </c>
      <c r="D466">
        <v>128</v>
      </c>
      <c r="E466">
        <v>90.450802762648706</v>
      </c>
      <c r="F466">
        <v>1.0255319148936199</v>
      </c>
      <c r="G466">
        <v>6425.6154737240104</v>
      </c>
      <c r="H466">
        <v>839.211977018688</v>
      </c>
      <c r="I466">
        <v>0.75359191572749495</v>
      </c>
      <c r="J466">
        <v>0.114651898337956</v>
      </c>
      <c r="K466">
        <v>0.54321111753323403</v>
      </c>
      <c r="L466" t="s">
        <v>33</v>
      </c>
      <c r="M466" t="s">
        <v>34</v>
      </c>
      <c r="N466" t="s">
        <v>35</v>
      </c>
      <c r="O466">
        <v>0.80558550122041805</v>
      </c>
      <c r="P466" t="s">
        <v>36</v>
      </c>
    </row>
    <row r="467" spans="1:16">
      <c r="A467">
        <v>466</v>
      </c>
      <c r="B467" t="s">
        <v>518</v>
      </c>
      <c r="C467">
        <v>254</v>
      </c>
      <c r="D467">
        <v>64</v>
      </c>
      <c r="E467">
        <v>90.601317283853803</v>
      </c>
      <c r="F467">
        <v>3.9606627593156798</v>
      </c>
      <c r="G467">
        <v>6447.01833799622</v>
      </c>
      <c r="H467">
        <v>837.93217637829196</v>
      </c>
      <c r="I467">
        <v>0.92808704692023802</v>
      </c>
      <c r="J467">
        <v>0.115385446371219</v>
      </c>
      <c r="K467">
        <v>0.51507486967570304</v>
      </c>
      <c r="L467" t="s">
        <v>49</v>
      </c>
      <c r="M467" t="s">
        <v>34</v>
      </c>
      <c r="N467" t="s">
        <v>35</v>
      </c>
      <c r="O467">
        <v>0.85720605456952503</v>
      </c>
      <c r="P467" t="s">
        <v>36</v>
      </c>
    </row>
    <row r="468" spans="1:16">
      <c r="A468">
        <v>467</v>
      </c>
      <c r="B468" t="s">
        <v>519</v>
      </c>
      <c r="C468">
        <v>107</v>
      </c>
      <c r="D468">
        <v>84</v>
      </c>
      <c r="E468">
        <v>90.915129638541799</v>
      </c>
      <c r="F468">
        <v>1.2753620877235701</v>
      </c>
      <c r="G468">
        <v>6491.7562695652196</v>
      </c>
      <c r="H468">
        <v>378.44896200874598</v>
      </c>
      <c r="I468">
        <v>0.62817187635294303</v>
      </c>
      <c r="J468">
        <v>0.56958354367945196</v>
      </c>
      <c r="K468">
        <v>0.91669814884775203</v>
      </c>
      <c r="L468" t="s">
        <v>47</v>
      </c>
      <c r="M468" t="s">
        <v>34</v>
      </c>
      <c r="N468" t="s">
        <v>35</v>
      </c>
      <c r="O468">
        <v>0.94346030358812705</v>
      </c>
      <c r="P468" t="s">
        <v>36</v>
      </c>
    </row>
    <row r="469" spans="1:16">
      <c r="A469">
        <v>468</v>
      </c>
      <c r="B469" t="s">
        <v>520</v>
      </c>
      <c r="C469">
        <v>132</v>
      </c>
      <c r="D469">
        <v>101</v>
      </c>
      <c r="E469">
        <v>91.147616696197503</v>
      </c>
      <c r="F469">
        <v>1.3121017875386101</v>
      </c>
      <c r="G469">
        <v>6525</v>
      </c>
      <c r="H469">
        <v>542.84270763397205</v>
      </c>
      <c r="I469">
        <v>0.780699032850383</v>
      </c>
      <c r="J469">
        <v>0.27825460723948198</v>
      </c>
      <c r="K469">
        <v>0.61702127659574502</v>
      </c>
      <c r="L469" t="s">
        <v>33</v>
      </c>
      <c r="M469" t="s">
        <v>34</v>
      </c>
      <c r="N469" t="s">
        <v>35</v>
      </c>
      <c r="O469">
        <v>0.71088756240574302</v>
      </c>
      <c r="P469" t="s">
        <v>36</v>
      </c>
    </row>
    <row r="470" spans="1:16">
      <c r="A470">
        <v>469</v>
      </c>
      <c r="B470" t="s">
        <v>521</v>
      </c>
      <c r="C470">
        <v>112</v>
      </c>
      <c r="D470">
        <v>117</v>
      </c>
      <c r="E470">
        <v>91.703732860986406</v>
      </c>
      <c r="F470">
        <v>0.95813953488372094</v>
      </c>
      <c r="G470">
        <v>6604.8644620037803</v>
      </c>
      <c r="H470">
        <v>1016.0926190732901</v>
      </c>
      <c r="I470">
        <v>0.52662717641859902</v>
      </c>
      <c r="J470">
        <v>8.0390953661431494E-2</v>
      </c>
      <c r="K470">
        <v>0.617297327332333</v>
      </c>
      <c r="L470" t="s">
        <v>33</v>
      </c>
      <c r="M470" t="s">
        <v>34</v>
      </c>
      <c r="N470" t="s">
        <v>35</v>
      </c>
      <c r="O470">
        <v>0.65968587507635001</v>
      </c>
      <c r="P470" t="s">
        <v>36</v>
      </c>
    </row>
    <row r="471" spans="1:16">
      <c r="A471">
        <v>470</v>
      </c>
      <c r="B471" t="s">
        <v>522</v>
      </c>
      <c r="C471">
        <v>85</v>
      </c>
      <c r="D471">
        <v>170</v>
      </c>
      <c r="E471">
        <v>92.1720137900667</v>
      </c>
      <c r="F471">
        <v>0.50125072651597902</v>
      </c>
      <c r="G471">
        <v>6672.4915678638999</v>
      </c>
      <c r="H471">
        <v>924.09922168555499</v>
      </c>
      <c r="I471">
        <v>0.61814750651705297</v>
      </c>
      <c r="J471">
        <v>9.8188514301017202E-2</v>
      </c>
      <c r="K471">
        <v>0.63618456480457997</v>
      </c>
      <c r="L471" t="s">
        <v>33</v>
      </c>
      <c r="M471" t="s">
        <v>34</v>
      </c>
      <c r="N471" t="s">
        <v>35</v>
      </c>
      <c r="O471">
        <v>0.69164558253233399</v>
      </c>
      <c r="P471" t="s">
        <v>36</v>
      </c>
    </row>
    <row r="472" spans="1:16">
      <c r="A472">
        <v>471</v>
      </c>
      <c r="B472" t="s">
        <v>523</v>
      </c>
      <c r="C472">
        <v>161</v>
      </c>
      <c r="D472">
        <v>71</v>
      </c>
      <c r="E472">
        <v>92.239742819904606</v>
      </c>
      <c r="F472">
        <v>2.2577431738717602</v>
      </c>
      <c r="G472">
        <v>6682.3012139886596</v>
      </c>
      <c r="H472">
        <v>674.34426150581101</v>
      </c>
      <c r="I472">
        <v>0.471726372823985</v>
      </c>
      <c r="J472">
        <v>0.18465989315704701</v>
      </c>
      <c r="K472">
        <v>0.68196159330158101</v>
      </c>
      <c r="L472" t="s">
        <v>49</v>
      </c>
      <c r="M472" t="s">
        <v>34</v>
      </c>
      <c r="N472" t="s">
        <v>35</v>
      </c>
      <c r="O472">
        <v>0.77005204810402395</v>
      </c>
      <c r="P472" t="s">
        <v>36</v>
      </c>
    </row>
    <row r="473" spans="1:16">
      <c r="A473">
        <v>472</v>
      </c>
      <c r="B473" t="s">
        <v>524</v>
      </c>
      <c r="C473">
        <v>96</v>
      </c>
      <c r="D473">
        <v>110</v>
      </c>
      <c r="E473">
        <v>92.363783717715805</v>
      </c>
      <c r="F473">
        <v>0.874125863573187</v>
      </c>
      <c r="G473">
        <v>6700.2855652173903</v>
      </c>
      <c r="H473">
        <v>529.93249987083902</v>
      </c>
      <c r="I473">
        <v>0.79124505870766504</v>
      </c>
      <c r="J473">
        <v>0.29982101282668</v>
      </c>
      <c r="K473">
        <v>0.80693087029678201</v>
      </c>
      <c r="L473" t="s">
        <v>47</v>
      </c>
      <c r="M473" t="s">
        <v>34</v>
      </c>
      <c r="N473" t="s">
        <v>35</v>
      </c>
      <c r="O473">
        <v>0.92309135074748305</v>
      </c>
      <c r="P473" t="s">
        <v>36</v>
      </c>
    </row>
    <row r="474" spans="1:16">
      <c r="A474">
        <v>473</v>
      </c>
      <c r="B474" t="s">
        <v>525</v>
      </c>
      <c r="C474">
        <v>132</v>
      </c>
      <c r="D474">
        <v>137</v>
      </c>
      <c r="E474">
        <v>92.4538907517734</v>
      </c>
      <c r="F474">
        <v>0.96414342629482097</v>
      </c>
      <c r="G474">
        <v>6713.3650933837398</v>
      </c>
      <c r="H474">
        <v>1383.5824360551001</v>
      </c>
      <c r="I474">
        <v>0.62953674904381896</v>
      </c>
      <c r="J474">
        <v>4.4069695494023099E-2</v>
      </c>
      <c r="K474">
        <v>0.47736207989854201</v>
      </c>
      <c r="L474" t="s">
        <v>33</v>
      </c>
      <c r="M474" t="s">
        <v>34</v>
      </c>
      <c r="N474" t="s">
        <v>35</v>
      </c>
      <c r="O474">
        <v>0.70706988184099595</v>
      </c>
      <c r="P474" t="s">
        <v>36</v>
      </c>
    </row>
    <row r="475" spans="1:16">
      <c r="A475">
        <v>474</v>
      </c>
      <c r="B475" t="s">
        <v>526</v>
      </c>
      <c r="C475">
        <v>100</v>
      </c>
      <c r="D475">
        <v>120</v>
      </c>
      <c r="E475">
        <v>92.549022155691304</v>
      </c>
      <c r="F475">
        <v>0.83547422921388503</v>
      </c>
      <c r="G475">
        <v>6727.18777655955</v>
      </c>
      <c r="H475">
        <v>658.17482885039396</v>
      </c>
      <c r="I475">
        <v>0.61328386973278803</v>
      </c>
      <c r="J475">
        <v>0.19514654920753699</v>
      </c>
      <c r="K475">
        <v>0.76832063012442897</v>
      </c>
      <c r="L475" t="s">
        <v>43</v>
      </c>
      <c r="M475" t="s">
        <v>34</v>
      </c>
      <c r="N475" t="s">
        <v>35</v>
      </c>
      <c r="O475">
        <v>0.78340498356028598</v>
      </c>
      <c r="P475" t="s">
        <v>36</v>
      </c>
    </row>
    <row r="476" spans="1:16">
      <c r="A476">
        <v>475</v>
      </c>
      <c r="B476" t="s">
        <v>527</v>
      </c>
      <c r="C476">
        <v>124</v>
      </c>
      <c r="D476">
        <v>87</v>
      </c>
      <c r="E476">
        <v>92.767556160433799</v>
      </c>
      <c r="F476">
        <v>1.4291698737004801</v>
      </c>
      <c r="G476">
        <v>6758.99481096408</v>
      </c>
      <c r="H476">
        <v>539.34953726571496</v>
      </c>
      <c r="I476">
        <v>0.75199969126183597</v>
      </c>
      <c r="J476">
        <v>0.29197882472773801</v>
      </c>
      <c r="K476">
        <v>0.77987000737425205</v>
      </c>
      <c r="L476" t="s">
        <v>33</v>
      </c>
      <c r="M476" t="s">
        <v>34</v>
      </c>
      <c r="N476" t="s">
        <v>35</v>
      </c>
      <c r="O476">
        <v>0.85791043095288999</v>
      </c>
      <c r="P476" t="s">
        <v>36</v>
      </c>
    </row>
    <row r="477" spans="1:16">
      <c r="A477">
        <v>476</v>
      </c>
      <c r="B477" t="s">
        <v>528</v>
      </c>
      <c r="C477">
        <v>194</v>
      </c>
      <c r="D477">
        <v>97</v>
      </c>
      <c r="E477">
        <v>92.904133494960305</v>
      </c>
      <c r="F477">
        <v>1.99720016735855</v>
      </c>
      <c r="G477">
        <v>6778.9113652173901</v>
      </c>
      <c r="H477">
        <v>1009.41771849477</v>
      </c>
      <c r="I477">
        <v>0.55461526084915602</v>
      </c>
      <c r="J477">
        <v>8.36041762430699E-2</v>
      </c>
      <c r="K477">
        <v>0.477426175796338</v>
      </c>
      <c r="L477" t="s">
        <v>74</v>
      </c>
      <c r="M477" t="s">
        <v>34</v>
      </c>
      <c r="N477" t="s">
        <v>35</v>
      </c>
      <c r="O477">
        <v>0.70275510876826197</v>
      </c>
      <c r="P477" t="s">
        <v>36</v>
      </c>
    </row>
    <row r="478" spans="1:16">
      <c r="A478">
        <v>477</v>
      </c>
      <c r="B478" t="s">
        <v>529</v>
      </c>
      <c r="C478">
        <v>150</v>
      </c>
      <c r="D478">
        <v>80</v>
      </c>
      <c r="E478">
        <v>93.080164572360005</v>
      </c>
      <c r="F478">
        <v>1.86535647599625</v>
      </c>
      <c r="G478">
        <v>6804.6245285444202</v>
      </c>
      <c r="H478">
        <v>632.85294256583495</v>
      </c>
      <c r="I478">
        <v>0.67074854600232903</v>
      </c>
      <c r="J478">
        <v>0.213505183236711</v>
      </c>
      <c r="K478">
        <v>0.77952018525139999</v>
      </c>
      <c r="L478" t="s">
        <v>298</v>
      </c>
      <c r="M478" t="s">
        <v>34</v>
      </c>
      <c r="N478" t="s">
        <v>35</v>
      </c>
      <c r="O478">
        <v>0.69409677433177996</v>
      </c>
      <c r="P478" t="s">
        <v>36</v>
      </c>
    </row>
    <row r="479" spans="1:16">
      <c r="A479">
        <v>478</v>
      </c>
      <c r="B479" t="s">
        <v>530</v>
      </c>
      <c r="C479">
        <v>59</v>
      </c>
      <c r="D479">
        <v>205</v>
      </c>
      <c r="E479">
        <v>93.599195433710804</v>
      </c>
      <c r="F479">
        <v>0.28817232143399402</v>
      </c>
      <c r="G479">
        <v>6880.7236015122899</v>
      </c>
      <c r="H479">
        <v>746.18066527511803</v>
      </c>
      <c r="I479">
        <v>0.77009239420377096</v>
      </c>
      <c r="J479">
        <v>0.15529447091520701</v>
      </c>
      <c r="K479">
        <v>0.64470935576414201</v>
      </c>
      <c r="L479" t="s">
        <v>47</v>
      </c>
      <c r="M479" t="s">
        <v>34</v>
      </c>
      <c r="N479" t="s">
        <v>35</v>
      </c>
      <c r="O479">
        <v>0.92194361284408399</v>
      </c>
      <c r="P479" t="s">
        <v>36</v>
      </c>
    </row>
    <row r="480" spans="1:16">
      <c r="A480">
        <v>479</v>
      </c>
      <c r="B480" t="s">
        <v>531</v>
      </c>
      <c r="C480">
        <v>161</v>
      </c>
      <c r="D480">
        <v>171</v>
      </c>
      <c r="E480">
        <v>93.825368576597697</v>
      </c>
      <c r="F480">
        <v>0.94568690095846597</v>
      </c>
      <c r="G480">
        <v>6914.0169459357303</v>
      </c>
      <c r="H480">
        <v>1332.7194746826001</v>
      </c>
      <c r="I480">
        <v>0.72347924086343895</v>
      </c>
      <c r="J480">
        <v>4.8917338027361798E-2</v>
      </c>
      <c r="K480">
        <v>0.38444310377600199</v>
      </c>
      <c r="L480" t="s">
        <v>33</v>
      </c>
      <c r="M480" t="s">
        <v>34</v>
      </c>
      <c r="N480" t="s">
        <v>35</v>
      </c>
      <c r="O480">
        <v>0.72452756521421902</v>
      </c>
      <c r="P480" t="s">
        <v>36</v>
      </c>
    </row>
    <row r="481" spans="1:16">
      <c r="A481">
        <v>480</v>
      </c>
      <c r="B481" t="s">
        <v>532</v>
      </c>
      <c r="C481">
        <v>132</v>
      </c>
      <c r="D481">
        <v>117</v>
      </c>
      <c r="E481">
        <v>93.940265464927094</v>
      </c>
      <c r="F481">
        <v>1.1255813953488401</v>
      </c>
      <c r="G481">
        <v>6930.9608801512304</v>
      </c>
      <c r="H481">
        <v>1696.0025418980199</v>
      </c>
      <c r="I481">
        <v>0.61384047757026605</v>
      </c>
      <c r="J481">
        <v>3.0279612566128999E-2</v>
      </c>
      <c r="K481">
        <v>0.49593210605238802</v>
      </c>
      <c r="L481" t="s">
        <v>43</v>
      </c>
      <c r="M481" t="s">
        <v>34</v>
      </c>
      <c r="N481" t="s">
        <v>35</v>
      </c>
      <c r="O481">
        <v>0.85946588099625898</v>
      </c>
      <c r="P481" t="s">
        <v>36</v>
      </c>
    </row>
    <row r="482" spans="1:16">
      <c r="A482">
        <v>481</v>
      </c>
      <c r="B482" t="s">
        <v>533</v>
      </c>
      <c r="C482">
        <v>94</v>
      </c>
      <c r="D482">
        <v>127</v>
      </c>
      <c r="E482">
        <v>94.292144316661506</v>
      </c>
      <c r="F482">
        <v>0.74043828130240097</v>
      </c>
      <c r="G482">
        <v>6982.9817308128504</v>
      </c>
      <c r="H482">
        <v>707.53167531469603</v>
      </c>
      <c r="I482">
        <v>0.69216557987043204</v>
      </c>
      <c r="J482">
        <v>0.17529074827357499</v>
      </c>
      <c r="K482">
        <v>0.75078703037857397</v>
      </c>
      <c r="L482" t="s">
        <v>43</v>
      </c>
      <c r="M482" t="s">
        <v>34</v>
      </c>
      <c r="N482" t="s">
        <v>35</v>
      </c>
      <c r="O482">
        <v>0.73534506897332796</v>
      </c>
      <c r="P482" t="s">
        <v>36</v>
      </c>
    </row>
    <row r="483" spans="1:16">
      <c r="A483">
        <v>482</v>
      </c>
      <c r="B483" t="s">
        <v>534</v>
      </c>
      <c r="C483">
        <v>108</v>
      </c>
      <c r="D483">
        <v>93</v>
      </c>
      <c r="E483">
        <v>94.485619824319997</v>
      </c>
      <c r="F483">
        <v>1.1705882352941199</v>
      </c>
      <c r="G483">
        <v>7011.6675141776996</v>
      </c>
      <c r="H483">
        <v>635.79157070439805</v>
      </c>
      <c r="I483">
        <v>0.69137592678405102</v>
      </c>
      <c r="J483">
        <v>0.21797247055541</v>
      </c>
      <c r="K483">
        <v>0.78707643025176399</v>
      </c>
      <c r="L483" t="s">
        <v>47</v>
      </c>
      <c r="M483" t="s">
        <v>34</v>
      </c>
      <c r="N483" t="s">
        <v>35</v>
      </c>
      <c r="O483">
        <v>0.90131652511845695</v>
      </c>
      <c r="P483" t="s">
        <v>36</v>
      </c>
    </row>
    <row r="484" spans="1:16">
      <c r="A484">
        <v>483</v>
      </c>
      <c r="B484" t="s">
        <v>535</v>
      </c>
      <c r="C484">
        <v>153</v>
      </c>
      <c r="D484">
        <v>91</v>
      </c>
      <c r="E484">
        <v>94.667705981378802</v>
      </c>
      <c r="F484">
        <v>1.68368423876745</v>
      </c>
      <c r="G484">
        <v>7038.7183565217401</v>
      </c>
      <c r="H484">
        <v>625.46178537213302</v>
      </c>
      <c r="I484">
        <v>0.468792742415161</v>
      </c>
      <c r="J484">
        <v>0.22610069200100899</v>
      </c>
      <c r="K484">
        <v>0.70992549507547897</v>
      </c>
      <c r="L484" t="s">
        <v>33</v>
      </c>
      <c r="M484" t="s">
        <v>34</v>
      </c>
      <c r="N484" t="s">
        <v>35</v>
      </c>
      <c r="O484">
        <v>0.76095878141936102</v>
      </c>
      <c r="P484" t="s">
        <v>36</v>
      </c>
    </row>
    <row r="485" spans="1:16">
      <c r="A485">
        <v>484</v>
      </c>
      <c r="B485" t="s">
        <v>536</v>
      </c>
      <c r="C485">
        <v>138</v>
      </c>
      <c r="D485">
        <v>114</v>
      </c>
      <c r="E485">
        <v>94.992987799782298</v>
      </c>
      <c r="F485">
        <v>1.2038243529967101</v>
      </c>
      <c r="G485">
        <v>7087.1720631380003</v>
      </c>
      <c r="H485">
        <v>955.68973066153706</v>
      </c>
      <c r="I485">
        <v>0.68430072692909605</v>
      </c>
      <c r="J485">
        <v>9.7509965345488503E-2</v>
      </c>
      <c r="K485">
        <v>0.52905280209477501</v>
      </c>
      <c r="L485" t="s">
        <v>47</v>
      </c>
      <c r="M485" t="s">
        <v>34</v>
      </c>
      <c r="N485" t="s">
        <v>35</v>
      </c>
      <c r="O485">
        <v>0.937789888165935</v>
      </c>
      <c r="P485" t="s">
        <v>36</v>
      </c>
    </row>
    <row r="486" spans="1:16">
      <c r="A486">
        <v>485</v>
      </c>
      <c r="B486" t="s">
        <v>537</v>
      </c>
      <c r="C486">
        <v>97</v>
      </c>
      <c r="D486">
        <v>154</v>
      </c>
      <c r="E486">
        <v>95.182056482689305</v>
      </c>
      <c r="F486">
        <v>0.62693365798196299</v>
      </c>
      <c r="G486">
        <v>7115.4119534971696</v>
      </c>
      <c r="H486">
        <v>574.82579881139395</v>
      </c>
      <c r="I486">
        <v>0.58791653207536398</v>
      </c>
      <c r="J486">
        <v>0.27060599270494301</v>
      </c>
      <c r="K486">
        <v>0.63812799082923399</v>
      </c>
      <c r="L486" t="s">
        <v>144</v>
      </c>
      <c r="M486" t="s">
        <v>34</v>
      </c>
      <c r="N486" t="s">
        <v>35</v>
      </c>
      <c r="O486">
        <v>0.73231828709413505</v>
      </c>
      <c r="P486" t="s">
        <v>36</v>
      </c>
    </row>
    <row r="487" spans="1:16">
      <c r="A487">
        <v>486</v>
      </c>
      <c r="B487" t="s">
        <v>538</v>
      </c>
      <c r="C487">
        <v>103</v>
      </c>
      <c r="D487">
        <v>142</v>
      </c>
      <c r="E487">
        <v>95.183050587502393</v>
      </c>
      <c r="F487">
        <v>0.72307692307692295</v>
      </c>
      <c r="G487">
        <v>7115.5605844990596</v>
      </c>
      <c r="H487">
        <v>1028.30659048537</v>
      </c>
      <c r="I487">
        <v>0.66773429290061803</v>
      </c>
      <c r="J487">
        <v>8.4561707983182993E-2</v>
      </c>
      <c r="K487">
        <v>0.52906462735390303</v>
      </c>
      <c r="L487" t="s">
        <v>33</v>
      </c>
      <c r="M487" t="s">
        <v>34</v>
      </c>
      <c r="N487" t="s">
        <v>35</v>
      </c>
      <c r="O487">
        <v>0.69431938726519105</v>
      </c>
      <c r="P487" t="s">
        <v>36</v>
      </c>
    </row>
    <row r="488" spans="1:16">
      <c r="A488">
        <v>487</v>
      </c>
      <c r="B488" t="s">
        <v>539</v>
      </c>
      <c r="C488">
        <v>137</v>
      </c>
      <c r="D488">
        <v>101</v>
      </c>
      <c r="E488">
        <v>95.194979035520603</v>
      </c>
      <c r="F488">
        <v>1.3569396634412001</v>
      </c>
      <c r="G488">
        <v>7117.3441565217399</v>
      </c>
      <c r="H488">
        <v>519.22302713684405</v>
      </c>
      <c r="I488">
        <v>0.66066017873969896</v>
      </c>
      <c r="J488">
        <v>0.331756882107546</v>
      </c>
      <c r="K488">
        <v>0.70974818064592604</v>
      </c>
      <c r="L488" t="s">
        <v>33</v>
      </c>
      <c r="M488" t="s">
        <v>34</v>
      </c>
      <c r="N488" t="s">
        <v>35</v>
      </c>
      <c r="O488">
        <v>0.70630891028483</v>
      </c>
      <c r="P488" t="s">
        <v>36</v>
      </c>
    </row>
    <row r="489" spans="1:16">
      <c r="A489">
        <v>488</v>
      </c>
      <c r="B489" t="s">
        <v>540</v>
      </c>
      <c r="C489">
        <v>114</v>
      </c>
      <c r="D489">
        <v>358</v>
      </c>
      <c r="E489">
        <v>95.329676651854996</v>
      </c>
      <c r="F489">
        <v>0.31755117340991101</v>
      </c>
      <c r="G489">
        <v>7137.5</v>
      </c>
      <c r="H489">
        <v>1079.3250244855899</v>
      </c>
      <c r="I489">
        <v>0.95049178183467997</v>
      </c>
      <c r="J489">
        <v>7.6993044383756995E-2</v>
      </c>
      <c r="K489">
        <v>0.24643936124298699</v>
      </c>
      <c r="L489" t="s">
        <v>188</v>
      </c>
      <c r="M489" t="s">
        <v>34</v>
      </c>
      <c r="N489" t="s">
        <v>35</v>
      </c>
      <c r="O489">
        <v>0.77829586817229301</v>
      </c>
      <c r="P489" t="s">
        <v>36</v>
      </c>
    </row>
    <row r="490" spans="1:16">
      <c r="A490">
        <v>489</v>
      </c>
      <c r="B490" t="s">
        <v>541</v>
      </c>
      <c r="C490">
        <v>110</v>
      </c>
      <c r="D490">
        <v>142</v>
      </c>
      <c r="E490">
        <v>95.872447325040199</v>
      </c>
      <c r="F490">
        <v>0.77633477852865096</v>
      </c>
      <c r="G490">
        <v>7219.0077618147498</v>
      </c>
      <c r="H490">
        <v>962.06794775465301</v>
      </c>
      <c r="I490">
        <v>0.74762683205834801</v>
      </c>
      <c r="J490">
        <v>9.8011239357560995E-2</v>
      </c>
      <c r="K490">
        <v>0.575296709544453</v>
      </c>
      <c r="L490" t="s">
        <v>74</v>
      </c>
      <c r="M490" t="s">
        <v>34</v>
      </c>
      <c r="N490" t="s">
        <v>35</v>
      </c>
      <c r="O490">
        <v>0.77324353043792904</v>
      </c>
      <c r="P490" t="s">
        <v>36</v>
      </c>
    </row>
    <row r="491" spans="1:16">
      <c r="A491">
        <v>490</v>
      </c>
      <c r="B491" t="s">
        <v>542</v>
      </c>
      <c r="C491">
        <v>122</v>
      </c>
      <c r="D491">
        <v>83</v>
      </c>
      <c r="E491">
        <v>96.132649363035</v>
      </c>
      <c r="F491">
        <v>1.4640522875816999</v>
      </c>
      <c r="G491">
        <v>7258.2463463138001</v>
      </c>
      <c r="H491">
        <v>433.36757678778298</v>
      </c>
      <c r="I491">
        <v>0.70649763185365</v>
      </c>
      <c r="J491">
        <v>0.485655975774482</v>
      </c>
      <c r="K491">
        <v>0.91981691812171595</v>
      </c>
      <c r="L491" t="s">
        <v>47</v>
      </c>
      <c r="M491" t="s">
        <v>34</v>
      </c>
      <c r="N491" t="s">
        <v>35</v>
      </c>
      <c r="O491">
        <v>0.898789916162547</v>
      </c>
      <c r="P491" t="s">
        <v>36</v>
      </c>
    </row>
    <row r="492" spans="1:16">
      <c r="A492">
        <v>491</v>
      </c>
      <c r="B492" t="s">
        <v>543</v>
      </c>
      <c r="C492">
        <v>125</v>
      </c>
      <c r="D492">
        <v>84</v>
      </c>
      <c r="E492">
        <v>96.223160504739397</v>
      </c>
      <c r="F492">
        <v>1.4940736613886501</v>
      </c>
      <c r="G492">
        <v>7271.9203984877104</v>
      </c>
      <c r="H492">
        <v>456.07961813885203</v>
      </c>
      <c r="I492">
        <v>0.72760785419268104</v>
      </c>
      <c r="J492">
        <v>0.43931663816751598</v>
      </c>
      <c r="K492">
        <v>0.876323189625835</v>
      </c>
      <c r="L492" t="s">
        <v>47</v>
      </c>
      <c r="M492" t="s">
        <v>34</v>
      </c>
      <c r="N492" t="s">
        <v>35</v>
      </c>
      <c r="O492">
        <v>0.92391797212275295</v>
      </c>
      <c r="P492" t="s">
        <v>36</v>
      </c>
    </row>
    <row r="493" spans="1:16">
      <c r="A493">
        <v>492</v>
      </c>
      <c r="B493" t="s">
        <v>544</v>
      </c>
      <c r="C493">
        <v>122</v>
      </c>
      <c r="D493">
        <v>88</v>
      </c>
      <c r="E493">
        <v>96.365641353918207</v>
      </c>
      <c r="F493">
        <v>1.39130434782609</v>
      </c>
      <c r="G493">
        <v>7293.47189376182</v>
      </c>
      <c r="H493">
        <v>862.53780604766803</v>
      </c>
      <c r="I493">
        <v>0.67950596408966402</v>
      </c>
      <c r="J493">
        <v>0.12319352954363</v>
      </c>
      <c r="K493">
        <v>0.75724514675472998</v>
      </c>
      <c r="L493" t="s">
        <v>47</v>
      </c>
      <c r="M493" t="s">
        <v>34</v>
      </c>
      <c r="N493" t="s">
        <v>35</v>
      </c>
      <c r="O493">
        <v>0.95299054923306104</v>
      </c>
      <c r="P493" t="s">
        <v>36</v>
      </c>
    </row>
    <row r="494" spans="1:16">
      <c r="A494">
        <v>493</v>
      </c>
      <c r="B494" t="s">
        <v>545</v>
      </c>
      <c r="C494">
        <v>98</v>
      </c>
      <c r="D494">
        <v>107</v>
      </c>
      <c r="E494">
        <v>96.372514409640004</v>
      </c>
      <c r="F494">
        <v>0.91370558375634503</v>
      </c>
      <c r="G494">
        <v>7294.5123107750496</v>
      </c>
      <c r="H494">
        <v>998.30358410379199</v>
      </c>
      <c r="I494">
        <v>0.56114581424863597</v>
      </c>
      <c r="J494">
        <v>9.1977344110610898E-2</v>
      </c>
      <c r="K494">
        <v>0.74010737121486303</v>
      </c>
      <c r="L494" t="s">
        <v>33</v>
      </c>
      <c r="M494" t="s">
        <v>34</v>
      </c>
      <c r="N494" t="s">
        <v>35</v>
      </c>
      <c r="O494">
        <v>0.81309335726783505</v>
      </c>
      <c r="P494" t="s">
        <v>36</v>
      </c>
    </row>
    <row r="495" spans="1:16">
      <c r="A495">
        <v>494</v>
      </c>
      <c r="B495" t="s">
        <v>546</v>
      </c>
      <c r="C495">
        <v>176</v>
      </c>
      <c r="D495">
        <v>68</v>
      </c>
      <c r="E495">
        <v>97.074908775171096</v>
      </c>
      <c r="F495">
        <v>2.5840000000000001</v>
      </c>
      <c r="G495">
        <v>7401.2293701323297</v>
      </c>
      <c r="H495">
        <v>768.441033776739</v>
      </c>
      <c r="I495">
        <v>0.77163880494699599</v>
      </c>
      <c r="J495">
        <v>0.157504378887621</v>
      </c>
      <c r="K495">
        <v>0.69619439085087897</v>
      </c>
      <c r="L495" t="s">
        <v>74</v>
      </c>
      <c r="M495" t="s">
        <v>34</v>
      </c>
      <c r="N495" t="s">
        <v>35</v>
      </c>
      <c r="O495">
        <v>0.74839469021027105</v>
      </c>
      <c r="P495" t="s">
        <v>36</v>
      </c>
    </row>
    <row r="496" spans="1:16">
      <c r="A496">
        <v>495</v>
      </c>
      <c r="B496" t="s">
        <v>547</v>
      </c>
      <c r="C496">
        <v>132</v>
      </c>
      <c r="D496">
        <v>137</v>
      </c>
      <c r="E496">
        <v>97.315368274468099</v>
      </c>
      <c r="F496">
        <v>0.96414342629482097</v>
      </c>
      <c r="G496">
        <v>7437.9412275992399</v>
      </c>
      <c r="H496">
        <v>1249.62334939677</v>
      </c>
      <c r="I496">
        <v>0.539696277183766</v>
      </c>
      <c r="J496">
        <v>5.98555386523121E-2</v>
      </c>
      <c r="K496">
        <v>0.53005476056815404</v>
      </c>
      <c r="L496" t="s">
        <v>33</v>
      </c>
      <c r="M496" t="s">
        <v>34</v>
      </c>
      <c r="N496" t="s">
        <v>35</v>
      </c>
      <c r="O496">
        <v>0.76206548047573097</v>
      </c>
      <c r="P496" t="s">
        <v>36</v>
      </c>
    </row>
    <row r="497" spans="1:16">
      <c r="A497">
        <v>496</v>
      </c>
      <c r="B497" t="s">
        <v>548</v>
      </c>
      <c r="C497">
        <v>142</v>
      </c>
      <c r="D497">
        <v>105</v>
      </c>
      <c r="E497">
        <v>97.4727564358503</v>
      </c>
      <c r="F497">
        <v>1.3485395573341199</v>
      </c>
      <c r="G497">
        <v>7462.0194499054796</v>
      </c>
      <c r="H497">
        <v>1010.92772640715</v>
      </c>
      <c r="I497">
        <v>0.64258427369146298</v>
      </c>
      <c r="J497">
        <v>9.1754215170533407E-2</v>
      </c>
      <c r="K497">
        <v>0.618836899714032</v>
      </c>
      <c r="L497" t="s">
        <v>43</v>
      </c>
      <c r="M497" t="s">
        <v>34</v>
      </c>
      <c r="N497" t="s">
        <v>35</v>
      </c>
      <c r="O497">
        <v>0.77936062200170797</v>
      </c>
      <c r="P497" t="s">
        <v>36</v>
      </c>
    </row>
    <row r="498" spans="1:16">
      <c r="A498">
        <v>497</v>
      </c>
      <c r="B498" t="s">
        <v>549</v>
      </c>
      <c r="C498">
        <v>94</v>
      </c>
      <c r="D498">
        <v>162</v>
      </c>
      <c r="E498">
        <v>97.537774833331497</v>
      </c>
      <c r="F498">
        <v>0.57999079356442695</v>
      </c>
      <c r="G498">
        <v>7471.9777270321401</v>
      </c>
      <c r="H498">
        <v>821.09188207004399</v>
      </c>
      <c r="I498">
        <v>0.68387571141855497</v>
      </c>
      <c r="J498">
        <v>0.13927139185815099</v>
      </c>
      <c r="K498">
        <v>0.59699082045862095</v>
      </c>
      <c r="L498" t="s">
        <v>33</v>
      </c>
      <c r="M498" t="s">
        <v>34</v>
      </c>
      <c r="N498" t="s">
        <v>35</v>
      </c>
      <c r="O498">
        <v>0.76593725894304998</v>
      </c>
      <c r="P498" t="s">
        <v>36</v>
      </c>
    </row>
    <row r="499" spans="1:16">
      <c r="A499">
        <v>498</v>
      </c>
      <c r="B499" t="s">
        <v>550</v>
      </c>
      <c r="C499">
        <v>84</v>
      </c>
      <c r="D499">
        <v>156</v>
      </c>
      <c r="E499">
        <v>97.640551327667097</v>
      </c>
      <c r="F499">
        <v>0.53878142395106399</v>
      </c>
      <c r="G499">
        <v>7487.7326132325197</v>
      </c>
      <c r="H499">
        <v>630.70417272028703</v>
      </c>
      <c r="I499">
        <v>0.81358242742695297</v>
      </c>
      <c r="J499">
        <v>0.236542282295854</v>
      </c>
      <c r="K499">
        <v>0.74856981530186195</v>
      </c>
      <c r="L499" t="s">
        <v>33</v>
      </c>
      <c r="M499" t="s">
        <v>34</v>
      </c>
      <c r="N499" t="s">
        <v>35</v>
      </c>
      <c r="O499">
        <v>0.69944154526556401</v>
      </c>
      <c r="P499" t="s">
        <v>36</v>
      </c>
    </row>
    <row r="500" spans="1:16">
      <c r="A500">
        <v>499</v>
      </c>
      <c r="B500" t="s">
        <v>551</v>
      </c>
      <c r="C500">
        <v>171</v>
      </c>
      <c r="D500">
        <v>87</v>
      </c>
      <c r="E500">
        <v>97.674463213227398</v>
      </c>
      <c r="F500">
        <v>1.9748427672955999</v>
      </c>
      <c r="G500">
        <v>7492.9346982986799</v>
      </c>
      <c r="H500">
        <v>832.82046468289002</v>
      </c>
      <c r="I500">
        <v>0.82159703452163502</v>
      </c>
      <c r="J500">
        <v>0.135756000519592</v>
      </c>
      <c r="K500">
        <v>0.59996191700286805</v>
      </c>
      <c r="L500" t="s">
        <v>33</v>
      </c>
      <c r="M500" t="s">
        <v>34</v>
      </c>
      <c r="N500" t="s">
        <v>35</v>
      </c>
      <c r="O500">
        <v>0.71659398211703296</v>
      </c>
      <c r="P500" t="s">
        <v>36</v>
      </c>
    </row>
    <row r="501" spans="1:16">
      <c r="A501">
        <v>500</v>
      </c>
      <c r="B501" t="s">
        <v>552</v>
      </c>
      <c r="C501">
        <v>115</v>
      </c>
      <c r="D501">
        <v>173</v>
      </c>
      <c r="E501">
        <v>97.682212848325406</v>
      </c>
      <c r="F501">
        <v>0.66587900290273605</v>
      </c>
      <c r="G501">
        <v>7494.1237463138004</v>
      </c>
      <c r="H501">
        <v>960.83192584649396</v>
      </c>
      <c r="I501">
        <v>0.70670327505104003</v>
      </c>
      <c r="J501">
        <v>0.102008385497039</v>
      </c>
      <c r="K501">
        <v>0.51350965994154096</v>
      </c>
      <c r="L501" t="s">
        <v>33</v>
      </c>
      <c r="M501" t="s">
        <v>34</v>
      </c>
      <c r="N501" t="s">
        <v>35</v>
      </c>
      <c r="O501">
        <v>0.73851169601301103</v>
      </c>
      <c r="P501" t="s">
        <v>36</v>
      </c>
    </row>
    <row r="502" spans="1:16">
      <c r="A502">
        <v>501</v>
      </c>
      <c r="B502" t="s">
        <v>553</v>
      </c>
      <c r="C502">
        <v>99</v>
      </c>
      <c r="D502">
        <v>158</v>
      </c>
      <c r="E502">
        <v>97.756771672720703</v>
      </c>
      <c r="F502">
        <v>0.62773723585841301</v>
      </c>
      <c r="G502">
        <v>7505.5683334593596</v>
      </c>
      <c r="H502">
        <v>877.07823415051303</v>
      </c>
      <c r="I502">
        <v>0.85028800248214897</v>
      </c>
      <c r="J502">
        <v>0.122607427462731</v>
      </c>
      <c r="K502">
        <v>0.61134112975472799</v>
      </c>
      <c r="L502" t="s">
        <v>33</v>
      </c>
      <c r="M502" t="s">
        <v>34</v>
      </c>
      <c r="N502" t="s">
        <v>35</v>
      </c>
      <c r="O502">
        <v>0.66843063981830098</v>
      </c>
      <c r="P502" t="s">
        <v>36</v>
      </c>
    </row>
    <row r="503" spans="1:16">
      <c r="A503">
        <v>502</v>
      </c>
      <c r="B503" t="s">
        <v>554</v>
      </c>
      <c r="C503">
        <v>115</v>
      </c>
      <c r="D503">
        <v>126</v>
      </c>
      <c r="E503">
        <v>97.784837531586007</v>
      </c>
      <c r="F503">
        <v>0.91810261664647497</v>
      </c>
      <c r="G503">
        <v>7509.87863251418</v>
      </c>
      <c r="H503">
        <v>701.76012043507205</v>
      </c>
      <c r="I503">
        <v>0.77812849150651098</v>
      </c>
      <c r="J503">
        <v>0.191630844442194</v>
      </c>
      <c r="K503">
        <v>0.67714224449864602</v>
      </c>
      <c r="L503" t="s">
        <v>47</v>
      </c>
      <c r="M503" t="s">
        <v>34</v>
      </c>
      <c r="N503" t="s">
        <v>35</v>
      </c>
      <c r="O503">
        <v>0.90554123065565395</v>
      </c>
      <c r="P503" t="s">
        <v>36</v>
      </c>
    </row>
    <row r="504" spans="1:16">
      <c r="A504">
        <v>503</v>
      </c>
      <c r="B504" t="s">
        <v>555</v>
      </c>
      <c r="C504">
        <v>122</v>
      </c>
      <c r="D504">
        <v>152</v>
      </c>
      <c r="E504">
        <v>97.867053163763998</v>
      </c>
      <c r="F504">
        <v>0.80215833972043704</v>
      </c>
      <c r="G504">
        <v>7522.5122676748597</v>
      </c>
      <c r="H504">
        <v>1152.1002834139699</v>
      </c>
      <c r="I504">
        <v>0.71463017138287699</v>
      </c>
      <c r="J504">
        <v>7.1218398231702104E-2</v>
      </c>
      <c r="K504">
        <v>0.54049551473729196</v>
      </c>
      <c r="L504" t="s">
        <v>49</v>
      </c>
      <c r="M504" t="s">
        <v>34</v>
      </c>
      <c r="N504" t="s">
        <v>35</v>
      </c>
      <c r="O504">
        <v>0.82027836148632605</v>
      </c>
      <c r="P504" t="s">
        <v>36</v>
      </c>
    </row>
    <row r="505" spans="1:16">
      <c r="A505">
        <v>504</v>
      </c>
      <c r="B505" t="s">
        <v>556</v>
      </c>
      <c r="C505">
        <v>107</v>
      </c>
      <c r="D505">
        <v>156</v>
      </c>
      <c r="E505">
        <v>97.918282087798005</v>
      </c>
      <c r="F505">
        <v>0.68641114982578399</v>
      </c>
      <c r="G505">
        <v>7530.3897107750499</v>
      </c>
      <c r="H505">
        <v>1456.2125911216101</v>
      </c>
      <c r="I505">
        <v>0.78509051281670705</v>
      </c>
      <c r="J505">
        <v>4.4624951035584698E-2</v>
      </c>
      <c r="K505">
        <v>0.56569750563855203</v>
      </c>
      <c r="L505" t="s">
        <v>33</v>
      </c>
      <c r="M505" t="s">
        <v>34</v>
      </c>
      <c r="N505" t="s">
        <v>35</v>
      </c>
      <c r="O505">
        <v>0.84055034869748801</v>
      </c>
      <c r="P505" t="s">
        <v>36</v>
      </c>
    </row>
    <row r="506" spans="1:16">
      <c r="A506">
        <v>505</v>
      </c>
      <c r="B506" t="s">
        <v>557</v>
      </c>
      <c r="C506">
        <v>164</v>
      </c>
      <c r="D506">
        <v>92</v>
      </c>
      <c r="E506">
        <v>98.126826388402407</v>
      </c>
      <c r="F506">
        <v>1.78235313467104</v>
      </c>
      <c r="G506">
        <v>7562.5</v>
      </c>
      <c r="H506">
        <v>537.48736917972599</v>
      </c>
      <c r="I506">
        <v>0.64075822988191899</v>
      </c>
      <c r="J506">
        <v>0.32895669213085899</v>
      </c>
      <c r="K506">
        <v>0.67073170731707299</v>
      </c>
      <c r="L506" t="s">
        <v>58</v>
      </c>
      <c r="M506" t="s">
        <v>34</v>
      </c>
      <c r="N506" t="s">
        <v>35</v>
      </c>
      <c r="O506">
        <v>0.66340199653187604</v>
      </c>
      <c r="P506" t="s">
        <v>36</v>
      </c>
    </row>
    <row r="507" spans="1:16">
      <c r="A507">
        <v>506</v>
      </c>
      <c r="B507" t="s">
        <v>558</v>
      </c>
      <c r="C507">
        <v>88</v>
      </c>
      <c r="D507">
        <v>147</v>
      </c>
      <c r="E507">
        <v>98.155711565063598</v>
      </c>
      <c r="F507">
        <v>0.59629629629629599</v>
      </c>
      <c r="G507">
        <v>7566.9529372400802</v>
      </c>
      <c r="H507">
        <v>859.53108546557598</v>
      </c>
      <c r="I507">
        <v>0.61685176808609099</v>
      </c>
      <c r="J507">
        <v>0.128708645890213</v>
      </c>
      <c r="K507">
        <v>0.71642064083981805</v>
      </c>
      <c r="L507" t="s">
        <v>43</v>
      </c>
      <c r="M507" t="s">
        <v>34</v>
      </c>
      <c r="N507" t="s">
        <v>35</v>
      </c>
      <c r="O507">
        <v>0.81485203819782004</v>
      </c>
      <c r="P507" t="s">
        <v>36</v>
      </c>
    </row>
    <row r="508" spans="1:16">
      <c r="A508">
        <v>507</v>
      </c>
      <c r="B508" t="s">
        <v>559</v>
      </c>
      <c r="C508">
        <v>98</v>
      </c>
      <c r="D508">
        <v>132</v>
      </c>
      <c r="E508">
        <v>98.396414721975802</v>
      </c>
      <c r="F508">
        <v>0.73966942148760295</v>
      </c>
      <c r="G508">
        <v>7604.1106877126704</v>
      </c>
      <c r="H508">
        <v>1363.15145643245</v>
      </c>
      <c r="I508">
        <v>0.57798467655668395</v>
      </c>
      <c r="J508">
        <v>5.1424499100672399E-2</v>
      </c>
      <c r="K508">
        <v>0.62541716073982601</v>
      </c>
      <c r="L508" t="s">
        <v>47</v>
      </c>
      <c r="M508" t="s">
        <v>34</v>
      </c>
      <c r="N508" t="s">
        <v>35</v>
      </c>
      <c r="O508">
        <v>0.93471129342753401</v>
      </c>
      <c r="P508" t="s">
        <v>36</v>
      </c>
    </row>
    <row r="509" spans="1:16">
      <c r="A509">
        <v>508</v>
      </c>
      <c r="B509" t="s">
        <v>560</v>
      </c>
      <c r="C509">
        <v>156</v>
      </c>
      <c r="D509">
        <v>112</v>
      </c>
      <c r="E509">
        <v>99.541787141969706</v>
      </c>
      <c r="F509">
        <v>1.3932038834951499</v>
      </c>
      <c r="G509">
        <v>7782.1706279773198</v>
      </c>
      <c r="H509">
        <v>919.58249319107597</v>
      </c>
      <c r="I509">
        <v>0.71351634362933802</v>
      </c>
      <c r="J509">
        <v>0.115645629203853</v>
      </c>
      <c r="K509">
        <v>0.52614178767020003</v>
      </c>
      <c r="L509" t="s">
        <v>74</v>
      </c>
      <c r="M509" t="s">
        <v>34</v>
      </c>
      <c r="N509" t="s">
        <v>35</v>
      </c>
      <c r="O509">
        <v>0.73081975984315095</v>
      </c>
      <c r="P509" t="s">
        <v>36</v>
      </c>
    </row>
    <row r="510" spans="1:16">
      <c r="A510">
        <v>509</v>
      </c>
      <c r="B510" t="s">
        <v>561</v>
      </c>
      <c r="C510">
        <v>93</v>
      </c>
      <c r="D510">
        <v>132</v>
      </c>
      <c r="E510">
        <v>99.860667890124901</v>
      </c>
      <c r="F510">
        <v>0.70247933884297498</v>
      </c>
      <c r="G510">
        <v>7832.1106446124804</v>
      </c>
      <c r="H510">
        <v>1238.6736066083299</v>
      </c>
      <c r="I510">
        <v>0.70244822751755198</v>
      </c>
      <c r="J510">
        <v>6.4146787335933E-2</v>
      </c>
      <c r="K510">
        <v>0.67398700501381403</v>
      </c>
      <c r="L510" t="s">
        <v>38</v>
      </c>
      <c r="M510" t="s">
        <v>34</v>
      </c>
      <c r="N510" t="s">
        <v>35</v>
      </c>
      <c r="O510">
        <v>0.74667128484721002</v>
      </c>
      <c r="P510" t="s">
        <v>36</v>
      </c>
    </row>
    <row r="511" spans="1:16">
      <c r="A511">
        <v>510</v>
      </c>
      <c r="B511" t="s">
        <v>562</v>
      </c>
      <c r="C511">
        <v>117</v>
      </c>
      <c r="D511">
        <v>132</v>
      </c>
      <c r="E511">
        <v>99.868247878969299</v>
      </c>
      <c r="F511">
        <v>0.88477366255143997</v>
      </c>
      <c r="G511">
        <v>7833.2996926276001</v>
      </c>
      <c r="H511">
        <v>1633.8571615278199</v>
      </c>
      <c r="I511">
        <v>0.63802119116885903</v>
      </c>
      <c r="J511">
        <v>3.6874524974945602E-2</v>
      </c>
      <c r="K511">
        <v>0.55072781800892401</v>
      </c>
      <c r="L511" t="s">
        <v>144</v>
      </c>
      <c r="M511" t="s">
        <v>34</v>
      </c>
      <c r="N511" t="s">
        <v>35</v>
      </c>
      <c r="O511">
        <v>0.76751757287038802</v>
      </c>
      <c r="P511" t="s">
        <v>36</v>
      </c>
    </row>
    <row r="512" spans="1:16">
      <c r="A512">
        <v>511</v>
      </c>
      <c r="B512" t="s">
        <v>563</v>
      </c>
      <c r="C512">
        <v>109</v>
      </c>
      <c r="D512">
        <v>105</v>
      </c>
      <c r="E512">
        <v>100.213157365181</v>
      </c>
      <c r="F512">
        <v>1.03558723727572</v>
      </c>
      <c r="G512">
        <v>7887.5</v>
      </c>
      <c r="H512">
        <v>412.634556889534</v>
      </c>
      <c r="I512">
        <v>0.66615093863192498</v>
      </c>
      <c r="J512">
        <v>0.58212740376852101</v>
      </c>
      <c r="K512">
        <v>0.85385656292286904</v>
      </c>
      <c r="L512" t="s">
        <v>43</v>
      </c>
      <c r="M512" t="s">
        <v>34</v>
      </c>
      <c r="N512" t="s">
        <v>35</v>
      </c>
      <c r="O512">
        <v>0.77049840318584595</v>
      </c>
      <c r="P512" t="s">
        <v>36</v>
      </c>
    </row>
    <row r="513" spans="1:16">
      <c r="A513">
        <v>512</v>
      </c>
      <c r="B513" t="s">
        <v>564</v>
      </c>
      <c r="C513">
        <v>100</v>
      </c>
      <c r="D513">
        <v>176</v>
      </c>
      <c r="E513">
        <v>100.530288402726</v>
      </c>
      <c r="F513">
        <v>0.57058822506917095</v>
      </c>
      <c r="G513">
        <v>7937.5</v>
      </c>
      <c r="H513">
        <v>632.34018146991696</v>
      </c>
      <c r="I513">
        <v>0.79444866704912498</v>
      </c>
      <c r="J513">
        <v>0.24945490237290199</v>
      </c>
      <c r="K513">
        <v>0.64598168870803696</v>
      </c>
      <c r="L513" t="s">
        <v>49</v>
      </c>
      <c r="M513" t="s">
        <v>34</v>
      </c>
      <c r="N513" t="s">
        <v>35</v>
      </c>
      <c r="O513">
        <v>0.76539562122290505</v>
      </c>
      <c r="P513" t="s">
        <v>36</v>
      </c>
    </row>
    <row r="514" spans="1:16">
      <c r="A514">
        <v>513</v>
      </c>
      <c r="B514" t="s">
        <v>565</v>
      </c>
      <c r="C514">
        <v>122</v>
      </c>
      <c r="D514">
        <v>206</v>
      </c>
      <c r="E514">
        <v>100.583860679803</v>
      </c>
      <c r="F514">
        <v>0.59416445623342196</v>
      </c>
      <c r="G514">
        <v>7945.96199206049</v>
      </c>
      <c r="H514">
        <v>1521.52908367644</v>
      </c>
      <c r="I514">
        <v>0.66979566408394897</v>
      </c>
      <c r="J514">
        <v>4.31316260229576E-2</v>
      </c>
      <c r="K514">
        <v>0.46665561006267298</v>
      </c>
      <c r="L514" t="s">
        <v>49</v>
      </c>
      <c r="M514" t="s">
        <v>34</v>
      </c>
      <c r="N514" t="s">
        <v>35</v>
      </c>
      <c r="O514">
        <v>0.769885749615703</v>
      </c>
      <c r="P514" t="s">
        <v>36</v>
      </c>
    </row>
    <row r="515" spans="1:16">
      <c r="A515">
        <v>514</v>
      </c>
      <c r="B515" t="s">
        <v>566</v>
      </c>
      <c r="C515">
        <v>161</v>
      </c>
      <c r="D515">
        <v>92</v>
      </c>
      <c r="E515">
        <v>101.81711238148</v>
      </c>
      <c r="F515">
        <v>1.7452609187088299</v>
      </c>
      <c r="G515">
        <v>8142.0062835538802</v>
      </c>
      <c r="H515">
        <v>860.00545579619995</v>
      </c>
      <c r="I515">
        <v>0.758277864091362</v>
      </c>
      <c r="J515">
        <v>0.138337169209965</v>
      </c>
      <c r="K515">
        <v>0.72198645122176197</v>
      </c>
      <c r="L515" t="s">
        <v>47</v>
      </c>
      <c r="M515" t="s">
        <v>34</v>
      </c>
      <c r="N515" t="s">
        <v>35</v>
      </c>
      <c r="O515">
        <v>0.88673469142833095</v>
      </c>
      <c r="P515" t="s">
        <v>36</v>
      </c>
    </row>
    <row r="516" spans="1:16">
      <c r="A516">
        <v>515</v>
      </c>
      <c r="B516" t="s">
        <v>567</v>
      </c>
      <c r="C516">
        <v>132</v>
      </c>
      <c r="D516">
        <v>132</v>
      </c>
      <c r="E516">
        <v>102.18724127065001</v>
      </c>
      <c r="F516">
        <v>1</v>
      </c>
      <c r="G516">
        <v>8201.3100533081306</v>
      </c>
      <c r="H516">
        <v>1615.70724363358</v>
      </c>
      <c r="I516">
        <v>0.64382992693748298</v>
      </c>
      <c r="J516">
        <v>3.9479146111050502E-2</v>
      </c>
      <c r="K516">
        <v>0.52668804764904598</v>
      </c>
      <c r="L516" t="s">
        <v>144</v>
      </c>
      <c r="M516" t="s">
        <v>34</v>
      </c>
      <c r="N516" t="s">
        <v>35</v>
      </c>
      <c r="O516">
        <v>0.81111400768713604</v>
      </c>
      <c r="P516" t="s">
        <v>36</v>
      </c>
    </row>
    <row r="517" spans="1:16">
      <c r="A517">
        <v>516</v>
      </c>
      <c r="B517" t="s">
        <v>568</v>
      </c>
      <c r="C517">
        <v>152</v>
      </c>
      <c r="D517">
        <v>103</v>
      </c>
      <c r="E517">
        <v>102.291821387261</v>
      </c>
      <c r="F517">
        <v>1.4787234042553199</v>
      </c>
      <c r="G517">
        <v>8218.1053565217408</v>
      </c>
      <c r="H517">
        <v>995.45185288574396</v>
      </c>
      <c r="I517">
        <v>0.77512191815277498</v>
      </c>
      <c r="J517">
        <v>0.10421759576487399</v>
      </c>
      <c r="K517">
        <v>0.626481452106325</v>
      </c>
      <c r="L517" t="s">
        <v>33</v>
      </c>
      <c r="M517" t="s">
        <v>34</v>
      </c>
      <c r="N517" t="s">
        <v>35</v>
      </c>
      <c r="O517">
        <v>0.75445761970481695</v>
      </c>
      <c r="P517" t="s">
        <v>36</v>
      </c>
    </row>
    <row r="518" spans="1:16">
      <c r="A518">
        <v>517</v>
      </c>
      <c r="B518" t="s">
        <v>569</v>
      </c>
      <c r="C518">
        <v>161</v>
      </c>
      <c r="D518">
        <v>107</v>
      </c>
      <c r="E518">
        <v>102.509892399953</v>
      </c>
      <c r="F518">
        <v>1.5025380710659899</v>
      </c>
      <c r="G518">
        <v>8253.1822729678606</v>
      </c>
      <c r="H518">
        <v>1208.8803867916399</v>
      </c>
      <c r="I518">
        <v>0.67610059513690102</v>
      </c>
      <c r="J518">
        <v>7.0968338490887697E-2</v>
      </c>
      <c r="K518">
        <v>0.62175840910108804</v>
      </c>
      <c r="L518" t="s">
        <v>47</v>
      </c>
      <c r="M518" t="s">
        <v>34</v>
      </c>
      <c r="N518" t="s">
        <v>35</v>
      </c>
      <c r="O518">
        <v>0.94645477732974204</v>
      </c>
      <c r="P518" t="s">
        <v>36</v>
      </c>
    </row>
    <row r="519" spans="1:16">
      <c r="A519">
        <v>518</v>
      </c>
      <c r="B519" t="s">
        <v>570</v>
      </c>
      <c r="C519">
        <v>129</v>
      </c>
      <c r="D519">
        <v>126</v>
      </c>
      <c r="E519">
        <v>102.6491778491</v>
      </c>
      <c r="F519">
        <v>1.0193611487484899</v>
      </c>
      <c r="G519">
        <v>8275.6255542533108</v>
      </c>
      <c r="H519">
        <v>964.25821955836295</v>
      </c>
      <c r="I519">
        <v>0.75645378898828997</v>
      </c>
      <c r="J519">
        <v>0.11184691168239801</v>
      </c>
      <c r="K519">
        <v>0.59279645678512904</v>
      </c>
      <c r="L519" t="s">
        <v>33</v>
      </c>
      <c r="M519" t="s">
        <v>34</v>
      </c>
      <c r="N519" t="s">
        <v>35</v>
      </c>
      <c r="O519">
        <v>0.71459905017490899</v>
      </c>
      <c r="P519" t="s">
        <v>36</v>
      </c>
    </row>
    <row r="520" spans="1:16">
      <c r="A520">
        <v>519</v>
      </c>
      <c r="B520" t="s">
        <v>571</v>
      </c>
      <c r="C520">
        <v>137</v>
      </c>
      <c r="D520">
        <v>103</v>
      </c>
      <c r="E520">
        <v>103.488268395635</v>
      </c>
      <c r="F520">
        <v>1.33510643737573</v>
      </c>
      <c r="G520">
        <v>8411.4742899811008</v>
      </c>
      <c r="H520">
        <v>972.53002496978502</v>
      </c>
      <c r="I520">
        <v>0.69745545900913197</v>
      </c>
      <c r="J520">
        <v>0.111757312493036</v>
      </c>
      <c r="K520">
        <v>0.63284727036879695</v>
      </c>
      <c r="L520" t="s">
        <v>47</v>
      </c>
      <c r="M520" t="s">
        <v>34</v>
      </c>
      <c r="N520" t="s">
        <v>35</v>
      </c>
      <c r="O520">
        <v>0.945961232180902</v>
      </c>
      <c r="P520" t="s">
        <v>36</v>
      </c>
    </row>
    <row r="521" spans="1:16">
      <c r="A521">
        <v>520</v>
      </c>
      <c r="B521" t="s">
        <v>572</v>
      </c>
      <c r="C521">
        <v>189</v>
      </c>
      <c r="D521">
        <v>109</v>
      </c>
      <c r="E521">
        <v>103.722982568505</v>
      </c>
      <c r="F521">
        <v>1.72727274803294</v>
      </c>
      <c r="G521">
        <v>8449.6724574669206</v>
      </c>
      <c r="H521">
        <v>1233.0570410927501</v>
      </c>
      <c r="I521">
        <v>0.62874265738336699</v>
      </c>
      <c r="J521">
        <v>6.9836650786173404E-2</v>
      </c>
      <c r="K521">
        <v>0.55787252833521395</v>
      </c>
      <c r="L521" t="s">
        <v>74</v>
      </c>
      <c r="M521" t="s">
        <v>34</v>
      </c>
      <c r="N521" t="s">
        <v>35</v>
      </c>
      <c r="O521">
        <v>0.73280891777127199</v>
      </c>
      <c r="P521" t="s">
        <v>36</v>
      </c>
    </row>
    <row r="522" spans="1:16">
      <c r="A522">
        <v>521</v>
      </c>
      <c r="B522" t="s">
        <v>573</v>
      </c>
      <c r="C522">
        <v>112</v>
      </c>
      <c r="D522">
        <v>166</v>
      </c>
      <c r="E522">
        <v>104.318795968031</v>
      </c>
      <c r="F522">
        <v>0.67540983606557403</v>
      </c>
      <c r="G522">
        <v>8547.0257637051109</v>
      </c>
      <c r="H522">
        <v>1518.74155189773</v>
      </c>
      <c r="I522">
        <v>0.62088977090953901</v>
      </c>
      <c r="J522">
        <v>4.6564734041128202E-2</v>
      </c>
      <c r="K522">
        <v>0.56459926755751</v>
      </c>
      <c r="L522" t="s">
        <v>144</v>
      </c>
      <c r="M522" t="s">
        <v>34</v>
      </c>
      <c r="N522" t="s">
        <v>35</v>
      </c>
      <c r="O522">
        <v>0.94862256718559601</v>
      </c>
      <c r="P522" t="s">
        <v>36</v>
      </c>
    </row>
    <row r="523" spans="1:16">
      <c r="A523">
        <v>522</v>
      </c>
      <c r="B523" t="s">
        <v>574</v>
      </c>
      <c r="C523">
        <v>59</v>
      </c>
      <c r="D523">
        <v>250</v>
      </c>
      <c r="E523">
        <v>104.394959616021</v>
      </c>
      <c r="F523">
        <v>0.23727195626425199</v>
      </c>
      <c r="G523">
        <v>8559.5107678638997</v>
      </c>
      <c r="H523">
        <v>882.92728371215901</v>
      </c>
      <c r="I523">
        <v>0.85753214093463204</v>
      </c>
      <c r="J523">
        <v>0.137977709747896</v>
      </c>
      <c r="K523">
        <v>0.71682495425633896</v>
      </c>
      <c r="L523" t="s">
        <v>33</v>
      </c>
      <c r="M523" t="s">
        <v>34</v>
      </c>
      <c r="N523" t="s">
        <v>35</v>
      </c>
      <c r="O523">
        <v>0.87915769261207699</v>
      </c>
      <c r="P523" t="s">
        <v>36</v>
      </c>
    </row>
    <row r="524" spans="1:16">
      <c r="A524">
        <v>523</v>
      </c>
      <c r="B524" t="s">
        <v>575</v>
      </c>
      <c r="C524">
        <v>137</v>
      </c>
      <c r="D524">
        <v>108</v>
      </c>
      <c r="E524">
        <v>104.518154516042</v>
      </c>
      <c r="F524">
        <v>1.26767676767677</v>
      </c>
      <c r="G524">
        <v>8579.7245841209806</v>
      </c>
      <c r="H524">
        <v>1059.79139806385</v>
      </c>
      <c r="I524">
        <v>0.63750573081518802</v>
      </c>
      <c r="J524">
        <v>9.5993633469730097E-2</v>
      </c>
      <c r="K524">
        <v>0.69907839124168902</v>
      </c>
      <c r="L524" t="s">
        <v>47</v>
      </c>
      <c r="M524" t="s">
        <v>34</v>
      </c>
      <c r="N524" t="s">
        <v>35</v>
      </c>
      <c r="O524">
        <v>0.92861481254077904</v>
      </c>
      <c r="P524" t="s">
        <v>36</v>
      </c>
    </row>
    <row r="525" spans="1:16">
      <c r="A525">
        <v>524</v>
      </c>
      <c r="B525" t="s">
        <v>576</v>
      </c>
      <c r="C525">
        <v>98</v>
      </c>
      <c r="D525">
        <v>137</v>
      </c>
      <c r="E525">
        <v>104.906715977514</v>
      </c>
      <c r="F525">
        <v>0.71603788494090104</v>
      </c>
      <c r="G525">
        <v>8643.6359149338405</v>
      </c>
      <c r="H525">
        <v>552.96392218848905</v>
      </c>
      <c r="I525">
        <v>0.76965258368469203</v>
      </c>
      <c r="J525">
        <v>0.355232535373531</v>
      </c>
      <c r="K525">
        <v>0.83990467937608304</v>
      </c>
      <c r="L525" t="s">
        <v>47</v>
      </c>
      <c r="M525" t="s">
        <v>34</v>
      </c>
      <c r="N525" t="s">
        <v>35</v>
      </c>
      <c r="O525">
        <v>0.93824986437957403</v>
      </c>
      <c r="P525" t="s">
        <v>36</v>
      </c>
    </row>
    <row r="526" spans="1:16">
      <c r="A526">
        <v>525</v>
      </c>
      <c r="B526" t="s">
        <v>577</v>
      </c>
      <c r="C526">
        <v>131</v>
      </c>
      <c r="D526">
        <v>156</v>
      </c>
      <c r="E526">
        <v>104.922048140336</v>
      </c>
      <c r="F526">
        <v>0.83848790138727003</v>
      </c>
      <c r="G526">
        <v>8646.1626419659806</v>
      </c>
      <c r="H526">
        <v>1155.7457659292199</v>
      </c>
      <c r="I526">
        <v>0.69386681277166495</v>
      </c>
      <c r="J526">
        <v>8.1340838050705397E-2</v>
      </c>
      <c r="K526">
        <v>0.59382815610293904</v>
      </c>
      <c r="L526" t="s">
        <v>298</v>
      </c>
      <c r="M526" t="s">
        <v>34</v>
      </c>
      <c r="N526" t="s">
        <v>35</v>
      </c>
      <c r="O526">
        <v>0.63732348796555804</v>
      </c>
      <c r="P526" t="s">
        <v>36</v>
      </c>
    </row>
    <row r="527" spans="1:16">
      <c r="A527">
        <v>526</v>
      </c>
      <c r="B527" t="s">
        <v>578</v>
      </c>
      <c r="C527">
        <v>142</v>
      </c>
      <c r="D527">
        <v>122</v>
      </c>
      <c r="E527">
        <v>105.027508785351</v>
      </c>
      <c r="F527">
        <v>1.1651784576931601</v>
      </c>
      <c r="G527">
        <v>8663.5524691871506</v>
      </c>
      <c r="H527">
        <v>1424.02871517482</v>
      </c>
      <c r="I527">
        <v>0.64233459636762902</v>
      </c>
      <c r="J527">
        <v>5.3686906522889502E-2</v>
      </c>
      <c r="K527">
        <v>0.56520474357358297</v>
      </c>
      <c r="L527" t="s">
        <v>43</v>
      </c>
      <c r="M527" t="s">
        <v>34</v>
      </c>
      <c r="N527" t="s">
        <v>35</v>
      </c>
      <c r="O527">
        <v>0.82665153063437602</v>
      </c>
      <c r="P527" t="s">
        <v>36</v>
      </c>
    </row>
    <row r="528" spans="1:16">
      <c r="A528">
        <v>527</v>
      </c>
      <c r="B528" t="s">
        <v>579</v>
      </c>
      <c r="C528">
        <v>125</v>
      </c>
      <c r="D528">
        <v>180</v>
      </c>
      <c r="E528">
        <v>105.11756222713301</v>
      </c>
      <c r="F528">
        <v>0.69372108138007305</v>
      </c>
      <c r="G528">
        <v>8678.4155693761804</v>
      </c>
      <c r="H528">
        <v>1704.40663919231</v>
      </c>
      <c r="I528">
        <v>0.65418076712010198</v>
      </c>
      <c r="J528">
        <v>3.7540830161541298E-2</v>
      </c>
      <c r="K528">
        <v>0.49634893783418499</v>
      </c>
      <c r="L528" t="s">
        <v>47</v>
      </c>
      <c r="M528" t="s">
        <v>34</v>
      </c>
      <c r="N528" t="s">
        <v>35</v>
      </c>
      <c r="O528">
        <v>0.8828384274294</v>
      </c>
      <c r="P528" t="s">
        <v>36</v>
      </c>
    </row>
    <row r="529" spans="1:16">
      <c r="A529">
        <v>528</v>
      </c>
      <c r="B529" t="s">
        <v>580</v>
      </c>
      <c r="C529">
        <v>107</v>
      </c>
      <c r="D529">
        <v>142</v>
      </c>
      <c r="E529">
        <v>105.414192760769</v>
      </c>
      <c r="F529">
        <v>0.757692307692308</v>
      </c>
      <c r="G529">
        <v>8727.4637999999995</v>
      </c>
      <c r="H529">
        <v>1130.6109687283799</v>
      </c>
      <c r="I529">
        <v>0.73498259136504096</v>
      </c>
      <c r="J529">
        <v>8.57968871342564E-2</v>
      </c>
      <c r="K529">
        <v>0.66295965948222302</v>
      </c>
      <c r="L529" t="s">
        <v>33</v>
      </c>
      <c r="M529" t="s">
        <v>34</v>
      </c>
      <c r="N529" t="s">
        <v>35</v>
      </c>
      <c r="O529">
        <v>0.723380167980605</v>
      </c>
      <c r="P529" t="s">
        <v>36</v>
      </c>
    </row>
    <row r="530" spans="1:16">
      <c r="A530">
        <v>529</v>
      </c>
      <c r="B530" t="s">
        <v>581</v>
      </c>
      <c r="C530">
        <v>112</v>
      </c>
      <c r="D530">
        <v>127</v>
      </c>
      <c r="E530">
        <v>106.042446829415</v>
      </c>
      <c r="F530">
        <v>0.88412017167381995</v>
      </c>
      <c r="G530">
        <v>8831.8027633270303</v>
      </c>
      <c r="H530">
        <v>1036.83357742403</v>
      </c>
      <c r="I530">
        <v>0.60882295684244403</v>
      </c>
      <c r="J530">
        <v>0.103238365300973</v>
      </c>
      <c r="K530">
        <v>0.68798193817297704</v>
      </c>
      <c r="L530" t="s">
        <v>41</v>
      </c>
      <c r="M530" t="s">
        <v>34</v>
      </c>
      <c r="N530" t="s">
        <v>35</v>
      </c>
      <c r="O530">
        <v>0.68742309996467998</v>
      </c>
      <c r="P530" t="s">
        <v>36</v>
      </c>
    </row>
    <row r="531" spans="1:16">
      <c r="A531">
        <v>530</v>
      </c>
      <c r="B531" t="s">
        <v>582</v>
      </c>
      <c r="C531">
        <v>103</v>
      </c>
      <c r="D531">
        <v>162</v>
      </c>
      <c r="E531">
        <v>107.07869516343</v>
      </c>
      <c r="F531">
        <v>0.63636363636363602</v>
      </c>
      <c r="G531">
        <v>9005.2551425330803</v>
      </c>
      <c r="H531">
        <v>961.757969026566</v>
      </c>
      <c r="I531">
        <v>0.61801432552915103</v>
      </c>
      <c r="J531">
        <v>0.12234164030285399</v>
      </c>
      <c r="K531">
        <v>0.70391411941026805</v>
      </c>
      <c r="L531" t="s">
        <v>33</v>
      </c>
      <c r="M531" t="s">
        <v>34</v>
      </c>
      <c r="N531" t="s">
        <v>35</v>
      </c>
      <c r="O531">
        <v>0.87030792267574497</v>
      </c>
      <c r="P531" t="s">
        <v>36</v>
      </c>
    </row>
    <row r="532" spans="1:16">
      <c r="A532">
        <v>531</v>
      </c>
      <c r="B532" t="s">
        <v>583</v>
      </c>
      <c r="C532">
        <v>120</v>
      </c>
      <c r="D532">
        <v>218</v>
      </c>
      <c r="E532">
        <v>107.259693016924</v>
      </c>
      <c r="F532">
        <v>0.55168368565096804</v>
      </c>
      <c r="G532">
        <v>9035.7244979206098</v>
      </c>
      <c r="H532">
        <v>1244.8099374168901</v>
      </c>
      <c r="I532">
        <v>0.64448451681241103</v>
      </c>
      <c r="J532">
        <v>7.3276843184117701E-2</v>
      </c>
      <c r="K532">
        <v>0.50466537165247105</v>
      </c>
      <c r="L532" t="s">
        <v>43</v>
      </c>
      <c r="M532" t="s">
        <v>34</v>
      </c>
      <c r="N532" t="s">
        <v>35</v>
      </c>
      <c r="O532">
        <v>0.85050747819364703</v>
      </c>
      <c r="P532" t="s">
        <v>36</v>
      </c>
    </row>
    <row r="533" spans="1:16">
      <c r="A533">
        <v>532</v>
      </c>
      <c r="B533" t="s">
        <v>584</v>
      </c>
      <c r="C533">
        <v>137</v>
      </c>
      <c r="D533">
        <v>147</v>
      </c>
      <c r="E533">
        <v>107.41396207286699</v>
      </c>
      <c r="F533">
        <v>0.93308560012433905</v>
      </c>
      <c r="G533">
        <v>9061.7349232514207</v>
      </c>
      <c r="H533">
        <v>1890.55160605182</v>
      </c>
      <c r="I533">
        <v>0.58405673347864695</v>
      </c>
      <c r="J533">
        <v>3.1859880644840799E-2</v>
      </c>
      <c r="K533">
        <v>0.54926126126126096</v>
      </c>
      <c r="L533" t="s">
        <v>33</v>
      </c>
      <c r="M533" t="s">
        <v>34</v>
      </c>
      <c r="N533" t="s">
        <v>35</v>
      </c>
      <c r="O533">
        <v>0.73516353302211701</v>
      </c>
      <c r="P533" t="s">
        <v>36</v>
      </c>
    </row>
    <row r="534" spans="1:16">
      <c r="A534">
        <v>533</v>
      </c>
      <c r="B534" t="s">
        <v>585</v>
      </c>
      <c r="C534">
        <v>245</v>
      </c>
      <c r="D534">
        <v>94</v>
      </c>
      <c r="E534">
        <v>107.794718843487</v>
      </c>
      <c r="F534">
        <v>2.5948157738500699</v>
      </c>
      <c r="G534">
        <v>9126.0921470699395</v>
      </c>
      <c r="H534">
        <v>1417.7506902448999</v>
      </c>
      <c r="I534">
        <v>0.71892332545530502</v>
      </c>
      <c r="J534">
        <v>5.7055166726183597E-2</v>
      </c>
      <c r="K534">
        <v>0.53752549702789998</v>
      </c>
      <c r="L534" t="s">
        <v>33</v>
      </c>
      <c r="M534" t="s">
        <v>34</v>
      </c>
      <c r="N534" t="s">
        <v>35</v>
      </c>
      <c r="O534">
        <v>0.78122983500106402</v>
      </c>
      <c r="P534" t="s">
        <v>36</v>
      </c>
    </row>
    <row r="535" spans="1:16">
      <c r="A535">
        <v>534</v>
      </c>
      <c r="B535" t="s">
        <v>586</v>
      </c>
      <c r="C535">
        <v>166</v>
      </c>
      <c r="D535">
        <v>107</v>
      </c>
      <c r="E535">
        <v>107.894740824718</v>
      </c>
      <c r="F535">
        <v>1.54822328026837</v>
      </c>
      <c r="G535">
        <v>9143.0360812854506</v>
      </c>
      <c r="H535">
        <v>1366.34526609825</v>
      </c>
      <c r="I535">
        <v>0.54251510402664105</v>
      </c>
      <c r="J535">
        <v>6.1543102315988099E-2</v>
      </c>
      <c r="K535">
        <v>0.62167133227557103</v>
      </c>
      <c r="L535" t="s">
        <v>101</v>
      </c>
      <c r="M535" t="s">
        <v>34</v>
      </c>
      <c r="N535" t="s">
        <v>35</v>
      </c>
      <c r="O535">
        <v>0.659426817413303</v>
      </c>
      <c r="P535" t="s">
        <v>36</v>
      </c>
    </row>
    <row r="536" spans="1:16">
      <c r="A536">
        <v>535</v>
      </c>
      <c r="B536" t="s">
        <v>587</v>
      </c>
      <c r="C536">
        <v>127</v>
      </c>
      <c r="D536">
        <v>210</v>
      </c>
      <c r="E536">
        <v>107.994670168113</v>
      </c>
      <c r="F536">
        <v>0.60362694300518105</v>
      </c>
      <c r="G536">
        <v>9159.9800155009507</v>
      </c>
      <c r="H536">
        <v>1451.2441897776901</v>
      </c>
      <c r="I536">
        <v>0.68918244329888401</v>
      </c>
      <c r="J536">
        <v>5.4654182440900603E-2</v>
      </c>
      <c r="K536">
        <v>0.47159156125892399</v>
      </c>
      <c r="L536" t="s">
        <v>33</v>
      </c>
      <c r="M536" t="s">
        <v>34</v>
      </c>
      <c r="N536" t="s">
        <v>35</v>
      </c>
      <c r="O536">
        <v>0.76229877552624803</v>
      </c>
      <c r="P536" t="s">
        <v>36</v>
      </c>
    </row>
    <row r="537" spans="1:16">
      <c r="A537">
        <v>536</v>
      </c>
      <c r="B537" t="s">
        <v>588</v>
      </c>
      <c r="C537">
        <v>96</v>
      </c>
      <c r="D537">
        <v>163</v>
      </c>
      <c r="E537">
        <v>107.999050917429</v>
      </c>
      <c r="F537">
        <v>0.59150922130958705</v>
      </c>
      <c r="G537">
        <v>9160.7231705104005</v>
      </c>
      <c r="H537">
        <v>693.73020130820896</v>
      </c>
      <c r="I537">
        <v>0.75106843844745896</v>
      </c>
      <c r="J537">
        <v>0.239198482322762</v>
      </c>
      <c r="K537">
        <v>0.74505584836323202</v>
      </c>
      <c r="L537" t="s">
        <v>33</v>
      </c>
      <c r="M537" t="s">
        <v>34</v>
      </c>
      <c r="N537" t="s">
        <v>35</v>
      </c>
      <c r="O537">
        <v>0.82624746531968396</v>
      </c>
      <c r="P537" t="s">
        <v>36</v>
      </c>
    </row>
    <row r="538" spans="1:16">
      <c r="A538">
        <v>537</v>
      </c>
      <c r="B538" t="s">
        <v>589</v>
      </c>
      <c r="C538">
        <v>168</v>
      </c>
      <c r="D538">
        <v>115</v>
      </c>
      <c r="E538">
        <v>108.055984496752</v>
      </c>
      <c r="F538">
        <v>1.4625657119573501</v>
      </c>
      <c r="G538">
        <v>9170.3841856332692</v>
      </c>
      <c r="H538">
        <v>929.67428524297202</v>
      </c>
      <c r="I538">
        <v>0.74222829391567802</v>
      </c>
      <c r="J538">
        <v>0.133332418676255</v>
      </c>
      <c r="K538">
        <v>0.64589374509290798</v>
      </c>
      <c r="L538" t="s">
        <v>58</v>
      </c>
      <c r="M538" t="s">
        <v>34</v>
      </c>
      <c r="N538" t="s">
        <v>35</v>
      </c>
      <c r="O538">
        <v>0.86193486075190395</v>
      </c>
      <c r="P538" t="s">
        <v>36</v>
      </c>
    </row>
    <row r="539" spans="1:16">
      <c r="A539">
        <v>538</v>
      </c>
      <c r="B539" t="s">
        <v>590</v>
      </c>
      <c r="C539">
        <v>190</v>
      </c>
      <c r="D539">
        <v>80</v>
      </c>
      <c r="E539">
        <v>108.08317548511</v>
      </c>
      <c r="F539">
        <v>2.375</v>
      </c>
      <c r="G539">
        <v>9175</v>
      </c>
      <c r="H539">
        <v>611.12697839736904</v>
      </c>
      <c r="I539">
        <v>0.73107877629874696</v>
      </c>
      <c r="J539">
        <v>0.30871165394474198</v>
      </c>
      <c r="K539">
        <v>0.76299376299376298</v>
      </c>
      <c r="L539" t="s">
        <v>144</v>
      </c>
      <c r="M539" t="s">
        <v>34</v>
      </c>
      <c r="N539" t="s">
        <v>35</v>
      </c>
      <c r="O539">
        <v>0.73936483005929798</v>
      </c>
      <c r="P539" t="s">
        <v>36</v>
      </c>
    </row>
    <row r="540" spans="1:16">
      <c r="A540">
        <v>539</v>
      </c>
      <c r="B540" t="s">
        <v>591</v>
      </c>
      <c r="C540">
        <v>107</v>
      </c>
      <c r="D540">
        <v>118</v>
      </c>
      <c r="E540">
        <v>108.122514970842</v>
      </c>
      <c r="F540">
        <v>0.90740739432545303</v>
      </c>
      <c r="G540">
        <v>9181.6801417769402</v>
      </c>
      <c r="H540">
        <v>487.305351185902</v>
      </c>
      <c r="I540">
        <v>0.59898390845288496</v>
      </c>
      <c r="J540">
        <v>0.48588071560248097</v>
      </c>
      <c r="K540">
        <v>0.90921802098818105</v>
      </c>
      <c r="L540" t="s">
        <v>47</v>
      </c>
      <c r="M540" t="s">
        <v>34</v>
      </c>
      <c r="N540" t="s">
        <v>35</v>
      </c>
      <c r="O540">
        <v>0.93143865207829601</v>
      </c>
      <c r="P540" t="s">
        <v>36</v>
      </c>
    </row>
    <row r="541" spans="1:16">
      <c r="A541">
        <v>540</v>
      </c>
      <c r="B541" t="s">
        <v>592</v>
      </c>
      <c r="C541">
        <v>175</v>
      </c>
      <c r="D541">
        <v>100</v>
      </c>
      <c r="E541">
        <v>108.80645501558</v>
      </c>
      <c r="F541">
        <v>1.7524631020774799</v>
      </c>
      <c r="G541">
        <v>9298.2068472589799</v>
      </c>
      <c r="H541">
        <v>861.67985531112402</v>
      </c>
      <c r="I541">
        <v>0.61163387109752598</v>
      </c>
      <c r="J541">
        <v>0.15736827610156801</v>
      </c>
      <c r="K541">
        <v>0.67395285701973595</v>
      </c>
      <c r="L541" t="s">
        <v>43</v>
      </c>
      <c r="M541" t="s">
        <v>34</v>
      </c>
      <c r="N541" t="s">
        <v>35</v>
      </c>
      <c r="O541">
        <v>0.829705424941097</v>
      </c>
      <c r="P541" t="s">
        <v>36</v>
      </c>
    </row>
    <row r="542" spans="1:16">
      <c r="A542">
        <v>541</v>
      </c>
      <c r="B542" t="s">
        <v>593</v>
      </c>
      <c r="C542">
        <v>132</v>
      </c>
      <c r="D542">
        <v>94</v>
      </c>
      <c r="E542">
        <v>109.421286079566</v>
      </c>
      <c r="F542">
        <v>1.40294645458931</v>
      </c>
      <c r="G542">
        <v>9403.5862275992495</v>
      </c>
      <c r="H542">
        <v>457.35714200517401</v>
      </c>
      <c r="I542">
        <v>0.70335294134186299</v>
      </c>
      <c r="J542">
        <v>0.56492714670338096</v>
      </c>
      <c r="K542">
        <v>0.92636572616659596</v>
      </c>
      <c r="L542" t="s">
        <v>47</v>
      </c>
      <c r="M542" t="s">
        <v>34</v>
      </c>
      <c r="N542" t="s">
        <v>35</v>
      </c>
      <c r="O542">
        <v>0.87125500816105494</v>
      </c>
      <c r="P542" t="s">
        <v>36</v>
      </c>
    </row>
    <row r="543" spans="1:16">
      <c r="A543">
        <v>542</v>
      </c>
      <c r="B543" t="s">
        <v>594</v>
      </c>
      <c r="C543">
        <v>104</v>
      </c>
      <c r="D543">
        <v>162</v>
      </c>
      <c r="E543">
        <v>109.451547945781</v>
      </c>
      <c r="F543">
        <v>0.63943980278011903</v>
      </c>
      <c r="G543">
        <v>9408.7883126654106</v>
      </c>
      <c r="H543">
        <v>823.35964855577595</v>
      </c>
      <c r="I543">
        <v>0.79733326224758005</v>
      </c>
      <c r="J543">
        <v>0.17440719734673699</v>
      </c>
      <c r="K543">
        <v>0.70694064436875304</v>
      </c>
      <c r="L543" t="s">
        <v>49</v>
      </c>
      <c r="M543" t="s">
        <v>34</v>
      </c>
      <c r="N543" t="s">
        <v>35</v>
      </c>
      <c r="O543">
        <v>0.83619897282414302</v>
      </c>
      <c r="P543" t="s">
        <v>36</v>
      </c>
    </row>
    <row r="544" spans="1:16">
      <c r="A544">
        <v>543</v>
      </c>
      <c r="B544" t="s">
        <v>595</v>
      </c>
      <c r="C544">
        <v>118</v>
      </c>
      <c r="D544">
        <v>181</v>
      </c>
      <c r="E544">
        <v>109.70628055920901</v>
      </c>
      <c r="F544">
        <v>0.65060240963855398</v>
      </c>
      <c r="G544">
        <v>9452.6344582230595</v>
      </c>
      <c r="H544">
        <v>1189.1750660226701</v>
      </c>
      <c r="I544">
        <v>0.84792733131599296</v>
      </c>
      <c r="J544">
        <v>8.3998424142798303E-2</v>
      </c>
      <c r="K544">
        <v>0.53888389906624401</v>
      </c>
      <c r="L544" t="s">
        <v>33</v>
      </c>
      <c r="M544" t="s">
        <v>34</v>
      </c>
      <c r="N544" t="s">
        <v>35</v>
      </c>
      <c r="O544">
        <v>0.82495803003594104</v>
      </c>
      <c r="P544" t="s">
        <v>36</v>
      </c>
    </row>
    <row r="545" spans="1:16">
      <c r="A545">
        <v>544</v>
      </c>
      <c r="B545" t="s">
        <v>596</v>
      </c>
      <c r="C545">
        <v>124</v>
      </c>
      <c r="D545">
        <v>223</v>
      </c>
      <c r="E545">
        <v>110.036121401256</v>
      </c>
      <c r="F545">
        <v>0.555669409862525</v>
      </c>
      <c r="G545">
        <v>9509.5601319470697</v>
      </c>
      <c r="H545">
        <v>1473.87873644673</v>
      </c>
      <c r="I545">
        <v>0.67782321067406104</v>
      </c>
      <c r="J545">
        <v>5.5010651228640899E-2</v>
      </c>
      <c r="K545">
        <v>0.47659165567945699</v>
      </c>
      <c r="L545" t="s">
        <v>58</v>
      </c>
      <c r="M545" t="s">
        <v>34</v>
      </c>
      <c r="N545" t="s">
        <v>35</v>
      </c>
      <c r="O545">
        <v>0.63326355907840803</v>
      </c>
      <c r="P545" t="s">
        <v>36</v>
      </c>
    </row>
    <row r="546" spans="1:16">
      <c r="A546">
        <v>545</v>
      </c>
      <c r="B546" t="s">
        <v>597</v>
      </c>
      <c r="C546">
        <v>159</v>
      </c>
      <c r="D546">
        <v>114</v>
      </c>
      <c r="E546">
        <v>110.98915530497899</v>
      </c>
      <c r="F546">
        <v>1.39097735873007</v>
      </c>
      <c r="G546">
        <v>9675</v>
      </c>
      <c r="H546">
        <v>645.26911377906799</v>
      </c>
      <c r="I546">
        <v>0.597373834578936</v>
      </c>
      <c r="J546">
        <v>0.29199746565311002</v>
      </c>
      <c r="K546">
        <v>0.70108695652173902</v>
      </c>
      <c r="L546" t="s">
        <v>47</v>
      </c>
      <c r="M546" t="s">
        <v>34</v>
      </c>
      <c r="N546" t="s">
        <v>35</v>
      </c>
      <c r="O546">
        <v>0.95488365079942505</v>
      </c>
      <c r="P546" t="s">
        <v>36</v>
      </c>
    </row>
    <row r="547" spans="1:16">
      <c r="A547">
        <v>546</v>
      </c>
      <c r="B547" t="s">
        <v>598</v>
      </c>
      <c r="C547">
        <v>129</v>
      </c>
      <c r="D547">
        <v>200</v>
      </c>
      <c r="E547">
        <v>111.188390391344</v>
      </c>
      <c r="F547">
        <v>0.64472788026082495</v>
      </c>
      <c r="G547">
        <v>9709.7660914933895</v>
      </c>
      <c r="H547">
        <v>2066.2156912192099</v>
      </c>
      <c r="I547">
        <v>0.70371832049322902</v>
      </c>
      <c r="J547">
        <v>2.8580335409613099E-2</v>
      </c>
      <c r="K547">
        <v>0.49656807972088601</v>
      </c>
      <c r="L547" t="s">
        <v>144</v>
      </c>
      <c r="M547" t="s">
        <v>34</v>
      </c>
      <c r="N547" t="s">
        <v>35</v>
      </c>
      <c r="O547">
        <v>0.92454228449519305</v>
      </c>
      <c r="P547" t="s">
        <v>36</v>
      </c>
    </row>
    <row r="548" spans="1:16">
      <c r="A548">
        <v>547</v>
      </c>
      <c r="B548" t="s">
        <v>599</v>
      </c>
      <c r="C548">
        <v>131</v>
      </c>
      <c r="D548">
        <v>130</v>
      </c>
      <c r="E548">
        <v>111.561268143501</v>
      </c>
      <c r="F548">
        <v>1.0089286093607599</v>
      </c>
      <c r="G548">
        <v>9775</v>
      </c>
      <c r="H548">
        <v>653.55338454246498</v>
      </c>
      <c r="I548">
        <v>0.74852339221431397</v>
      </c>
      <c r="J548">
        <v>0.28758385030776501</v>
      </c>
      <c r="K548">
        <v>0.780439121756487</v>
      </c>
      <c r="L548" t="s">
        <v>61</v>
      </c>
      <c r="M548" t="s">
        <v>34</v>
      </c>
      <c r="N548" t="s">
        <v>35</v>
      </c>
      <c r="O548">
        <v>0.73270067184709897</v>
      </c>
      <c r="P548" t="s">
        <v>36</v>
      </c>
    </row>
    <row r="549" spans="1:16">
      <c r="A549">
        <v>548</v>
      </c>
      <c r="B549" t="s">
        <v>600</v>
      </c>
      <c r="C549">
        <v>137</v>
      </c>
      <c r="D549">
        <v>237</v>
      </c>
      <c r="E549">
        <v>111.840049541068</v>
      </c>
      <c r="F549">
        <v>0.57770272047330196</v>
      </c>
      <c r="G549">
        <v>9823.9147009451808</v>
      </c>
      <c r="H549">
        <v>1820.96967352556</v>
      </c>
      <c r="I549">
        <v>0.57606385611740696</v>
      </c>
      <c r="J549">
        <v>3.7229655773459998E-2</v>
      </c>
      <c r="K549">
        <v>0.41077909809575902</v>
      </c>
      <c r="L549" t="s">
        <v>33</v>
      </c>
      <c r="M549" t="s">
        <v>34</v>
      </c>
      <c r="N549" t="s">
        <v>35</v>
      </c>
      <c r="O549">
        <v>0.66814102713235901</v>
      </c>
      <c r="P549" t="s">
        <v>36</v>
      </c>
    </row>
    <row r="550" spans="1:16">
      <c r="A550">
        <v>549</v>
      </c>
      <c r="B550" t="s">
        <v>601</v>
      </c>
      <c r="C550">
        <v>116</v>
      </c>
      <c r="D550">
        <v>173</v>
      </c>
      <c r="E550">
        <v>111.91735353077399</v>
      </c>
      <c r="F550">
        <v>0.672588856863094</v>
      </c>
      <c r="G550">
        <v>9837.5</v>
      </c>
      <c r="H550">
        <v>754.76658761501301</v>
      </c>
      <c r="I550">
        <v>0.75272730429917001</v>
      </c>
      <c r="J550">
        <v>0.21700476823439899</v>
      </c>
      <c r="K550">
        <v>0.63162118780096299</v>
      </c>
      <c r="L550" t="s">
        <v>74</v>
      </c>
      <c r="M550" t="s">
        <v>34</v>
      </c>
      <c r="N550" t="s">
        <v>35</v>
      </c>
      <c r="O550">
        <v>0.72088819337195398</v>
      </c>
      <c r="P550" t="s">
        <v>36</v>
      </c>
    </row>
    <row r="551" spans="1:16">
      <c r="A551">
        <v>550</v>
      </c>
      <c r="B551" t="s">
        <v>602</v>
      </c>
      <c r="C551">
        <v>95</v>
      </c>
      <c r="D551">
        <v>186</v>
      </c>
      <c r="E551">
        <v>112.09610729508</v>
      </c>
      <c r="F551">
        <v>0.51319648093841597</v>
      </c>
      <c r="G551">
        <v>9868.9498945179603</v>
      </c>
      <c r="H551">
        <v>868.28894022019006</v>
      </c>
      <c r="I551">
        <v>0.74535816768468499</v>
      </c>
      <c r="J551">
        <v>0.16449483633319301</v>
      </c>
      <c r="K551">
        <v>0.694833666453888</v>
      </c>
      <c r="L551" t="s">
        <v>47</v>
      </c>
      <c r="M551" t="s">
        <v>34</v>
      </c>
      <c r="N551" t="s">
        <v>35</v>
      </c>
      <c r="O551">
        <v>0.90466271397610898</v>
      </c>
      <c r="P551" t="s">
        <v>36</v>
      </c>
    </row>
    <row r="552" spans="1:16">
      <c r="A552">
        <v>551</v>
      </c>
      <c r="B552" t="s">
        <v>603</v>
      </c>
      <c r="C552">
        <v>179</v>
      </c>
      <c r="D552">
        <v>111</v>
      </c>
      <c r="E552">
        <v>112.545959335964</v>
      </c>
      <c r="F552">
        <v>1.61441718620897</v>
      </c>
      <c r="G552">
        <v>9948.3188495274098</v>
      </c>
      <c r="H552">
        <v>883.94022381274601</v>
      </c>
      <c r="I552">
        <v>0.59600994286117903</v>
      </c>
      <c r="J552">
        <v>0.15999770982254799</v>
      </c>
      <c r="K552">
        <v>0.64596543038304499</v>
      </c>
      <c r="L552" t="s">
        <v>33</v>
      </c>
      <c r="M552" t="s">
        <v>34</v>
      </c>
      <c r="N552" t="s">
        <v>35</v>
      </c>
      <c r="O552">
        <v>0.825898012025438</v>
      </c>
      <c r="P552" t="s">
        <v>36</v>
      </c>
    </row>
    <row r="553" spans="1:16">
      <c r="A553">
        <v>552</v>
      </c>
      <c r="B553" t="s">
        <v>604</v>
      </c>
      <c r="C553">
        <v>142</v>
      </c>
      <c r="D553">
        <v>196</v>
      </c>
      <c r="E553">
        <v>112.68039679519001</v>
      </c>
      <c r="F553">
        <v>0.72423393640271605</v>
      </c>
      <c r="G553">
        <v>9972.0998098298696</v>
      </c>
      <c r="H553">
        <v>1252.5337708198499</v>
      </c>
      <c r="I553">
        <v>0.53841294034823395</v>
      </c>
      <c r="J553">
        <v>7.9876236171311704E-2</v>
      </c>
      <c r="K553">
        <v>0.49849544174573301</v>
      </c>
      <c r="L553" t="s">
        <v>38</v>
      </c>
      <c r="M553" t="s">
        <v>34</v>
      </c>
      <c r="N553" t="s">
        <v>35</v>
      </c>
      <c r="O553">
        <v>0.83633446008252899</v>
      </c>
      <c r="P553" t="s">
        <v>36</v>
      </c>
    </row>
    <row r="554" spans="1:16">
      <c r="A554">
        <v>553</v>
      </c>
      <c r="B554" t="s">
        <v>605</v>
      </c>
      <c r="C554">
        <v>146</v>
      </c>
      <c r="D554">
        <v>141</v>
      </c>
      <c r="E554">
        <v>112.947953930959</v>
      </c>
      <c r="F554">
        <v>1.0299727267296399</v>
      </c>
      <c r="G554">
        <v>10019.513099432899</v>
      </c>
      <c r="H554">
        <v>1229.0052806904</v>
      </c>
      <c r="I554">
        <v>0.58535022804224801</v>
      </c>
      <c r="J554">
        <v>8.3358325809983994E-2</v>
      </c>
      <c r="K554">
        <v>0.63237680697179199</v>
      </c>
      <c r="L554" t="s">
        <v>61</v>
      </c>
      <c r="M554" t="s">
        <v>34</v>
      </c>
      <c r="N554" t="s">
        <v>35</v>
      </c>
      <c r="O554">
        <v>0.76528516494522203</v>
      </c>
      <c r="P554" t="s">
        <v>36</v>
      </c>
    </row>
    <row r="555" spans="1:16">
      <c r="A555">
        <v>554</v>
      </c>
      <c r="B555" t="s">
        <v>606</v>
      </c>
      <c r="C555">
        <v>188</v>
      </c>
      <c r="D555">
        <v>104</v>
      </c>
      <c r="E555">
        <v>112.96973316684701</v>
      </c>
      <c r="F555">
        <v>1.81336940216772</v>
      </c>
      <c r="G555">
        <v>10023.377505482</v>
      </c>
      <c r="H555">
        <v>948.11148438412204</v>
      </c>
      <c r="I555">
        <v>0.57010350276506105</v>
      </c>
      <c r="J555">
        <v>0.14012161588084099</v>
      </c>
      <c r="K555">
        <v>0.68104057684150998</v>
      </c>
      <c r="L555" t="s">
        <v>41</v>
      </c>
      <c r="M555" t="s">
        <v>34</v>
      </c>
      <c r="N555" t="s">
        <v>35</v>
      </c>
      <c r="O555">
        <v>0.78941205149469096</v>
      </c>
      <c r="P555" t="s">
        <v>36</v>
      </c>
    </row>
    <row r="556" spans="1:16">
      <c r="A556">
        <v>555</v>
      </c>
      <c r="B556" t="s">
        <v>607</v>
      </c>
      <c r="C556">
        <v>135</v>
      </c>
      <c r="D556">
        <v>114</v>
      </c>
      <c r="E556">
        <v>113.411114299772</v>
      </c>
      <c r="F556">
        <v>1.1888479059208401</v>
      </c>
      <c r="G556">
        <v>10101.854674480201</v>
      </c>
      <c r="H556">
        <v>707.90585348212198</v>
      </c>
      <c r="I556">
        <v>0.69831708886423505</v>
      </c>
      <c r="J556">
        <v>0.25331445547436598</v>
      </c>
      <c r="K556">
        <v>0.79985407129323405</v>
      </c>
      <c r="L556" t="s">
        <v>288</v>
      </c>
      <c r="M556" t="s">
        <v>34</v>
      </c>
      <c r="N556" t="s">
        <v>35</v>
      </c>
      <c r="O556">
        <v>0.68138659992642403</v>
      </c>
      <c r="P556" t="s">
        <v>36</v>
      </c>
    </row>
    <row r="557" spans="1:16">
      <c r="A557">
        <v>556</v>
      </c>
      <c r="B557" t="s">
        <v>608</v>
      </c>
      <c r="C557">
        <v>201</v>
      </c>
      <c r="D557">
        <v>118</v>
      </c>
      <c r="E557">
        <v>113.84081064017801</v>
      </c>
      <c r="F557">
        <v>1.7083333333333299</v>
      </c>
      <c r="G557">
        <v>10178.5482714556</v>
      </c>
      <c r="H557">
        <v>1620.56215757163</v>
      </c>
      <c r="I557">
        <v>0.69063659964744695</v>
      </c>
      <c r="J557">
        <v>4.8703964930336498E-2</v>
      </c>
      <c r="K557">
        <v>0.53037895274901403</v>
      </c>
      <c r="L557" t="s">
        <v>33</v>
      </c>
      <c r="M557" t="s">
        <v>34</v>
      </c>
      <c r="N557" t="s">
        <v>35</v>
      </c>
      <c r="O557">
        <v>0.79409322701765805</v>
      </c>
      <c r="P557" t="s">
        <v>36</v>
      </c>
    </row>
    <row r="558" spans="1:16">
      <c r="A558">
        <v>557</v>
      </c>
      <c r="B558" t="s">
        <v>609</v>
      </c>
      <c r="C558">
        <v>210</v>
      </c>
      <c r="D558">
        <v>112</v>
      </c>
      <c r="E558">
        <v>114.17000411327901</v>
      </c>
      <c r="F558">
        <v>1.8678755904779101</v>
      </c>
      <c r="G558">
        <v>10237.5</v>
      </c>
      <c r="H558">
        <v>808.90872299671196</v>
      </c>
      <c r="I558">
        <v>0.84182643448171801</v>
      </c>
      <c r="J558">
        <v>0.196609609829626</v>
      </c>
      <c r="K558">
        <v>0.579617834394904</v>
      </c>
      <c r="L558" t="s">
        <v>47</v>
      </c>
      <c r="M558" t="s">
        <v>34</v>
      </c>
      <c r="N558" t="s">
        <v>35</v>
      </c>
      <c r="O558">
        <v>0.94908077469379704</v>
      </c>
      <c r="P558" t="s">
        <v>36</v>
      </c>
    </row>
    <row r="559" spans="1:16">
      <c r="A559">
        <v>558</v>
      </c>
      <c r="B559" t="s">
        <v>610</v>
      </c>
      <c r="C559">
        <v>118</v>
      </c>
      <c r="D559">
        <v>132</v>
      </c>
      <c r="E559">
        <v>114.42446044057201</v>
      </c>
      <c r="F559">
        <v>0.88934650760716805</v>
      </c>
      <c r="G559">
        <v>10283.1844967864</v>
      </c>
      <c r="H559">
        <v>552.379957456174</v>
      </c>
      <c r="I559">
        <v>0.59354833847771704</v>
      </c>
      <c r="J559">
        <v>0.42350804760337502</v>
      </c>
      <c r="K559">
        <v>0.86024419963693299</v>
      </c>
      <c r="L559" t="s">
        <v>47</v>
      </c>
      <c r="M559" t="s">
        <v>34</v>
      </c>
      <c r="N559" t="s">
        <v>35</v>
      </c>
      <c r="O559">
        <v>0.91673692016433805</v>
      </c>
      <c r="P559" t="s">
        <v>36</v>
      </c>
    </row>
    <row r="560" spans="1:16">
      <c r="A560">
        <v>559</v>
      </c>
      <c r="B560" t="s">
        <v>611</v>
      </c>
      <c r="C560">
        <v>123</v>
      </c>
      <c r="D560">
        <v>179</v>
      </c>
      <c r="E560">
        <v>114.437690613813</v>
      </c>
      <c r="F560">
        <v>0.686704649294133</v>
      </c>
      <c r="G560">
        <v>10285.562592816599</v>
      </c>
      <c r="H560">
        <v>1286.83042388833</v>
      </c>
      <c r="I560">
        <v>0.73645478618376803</v>
      </c>
      <c r="J560">
        <v>7.8054019960650603E-2</v>
      </c>
      <c r="K560">
        <v>0.57030071779995595</v>
      </c>
      <c r="L560" t="s">
        <v>38</v>
      </c>
      <c r="M560" t="s">
        <v>34</v>
      </c>
      <c r="N560" t="s">
        <v>35</v>
      </c>
      <c r="O560">
        <v>0.76437167591908906</v>
      </c>
      <c r="P560" t="s">
        <v>36</v>
      </c>
    </row>
    <row r="561" spans="1:16">
      <c r="A561">
        <v>560</v>
      </c>
      <c r="B561" t="s">
        <v>612</v>
      </c>
      <c r="C561">
        <v>115</v>
      </c>
      <c r="D561">
        <v>184</v>
      </c>
      <c r="E561">
        <v>114.79762595099901</v>
      </c>
      <c r="F561">
        <v>0.62568188291329996</v>
      </c>
      <c r="G561">
        <v>10350.365709640801</v>
      </c>
      <c r="H561">
        <v>1026.35820496621</v>
      </c>
      <c r="I561">
        <v>0.62325910820484498</v>
      </c>
      <c r="J561">
        <v>0.123471760918413</v>
      </c>
      <c r="K561">
        <v>0.6461903922351</v>
      </c>
      <c r="L561" t="s">
        <v>38</v>
      </c>
      <c r="M561" t="s">
        <v>34</v>
      </c>
      <c r="N561" t="s">
        <v>35</v>
      </c>
      <c r="O561">
        <v>0.67758851998535097</v>
      </c>
      <c r="P561" t="s">
        <v>36</v>
      </c>
    </row>
    <row r="562" spans="1:16">
      <c r="A562">
        <v>561</v>
      </c>
      <c r="B562" t="s">
        <v>613</v>
      </c>
      <c r="C562">
        <v>156</v>
      </c>
      <c r="D562">
        <v>118</v>
      </c>
      <c r="E562">
        <v>115.058615120797</v>
      </c>
      <c r="F562">
        <v>1.32258064516129</v>
      </c>
      <c r="G562">
        <v>10397.481737240099</v>
      </c>
      <c r="H562">
        <v>1601.0987230872099</v>
      </c>
      <c r="I562">
        <v>0.54012385766853999</v>
      </c>
      <c r="J562">
        <v>5.0968494765339399E-2</v>
      </c>
      <c r="K562">
        <v>0.65032072139072195</v>
      </c>
      <c r="L562" t="s">
        <v>41</v>
      </c>
      <c r="M562" t="s">
        <v>34</v>
      </c>
      <c r="N562" t="s">
        <v>35</v>
      </c>
      <c r="O562">
        <v>0.708276073722657</v>
      </c>
      <c r="P562" t="s">
        <v>36</v>
      </c>
    </row>
    <row r="563" spans="1:16">
      <c r="A563">
        <v>562</v>
      </c>
      <c r="B563" t="s">
        <v>614</v>
      </c>
      <c r="C563">
        <v>162</v>
      </c>
      <c r="D563">
        <v>97</v>
      </c>
      <c r="E563">
        <v>116.576576397032</v>
      </c>
      <c r="F563">
        <v>1.6699205390678</v>
      </c>
      <c r="G563">
        <v>10673.6381387524</v>
      </c>
      <c r="H563">
        <v>696.12085743831597</v>
      </c>
      <c r="I563">
        <v>0.65814877048199905</v>
      </c>
      <c r="J563">
        <v>0.27679168929703402</v>
      </c>
      <c r="K563">
        <v>0.82409171237749901</v>
      </c>
      <c r="L563" t="s">
        <v>47</v>
      </c>
      <c r="M563" t="s">
        <v>34</v>
      </c>
      <c r="N563" t="s">
        <v>35</v>
      </c>
      <c r="O563">
        <v>0.94611784315581904</v>
      </c>
      <c r="P563" t="s">
        <v>36</v>
      </c>
    </row>
    <row r="564" spans="1:16">
      <c r="A564">
        <v>563</v>
      </c>
      <c r="B564" t="s">
        <v>615</v>
      </c>
      <c r="C564">
        <v>186</v>
      </c>
      <c r="D564">
        <v>137</v>
      </c>
      <c r="E564">
        <v>116.624454955788</v>
      </c>
      <c r="F564">
        <v>1.3585657370517901</v>
      </c>
      <c r="G564">
        <v>10682.4073678639</v>
      </c>
      <c r="H564">
        <v>1433.18116880396</v>
      </c>
      <c r="I564">
        <v>0.70222419159814298</v>
      </c>
      <c r="J564">
        <v>6.5354698168196598E-2</v>
      </c>
      <c r="K564">
        <v>0.60688863181538</v>
      </c>
      <c r="L564" t="s">
        <v>74</v>
      </c>
      <c r="M564" t="s">
        <v>34</v>
      </c>
      <c r="N564" t="s">
        <v>35</v>
      </c>
      <c r="O564">
        <v>0.76195902373500002</v>
      </c>
      <c r="P564" t="s">
        <v>36</v>
      </c>
    </row>
    <row r="565" spans="1:16">
      <c r="A565">
        <v>564</v>
      </c>
      <c r="B565" t="s">
        <v>616</v>
      </c>
      <c r="C565">
        <v>232</v>
      </c>
      <c r="D565">
        <v>130</v>
      </c>
      <c r="E565">
        <v>117.042354787622</v>
      </c>
      <c r="F565">
        <v>1.78598099600381</v>
      </c>
      <c r="G565">
        <v>10759.100964839299</v>
      </c>
      <c r="H565">
        <v>1360.0445436871601</v>
      </c>
      <c r="I565">
        <v>0.67681515032804895</v>
      </c>
      <c r="J565">
        <v>7.3093638687703605E-2</v>
      </c>
      <c r="K565">
        <v>0.53789280486264401</v>
      </c>
      <c r="L565" t="s">
        <v>43</v>
      </c>
      <c r="M565" t="s">
        <v>34</v>
      </c>
      <c r="N565" t="s">
        <v>35</v>
      </c>
      <c r="O565">
        <v>0.90724733618514697</v>
      </c>
      <c r="P565" t="s">
        <v>36</v>
      </c>
    </row>
    <row r="566" spans="1:16">
      <c r="A566">
        <v>565</v>
      </c>
      <c r="B566" t="s">
        <v>617</v>
      </c>
      <c r="C566">
        <v>191</v>
      </c>
      <c r="D566">
        <v>107</v>
      </c>
      <c r="E566">
        <v>117.139327121737</v>
      </c>
      <c r="F566">
        <v>1.7766497461928901</v>
      </c>
      <c r="G566">
        <v>10776.936685066201</v>
      </c>
      <c r="H566">
        <v>1402.0744323971001</v>
      </c>
      <c r="I566">
        <v>0.66323006911498095</v>
      </c>
      <c r="J566">
        <v>6.8891089933855107E-2</v>
      </c>
      <c r="K566">
        <v>0.58921809228168798</v>
      </c>
      <c r="L566" t="s">
        <v>33</v>
      </c>
      <c r="M566" t="s">
        <v>34</v>
      </c>
      <c r="N566" t="s">
        <v>35</v>
      </c>
      <c r="O566">
        <v>0.71522535048033897</v>
      </c>
      <c r="P566" t="s">
        <v>36</v>
      </c>
    </row>
    <row r="567" spans="1:16">
      <c r="A567">
        <v>566</v>
      </c>
      <c r="B567" t="s">
        <v>618</v>
      </c>
      <c r="C567">
        <v>127</v>
      </c>
      <c r="D567">
        <v>177</v>
      </c>
      <c r="E567">
        <v>117.170825850257</v>
      </c>
      <c r="F567">
        <v>0.719135802469136</v>
      </c>
      <c r="G567">
        <v>10782.7332941399</v>
      </c>
      <c r="H567">
        <v>1501.0754065726101</v>
      </c>
      <c r="I567">
        <v>0.55539040771621995</v>
      </c>
      <c r="J567">
        <v>6.0135885193015E-2</v>
      </c>
      <c r="K567">
        <v>0.57052643168341699</v>
      </c>
      <c r="L567" t="s">
        <v>33</v>
      </c>
      <c r="M567" t="s">
        <v>34</v>
      </c>
      <c r="N567" t="s">
        <v>35</v>
      </c>
      <c r="O567">
        <v>0.79492593914193399</v>
      </c>
      <c r="P567" t="s">
        <v>36</v>
      </c>
    </row>
    <row r="568" spans="1:16">
      <c r="A568">
        <v>567</v>
      </c>
      <c r="B568" t="s">
        <v>619</v>
      </c>
      <c r="C568">
        <v>146</v>
      </c>
      <c r="D568">
        <v>161</v>
      </c>
      <c r="E568">
        <v>117.53607722810099</v>
      </c>
      <c r="F568">
        <v>0.90540538590000996</v>
      </c>
      <c r="G568">
        <v>10850.0631379962</v>
      </c>
      <c r="H568">
        <v>1582.0869614522401</v>
      </c>
      <c r="I568">
        <v>0.58345141944322298</v>
      </c>
      <c r="J568">
        <v>5.4473016654963201E-2</v>
      </c>
      <c r="K568">
        <v>0.54473953241946405</v>
      </c>
      <c r="L568" t="s">
        <v>33</v>
      </c>
      <c r="M568" t="s">
        <v>34</v>
      </c>
      <c r="N568" t="s">
        <v>35</v>
      </c>
      <c r="O568">
        <v>0.75668097798802303</v>
      </c>
      <c r="P568" t="s">
        <v>36</v>
      </c>
    </row>
    <row r="569" spans="1:16">
      <c r="A569">
        <v>568</v>
      </c>
      <c r="B569" t="s">
        <v>620</v>
      </c>
      <c r="C569">
        <v>88</v>
      </c>
      <c r="D569">
        <v>274</v>
      </c>
      <c r="E569">
        <v>118.235989580565</v>
      </c>
      <c r="F569">
        <v>0.32007952286282298</v>
      </c>
      <c r="G569">
        <v>10979.669371644601</v>
      </c>
      <c r="H569">
        <v>2089.0107364865999</v>
      </c>
      <c r="I569">
        <v>0.88039300454357905</v>
      </c>
      <c r="J569">
        <v>3.1616790566992001E-2</v>
      </c>
      <c r="K569">
        <v>0.52486411595438598</v>
      </c>
      <c r="L569" t="s">
        <v>41</v>
      </c>
      <c r="M569" t="s">
        <v>34</v>
      </c>
      <c r="N569" t="s">
        <v>35</v>
      </c>
      <c r="O569">
        <v>0.80618789364063304</v>
      </c>
      <c r="P569" t="s">
        <v>36</v>
      </c>
    </row>
    <row r="570" spans="1:16">
      <c r="A570">
        <v>569</v>
      </c>
      <c r="B570" t="s">
        <v>621</v>
      </c>
      <c r="C570">
        <v>101</v>
      </c>
      <c r="D570">
        <v>195</v>
      </c>
      <c r="E570">
        <v>118.980304374467</v>
      </c>
      <c r="F570">
        <v>0.51840284732100705</v>
      </c>
      <c r="G570">
        <v>11118.3420964083</v>
      </c>
      <c r="H570">
        <v>773.012559472063</v>
      </c>
      <c r="I570">
        <v>0.79150917665933596</v>
      </c>
      <c r="J570">
        <v>0.23381738349907399</v>
      </c>
      <c r="K570">
        <v>0.71246928395908304</v>
      </c>
      <c r="L570" t="s">
        <v>33</v>
      </c>
      <c r="M570" t="s">
        <v>34</v>
      </c>
      <c r="N570" t="s">
        <v>35</v>
      </c>
      <c r="O570">
        <v>0.83493373849701302</v>
      </c>
      <c r="P570" t="s">
        <v>36</v>
      </c>
    </row>
    <row r="571" spans="1:16">
      <c r="A571">
        <v>570</v>
      </c>
      <c r="B571" t="s">
        <v>622</v>
      </c>
      <c r="C571">
        <v>132</v>
      </c>
      <c r="D571">
        <v>142</v>
      </c>
      <c r="E571">
        <v>119.76977384442399</v>
      </c>
      <c r="F571">
        <v>0.93076923076923102</v>
      </c>
      <c r="G571">
        <v>11266.3785742911</v>
      </c>
      <c r="H571">
        <v>946.40498514952901</v>
      </c>
      <c r="I571">
        <v>0.60258966166336403</v>
      </c>
      <c r="J571">
        <v>0.158066619698881</v>
      </c>
      <c r="K571">
        <v>0.728421517941227</v>
      </c>
      <c r="L571" t="s">
        <v>47</v>
      </c>
      <c r="M571" t="s">
        <v>34</v>
      </c>
      <c r="N571" t="s">
        <v>35</v>
      </c>
      <c r="O571">
        <v>0.93837936331060101</v>
      </c>
      <c r="P571" t="s">
        <v>36</v>
      </c>
    </row>
    <row r="572" spans="1:16">
      <c r="A572">
        <v>571</v>
      </c>
      <c r="B572" t="s">
        <v>623</v>
      </c>
      <c r="C572">
        <v>166</v>
      </c>
      <c r="D572">
        <v>137</v>
      </c>
      <c r="E572">
        <v>119.848750571971</v>
      </c>
      <c r="F572">
        <v>1.2151394422310799</v>
      </c>
      <c r="G572">
        <v>11281.241674480199</v>
      </c>
      <c r="H572">
        <v>1673.33200250512</v>
      </c>
      <c r="I572">
        <v>0.616574706925472</v>
      </c>
      <c r="J572">
        <v>5.06293711329815E-2</v>
      </c>
      <c r="K572">
        <v>0.61227271993933796</v>
      </c>
      <c r="L572" t="s">
        <v>33</v>
      </c>
      <c r="M572" t="s">
        <v>34</v>
      </c>
      <c r="N572" t="s">
        <v>35</v>
      </c>
      <c r="O572">
        <v>0.805093586619128</v>
      </c>
      <c r="P572" t="s">
        <v>36</v>
      </c>
    </row>
    <row r="573" spans="1:16">
      <c r="A573">
        <v>572</v>
      </c>
      <c r="B573" t="s">
        <v>624</v>
      </c>
      <c r="C573">
        <v>147</v>
      </c>
      <c r="D573">
        <v>152</v>
      </c>
      <c r="E573">
        <v>119.95055374522801</v>
      </c>
      <c r="F573">
        <v>0.96762589928057596</v>
      </c>
      <c r="G573">
        <v>11300.415073724</v>
      </c>
      <c r="H573">
        <v>1492.3292308305699</v>
      </c>
      <c r="I573">
        <v>0.545304852464777</v>
      </c>
      <c r="J573">
        <v>6.3763914132954402E-2</v>
      </c>
      <c r="K573">
        <v>0.58581500173363599</v>
      </c>
      <c r="L573" t="s">
        <v>43</v>
      </c>
      <c r="M573" t="s">
        <v>34</v>
      </c>
      <c r="N573" t="s">
        <v>35</v>
      </c>
      <c r="O573">
        <v>0.73633107406386</v>
      </c>
      <c r="P573" t="s">
        <v>36</v>
      </c>
    </row>
    <row r="574" spans="1:16">
      <c r="A574">
        <v>573</v>
      </c>
      <c r="B574" t="s">
        <v>625</v>
      </c>
      <c r="C574">
        <v>107</v>
      </c>
      <c r="D574">
        <v>192</v>
      </c>
      <c r="E574">
        <v>120.05463507303099</v>
      </c>
      <c r="F574">
        <v>0.55414908883657399</v>
      </c>
      <c r="G574">
        <v>11320.034365973501</v>
      </c>
      <c r="H574">
        <v>843.72642873909194</v>
      </c>
      <c r="I574">
        <v>0.82712894607149201</v>
      </c>
      <c r="J574">
        <v>0.199827062020944</v>
      </c>
      <c r="K574">
        <v>0.74603532212089496</v>
      </c>
      <c r="L574" t="s">
        <v>38</v>
      </c>
      <c r="M574" t="s">
        <v>34</v>
      </c>
      <c r="N574" t="s">
        <v>35</v>
      </c>
      <c r="O574">
        <v>0.70456216910722902</v>
      </c>
      <c r="P574" t="s">
        <v>36</v>
      </c>
    </row>
    <row r="575" spans="1:16">
      <c r="A575">
        <v>574</v>
      </c>
      <c r="B575" t="s">
        <v>626</v>
      </c>
      <c r="C575">
        <v>359</v>
      </c>
      <c r="D575">
        <v>91</v>
      </c>
      <c r="E575">
        <v>120.448852547369</v>
      </c>
      <c r="F575">
        <v>3.9436034575944401</v>
      </c>
      <c r="G575">
        <v>11394.4984979206</v>
      </c>
      <c r="H575">
        <v>1472.8336966264801</v>
      </c>
      <c r="I575">
        <v>0.87191705926387897</v>
      </c>
      <c r="J575">
        <v>6.6008164442099101E-2</v>
      </c>
      <c r="K575">
        <v>0.428043394509243</v>
      </c>
      <c r="L575" t="s">
        <v>33</v>
      </c>
      <c r="M575" t="s">
        <v>34</v>
      </c>
      <c r="N575" t="s">
        <v>35</v>
      </c>
      <c r="O575">
        <v>0.81198037681441304</v>
      </c>
      <c r="P575" t="s">
        <v>36</v>
      </c>
    </row>
    <row r="576" spans="1:16">
      <c r="A576">
        <v>575</v>
      </c>
      <c r="B576" t="s">
        <v>627</v>
      </c>
      <c r="C576">
        <v>155</v>
      </c>
      <c r="D576">
        <v>170</v>
      </c>
      <c r="E576">
        <v>120.539944635805</v>
      </c>
      <c r="F576">
        <v>0.91035142354719101</v>
      </c>
      <c r="G576">
        <v>11411.7396941399</v>
      </c>
      <c r="H576">
        <v>1734.6742293396201</v>
      </c>
      <c r="I576">
        <v>0.695979513272735</v>
      </c>
      <c r="J576">
        <v>4.7656908641684599E-2</v>
      </c>
      <c r="K576">
        <v>0.54261544332782097</v>
      </c>
      <c r="L576" t="s">
        <v>144</v>
      </c>
      <c r="M576" t="s">
        <v>34</v>
      </c>
      <c r="N576" t="s">
        <v>35</v>
      </c>
      <c r="O576">
        <v>0.92496414002549199</v>
      </c>
      <c r="P576" t="s">
        <v>36</v>
      </c>
    </row>
    <row r="577" spans="1:16">
      <c r="A577">
        <v>576</v>
      </c>
      <c r="B577" t="s">
        <v>628</v>
      </c>
      <c r="C577">
        <v>184</v>
      </c>
      <c r="D577">
        <v>89</v>
      </c>
      <c r="E577">
        <v>120.721922609163</v>
      </c>
      <c r="F577">
        <v>2.06127813960632</v>
      </c>
      <c r="G577">
        <v>11446.2220865785</v>
      </c>
      <c r="H577">
        <v>574.05636122548106</v>
      </c>
      <c r="I577">
        <v>0.76289478778964803</v>
      </c>
      <c r="J577">
        <v>0.43647860890913498</v>
      </c>
      <c r="K577">
        <v>0.90006077464294898</v>
      </c>
      <c r="L577" t="s">
        <v>47</v>
      </c>
      <c r="M577" t="s">
        <v>34</v>
      </c>
      <c r="N577" t="s">
        <v>35</v>
      </c>
      <c r="O577">
        <v>0.91633242729027398</v>
      </c>
      <c r="P577" t="s">
        <v>36</v>
      </c>
    </row>
    <row r="578" spans="1:16">
      <c r="A578">
        <v>577</v>
      </c>
      <c r="B578" t="s">
        <v>629</v>
      </c>
      <c r="C578">
        <v>186</v>
      </c>
      <c r="D578">
        <v>99</v>
      </c>
      <c r="E578">
        <v>121.478268409701</v>
      </c>
      <c r="F578">
        <v>1.8723658310379201</v>
      </c>
      <c r="G578">
        <v>11590.0968964083</v>
      </c>
      <c r="H578">
        <v>669.98252237537599</v>
      </c>
      <c r="I578">
        <v>0.84758932984410196</v>
      </c>
      <c r="J578">
        <v>0.32446658937519401</v>
      </c>
      <c r="K578">
        <v>0.85615002031159104</v>
      </c>
      <c r="L578" t="s">
        <v>47</v>
      </c>
      <c r="M578" t="s">
        <v>34</v>
      </c>
      <c r="N578" t="s">
        <v>35</v>
      </c>
      <c r="O578">
        <v>0.86749877192759695</v>
      </c>
      <c r="P578" t="s">
        <v>36</v>
      </c>
    </row>
    <row r="579" spans="1:16">
      <c r="A579">
        <v>578</v>
      </c>
      <c r="B579" t="s">
        <v>630</v>
      </c>
      <c r="C579">
        <v>111</v>
      </c>
      <c r="D579">
        <v>222</v>
      </c>
      <c r="E579">
        <v>121.62850640195801</v>
      </c>
      <c r="F579">
        <v>0.50196552844082398</v>
      </c>
      <c r="G579">
        <v>11618.7826797732</v>
      </c>
      <c r="H579">
        <v>1048.50897906614</v>
      </c>
      <c r="I579">
        <v>0.71854019751400899</v>
      </c>
      <c r="J579">
        <v>0.13280859575669501</v>
      </c>
      <c r="K579">
        <v>0.648773362546891</v>
      </c>
      <c r="L579" t="s">
        <v>38</v>
      </c>
      <c r="M579" t="s">
        <v>34</v>
      </c>
      <c r="N579" t="s">
        <v>35</v>
      </c>
      <c r="O579">
        <v>0.67690233820608003</v>
      </c>
      <c r="P579" t="s">
        <v>36</v>
      </c>
    </row>
    <row r="580" spans="1:16">
      <c r="A580">
        <v>579</v>
      </c>
      <c r="B580" t="s">
        <v>631</v>
      </c>
      <c r="C580">
        <v>100</v>
      </c>
      <c r="D580">
        <v>185</v>
      </c>
      <c r="E580">
        <v>122.59014630150401</v>
      </c>
      <c r="F580">
        <v>0.54208216238947604</v>
      </c>
      <c r="G580">
        <v>11803.233753119101</v>
      </c>
      <c r="H580">
        <v>824.68256738444995</v>
      </c>
      <c r="I580">
        <v>0.765750524427248</v>
      </c>
      <c r="J580">
        <v>0.218090748733509</v>
      </c>
      <c r="K580">
        <v>0.722258096788569</v>
      </c>
      <c r="L580" t="s">
        <v>58</v>
      </c>
      <c r="M580" t="s">
        <v>34</v>
      </c>
      <c r="N580" t="s">
        <v>35</v>
      </c>
      <c r="O580">
        <v>0.80948619427894097</v>
      </c>
      <c r="P580" t="s">
        <v>36</v>
      </c>
    </row>
    <row r="581" spans="1:16">
      <c r="A581">
        <v>580</v>
      </c>
      <c r="B581" t="s">
        <v>632</v>
      </c>
      <c r="C581">
        <v>119</v>
      </c>
      <c r="D581">
        <v>139</v>
      </c>
      <c r="E581">
        <v>122.76796451355899</v>
      </c>
      <c r="F581">
        <v>0.85483873630568996</v>
      </c>
      <c r="G581">
        <v>11837.5</v>
      </c>
      <c r="H581">
        <v>515.77163994312298</v>
      </c>
      <c r="I581">
        <v>0.78273878731992497</v>
      </c>
      <c r="J581">
        <v>0.55918426096608898</v>
      </c>
      <c r="K581">
        <v>0.86642268984446502</v>
      </c>
      <c r="L581" t="s">
        <v>33</v>
      </c>
      <c r="M581" t="s">
        <v>34</v>
      </c>
      <c r="N581" t="s">
        <v>35</v>
      </c>
      <c r="O581">
        <v>0.732798862469483</v>
      </c>
      <c r="P581" t="s">
        <v>36</v>
      </c>
    </row>
    <row r="582" spans="1:16">
      <c r="A582">
        <v>581</v>
      </c>
      <c r="B582" t="s">
        <v>633</v>
      </c>
      <c r="C582">
        <v>176</v>
      </c>
      <c r="D582">
        <v>129</v>
      </c>
      <c r="E582">
        <v>124.485822772899</v>
      </c>
      <c r="F582">
        <v>1.3611347888009799</v>
      </c>
      <c r="G582">
        <v>12171.0954827977</v>
      </c>
      <c r="H582">
        <v>939.91717365472198</v>
      </c>
      <c r="I582">
        <v>0.49727602711406599</v>
      </c>
      <c r="J582">
        <v>0.173125230163517</v>
      </c>
      <c r="K582">
        <v>0.73747726003710401</v>
      </c>
      <c r="L582" t="s">
        <v>38</v>
      </c>
      <c r="M582" t="s">
        <v>34</v>
      </c>
      <c r="N582" t="s">
        <v>35</v>
      </c>
      <c r="O582">
        <v>0.72327508536297702</v>
      </c>
      <c r="P582" t="s">
        <v>36</v>
      </c>
    </row>
    <row r="583" spans="1:16">
      <c r="A583">
        <v>582</v>
      </c>
      <c r="B583" t="s">
        <v>634</v>
      </c>
      <c r="C583">
        <v>206</v>
      </c>
      <c r="D583">
        <v>215</v>
      </c>
      <c r="E583">
        <v>125.080320118247</v>
      </c>
      <c r="F583">
        <v>0.95443037270544495</v>
      </c>
      <c r="G583">
        <v>12287.6221882798</v>
      </c>
      <c r="H583">
        <v>2862.8076450173799</v>
      </c>
      <c r="I583">
        <v>0.51125622443720997</v>
      </c>
      <c r="J583">
        <v>1.8840541331140701E-2</v>
      </c>
      <c r="K583">
        <v>0.33233371656442701</v>
      </c>
      <c r="L583" t="s">
        <v>49</v>
      </c>
      <c r="M583" t="s">
        <v>34</v>
      </c>
      <c r="N583" t="s">
        <v>35</v>
      </c>
      <c r="O583">
        <v>0.83167581553105696</v>
      </c>
      <c r="P583" t="s">
        <v>36</v>
      </c>
    </row>
    <row r="584" spans="1:16">
      <c r="A584">
        <v>583</v>
      </c>
      <c r="B584" t="s">
        <v>635</v>
      </c>
      <c r="C584">
        <v>123</v>
      </c>
      <c r="D584">
        <v>213</v>
      </c>
      <c r="E584">
        <v>128.14954913930401</v>
      </c>
      <c r="F584">
        <v>0.57970581130461496</v>
      </c>
      <c r="G584">
        <v>12898.0497130435</v>
      </c>
      <c r="H584">
        <v>1551.3582962169901</v>
      </c>
      <c r="I584">
        <v>0.69884567377913398</v>
      </c>
      <c r="J584">
        <v>6.7345671174894303E-2</v>
      </c>
      <c r="K584">
        <v>0.61556304309274701</v>
      </c>
      <c r="L584" t="s">
        <v>33</v>
      </c>
      <c r="M584" t="s">
        <v>34</v>
      </c>
      <c r="N584" t="s">
        <v>35</v>
      </c>
      <c r="O584">
        <v>0.69852006201429995</v>
      </c>
      <c r="P584" t="s">
        <v>36</v>
      </c>
    </row>
    <row r="585" spans="1:16">
      <c r="A585">
        <v>584</v>
      </c>
      <c r="B585" t="s">
        <v>636</v>
      </c>
      <c r="C585">
        <v>112</v>
      </c>
      <c r="D585">
        <v>253</v>
      </c>
      <c r="E585">
        <v>128.24181183707</v>
      </c>
      <c r="F585">
        <v>0.44255371280452999</v>
      </c>
      <c r="G585">
        <v>12916.6285882798</v>
      </c>
      <c r="H585">
        <v>1231.77951722643</v>
      </c>
      <c r="I585">
        <v>0.79678251743466799</v>
      </c>
      <c r="J585">
        <v>0.106977656455295</v>
      </c>
      <c r="K585">
        <v>0.66559441202150604</v>
      </c>
      <c r="L585" t="s">
        <v>47</v>
      </c>
      <c r="M585" t="s">
        <v>34</v>
      </c>
      <c r="N585" t="s">
        <v>35</v>
      </c>
      <c r="O585">
        <v>0.91192211252658695</v>
      </c>
      <c r="P585" t="s">
        <v>36</v>
      </c>
    </row>
    <row r="586" spans="1:16">
      <c r="A586">
        <v>585</v>
      </c>
      <c r="B586" t="s">
        <v>637</v>
      </c>
      <c r="C586">
        <v>109</v>
      </c>
      <c r="D586">
        <v>247</v>
      </c>
      <c r="E586">
        <v>128.987074273876</v>
      </c>
      <c r="F586">
        <v>0.442355289784501</v>
      </c>
      <c r="G586">
        <v>13067.191793194699</v>
      </c>
      <c r="H586">
        <v>1073.0050143338301</v>
      </c>
      <c r="I586">
        <v>0.91097876554052104</v>
      </c>
      <c r="J586">
        <v>0.142622691020556</v>
      </c>
      <c r="K586">
        <v>0.62964713633987202</v>
      </c>
      <c r="L586" t="s">
        <v>41</v>
      </c>
      <c r="M586" t="s">
        <v>34</v>
      </c>
      <c r="N586" t="s">
        <v>35</v>
      </c>
      <c r="O586">
        <v>0.804481866194526</v>
      </c>
      <c r="P586" t="s">
        <v>36</v>
      </c>
    </row>
    <row r="587" spans="1:16">
      <c r="A587">
        <v>586</v>
      </c>
      <c r="B587" t="s">
        <v>638</v>
      </c>
      <c r="C587">
        <v>126</v>
      </c>
      <c r="D587">
        <v>201</v>
      </c>
      <c r="E587">
        <v>129.69741769097999</v>
      </c>
      <c r="F587">
        <v>0.629220235089893</v>
      </c>
      <c r="G587">
        <v>13211.5124960302</v>
      </c>
      <c r="H587">
        <v>975.55944303305296</v>
      </c>
      <c r="I587">
        <v>0.76627762425460499</v>
      </c>
      <c r="J587">
        <v>0.17444355545319001</v>
      </c>
      <c r="K587">
        <v>0.70540993103667204</v>
      </c>
      <c r="L587" t="s">
        <v>47</v>
      </c>
      <c r="M587" t="s">
        <v>34</v>
      </c>
      <c r="N587" t="s">
        <v>35</v>
      </c>
      <c r="O587">
        <v>0.86922510681350396</v>
      </c>
      <c r="P587" t="s">
        <v>36</v>
      </c>
    </row>
    <row r="588" spans="1:16">
      <c r="A588">
        <v>587</v>
      </c>
      <c r="B588" t="s">
        <v>639</v>
      </c>
      <c r="C588">
        <v>175</v>
      </c>
      <c r="D588">
        <v>111</v>
      </c>
      <c r="E588">
        <v>130.72928145578001</v>
      </c>
      <c r="F588">
        <v>1.56580742383241</v>
      </c>
      <c r="G588">
        <v>13422.568518714599</v>
      </c>
      <c r="H588">
        <v>669.74063609081804</v>
      </c>
      <c r="I588">
        <v>0.58465778760159604</v>
      </c>
      <c r="J588">
        <v>0.37603839733512201</v>
      </c>
      <c r="K588">
        <v>0.86005980838460205</v>
      </c>
      <c r="L588" t="s">
        <v>47</v>
      </c>
      <c r="M588" t="s">
        <v>34</v>
      </c>
      <c r="N588" t="s">
        <v>35</v>
      </c>
      <c r="O588">
        <v>0.87601699362933605</v>
      </c>
      <c r="P588" t="s">
        <v>36</v>
      </c>
    </row>
    <row r="589" spans="1:16">
      <c r="A589">
        <v>588</v>
      </c>
      <c r="B589" t="s">
        <v>640</v>
      </c>
      <c r="C589">
        <v>182</v>
      </c>
      <c r="D589">
        <v>208</v>
      </c>
      <c r="E589">
        <v>130.74112164146999</v>
      </c>
      <c r="F589">
        <v>0.87349397921355698</v>
      </c>
      <c r="G589">
        <v>13425</v>
      </c>
      <c r="H589">
        <v>1300.5382275581401</v>
      </c>
      <c r="I589">
        <v>0.70714527533457705</v>
      </c>
      <c r="J589">
        <v>9.9741963628674601E-2</v>
      </c>
      <c r="K589">
        <v>0.49722222222222201</v>
      </c>
      <c r="L589" t="s">
        <v>74</v>
      </c>
      <c r="M589" t="s">
        <v>34</v>
      </c>
      <c r="N589" t="s">
        <v>35</v>
      </c>
      <c r="O589">
        <v>0.74374176159184402</v>
      </c>
      <c r="P589" t="s">
        <v>36</v>
      </c>
    </row>
    <row r="590" spans="1:16">
      <c r="A590">
        <v>589</v>
      </c>
      <c r="B590" t="s">
        <v>641</v>
      </c>
      <c r="C590">
        <v>138</v>
      </c>
      <c r="D590">
        <v>177</v>
      </c>
      <c r="E590">
        <v>132.27700647335399</v>
      </c>
      <c r="F590">
        <v>0.78219227650013801</v>
      </c>
      <c r="G590">
        <v>13742.273803780699</v>
      </c>
      <c r="H590">
        <v>929.55139559859799</v>
      </c>
      <c r="I590">
        <v>0.75527996933616304</v>
      </c>
      <c r="J590">
        <v>0.19985805049804101</v>
      </c>
      <c r="K590">
        <v>0.75357393189560995</v>
      </c>
      <c r="L590" t="s">
        <v>49</v>
      </c>
      <c r="M590" t="s">
        <v>34</v>
      </c>
      <c r="N590" t="s">
        <v>35</v>
      </c>
      <c r="O590">
        <v>0.81441980909556599</v>
      </c>
      <c r="P590" t="s">
        <v>36</v>
      </c>
    </row>
    <row r="591" spans="1:16">
      <c r="A591">
        <v>590</v>
      </c>
      <c r="B591" t="s">
        <v>642</v>
      </c>
      <c r="C591">
        <v>196</v>
      </c>
      <c r="D591">
        <v>188</v>
      </c>
      <c r="E591">
        <v>132.33064519127899</v>
      </c>
      <c r="F591">
        <v>1.0455331823162599</v>
      </c>
      <c r="G591">
        <v>13753.4211289225</v>
      </c>
      <c r="H591">
        <v>1270.4739021492001</v>
      </c>
      <c r="I591">
        <v>0.57950420232710798</v>
      </c>
      <c r="J591">
        <v>0.107075252876948</v>
      </c>
      <c r="K591">
        <v>0.53258817570678696</v>
      </c>
      <c r="L591" t="s">
        <v>47</v>
      </c>
      <c r="M591" t="s">
        <v>34</v>
      </c>
      <c r="N591" t="s">
        <v>35</v>
      </c>
      <c r="O591">
        <v>0.88632080825179005</v>
      </c>
      <c r="P591" t="s">
        <v>36</v>
      </c>
    </row>
    <row r="592" spans="1:16">
      <c r="A592">
        <v>591</v>
      </c>
      <c r="B592" t="s">
        <v>643</v>
      </c>
      <c r="C592">
        <v>255</v>
      </c>
      <c r="D592">
        <v>112</v>
      </c>
      <c r="E592">
        <v>134.30796808185599</v>
      </c>
      <c r="F592">
        <v>2.2780487804877998</v>
      </c>
      <c r="G592">
        <v>14167.507100188999</v>
      </c>
      <c r="H592">
        <v>2145.4886471445702</v>
      </c>
      <c r="I592">
        <v>0.72182849722069298</v>
      </c>
      <c r="J592">
        <v>3.86768290925706E-2</v>
      </c>
      <c r="K592">
        <v>0.56167394391510095</v>
      </c>
      <c r="L592" t="s">
        <v>33</v>
      </c>
      <c r="M592" t="s">
        <v>34</v>
      </c>
      <c r="N592" t="s">
        <v>35</v>
      </c>
      <c r="O592">
        <v>0.77063033250537505</v>
      </c>
      <c r="P592" t="s">
        <v>36</v>
      </c>
    </row>
    <row r="593" spans="1:16">
      <c r="A593">
        <v>592</v>
      </c>
      <c r="B593" t="s">
        <v>644</v>
      </c>
      <c r="C593">
        <v>121</v>
      </c>
      <c r="D593">
        <v>207</v>
      </c>
      <c r="E593">
        <v>134.718774214577</v>
      </c>
      <c r="F593">
        <v>0.58400051616486903</v>
      </c>
      <c r="G593">
        <v>14254.307605292999</v>
      </c>
      <c r="H593">
        <v>894.57058563460498</v>
      </c>
      <c r="I593">
        <v>0.76962394859649796</v>
      </c>
      <c r="J593">
        <v>0.22383436423658201</v>
      </c>
      <c r="K593">
        <v>0.77225474486057299</v>
      </c>
      <c r="L593" t="s">
        <v>33</v>
      </c>
      <c r="M593" t="s">
        <v>34</v>
      </c>
      <c r="N593" t="s">
        <v>35</v>
      </c>
      <c r="O593">
        <v>0.85432447817546797</v>
      </c>
      <c r="P593" t="s">
        <v>36</v>
      </c>
    </row>
    <row r="594" spans="1:16">
      <c r="A594">
        <v>593</v>
      </c>
      <c r="B594" t="s">
        <v>645</v>
      </c>
      <c r="C594">
        <v>213</v>
      </c>
      <c r="D594">
        <v>151</v>
      </c>
      <c r="E594">
        <v>135.43957707503699</v>
      </c>
      <c r="F594">
        <v>1.4080267378101301</v>
      </c>
      <c r="G594">
        <v>14407.248906238199</v>
      </c>
      <c r="H594">
        <v>1492.95859052523</v>
      </c>
      <c r="I594">
        <v>0.808402208719607</v>
      </c>
      <c r="J594">
        <v>8.1226062166485799E-2</v>
      </c>
      <c r="K594">
        <v>0.58773988176443803</v>
      </c>
      <c r="L594" t="s">
        <v>33</v>
      </c>
      <c r="M594" t="s">
        <v>34</v>
      </c>
      <c r="N594" t="s">
        <v>35</v>
      </c>
      <c r="O594">
        <v>0.82327341439173096</v>
      </c>
      <c r="P594" t="s">
        <v>36</v>
      </c>
    </row>
    <row r="595" spans="1:16">
      <c r="A595">
        <v>594</v>
      </c>
      <c r="B595" t="s">
        <v>646</v>
      </c>
      <c r="C595">
        <v>115</v>
      </c>
      <c r="D595">
        <v>196</v>
      </c>
      <c r="E595">
        <v>135.61551622619899</v>
      </c>
      <c r="F595">
        <v>0.58511683273708104</v>
      </c>
      <c r="G595">
        <v>14444.7039187146</v>
      </c>
      <c r="H595">
        <v>890.60572215277205</v>
      </c>
      <c r="I595">
        <v>0.69793708589151504</v>
      </c>
      <c r="J595">
        <v>0.22884822379998601</v>
      </c>
      <c r="K595">
        <v>0.77261561210617902</v>
      </c>
      <c r="L595" t="s">
        <v>47</v>
      </c>
      <c r="M595" t="s">
        <v>34</v>
      </c>
      <c r="N595" t="s">
        <v>35</v>
      </c>
      <c r="O595">
        <v>0.88821806486781296</v>
      </c>
      <c r="P595" t="s">
        <v>36</v>
      </c>
    </row>
    <row r="596" spans="1:16">
      <c r="A596">
        <v>595</v>
      </c>
      <c r="B596" t="s">
        <v>647</v>
      </c>
      <c r="C596">
        <v>318</v>
      </c>
      <c r="D596">
        <v>123</v>
      </c>
      <c r="E596">
        <v>136.599219987482</v>
      </c>
      <c r="F596">
        <v>2.5955553650655601</v>
      </c>
      <c r="G596">
        <v>14655.0167863894</v>
      </c>
      <c r="H596">
        <v>2233.5547900044398</v>
      </c>
      <c r="I596">
        <v>0.80074304995851597</v>
      </c>
      <c r="J596">
        <v>3.6915007716176E-2</v>
      </c>
      <c r="K596">
        <v>0.55431873889675998</v>
      </c>
      <c r="L596" t="s">
        <v>49</v>
      </c>
      <c r="M596" t="s">
        <v>34</v>
      </c>
      <c r="N596" t="s">
        <v>35</v>
      </c>
      <c r="O596">
        <v>0.80945873483691</v>
      </c>
      <c r="P596" t="s">
        <v>36</v>
      </c>
    </row>
    <row r="597" spans="1:16">
      <c r="A597">
        <v>596</v>
      </c>
      <c r="B597" t="s">
        <v>648</v>
      </c>
      <c r="C597">
        <v>149</v>
      </c>
      <c r="D597">
        <v>255</v>
      </c>
      <c r="E597">
        <v>139.40164472315399</v>
      </c>
      <c r="F597">
        <v>0.58354762489259804</v>
      </c>
      <c r="G597">
        <v>15262.5</v>
      </c>
      <c r="H597">
        <v>1310.03570139408</v>
      </c>
      <c r="I597">
        <v>0.77348288451291303</v>
      </c>
      <c r="J597">
        <v>0.11175559582957099</v>
      </c>
      <c r="K597">
        <v>0.56345177664974599</v>
      </c>
      <c r="L597" t="s">
        <v>33</v>
      </c>
      <c r="M597" t="s">
        <v>34</v>
      </c>
      <c r="N597" t="s">
        <v>35</v>
      </c>
      <c r="O597">
        <v>0.74124378794107104</v>
      </c>
      <c r="P597" t="s">
        <v>36</v>
      </c>
    </row>
    <row r="598" spans="1:16">
      <c r="A598">
        <v>597</v>
      </c>
      <c r="B598" t="s">
        <v>649</v>
      </c>
      <c r="C598">
        <v>157</v>
      </c>
      <c r="D598">
        <v>142</v>
      </c>
      <c r="E598">
        <v>140.49883872903999</v>
      </c>
      <c r="F598">
        <v>1.1034482758620701</v>
      </c>
      <c r="G598">
        <v>15503.6998071834</v>
      </c>
      <c r="H598">
        <v>606.34042933547005</v>
      </c>
      <c r="I598">
        <v>0.56791924011310702</v>
      </c>
      <c r="J598">
        <v>0.529922257473875</v>
      </c>
      <c r="K598">
        <v>0.93179686453168997</v>
      </c>
      <c r="L598" t="s">
        <v>47</v>
      </c>
      <c r="M598" t="s">
        <v>34</v>
      </c>
      <c r="N598" t="s">
        <v>35</v>
      </c>
      <c r="O598">
        <v>0.87257312274404397</v>
      </c>
      <c r="P598" t="s">
        <v>36</v>
      </c>
    </row>
    <row r="599" spans="1:16">
      <c r="A599">
        <v>598</v>
      </c>
      <c r="B599" t="s">
        <v>650</v>
      </c>
      <c r="C599">
        <v>121</v>
      </c>
      <c r="D599">
        <v>215</v>
      </c>
      <c r="E599">
        <v>141.082197653203</v>
      </c>
      <c r="F599">
        <v>0.56136105591989605</v>
      </c>
      <c r="G599">
        <v>15632.7115168242</v>
      </c>
      <c r="H599">
        <v>961.757969026566</v>
      </c>
      <c r="I599">
        <v>0.72755505087717498</v>
      </c>
      <c r="J599">
        <v>0.21237949831276101</v>
      </c>
      <c r="K599">
        <v>0.77024137324975095</v>
      </c>
      <c r="L599" t="s">
        <v>38</v>
      </c>
      <c r="M599" t="s">
        <v>34</v>
      </c>
      <c r="N599" t="s">
        <v>35</v>
      </c>
      <c r="O599">
        <v>0.67381469749477996</v>
      </c>
      <c r="P599" t="s">
        <v>36</v>
      </c>
    </row>
    <row r="600" spans="1:16">
      <c r="A600">
        <v>599</v>
      </c>
      <c r="B600" t="s">
        <v>651</v>
      </c>
      <c r="C600">
        <v>325</v>
      </c>
      <c r="D600">
        <v>115</v>
      </c>
      <c r="E600">
        <v>142.33911709575199</v>
      </c>
      <c r="F600">
        <v>2.8189850647988899</v>
      </c>
      <c r="G600">
        <v>15912.5</v>
      </c>
      <c r="H600">
        <v>974.47221219539597</v>
      </c>
      <c r="I600">
        <v>0.82904474530556904</v>
      </c>
      <c r="J600">
        <v>0.210576237638082</v>
      </c>
      <c r="K600">
        <v>0.651817716333845</v>
      </c>
      <c r="L600" t="s">
        <v>298</v>
      </c>
      <c r="M600" t="s">
        <v>34</v>
      </c>
      <c r="N600" t="s">
        <v>35</v>
      </c>
      <c r="O600">
        <v>0.68621541873641001</v>
      </c>
      <c r="P600" t="s">
        <v>36</v>
      </c>
    </row>
    <row r="601" spans="1:16">
      <c r="A601">
        <v>600</v>
      </c>
      <c r="B601" t="s">
        <v>652</v>
      </c>
      <c r="C601">
        <v>150</v>
      </c>
      <c r="D601">
        <v>165</v>
      </c>
      <c r="E601">
        <v>146.761256463134</v>
      </c>
      <c r="F601">
        <v>0.90449599891677501</v>
      </c>
      <c r="G601">
        <v>16916.586111153101</v>
      </c>
      <c r="H601">
        <v>708.17043724785697</v>
      </c>
      <c r="I601">
        <v>0.73214997171048901</v>
      </c>
      <c r="J601">
        <v>0.42388397828906499</v>
      </c>
      <c r="K601">
        <v>0.88594825170470504</v>
      </c>
      <c r="L601" t="s">
        <v>47</v>
      </c>
      <c r="M601" t="s">
        <v>34</v>
      </c>
      <c r="N601" t="s">
        <v>35</v>
      </c>
      <c r="O601">
        <v>0.92067879296383104</v>
      </c>
      <c r="P601" t="s">
        <v>36</v>
      </c>
    </row>
    <row r="602" spans="1:16">
      <c r="A602">
        <v>601</v>
      </c>
      <c r="B602" t="s">
        <v>653</v>
      </c>
      <c r="C602">
        <v>183</v>
      </c>
      <c r="D602">
        <v>160</v>
      </c>
      <c r="E602">
        <v>152.06976435587799</v>
      </c>
      <c r="F602">
        <v>1.1398962201416301</v>
      </c>
      <c r="G602">
        <v>18162.5</v>
      </c>
      <c r="H602">
        <v>768.90872299671196</v>
      </c>
      <c r="I602">
        <v>0.79497377205866104</v>
      </c>
      <c r="J602">
        <v>0.38604320773376499</v>
      </c>
      <c r="K602">
        <v>0.78202368137782596</v>
      </c>
      <c r="L602" t="s">
        <v>144</v>
      </c>
      <c r="M602" t="s">
        <v>34</v>
      </c>
      <c r="N602" t="s">
        <v>35</v>
      </c>
      <c r="O602">
        <v>0.77445488465068602</v>
      </c>
      <c r="P602" t="s">
        <v>36</v>
      </c>
    </row>
    <row r="603" spans="1:16">
      <c r="A603">
        <v>602</v>
      </c>
      <c r="B603" t="s">
        <v>654</v>
      </c>
      <c r="C603">
        <v>264</v>
      </c>
      <c r="D603">
        <v>183</v>
      </c>
      <c r="E603">
        <v>152.644304409478</v>
      </c>
      <c r="F603">
        <v>1.4453551385446799</v>
      </c>
      <c r="G603">
        <v>18300</v>
      </c>
      <c r="H603">
        <v>1473.6753106117201</v>
      </c>
      <c r="I603">
        <v>0.70320727449078302</v>
      </c>
      <c r="J603">
        <v>0.10589058280414999</v>
      </c>
      <c r="K603">
        <v>0.52624011502516199</v>
      </c>
      <c r="L603" t="s">
        <v>41</v>
      </c>
      <c r="M603" t="s">
        <v>34</v>
      </c>
      <c r="N603" t="s">
        <v>35</v>
      </c>
      <c r="O603">
        <v>0.766942341765805</v>
      </c>
      <c r="P603" t="s">
        <v>36</v>
      </c>
    </row>
    <row r="604" spans="1:16">
      <c r="A604">
        <v>603</v>
      </c>
      <c r="B604" t="s">
        <v>655</v>
      </c>
      <c r="C604">
        <v>186</v>
      </c>
      <c r="D604">
        <v>220</v>
      </c>
      <c r="E604">
        <v>154.439643559844</v>
      </c>
      <c r="F604">
        <v>0.84405940594059403</v>
      </c>
      <c r="G604">
        <v>18733.0055852552</v>
      </c>
      <c r="H604">
        <v>3080.8398043382699</v>
      </c>
      <c r="I604">
        <v>0.53813610104118303</v>
      </c>
      <c r="J604">
        <v>2.4801565407956201E-2</v>
      </c>
      <c r="K604">
        <v>0.52497480027657195</v>
      </c>
      <c r="L604" t="s">
        <v>33</v>
      </c>
      <c r="M604" t="s">
        <v>34</v>
      </c>
      <c r="N604" t="s">
        <v>35</v>
      </c>
      <c r="O604">
        <v>0.68757405862559196</v>
      </c>
      <c r="P604" t="s">
        <v>36</v>
      </c>
    </row>
    <row r="605" spans="1:16">
      <c r="A605">
        <v>604</v>
      </c>
      <c r="B605" t="s">
        <v>656</v>
      </c>
      <c r="C605">
        <v>155</v>
      </c>
      <c r="D605">
        <v>237</v>
      </c>
      <c r="E605">
        <v>155.43397428281199</v>
      </c>
      <c r="F605">
        <v>0.65213939803989995</v>
      </c>
      <c r="G605">
        <v>18975</v>
      </c>
      <c r="H605">
        <v>997.40114450454701</v>
      </c>
      <c r="I605">
        <v>0.69224701977416203</v>
      </c>
      <c r="J605">
        <v>0.23969110863151699</v>
      </c>
      <c r="K605">
        <v>0.67556742323097496</v>
      </c>
      <c r="L605" t="s">
        <v>33</v>
      </c>
      <c r="M605" t="s">
        <v>34</v>
      </c>
      <c r="N605" t="s">
        <v>35</v>
      </c>
      <c r="O605">
        <v>0.82223433424688597</v>
      </c>
      <c r="P605" t="s">
        <v>36</v>
      </c>
    </row>
    <row r="606" spans="1:16">
      <c r="A606">
        <v>605</v>
      </c>
      <c r="B606" t="s">
        <v>657</v>
      </c>
      <c r="C606">
        <v>201</v>
      </c>
      <c r="D606">
        <v>250</v>
      </c>
      <c r="E606">
        <v>157.96996848918801</v>
      </c>
      <c r="F606">
        <v>0.80174291938997799</v>
      </c>
      <c r="G606">
        <v>19599.2270642722</v>
      </c>
      <c r="H606">
        <v>1599.16914204504</v>
      </c>
      <c r="I606">
        <v>0.60088982168272698</v>
      </c>
      <c r="J606">
        <v>9.6307477198647504E-2</v>
      </c>
      <c r="K606">
        <v>0.67034547968603897</v>
      </c>
      <c r="L606" t="s">
        <v>41</v>
      </c>
      <c r="M606" t="s">
        <v>34</v>
      </c>
      <c r="N606" t="s">
        <v>35</v>
      </c>
      <c r="O606">
        <v>0.76102728912532702</v>
      </c>
      <c r="P606" t="s">
        <v>36</v>
      </c>
    </row>
    <row r="607" spans="1:16">
      <c r="A607">
        <v>606</v>
      </c>
      <c r="B607" t="s">
        <v>658</v>
      </c>
      <c r="C607">
        <v>191</v>
      </c>
      <c r="D607">
        <v>215</v>
      </c>
      <c r="E607">
        <v>164.34739727027201</v>
      </c>
      <c r="F607">
        <v>0.886075949367089</v>
      </c>
      <c r="G607">
        <v>21213.657006805301</v>
      </c>
      <c r="H607">
        <v>2177.23576171471</v>
      </c>
      <c r="I607">
        <v>0.60355186252174697</v>
      </c>
      <c r="J607">
        <v>5.6236008573988E-2</v>
      </c>
      <c r="K607">
        <v>0.60698732669898803</v>
      </c>
      <c r="L607" t="s">
        <v>33</v>
      </c>
      <c r="M607" t="s">
        <v>34</v>
      </c>
      <c r="N607" t="s">
        <v>35</v>
      </c>
      <c r="O607">
        <v>0.803800819257802</v>
      </c>
      <c r="P607" t="s">
        <v>36</v>
      </c>
    </row>
    <row r="608" spans="1:16">
      <c r="A608">
        <v>607</v>
      </c>
      <c r="B608" t="s">
        <v>659</v>
      </c>
      <c r="C608">
        <v>162</v>
      </c>
      <c r="D608">
        <v>241</v>
      </c>
      <c r="E608">
        <v>172.10094395267501</v>
      </c>
      <c r="F608">
        <v>0.67320259629284496</v>
      </c>
      <c r="G608">
        <v>23262.5</v>
      </c>
      <c r="H608">
        <v>992.04580605030105</v>
      </c>
      <c r="I608">
        <v>0.64245245909621596</v>
      </c>
      <c r="J608">
        <v>0.29703169894335901</v>
      </c>
      <c r="K608">
        <v>0.78127623845507999</v>
      </c>
      <c r="L608" t="s">
        <v>33</v>
      </c>
      <c r="M608" t="s">
        <v>34</v>
      </c>
      <c r="N608" t="s">
        <v>35</v>
      </c>
      <c r="O608">
        <v>0.71480301699892301</v>
      </c>
      <c r="P608" t="s">
        <v>36</v>
      </c>
    </row>
    <row r="609" spans="1:16">
      <c r="A609">
        <v>608</v>
      </c>
      <c r="B609" t="s">
        <v>660</v>
      </c>
      <c r="C609">
        <v>136</v>
      </c>
      <c r="D609">
        <v>446</v>
      </c>
      <c r="E609">
        <v>172.28580001450601</v>
      </c>
      <c r="F609">
        <v>0.30477855532676701</v>
      </c>
      <c r="G609">
        <v>23312.5</v>
      </c>
      <c r="H609">
        <v>1241.75143063068</v>
      </c>
      <c r="I609">
        <v>0.892751020511244</v>
      </c>
      <c r="J609">
        <v>0.18998940171305301</v>
      </c>
      <c r="K609">
        <v>0.60473411154345003</v>
      </c>
      <c r="L609" t="s">
        <v>47</v>
      </c>
      <c r="M609" t="s">
        <v>34</v>
      </c>
      <c r="N609" t="s">
        <v>35</v>
      </c>
      <c r="O609">
        <v>0.92942594675963897</v>
      </c>
      <c r="P609" t="s">
        <v>36</v>
      </c>
    </row>
    <row r="610" spans="1:16">
      <c r="A610">
        <v>609</v>
      </c>
      <c r="B610" t="s">
        <v>661</v>
      </c>
      <c r="C610">
        <v>250</v>
      </c>
      <c r="D610">
        <v>176</v>
      </c>
      <c r="E610">
        <v>181.45311061396799</v>
      </c>
      <c r="F610">
        <v>1.4223602484472</v>
      </c>
      <c r="G610">
        <v>25859.416232892301</v>
      </c>
      <c r="H610">
        <v>1853.7780604766799</v>
      </c>
      <c r="I610">
        <v>0.64321252568959397</v>
      </c>
      <c r="J610">
        <v>9.4561228273515693E-2</v>
      </c>
      <c r="K610">
        <v>0.71111401759147197</v>
      </c>
      <c r="L610" t="s">
        <v>38</v>
      </c>
      <c r="M610" t="s">
        <v>34</v>
      </c>
      <c r="N610" t="s">
        <v>35</v>
      </c>
      <c r="O610">
        <v>0.75211669452110297</v>
      </c>
      <c r="P610" t="s">
        <v>36</v>
      </c>
    </row>
    <row r="611" spans="1:16">
      <c r="A611">
        <v>610</v>
      </c>
      <c r="B611" t="s">
        <v>662</v>
      </c>
      <c r="C611">
        <v>197</v>
      </c>
      <c r="D611">
        <v>214</v>
      </c>
      <c r="E611">
        <v>184.34967365315799</v>
      </c>
      <c r="F611">
        <v>0.91891887268155903</v>
      </c>
      <c r="G611">
        <v>26691.601212476398</v>
      </c>
      <c r="H611">
        <v>1063.45568505609</v>
      </c>
      <c r="I611">
        <v>0.71315795430204898</v>
      </c>
      <c r="J611">
        <v>0.29658261981027001</v>
      </c>
      <c r="K611">
        <v>0.81818678840397496</v>
      </c>
      <c r="L611" t="s">
        <v>38</v>
      </c>
      <c r="M611" t="s">
        <v>34</v>
      </c>
      <c r="N611" t="s">
        <v>35</v>
      </c>
      <c r="O611">
        <v>0.71975790500494596</v>
      </c>
      <c r="P611" t="s">
        <v>36</v>
      </c>
    </row>
    <row r="612" spans="1:16">
      <c r="A612">
        <v>611</v>
      </c>
      <c r="B612" t="s">
        <v>663</v>
      </c>
      <c r="C612">
        <v>234</v>
      </c>
      <c r="D612">
        <v>232</v>
      </c>
      <c r="E612">
        <v>187.200918153993</v>
      </c>
      <c r="F612">
        <v>1.0105976889030901</v>
      </c>
      <c r="G612">
        <v>27523.6375610586</v>
      </c>
      <c r="H612">
        <v>1523.6003588399701</v>
      </c>
      <c r="I612">
        <v>0.74901760437593101</v>
      </c>
      <c r="J612">
        <v>0.14899564060461901</v>
      </c>
      <c r="K612">
        <v>0.66767260494748604</v>
      </c>
      <c r="L612" t="s">
        <v>38</v>
      </c>
      <c r="M612" t="s">
        <v>34</v>
      </c>
      <c r="N612" t="s">
        <v>35</v>
      </c>
      <c r="O612">
        <v>0.76299950605017397</v>
      </c>
      <c r="P612" t="s">
        <v>36</v>
      </c>
    </row>
    <row r="613" spans="1:16">
      <c r="A613">
        <v>612</v>
      </c>
      <c r="B613" t="s">
        <v>664</v>
      </c>
      <c r="C613">
        <v>239</v>
      </c>
      <c r="D613">
        <v>200</v>
      </c>
      <c r="E613">
        <v>193.31213267143099</v>
      </c>
      <c r="F613">
        <v>1.1981982111018901</v>
      </c>
      <c r="G613">
        <v>29350</v>
      </c>
      <c r="H613">
        <v>1252.96463370323</v>
      </c>
      <c r="I613">
        <v>0.54952519845664005</v>
      </c>
      <c r="J613">
        <v>0.23493100911453699</v>
      </c>
      <c r="K613">
        <v>0.78686327077747997</v>
      </c>
      <c r="L613" t="s">
        <v>43</v>
      </c>
      <c r="M613" t="s">
        <v>34</v>
      </c>
      <c r="N613" t="s">
        <v>35</v>
      </c>
      <c r="O613">
        <v>0.80734757391377898</v>
      </c>
      <c r="P613" t="s">
        <v>36</v>
      </c>
    </row>
    <row r="614" spans="1:16">
      <c r="A614">
        <v>613</v>
      </c>
      <c r="B614" t="s">
        <v>665</v>
      </c>
      <c r="C614">
        <v>676</v>
      </c>
      <c r="D614">
        <v>235</v>
      </c>
      <c r="E614">
        <v>193.84654256394799</v>
      </c>
      <c r="F614">
        <v>2.8749212613118398</v>
      </c>
      <c r="G614">
        <v>29512.5</v>
      </c>
      <c r="H614">
        <v>2496.4317935705199</v>
      </c>
      <c r="I614">
        <v>0.220635087993964</v>
      </c>
      <c r="J614">
        <v>5.9508150707604401E-2</v>
      </c>
      <c r="K614">
        <v>0.23714343109682601</v>
      </c>
      <c r="L614" t="s">
        <v>43</v>
      </c>
      <c r="M614" t="s">
        <v>34</v>
      </c>
      <c r="N614" t="s">
        <v>35</v>
      </c>
      <c r="O614">
        <v>0.76921648081323202</v>
      </c>
      <c r="P614" t="s">
        <v>36</v>
      </c>
    </row>
    <row r="615" spans="1:16">
      <c r="A615">
        <v>614</v>
      </c>
      <c r="B615" t="s">
        <v>666</v>
      </c>
      <c r="C615">
        <v>416</v>
      </c>
      <c r="D615">
        <v>201</v>
      </c>
      <c r="E615">
        <v>199.590787001558</v>
      </c>
      <c r="F615">
        <v>2.06642082213832</v>
      </c>
      <c r="G615">
        <v>31287.5</v>
      </c>
      <c r="H615">
        <v>2076.0154920816399</v>
      </c>
      <c r="I615">
        <v>0.56239492099739397</v>
      </c>
      <c r="J615">
        <v>9.1226191946241403E-2</v>
      </c>
      <c r="K615">
        <v>0.54389395914819605</v>
      </c>
      <c r="L615" t="s">
        <v>298</v>
      </c>
      <c r="M615" t="s">
        <v>34</v>
      </c>
      <c r="N615" t="s">
        <v>35</v>
      </c>
      <c r="O615">
        <v>0.649760513453013</v>
      </c>
      <c r="P615" t="s">
        <v>36</v>
      </c>
    </row>
    <row r="616" spans="1:16">
      <c r="A616">
        <v>615</v>
      </c>
      <c r="B616" t="s">
        <v>667</v>
      </c>
      <c r="C616">
        <v>487</v>
      </c>
      <c r="D616">
        <v>205</v>
      </c>
      <c r="E616">
        <v>217.04806646271001</v>
      </c>
      <c r="F616">
        <v>2.38141028866636</v>
      </c>
      <c r="G616">
        <v>37000</v>
      </c>
      <c r="H616">
        <v>2598.3556735515599</v>
      </c>
      <c r="I616">
        <v>0.79932848636950904</v>
      </c>
      <c r="J616">
        <v>6.88675115405495E-2</v>
      </c>
      <c r="K616">
        <v>0.47390329811079102</v>
      </c>
      <c r="L616" t="s">
        <v>288</v>
      </c>
      <c r="M616" t="s">
        <v>34</v>
      </c>
      <c r="N616" t="s">
        <v>35</v>
      </c>
      <c r="O616">
        <v>0.741921981182593</v>
      </c>
      <c r="P616" t="s">
        <v>36</v>
      </c>
    </row>
    <row r="617" spans="1:16">
      <c r="A617">
        <v>616</v>
      </c>
      <c r="B617" t="s">
        <v>668</v>
      </c>
      <c r="C617">
        <v>319</v>
      </c>
      <c r="D617">
        <v>234</v>
      </c>
      <c r="E617">
        <v>223.79915234651699</v>
      </c>
      <c r="F617">
        <v>1.3635204022332501</v>
      </c>
      <c r="G617">
        <v>39337.5</v>
      </c>
      <c r="H617">
        <v>1889.44695055485</v>
      </c>
      <c r="I617">
        <v>0.46249017700864398</v>
      </c>
      <c r="J617">
        <v>0.13846729691206</v>
      </c>
      <c r="K617">
        <v>0.64779744750926305</v>
      </c>
      <c r="L617" t="s">
        <v>74</v>
      </c>
      <c r="M617" t="s">
        <v>34</v>
      </c>
      <c r="N617" t="s">
        <v>35</v>
      </c>
      <c r="O617">
        <v>0.69118590809153202</v>
      </c>
      <c r="P617" t="s">
        <v>36</v>
      </c>
    </row>
    <row r="618" spans="1:16">
      <c r="A618">
        <v>617</v>
      </c>
      <c r="B618" t="s">
        <v>669</v>
      </c>
      <c r="C618">
        <v>189</v>
      </c>
      <c r="D618">
        <v>403</v>
      </c>
      <c r="E618">
        <v>226.55566456642899</v>
      </c>
      <c r="F618">
        <v>0.46851321526552703</v>
      </c>
      <c r="G618">
        <v>40312.5</v>
      </c>
      <c r="H618">
        <v>1713.8834613561601</v>
      </c>
      <c r="I618">
        <v>0.75496257696228697</v>
      </c>
      <c r="J618">
        <v>0.17245945928499001</v>
      </c>
      <c r="K618">
        <v>0.66701137538779698</v>
      </c>
      <c r="L618" t="s">
        <v>33</v>
      </c>
      <c r="M618" t="s">
        <v>34</v>
      </c>
      <c r="N618" t="s">
        <v>35</v>
      </c>
      <c r="O618">
        <v>0.80873756225444904</v>
      </c>
      <c r="P618" t="s">
        <v>36</v>
      </c>
    </row>
    <row r="619" spans="1:16">
      <c r="A619">
        <v>618</v>
      </c>
      <c r="B619" t="s">
        <v>670</v>
      </c>
      <c r="C619">
        <v>570</v>
      </c>
      <c r="D619">
        <v>168</v>
      </c>
      <c r="E619">
        <v>228.75783109790001</v>
      </c>
      <c r="F619">
        <v>3.3972549875722899</v>
      </c>
      <c r="G619">
        <v>41100</v>
      </c>
      <c r="H619">
        <v>2201.37083053589</v>
      </c>
      <c r="I619">
        <v>0.86242981969416299</v>
      </c>
      <c r="J619">
        <v>0.10657743671729999</v>
      </c>
      <c r="K619">
        <v>0.52785358805586802</v>
      </c>
      <c r="L619" t="s">
        <v>33</v>
      </c>
      <c r="M619" t="s">
        <v>34</v>
      </c>
      <c r="N619" t="s">
        <v>35</v>
      </c>
      <c r="O619">
        <v>0.869139857932969</v>
      </c>
      <c r="P619" t="s">
        <v>36</v>
      </c>
    </row>
    <row r="620" spans="1:16">
      <c r="A620">
        <v>619</v>
      </c>
      <c r="B620" t="s">
        <v>671</v>
      </c>
      <c r="C620">
        <v>358</v>
      </c>
      <c r="D620">
        <v>457</v>
      </c>
      <c r="E620">
        <v>232.68973256218899</v>
      </c>
      <c r="F620">
        <v>0.78282826764749103</v>
      </c>
      <c r="G620">
        <v>42525</v>
      </c>
      <c r="H620">
        <v>3032.20343351364</v>
      </c>
      <c r="I620">
        <v>0.64181948940377498</v>
      </c>
      <c r="J620">
        <v>5.8121593934867398E-2</v>
      </c>
      <c r="K620">
        <v>0.32323040380047502</v>
      </c>
      <c r="L620" t="s">
        <v>33</v>
      </c>
      <c r="M620" t="s">
        <v>34</v>
      </c>
      <c r="N620" t="s">
        <v>35</v>
      </c>
      <c r="O620">
        <v>0.65167001342880004</v>
      </c>
      <c r="P620" t="s">
        <v>36</v>
      </c>
    </row>
    <row r="621" spans="1:16">
      <c r="A621">
        <v>620</v>
      </c>
      <c r="B621" t="s">
        <v>672</v>
      </c>
      <c r="C621">
        <v>332</v>
      </c>
      <c r="D621">
        <v>361</v>
      </c>
      <c r="E621">
        <v>237.362275550541</v>
      </c>
      <c r="F621">
        <v>0.91991345378689404</v>
      </c>
      <c r="G621">
        <v>44250</v>
      </c>
      <c r="H621">
        <v>2985.6348919868501</v>
      </c>
      <c r="I621">
        <v>0.75639586708536699</v>
      </c>
      <c r="J621">
        <v>6.2380628202258599E-2</v>
      </c>
      <c r="K621">
        <v>0.55739253660840804</v>
      </c>
      <c r="L621" t="s">
        <v>33</v>
      </c>
      <c r="M621" t="s">
        <v>34</v>
      </c>
      <c r="N621" t="s">
        <v>35</v>
      </c>
      <c r="O621">
        <v>0.76790026539784495</v>
      </c>
      <c r="P621" t="s">
        <v>36</v>
      </c>
    </row>
    <row r="622" spans="1:16">
      <c r="A622">
        <v>621</v>
      </c>
      <c r="B622" t="s">
        <v>673</v>
      </c>
      <c r="C622">
        <v>389</v>
      </c>
      <c r="D622">
        <v>301</v>
      </c>
      <c r="E622">
        <v>251.99766327025</v>
      </c>
      <c r="F622">
        <v>1.29178774861449</v>
      </c>
      <c r="G622">
        <v>49875</v>
      </c>
      <c r="H622">
        <v>2323.7972366809799</v>
      </c>
      <c r="I622">
        <v>0.81185645376557602</v>
      </c>
      <c r="J622">
        <v>0.116063673143705</v>
      </c>
      <c r="K622">
        <v>0.557340410671882</v>
      </c>
      <c r="L622" t="s">
        <v>47</v>
      </c>
      <c r="M622" t="s">
        <v>34</v>
      </c>
      <c r="N622" t="s">
        <v>35</v>
      </c>
      <c r="O622">
        <v>0.93604633875064602</v>
      </c>
      <c r="P622" t="s">
        <v>36</v>
      </c>
    </row>
    <row r="623" spans="1:16">
      <c r="A623">
        <v>622</v>
      </c>
      <c r="B623" t="s">
        <v>674</v>
      </c>
      <c r="C623">
        <v>412</v>
      </c>
      <c r="D623">
        <v>237</v>
      </c>
      <c r="E623">
        <v>252.56543942359099</v>
      </c>
      <c r="F623">
        <v>1.7361394761047499</v>
      </c>
      <c r="G623">
        <v>50100</v>
      </c>
      <c r="H623">
        <v>1835.09666442871</v>
      </c>
      <c r="I623">
        <v>0.72769917055636701</v>
      </c>
      <c r="J623">
        <v>0.18695182035470501</v>
      </c>
      <c r="K623">
        <v>0.67656988521269401</v>
      </c>
      <c r="L623" t="s">
        <v>33</v>
      </c>
      <c r="M623" t="s">
        <v>34</v>
      </c>
      <c r="N623" t="s">
        <v>35</v>
      </c>
      <c r="O623">
        <v>0.75265039539976097</v>
      </c>
      <c r="P623" t="s">
        <v>36</v>
      </c>
    </row>
    <row r="624" spans="1:16">
      <c r="A624">
        <v>623</v>
      </c>
      <c r="B624" t="s">
        <v>675</v>
      </c>
      <c r="C624">
        <v>464</v>
      </c>
      <c r="D624">
        <v>335</v>
      </c>
      <c r="E624">
        <v>252.911786258831</v>
      </c>
      <c r="F624">
        <v>1.3863411191642301</v>
      </c>
      <c r="G624">
        <v>50237.5</v>
      </c>
      <c r="H624">
        <v>3241.7009073495901</v>
      </c>
      <c r="I624">
        <v>0.585923599563416</v>
      </c>
      <c r="J624">
        <v>6.0074753585097201E-2</v>
      </c>
      <c r="K624">
        <v>0.46275187104202598</v>
      </c>
      <c r="L624" t="s">
        <v>33</v>
      </c>
      <c r="M624" t="s">
        <v>34</v>
      </c>
      <c r="N624" t="s">
        <v>35</v>
      </c>
      <c r="O624">
        <v>0.780752219036569</v>
      </c>
      <c r="P624" t="s">
        <v>36</v>
      </c>
    </row>
    <row r="625" spans="1:16">
      <c r="A625">
        <v>624</v>
      </c>
      <c r="B625" t="s">
        <v>676</v>
      </c>
      <c r="C625">
        <v>287</v>
      </c>
      <c r="D625">
        <v>383</v>
      </c>
      <c r="E625">
        <v>253.10050295186701</v>
      </c>
      <c r="F625">
        <v>0.750237980218178</v>
      </c>
      <c r="G625">
        <v>50312.5</v>
      </c>
      <c r="H625">
        <v>1987.0205444097501</v>
      </c>
      <c r="I625">
        <v>0.85493203222138203</v>
      </c>
      <c r="J625">
        <v>0.16013307628043499</v>
      </c>
      <c r="K625">
        <v>0.60074626865671599</v>
      </c>
      <c r="L625" t="s">
        <v>188</v>
      </c>
      <c r="M625" t="s">
        <v>34</v>
      </c>
      <c r="N625" t="s">
        <v>35</v>
      </c>
      <c r="O625">
        <v>0.64499996507544599</v>
      </c>
      <c r="P625" t="s">
        <v>36</v>
      </c>
    </row>
    <row r="626" spans="1:16">
      <c r="A626">
        <v>625</v>
      </c>
      <c r="B626" t="s">
        <v>677</v>
      </c>
      <c r="C626">
        <v>397</v>
      </c>
      <c r="D626">
        <v>297</v>
      </c>
      <c r="E626">
        <v>265.64883166870197</v>
      </c>
      <c r="F626">
        <v>1.33663370658703</v>
      </c>
      <c r="G626">
        <v>55425</v>
      </c>
      <c r="H626">
        <v>2104.0916121005998</v>
      </c>
      <c r="I626">
        <v>0.62118650934980901</v>
      </c>
      <c r="J626">
        <v>0.15732084690416101</v>
      </c>
      <c r="K626">
        <v>0.62600592969080904</v>
      </c>
      <c r="L626" t="s">
        <v>33</v>
      </c>
      <c r="M626" t="s">
        <v>34</v>
      </c>
      <c r="N626" t="s">
        <v>35</v>
      </c>
      <c r="O626">
        <v>0.80431075409538599</v>
      </c>
      <c r="P626" t="s">
        <v>36</v>
      </c>
    </row>
    <row r="627" spans="1:16">
      <c r="A627">
        <v>626</v>
      </c>
      <c r="B627" t="s">
        <v>678</v>
      </c>
      <c r="C627">
        <v>431</v>
      </c>
      <c r="D627">
        <v>220</v>
      </c>
      <c r="E627">
        <v>272.86018833532398</v>
      </c>
      <c r="F627">
        <v>1.9574465653395601</v>
      </c>
      <c r="G627">
        <v>58475</v>
      </c>
      <c r="H627">
        <v>1795.8073413371999</v>
      </c>
      <c r="I627">
        <v>0.75249437137097397</v>
      </c>
      <c r="J627">
        <v>0.227856073517997</v>
      </c>
      <c r="K627">
        <v>0.78529461138156798</v>
      </c>
      <c r="L627" t="s">
        <v>33</v>
      </c>
      <c r="M627" t="s">
        <v>34</v>
      </c>
      <c r="N627" t="s">
        <v>35</v>
      </c>
      <c r="O627">
        <v>0.83779966063145395</v>
      </c>
      <c r="P627" t="s">
        <v>36</v>
      </c>
    </row>
    <row r="628" spans="1:16">
      <c r="A628">
        <v>627</v>
      </c>
      <c r="B628" t="s">
        <v>679</v>
      </c>
      <c r="C628">
        <v>570</v>
      </c>
      <c r="D628">
        <v>314</v>
      </c>
      <c r="E628">
        <v>292.01920914323</v>
      </c>
      <c r="F628">
        <v>1.81440435088126</v>
      </c>
      <c r="G628">
        <v>66975</v>
      </c>
      <c r="H628">
        <v>2627.64499664307</v>
      </c>
      <c r="I628">
        <v>0.72302264744462696</v>
      </c>
      <c r="J628">
        <v>0.121895930180457</v>
      </c>
      <c r="K628">
        <v>0.57384598907572004</v>
      </c>
      <c r="L628" t="s">
        <v>47</v>
      </c>
      <c r="M628" t="s">
        <v>34</v>
      </c>
      <c r="N628" t="s">
        <v>35</v>
      </c>
      <c r="O628">
        <v>0.76003289393904105</v>
      </c>
      <c r="P628" t="s">
        <v>36</v>
      </c>
    </row>
    <row r="629" spans="1:16">
      <c r="A629">
        <v>628</v>
      </c>
      <c r="B629" t="s">
        <v>680</v>
      </c>
      <c r="C629">
        <v>400</v>
      </c>
      <c r="D629">
        <v>463</v>
      </c>
      <c r="E629">
        <v>306.51127696570302</v>
      </c>
      <c r="F629">
        <v>0.86513545740648401</v>
      </c>
      <c r="G629">
        <v>73787.5</v>
      </c>
      <c r="H629">
        <v>3910.1071041822402</v>
      </c>
      <c r="I629">
        <v>0.72263911085242205</v>
      </c>
      <c r="J629">
        <v>6.0647842120720899E-2</v>
      </c>
      <c r="K629">
        <v>0.55484538020490604</v>
      </c>
      <c r="L629" t="s">
        <v>47</v>
      </c>
      <c r="M629" t="s">
        <v>34</v>
      </c>
      <c r="N629" t="s">
        <v>35</v>
      </c>
      <c r="O629">
        <v>0.89392770922938303</v>
      </c>
      <c r="P629" t="s">
        <v>36</v>
      </c>
    </row>
    <row r="630" spans="1:16">
      <c r="A630">
        <v>629</v>
      </c>
      <c r="B630" t="s">
        <v>681</v>
      </c>
      <c r="C630">
        <v>593</v>
      </c>
      <c r="D630">
        <v>291</v>
      </c>
      <c r="E630">
        <v>306.61510870207098</v>
      </c>
      <c r="F630">
        <v>2.04175599820607</v>
      </c>
      <c r="G630">
        <v>73837.5</v>
      </c>
      <c r="H630">
        <v>2922.7059596776999</v>
      </c>
      <c r="I630">
        <v>0.69937861566821002</v>
      </c>
      <c r="J630">
        <v>0.108621700528495</v>
      </c>
      <c r="K630">
        <v>0.59046381447421004</v>
      </c>
      <c r="L630" t="s">
        <v>47</v>
      </c>
      <c r="M630" t="s">
        <v>34</v>
      </c>
      <c r="N630" t="s">
        <v>35</v>
      </c>
      <c r="O630">
        <v>0.87263470321318803</v>
      </c>
      <c r="P630" t="s">
        <v>36</v>
      </c>
    </row>
    <row r="631" spans="1:16">
      <c r="A631">
        <v>630</v>
      </c>
      <c r="B631" t="s">
        <v>682</v>
      </c>
      <c r="C631">
        <v>319</v>
      </c>
      <c r="D631">
        <v>521</v>
      </c>
      <c r="E631">
        <v>314.55782953255402</v>
      </c>
      <c r="F631">
        <v>0.61223408520393796</v>
      </c>
      <c r="G631">
        <v>77712.5</v>
      </c>
      <c r="H631">
        <v>2729.5688766241101</v>
      </c>
      <c r="I631">
        <v>0.68720302345201301</v>
      </c>
      <c r="J631">
        <v>0.1310728157785</v>
      </c>
      <c r="K631">
        <v>0.57999813415430501</v>
      </c>
      <c r="L631" t="s">
        <v>33</v>
      </c>
      <c r="M631" t="s">
        <v>34</v>
      </c>
      <c r="N631" t="s">
        <v>35</v>
      </c>
      <c r="O631">
        <v>0.79873845295055401</v>
      </c>
      <c r="P631" t="s">
        <v>36</v>
      </c>
    </row>
    <row r="632" spans="1:16">
      <c r="A632">
        <v>631</v>
      </c>
      <c r="B632" t="s">
        <v>683</v>
      </c>
      <c r="C632">
        <v>324</v>
      </c>
      <c r="D632">
        <v>431</v>
      </c>
      <c r="E632">
        <v>314.785430998663</v>
      </c>
      <c r="F632">
        <v>0.75236862544358296</v>
      </c>
      <c r="G632">
        <v>77825</v>
      </c>
      <c r="H632">
        <v>2360.3657782077798</v>
      </c>
      <c r="I632">
        <v>0.79577490619006297</v>
      </c>
      <c r="J632">
        <v>0.17553768824919599</v>
      </c>
      <c r="K632">
        <v>0.66939038813030904</v>
      </c>
      <c r="L632" t="s">
        <v>41</v>
      </c>
      <c r="M632" t="s">
        <v>34</v>
      </c>
      <c r="N632" t="s">
        <v>35</v>
      </c>
      <c r="O632">
        <v>0.75686965602240097</v>
      </c>
      <c r="P632" t="s">
        <v>36</v>
      </c>
    </row>
    <row r="633" spans="1:16">
      <c r="A633">
        <v>632</v>
      </c>
      <c r="B633" t="s">
        <v>684</v>
      </c>
      <c r="C633">
        <v>349</v>
      </c>
      <c r="D633">
        <v>532</v>
      </c>
      <c r="E633">
        <v>317.70436715424597</v>
      </c>
      <c r="F633">
        <v>0.65552180306861396</v>
      </c>
      <c r="G633">
        <v>79275</v>
      </c>
      <c r="H633">
        <v>4205.4624426364899</v>
      </c>
      <c r="I633">
        <v>0.61055698345314202</v>
      </c>
      <c r="J633">
        <v>5.6327256277330102E-2</v>
      </c>
      <c r="K633">
        <v>0.53832442067736197</v>
      </c>
      <c r="L633" t="s">
        <v>38</v>
      </c>
      <c r="M633" t="s">
        <v>34</v>
      </c>
      <c r="N633" t="s">
        <v>35</v>
      </c>
      <c r="O633">
        <v>0.69938592431848101</v>
      </c>
      <c r="P633" t="s">
        <v>36</v>
      </c>
    </row>
    <row r="634" spans="1:16">
      <c r="A634">
        <v>633</v>
      </c>
      <c r="B634" t="s">
        <v>685</v>
      </c>
      <c r="C634">
        <v>463</v>
      </c>
      <c r="D634">
        <v>462</v>
      </c>
      <c r="E634">
        <v>343.83177824142399</v>
      </c>
      <c r="F634">
        <v>1.0026838463649601</v>
      </c>
      <c r="G634">
        <v>92850</v>
      </c>
      <c r="H634">
        <v>3256.0511934757201</v>
      </c>
      <c r="I634">
        <v>0.71647829400761798</v>
      </c>
      <c r="J634">
        <v>0.11005488469286701</v>
      </c>
      <c r="K634">
        <v>0.53546712802768204</v>
      </c>
      <c r="L634" t="s">
        <v>144</v>
      </c>
      <c r="M634" t="s">
        <v>34</v>
      </c>
      <c r="N634" t="s">
        <v>35</v>
      </c>
      <c r="O634">
        <v>0.78397231911434795</v>
      </c>
      <c r="P634" t="s">
        <v>36</v>
      </c>
    </row>
    <row r="635" spans="1:16">
      <c r="A635">
        <v>634</v>
      </c>
      <c r="B635" t="s">
        <v>686</v>
      </c>
      <c r="C635">
        <v>770</v>
      </c>
      <c r="D635">
        <v>504</v>
      </c>
      <c r="E635">
        <v>370.22187535414503</v>
      </c>
      <c r="F635">
        <v>1.5273641508828599</v>
      </c>
      <c r="G635">
        <v>107650</v>
      </c>
      <c r="H635">
        <v>4330.3152549266797</v>
      </c>
      <c r="I635">
        <v>0.74164593168151105</v>
      </c>
      <c r="J635">
        <v>7.2141450193867099E-2</v>
      </c>
      <c r="K635">
        <v>0.408035629678764</v>
      </c>
      <c r="L635" t="s">
        <v>33</v>
      </c>
      <c r="M635" t="s">
        <v>34</v>
      </c>
      <c r="N635" t="s">
        <v>35</v>
      </c>
      <c r="O635">
        <v>0.72212274990820102</v>
      </c>
      <c r="P635" t="s">
        <v>36</v>
      </c>
    </row>
    <row r="636" spans="1:16">
      <c r="A636">
        <v>635</v>
      </c>
      <c r="B636" t="s">
        <v>687</v>
      </c>
      <c r="C636">
        <v>505</v>
      </c>
      <c r="D636">
        <v>338</v>
      </c>
      <c r="E636">
        <v>384.85008775017599</v>
      </c>
      <c r="F636">
        <v>1.4948611665346301</v>
      </c>
      <c r="G636">
        <v>116325</v>
      </c>
      <c r="H636">
        <v>2398.6500489711798</v>
      </c>
      <c r="I636">
        <v>0.70546365461492599</v>
      </c>
      <c r="J636">
        <v>0.25406751675310901</v>
      </c>
      <c r="K636">
        <v>0.80893602225312899</v>
      </c>
      <c r="L636" t="s">
        <v>47</v>
      </c>
      <c r="M636" t="s">
        <v>34</v>
      </c>
      <c r="N636" t="s">
        <v>35</v>
      </c>
      <c r="O636">
        <v>0.74451668831065299</v>
      </c>
      <c r="P636" t="s">
        <v>36</v>
      </c>
    </row>
    <row r="637" spans="1:16">
      <c r="A637">
        <v>636</v>
      </c>
      <c r="B637" t="s">
        <v>688</v>
      </c>
      <c r="C637">
        <v>371</v>
      </c>
      <c r="D637">
        <v>669</v>
      </c>
      <c r="E637">
        <v>399.28123734424503</v>
      </c>
      <c r="F637">
        <v>0.55494073265719301</v>
      </c>
      <c r="G637">
        <v>125212.5</v>
      </c>
      <c r="H637">
        <v>2799.5688766241101</v>
      </c>
      <c r="I637">
        <v>0.81247537959874905</v>
      </c>
      <c r="J637">
        <v>0.200759098737508</v>
      </c>
      <c r="K637">
        <v>0.72723972702192496</v>
      </c>
      <c r="L637" t="s">
        <v>33</v>
      </c>
      <c r="M637" t="s">
        <v>34</v>
      </c>
      <c r="N637" t="s">
        <v>35</v>
      </c>
      <c r="O637">
        <v>0.77636685741775202</v>
      </c>
      <c r="P637" t="s">
        <v>36</v>
      </c>
    </row>
    <row r="638" spans="1:16">
      <c r="A638">
        <v>637</v>
      </c>
      <c r="B638" t="s">
        <v>689</v>
      </c>
      <c r="C638">
        <v>348</v>
      </c>
      <c r="D638">
        <v>559</v>
      </c>
      <c r="E638">
        <v>400.73349944785298</v>
      </c>
      <c r="F638">
        <v>0.62199802046953001</v>
      </c>
      <c r="G638">
        <v>126125</v>
      </c>
      <c r="H638">
        <v>2537.64499664307</v>
      </c>
      <c r="I638">
        <v>0.73762411562602204</v>
      </c>
      <c r="J638">
        <v>0.24612136233496401</v>
      </c>
      <c r="K638">
        <v>0.78411563568542098</v>
      </c>
      <c r="L638" t="s">
        <v>47</v>
      </c>
      <c r="M638" t="s">
        <v>34</v>
      </c>
      <c r="N638" t="s">
        <v>35</v>
      </c>
      <c r="O638">
        <v>0.87992749298029604</v>
      </c>
      <c r="P638" t="s">
        <v>36</v>
      </c>
    </row>
    <row r="639" spans="1:16">
      <c r="A639">
        <v>638</v>
      </c>
      <c r="B639" t="s">
        <v>690</v>
      </c>
      <c r="C639">
        <v>491</v>
      </c>
      <c r="D639">
        <v>390</v>
      </c>
      <c r="E639">
        <v>410.25157198928503</v>
      </c>
      <c r="F639">
        <v>1.2588775677703801</v>
      </c>
      <c r="G639">
        <v>132187.5</v>
      </c>
      <c r="H639">
        <v>2575.72111666203</v>
      </c>
      <c r="I639">
        <v>0.61111828023067905</v>
      </c>
      <c r="J639">
        <v>0.25038169556568701</v>
      </c>
      <c r="K639">
        <v>0.84953406169665802</v>
      </c>
      <c r="L639" t="s">
        <v>33</v>
      </c>
      <c r="M639" t="s">
        <v>34</v>
      </c>
      <c r="N639" t="s">
        <v>35</v>
      </c>
      <c r="O639">
        <v>0.87999156658362998</v>
      </c>
      <c r="P639" t="s">
        <v>36</v>
      </c>
    </row>
    <row r="640" spans="1:16">
      <c r="A640">
        <v>639</v>
      </c>
      <c r="B640" t="s">
        <v>691</v>
      </c>
      <c r="C640">
        <v>391</v>
      </c>
      <c r="D640">
        <v>978</v>
      </c>
      <c r="E640">
        <v>414.55458934937502</v>
      </c>
      <c r="F640">
        <v>0.40045889992474498</v>
      </c>
      <c r="G640">
        <v>134975</v>
      </c>
      <c r="H640">
        <v>6515.5338454246503</v>
      </c>
      <c r="I640">
        <v>0.80328015203681302</v>
      </c>
      <c r="J640">
        <v>3.9954269064561503E-2</v>
      </c>
      <c r="K640">
        <v>0.46613425426289701</v>
      </c>
      <c r="L640" t="s">
        <v>33</v>
      </c>
      <c r="M640" t="s">
        <v>34</v>
      </c>
      <c r="N640" t="s">
        <v>35</v>
      </c>
      <c r="O640">
        <v>0.83278532723240095</v>
      </c>
      <c r="P640" t="s">
        <v>36</v>
      </c>
    </row>
    <row r="641" spans="1:17">
      <c r="A641">
        <v>640</v>
      </c>
      <c r="B641" t="s">
        <v>692</v>
      </c>
      <c r="C641">
        <v>556</v>
      </c>
      <c r="D641">
        <v>824</v>
      </c>
      <c r="E641">
        <v>456.26161964841998</v>
      </c>
      <c r="F641">
        <v>0.67467149035840102</v>
      </c>
      <c r="G641">
        <v>163500</v>
      </c>
      <c r="H641">
        <v>6438.9653038978604</v>
      </c>
      <c r="I641">
        <v>0.697668839124163</v>
      </c>
      <c r="J641">
        <v>4.95559095024257E-2</v>
      </c>
      <c r="K641">
        <v>0.47434270172257498</v>
      </c>
      <c r="L641" t="s">
        <v>33</v>
      </c>
      <c r="M641" t="s">
        <v>34</v>
      </c>
      <c r="N641" t="s">
        <v>35</v>
      </c>
      <c r="O641">
        <v>0.74743416818619102</v>
      </c>
      <c r="P641" t="s">
        <v>36</v>
      </c>
    </row>
    <row r="642" spans="1:17">
      <c r="A642">
        <v>641</v>
      </c>
      <c r="B642" t="s">
        <v>693</v>
      </c>
      <c r="C642">
        <v>242</v>
      </c>
      <c r="D642">
        <v>1432</v>
      </c>
      <c r="E642">
        <v>471.22497450985401</v>
      </c>
      <c r="F642">
        <v>0.1690271941849</v>
      </c>
      <c r="G642">
        <v>174400</v>
      </c>
      <c r="H642">
        <v>4446.1731195449802</v>
      </c>
      <c r="I642">
        <v>0.97434478483886899</v>
      </c>
      <c r="J642">
        <v>0.110862229233672</v>
      </c>
      <c r="K642">
        <v>0.63105522637839795</v>
      </c>
      <c r="L642" t="s">
        <v>33</v>
      </c>
      <c r="M642" t="s">
        <v>34</v>
      </c>
      <c r="N642" t="s">
        <v>35</v>
      </c>
      <c r="O642">
        <v>0.71579555153317598</v>
      </c>
      <c r="P642" t="s">
        <v>36</v>
      </c>
    </row>
    <row r="643" spans="1:17">
      <c r="A643">
        <v>642</v>
      </c>
      <c r="B643" t="s">
        <v>694</v>
      </c>
      <c r="C643">
        <v>133</v>
      </c>
      <c r="D643">
        <v>32</v>
      </c>
      <c r="E643">
        <v>50.091628067603096</v>
      </c>
      <c r="F643">
        <v>4.1446279619354502</v>
      </c>
      <c r="G643">
        <v>1970.69845406427</v>
      </c>
      <c r="H643">
        <v>459.40571968752403</v>
      </c>
      <c r="I643">
        <v>0.79641514416722803</v>
      </c>
      <c r="J643">
        <v>0.117337611629503</v>
      </c>
      <c r="K643">
        <v>0.58023718874447505</v>
      </c>
      <c r="L643" t="s">
        <v>49</v>
      </c>
      <c r="M643" t="s">
        <v>34</v>
      </c>
      <c r="N643" t="s">
        <v>35</v>
      </c>
      <c r="O643">
        <v>0.83541742916004202</v>
      </c>
      <c r="P643" t="s">
        <v>36</v>
      </c>
      <c r="Q643" t="s">
        <v>695</v>
      </c>
    </row>
    <row r="644" spans="1:17">
      <c r="A644">
        <v>643</v>
      </c>
      <c r="B644" t="s">
        <v>696</v>
      </c>
      <c r="C644">
        <v>72</v>
      </c>
      <c r="D644">
        <v>48</v>
      </c>
      <c r="E644">
        <v>50.1048490921522</v>
      </c>
      <c r="F644">
        <v>1.50770942784281</v>
      </c>
      <c r="G644">
        <v>1971.7388710775001</v>
      </c>
      <c r="H644">
        <v>265.20813621997797</v>
      </c>
      <c r="I644">
        <v>0.53120002324570503</v>
      </c>
      <c r="J644">
        <v>0.352278043189995</v>
      </c>
      <c r="K644">
        <v>0.80205562273276898</v>
      </c>
      <c r="L644" t="s">
        <v>33</v>
      </c>
      <c r="M644" t="s">
        <v>34</v>
      </c>
      <c r="N644" t="s">
        <v>35</v>
      </c>
      <c r="O644">
        <v>0.71179927070645299</v>
      </c>
      <c r="P644" t="s">
        <v>36</v>
      </c>
    </row>
    <row r="645" spans="1:17">
      <c r="A645">
        <v>644</v>
      </c>
      <c r="B645" t="s">
        <v>697</v>
      </c>
      <c r="C645">
        <v>63</v>
      </c>
      <c r="D645">
        <v>73</v>
      </c>
      <c r="E645">
        <v>50.1124023972516</v>
      </c>
      <c r="F645">
        <v>0.86567172507026402</v>
      </c>
      <c r="G645">
        <v>1972.3333950850699</v>
      </c>
      <c r="H645">
        <v>502.96831379102599</v>
      </c>
      <c r="I645">
        <v>0.636491659062001</v>
      </c>
      <c r="J645">
        <v>9.7973571520683797E-2</v>
      </c>
      <c r="K645">
        <v>0.53133133133133104</v>
      </c>
      <c r="L645" t="s">
        <v>38</v>
      </c>
      <c r="M645" t="s">
        <v>34</v>
      </c>
      <c r="N645" t="s">
        <v>35</v>
      </c>
      <c r="O645">
        <v>0.71892924432699401</v>
      </c>
      <c r="P645" t="s">
        <v>36</v>
      </c>
    </row>
    <row r="646" spans="1:17">
      <c r="A646">
        <v>645</v>
      </c>
      <c r="B646" t="s">
        <v>698</v>
      </c>
      <c r="C646">
        <v>82</v>
      </c>
      <c r="D646">
        <v>54</v>
      </c>
      <c r="E646">
        <v>50.119954564033598</v>
      </c>
      <c r="F646">
        <v>1.5252524520800701</v>
      </c>
      <c r="G646">
        <v>1972.92791909263</v>
      </c>
      <c r="H646">
        <v>466.64188751718302</v>
      </c>
      <c r="I646">
        <v>0.60923499097544698</v>
      </c>
      <c r="J646">
        <v>0.113855402361086</v>
      </c>
      <c r="K646">
        <v>0.59090099715099698</v>
      </c>
      <c r="L646" t="s">
        <v>211</v>
      </c>
      <c r="M646" t="s">
        <v>34</v>
      </c>
      <c r="N646" t="s">
        <v>35</v>
      </c>
      <c r="O646">
        <v>0.64026833802840599</v>
      </c>
      <c r="P646" t="s">
        <v>36</v>
      </c>
    </row>
    <row r="647" spans="1:17">
      <c r="A647">
        <v>646</v>
      </c>
      <c r="B647" t="s">
        <v>699</v>
      </c>
      <c r="C647">
        <v>56</v>
      </c>
      <c r="D647">
        <v>61</v>
      </c>
      <c r="E647">
        <v>50.140717157433798</v>
      </c>
      <c r="F647">
        <v>0.927927927927928</v>
      </c>
      <c r="G647">
        <v>1974.5628601134199</v>
      </c>
      <c r="H647">
        <v>244.370878710228</v>
      </c>
      <c r="I647">
        <v>0.66366838759971702</v>
      </c>
      <c r="J647">
        <v>0.41551042746568101</v>
      </c>
      <c r="K647">
        <v>0.73022591106469503</v>
      </c>
      <c r="L647" t="s">
        <v>38</v>
      </c>
      <c r="M647" t="s">
        <v>34</v>
      </c>
      <c r="N647" t="s">
        <v>35</v>
      </c>
      <c r="O647">
        <v>0.73717434546176097</v>
      </c>
      <c r="P647" t="s">
        <v>36</v>
      </c>
    </row>
    <row r="648" spans="1:17">
      <c r="A648">
        <v>647</v>
      </c>
      <c r="B648" t="s">
        <v>700</v>
      </c>
      <c r="C648">
        <v>73</v>
      </c>
      <c r="D648">
        <v>49</v>
      </c>
      <c r="E648">
        <v>50.310271071502001</v>
      </c>
      <c r="F648">
        <v>1.48888888888889</v>
      </c>
      <c r="G648">
        <v>1987.93965028355</v>
      </c>
      <c r="H648">
        <v>353.66564549415</v>
      </c>
      <c r="I648">
        <v>0.64216044204811895</v>
      </c>
      <c r="J648">
        <v>0.19972264530193101</v>
      </c>
      <c r="K648">
        <v>0.68417821883472296</v>
      </c>
      <c r="L648" t="s">
        <v>74</v>
      </c>
      <c r="M648" t="s">
        <v>34</v>
      </c>
      <c r="N648" t="s">
        <v>35</v>
      </c>
      <c r="O648">
        <v>0.74308704393590097</v>
      </c>
      <c r="P648" t="s">
        <v>36</v>
      </c>
    </row>
    <row r="649" spans="1:17">
      <c r="A649">
        <v>648</v>
      </c>
      <c r="B649" t="s">
        <v>701</v>
      </c>
      <c r="C649">
        <v>62</v>
      </c>
      <c r="D649">
        <v>55</v>
      </c>
      <c r="E649">
        <v>50.332835105109801</v>
      </c>
      <c r="F649">
        <v>1.13975166210462</v>
      </c>
      <c r="G649">
        <v>1989.7232223062399</v>
      </c>
      <c r="H649">
        <v>333.28946307234099</v>
      </c>
      <c r="I649">
        <v>0.73691257283315503</v>
      </c>
      <c r="J649">
        <v>0.22509163995852499</v>
      </c>
      <c r="K649">
        <v>0.75415469551011205</v>
      </c>
      <c r="L649" t="s">
        <v>74</v>
      </c>
      <c r="M649" t="s">
        <v>34</v>
      </c>
      <c r="N649" t="s">
        <v>35</v>
      </c>
      <c r="O649">
        <v>0.66358863037400895</v>
      </c>
      <c r="P649" t="s">
        <v>36</v>
      </c>
    </row>
    <row r="650" spans="1:17">
      <c r="A650">
        <v>649</v>
      </c>
      <c r="B650" t="s">
        <v>702</v>
      </c>
      <c r="C650">
        <v>82</v>
      </c>
      <c r="D650">
        <v>45</v>
      </c>
      <c r="E650">
        <v>50.394834104311997</v>
      </c>
      <c r="F650">
        <v>1.82926829268293</v>
      </c>
      <c r="G650">
        <v>1994.62804536862</v>
      </c>
      <c r="H650">
        <v>337.32631200189201</v>
      </c>
      <c r="I650">
        <v>0.67824471842252698</v>
      </c>
      <c r="J650">
        <v>0.220278113661453</v>
      </c>
      <c r="K650">
        <v>0.64862252295795098</v>
      </c>
      <c r="L650" t="s">
        <v>38</v>
      </c>
      <c r="M650" t="s">
        <v>34</v>
      </c>
      <c r="N650" t="s">
        <v>35</v>
      </c>
      <c r="O650">
        <v>0.83093205803080195</v>
      </c>
      <c r="P650" t="s">
        <v>36</v>
      </c>
    </row>
    <row r="651" spans="1:17">
      <c r="A651">
        <v>650</v>
      </c>
      <c r="B651" t="s">
        <v>703</v>
      </c>
      <c r="C651">
        <v>63</v>
      </c>
      <c r="D651">
        <v>51</v>
      </c>
      <c r="E651">
        <v>50.486752767344498</v>
      </c>
      <c r="F651">
        <v>1.2299622384889799</v>
      </c>
      <c r="G651">
        <v>2001.9109644612499</v>
      </c>
      <c r="H651">
        <v>224.382169698529</v>
      </c>
      <c r="I651">
        <v>0.67140347774362097</v>
      </c>
      <c r="J651">
        <v>0.49966385678243602</v>
      </c>
      <c r="K651">
        <v>0.76785816088022396</v>
      </c>
      <c r="L651" t="s">
        <v>47</v>
      </c>
      <c r="M651" t="s">
        <v>34</v>
      </c>
      <c r="N651" t="s">
        <v>35</v>
      </c>
      <c r="O651">
        <v>0.92857900109816205</v>
      </c>
      <c r="P651" t="s">
        <v>36</v>
      </c>
    </row>
    <row r="652" spans="1:17">
      <c r="A652">
        <v>651</v>
      </c>
      <c r="B652" t="s">
        <v>704</v>
      </c>
      <c r="C652">
        <v>45</v>
      </c>
      <c r="D652">
        <v>55</v>
      </c>
      <c r="E652">
        <v>50.620100590373298</v>
      </c>
      <c r="F652">
        <v>0.81818181818181801</v>
      </c>
      <c r="G652">
        <v>2012.5</v>
      </c>
      <c r="H652">
        <v>179.49747383594499</v>
      </c>
      <c r="I652">
        <v>0.55176024138667201</v>
      </c>
      <c r="J652">
        <v>0.78492664398277101</v>
      </c>
      <c r="K652">
        <v>0.94152046783625698</v>
      </c>
      <c r="L652" t="s">
        <v>211</v>
      </c>
      <c r="M652" t="s">
        <v>34</v>
      </c>
      <c r="N652" t="s">
        <v>35</v>
      </c>
      <c r="O652">
        <v>0.74987729841094997</v>
      </c>
      <c r="P652" t="s">
        <v>36</v>
      </c>
    </row>
    <row r="653" spans="1:17">
      <c r="A653">
        <v>652</v>
      </c>
      <c r="B653" t="s">
        <v>705</v>
      </c>
      <c r="C653">
        <v>49</v>
      </c>
      <c r="D653">
        <v>68</v>
      </c>
      <c r="E653">
        <v>50.688760439198496</v>
      </c>
      <c r="F653">
        <v>0.71199999999999997</v>
      </c>
      <c r="G653">
        <v>2017.9631126654101</v>
      </c>
      <c r="H653">
        <v>366.82835756747602</v>
      </c>
      <c r="I653">
        <v>0.69056342165344997</v>
      </c>
      <c r="J653">
        <v>0.18845049593077501</v>
      </c>
      <c r="K653">
        <v>0.66681400717057104</v>
      </c>
      <c r="L653" t="s">
        <v>211</v>
      </c>
      <c r="M653" t="s">
        <v>34</v>
      </c>
      <c r="N653" t="s">
        <v>35</v>
      </c>
      <c r="O653">
        <v>0.70377913122262603</v>
      </c>
      <c r="P653" t="s">
        <v>36</v>
      </c>
    </row>
    <row r="654" spans="1:17">
      <c r="A654">
        <v>653</v>
      </c>
      <c r="B654" t="s">
        <v>706</v>
      </c>
      <c r="C654">
        <v>36</v>
      </c>
      <c r="D654">
        <v>89</v>
      </c>
      <c r="E654">
        <v>50.809951991309603</v>
      </c>
      <c r="F654">
        <v>0.40128315309687201</v>
      </c>
      <c r="G654">
        <v>2027.62412778828</v>
      </c>
      <c r="H654">
        <v>288.63643418623099</v>
      </c>
      <c r="I654">
        <v>0.90433956023054995</v>
      </c>
      <c r="J654">
        <v>0.30584051285220498</v>
      </c>
      <c r="K654">
        <v>0.78200057323015204</v>
      </c>
      <c r="L654" t="s">
        <v>49</v>
      </c>
      <c r="M654" t="s">
        <v>34</v>
      </c>
      <c r="N654" t="s">
        <v>35</v>
      </c>
      <c r="O654">
        <v>0.84280948457280203</v>
      </c>
      <c r="P654" t="s">
        <v>36</v>
      </c>
    </row>
    <row r="655" spans="1:17">
      <c r="A655">
        <v>654</v>
      </c>
      <c r="B655" t="s">
        <v>707</v>
      </c>
      <c r="C655">
        <v>49</v>
      </c>
      <c r="D655">
        <v>73</v>
      </c>
      <c r="E655">
        <v>50.834155630427503</v>
      </c>
      <c r="F655">
        <v>0.66417914186828197</v>
      </c>
      <c r="G655">
        <v>2029.5563308128501</v>
      </c>
      <c r="H655">
        <v>362.092440269615</v>
      </c>
      <c r="I655">
        <v>0.80091015480996497</v>
      </c>
      <c r="J655">
        <v>0.19452349247053599</v>
      </c>
      <c r="K655">
        <v>0.72652301143921305</v>
      </c>
      <c r="L655" t="s">
        <v>49</v>
      </c>
      <c r="M655" t="s">
        <v>34</v>
      </c>
      <c r="N655" t="s">
        <v>35</v>
      </c>
      <c r="O655">
        <v>0.83273626605617501</v>
      </c>
      <c r="P655" t="s">
        <v>36</v>
      </c>
    </row>
    <row r="656" spans="1:17">
      <c r="A656">
        <v>655</v>
      </c>
      <c r="B656" t="s">
        <v>708</v>
      </c>
      <c r="C656">
        <v>97</v>
      </c>
      <c r="D656">
        <v>51</v>
      </c>
      <c r="E656">
        <v>50.841600585890802</v>
      </c>
      <c r="F656">
        <v>1.90496627785596</v>
      </c>
      <c r="G656">
        <v>2030.1508548204199</v>
      </c>
      <c r="H656">
        <v>420.07257283158901</v>
      </c>
      <c r="I656">
        <v>0.46292900969143103</v>
      </c>
      <c r="J656">
        <v>0.144573774918275</v>
      </c>
      <c r="K656">
        <v>0.54673177760877401</v>
      </c>
      <c r="L656" t="s">
        <v>43</v>
      </c>
      <c r="M656" t="s">
        <v>34</v>
      </c>
      <c r="N656" t="s">
        <v>35</v>
      </c>
      <c r="O656">
        <v>0.718310519731998</v>
      </c>
      <c r="P656" t="s">
        <v>36</v>
      </c>
    </row>
    <row r="657" spans="1:16">
      <c r="A657">
        <v>656</v>
      </c>
      <c r="B657" t="s">
        <v>709</v>
      </c>
      <c r="C657">
        <v>100</v>
      </c>
      <c r="D657">
        <v>50</v>
      </c>
      <c r="E657">
        <v>50.8509052474108</v>
      </c>
      <c r="F657">
        <v>1.9954383039849899</v>
      </c>
      <c r="G657">
        <v>2030.8940098298699</v>
      </c>
      <c r="H657">
        <v>412.088048667078</v>
      </c>
      <c r="I657">
        <v>0.61641275446162302</v>
      </c>
      <c r="J657">
        <v>0.150285501177916</v>
      </c>
      <c r="K657">
        <v>0.58238854317620004</v>
      </c>
      <c r="L657" t="s">
        <v>41</v>
      </c>
      <c r="M657" t="s">
        <v>34</v>
      </c>
      <c r="N657" t="s">
        <v>35</v>
      </c>
      <c r="O657">
        <v>0.759773670535554</v>
      </c>
      <c r="P657" t="s">
        <v>36</v>
      </c>
    </row>
    <row r="658" spans="1:16">
      <c r="A658">
        <v>657</v>
      </c>
      <c r="B658" t="s">
        <v>710</v>
      </c>
      <c r="C658">
        <v>102</v>
      </c>
      <c r="D658">
        <v>63</v>
      </c>
      <c r="E658">
        <v>50.910414811656402</v>
      </c>
      <c r="F658">
        <v>1.6251864584180999</v>
      </c>
      <c r="G658">
        <v>2035.65020189036</v>
      </c>
      <c r="H658">
        <v>637.698454265387</v>
      </c>
      <c r="I658">
        <v>0.53038022903094995</v>
      </c>
      <c r="J658">
        <v>6.2904583049880405E-2</v>
      </c>
      <c r="K658">
        <v>0.47199917289864601</v>
      </c>
      <c r="L658" t="s">
        <v>38</v>
      </c>
      <c r="M658" t="s">
        <v>34</v>
      </c>
      <c r="N658" t="s">
        <v>35</v>
      </c>
      <c r="O658">
        <v>0.813658572990271</v>
      </c>
      <c r="P658" t="s">
        <v>36</v>
      </c>
    </row>
    <row r="659" spans="1:16">
      <c r="A659">
        <v>658</v>
      </c>
      <c r="B659" t="s">
        <v>711</v>
      </c>
      <c r="C659">
        <v>103</v>
      </c>
      <c r="D659">
        <v>54</v>
      </c>
      <c r="E659">
        <v>50.990271421808302</v>
      </c>
      <c r="F659">
        <v>1.8941505360722599</v>
      </c>
      <c r="G659">
        <v>2042.04133497164</v>
      </c>
      <c r="H659">
        <v>484.37612528583298</v>
      </c>
      <c r="I659">
        <v>0.483535018367095</v>
      </c>
      <c r="J659">
        <v>0.109372700484533</v>
      </c>
      <c r="K659">
        <v>0.49319740101231302</v>
      </c>
      <c r="L659" t="s">
        <v>33</v>
      </c>
      <c r="M659" t="s">
        <v>34</v>
      </c>
      <c r="N659" t="s">
        <v>35</v>
      </c>
      <c r="O659">
        <v>0.87764219081602401</v>
      </c>
      <c r="P659" t="s">
        <v>36</v>
      </c>
    </row>
    <row r="660" spans="1:16">
      <c r="A660">
        <v>659</v>
      </c>
      <c r="B660" t="s">
        <v>712</v>
      </c>
      <c r="C660">
        <v>58</v>
      </c>
      <c r="D660">
        <v>88</v>
      </c>
      <c r="E660">
        <v>51.0236626607198</v>
      </c>
      <c r="F660">
        <v>0.66459630449118401</v>
      </c>
      <c r="G660">
        <v>2044.7166930056701</v>
      </c>
      <c r="H660">
        <v>567.70084161354202</v>
      </c>
      <c r="I660">
        <v>0.58102687475316495</v>
      </c>
      <c r="J660">
        <v>7.9726726077887194E-2</v>
      </c>
      <c r="K660">
        <v>0.46010033444816101</v>
      </c>
      <c r="L660" t="s">
        <v>38</v>
      </c>
      <c r="M660" t="s">
        <v>34</v>
      </c>
      <c r="N660" t="s">
        <v>35</v>
      </c>
      <c r="O660">
        <v>0.78374618219479697</v>
      </c>
      <c r="P660" t="s">
        <v>36</v>
      </c>
    </row>
    <row r="661" spans="1:16">
      <c r="A661">
        <v>660</v>
      </c>
      <c r="B661" t="s">
        <v>713</v>
      </c>
      <c r="C661">
        <v>83</v>
      </c>
      <c r="D661">
        <v>78</v>
      </c>
      <c r="E661">
        <v>51.092231674439503</v>
      </c>
      <c r="F661">
        <v>1.06293706293706</v>
      </c>
      <c r="G661">
        <v>2050.2160400756102</v>
      </c>
      <c r="H661">
        <v>543.546884793613</v>
      </c>
      <c r="I661">
        <v>0.52879185080879298</v>
      </c>
      <c r="J661">
        <v>8.7203811787003996E-2</v>
      </c>
      <c r="K661">
        <v>0.47056014191171502</v>
      </c>
      <c r="L661" t="s">
        <v>38</v>
      </c>
      <c r="M661" t="s">
        <v>34</v>
      </c>
      <c r="N661" t="s">
        <v>35</v>
      </c>
      <c r="O661">
        <v>0.79574023581892805</v>
      </c>
      <c r="P661" t="s">
        <v>36</v>
      </c>
    </row>
    <row r="662" spans="1:16">
      <c r="A662">
        <v>661</v>
      </c>
      <c r="B662" t="s">
        <v>714</v>
      </c>
      <c r="C662">
        <v>59</v>
      </c>
      <c r="D662">
        <v>84</v>
      </c>
      <c r="E662">
        <v>51.168106229476599</v>
      </c>
      <c r="F662">
        <v>0.70067875053562101</v>
      </c>
      <c r="G662">
        <v>2056.3099111531201</v>
      </c>
      <c r="H662">
        <v>407.14234480432799</v>
      </c>
      <c r="I662">
        <v>0.81078156308975902</v>
      </c>
      <c r="J662">
        <v>0.155885559408246</v>
      </c>
      <c r="K662">
        <v>0.57178872540915904</v>
      </c>
      <c r="L662" t="s">
        <v>33</v>
      </c>
      <c r="M662" t="s">
        <v>34</v>
      </c>
      <c r="N662" t="s">
        <v>35</v>
      </c>
      <c r="O662">
        <v>0.76533547342455199</v>
      </c>
      <c r="P662" t="s">
        <v>36</v>
      </c>
    </row>
    <row r="663" spans="1:16">
      <c r="A663">
        <v>662</v>
      </c>
      <c r="B663" t="s">
        <v>715</v>
      </c>
      <c r="C663">
        <v>43</v>
      </c>
      <c r="D663">
        <v>70</v>
      </c>
      <c r="E663">
        <v>51.242021914423098</v>
      </c>
      <c r="F663">
        <v>0.62237760068678405</v>
      </c>
      <c r="G663">
        <v>2062.25515122873</v>
      </c>
      <c r="H663">
        <v>236.82862515667199</v>
      </c>
      <c r="I663">
        <v>0.86205963117273599</v>
      </c>
      <c r="J663">
        <v>0.46204457292622297</v>
      </c>
      <c r="K663">
        <v>0.84603658536585402</v>
      </c>
      <c r="L663" t="s">
        <v>49</v>
      </c>
      <c r="M663" t="s">
        <v>34</v>
      </c>
      <c r="N663" t="s">
        <v>35</v>
      </c>
      <c r="O663">
        <v>0.734968448709299</v>
      </c>
      <c r="P663" t="s">
        <v>36</v>
      </c>
    </row>
    <row r="664" spans="1:16">
      <c r="A664">
        <v>663</v>
      </c>
      <c r="B664" t="s">
        <v>716</v>
      </c>
      <c r="C664">
        <v>45</v>
      </c>
      <c r="D664">
        <v>128</v>
      </c>
      <c r="E664">
        <v>51.302922183450399</v>
      </c>
      <c r="F664">
        <v>0.35042735042735002</v>
      </c>
      <c r="G664">
        <v>2067.1599742911199</v>
      </c>
      <c r="H664">
        <v>385.78921500579202</v>
      </c>
      <c r="I664">
        <v>0.88750364121272596</v>
      </c>
      <c r="J664">
        <v>0.174535504769951</v>
      </c>
      <c r="K664">
        <v>0.56385307711019195</v>
      </c>
      <c r="L664" t="s">
        <v>41</v>
      </c>
      <c r="M664" t="s">
        <v>34</v>
      </c>
      <c r="N664" t="s">
        <v>35</v>
      </c>
      <c r="O664">
        <v>0.79691034867155297</v>
      </c>
      <c r="P664" t="s">
        <v>36</v>
      </c>
    </row>
    <row r="665" spans="1:16">
      <c r="A665">
        <v>664</v>
      </c>
      <c r="B665" t="s">
        <v>717</v>
      </c>
      <c r="C665">
        <v>48</v>
      </c>
      <c r="D665">
        <v>68</v>
      </c>
      <c r="E665">
        <v>51.308454987153098</v>
      </c>
      <c r="F665">
        <v>0.69584804458187699</v>
      </c>
      <c r="G665">
        <v>2067.6058672967902</v>
      </c>
      <c r="H665">
        <v>261.05618365443303</v>
      </c>
      <c r="I665">
        <v>0.91289358956268296</v>
      </c>
      <c r="J665">
        <v>0.38124982259649298</v>
      </c>
      <c r="K665">
        <v>0.80215661400069205</v>
      </c>
      <c r="L665" t="s">
        <v>33</v>
      </c>
      <c r="M665" t="s">
        <v>34</v>
      </c>
      <c r="N665" t="s">
        <v>35</v>
      </c>
      <c r="O665">
        <v>0.679898345409917</v>
      </c>
      <c r="P665" t="s">
        <v>36</v>
      </c>
    </row>
    <row r="666" spans="1:16">
      <c r="A666">
        <v>665</v>
      </c>
      <c r="B666" t="s">
        <v>718</v>
      </c>
      <c r="C666">
        <v>53</v>
      </c>
      <c r="D666">
        <v>89</v>
      </c>
      <c r="E666">
        <v>51.5604870637044</v>
      </c>
      <c r="F666">
        <v>0.59392146978403304</v>
      </c>
      <c r="G666">
        <v>2087.9683145557701</v>
      </c>
      <c r="H666">
        <v>465.51935301490499</v>
      </c>
      <c r="I666">
        <v>0.69645299977901098</v>
      </c>
      <c r="J666">
        <v>0.121076061887694</v>
      </c>
      <c r="K666">
        <v>0.60716601115097002</v>
      </c>
      <c r="L666" t="s">
        <v>33</v>
      </c>
      <c r="M666" t="s">
        <v>34</v>
      </c>
      <c r="N666" t="s">
        <v>35</v>
      </c>
      <c r="O666">
        <v>0.79993247820579005</v>
      </c>
      <c r="P666" t="s">
        <v>36</v>
      </c>
    </row>
    <row r="667" spans="1:16">
      <c r="A667">
        <v>666</v>
      </c>
      <c r="B667" t="s">
        <v>719</v>
      </c>
      <c r="C667">
        <v>58</v>
      </c>
      <c r="D667">
        <v>73</v>
      </c>
      <c r="E667">
        <v>51.571496812304296</v>
      </c>
      <c r="F667">
        <v>0.798507530669604</v>
      </c>
      <c r="G667">
        <v>2088.8601005671098</v>
      </c>
      <c r="H667">
        <v>566.85229311549199</v>
      </c>
      <c r="I667">
        <v>0.65155465236135202</v>
      </c>
      <c r="J667">
        <v>8.1691976325491106E-2</v>
      </c>
      <c r="K667">
        <v>0.55668224669254496</v>
      </c>
      <c r="L667" t="s">
        <v>38</v>
      </c>
      <c r="M667" t="s">
        <v>34</v>
      </c>
      <c r="N667" t="s">
        <v>35</v>
      </c>
      <c r="O667">
        <v>0.66296014237563194</v>
      </c>
      <c r="P667" t="s">
        <v>36</v>
      </c>
    </row>
    <row r="668" spans="1:16">
      <c r="A668">
        <v>667</v>
      </c>
      <c r="B668" t="s">
        <v>720</v>
      </c>
      <c r="C668">
        <v>36</v>
      </c>
      <c r="D668">
        <v>131</v>
      </c>
      <c r="E668">
        <v>51.736361890722002</v>
      </c>
      <c r="F668">
        <v>0.27252960967116602</v>
      </c>
      <c r="G668">
        <v>2102.2368907372402</v>
      </c>
      <c r="H668">
        <v>455.89252905513899</v>
      </c>
      <c r="I668">
        <v>0.81116198448472998</v>
      </c>
      <c r="J668">
        <v>0.12710615063778699</v>
      </c>
      <c r="K668">
        <v>0.54312264803010502</v>
      </c>
      <c r="L668" t="s">
        <v>144</v>
      </c>
      <c r="M668" t="s">
        <v>34</v>
      </c>
      <c r="N668" t="s">
        <v>35</v>
      </c>
      <c r="O668">
        <v>0.77368079875361195</v>
      </c>
      <c r="P668" t="s">
        <v>36</v>
      </c>
    </row>
    <row r="669" spans="1:16">
      <c r="A669">
        <v>668</v>
      </c>
      <c r="B669" t="s">
        <v>721</v>
      </c>
      <c r="C669">
        <v>93</v>
      </c>
      <c r="D669">
        <v>53</v>
      </c>
      <c r="E669">
        <v>51.809466861327202</v>
      </c>
      <c r="F669">
        <v>1.74489795918367</v>
      </c>
      <c r="G669">
        <v>2108.1821308128501</v>
      </c>
      <c r="H669">
        <v>527.29995745617396</v>
      </c>
      <c r="I669">
        <v>0.71547251203763096</v>
      </c>
      <c r="J669">
        <v>9.5280169116592997E-2</v>
      </c>
      <c r="K669">
        <v>0.55632256040163197</v>
      </c>
      <c r="L669" t="s">
        <v>33</v>
      </c>
      <c r="M669" t="s">
        <v>34</v>
      </c>
      <c r="N669" t="s">
        <v>35</v>
      </c>
      <c r="O669">
        <v>0.72413827699594302</v>
      </c>
      <c r="P669" t="s">
        <v>36</v>
      </c>
    </row>
    <row r="670" spans="1:16">
      <c r="A670">
        <v>669</v>
      </c>
      <c r="B670" t="s">
        <v>722</v>
      </c>
      <c r="C670">
        <v>73</v>
      </c>
      <c r="D670">
        <v>44</v>
      </c>
      <c r="E670">
        <v>51.827726991898501</v>
      </c>
      <c r="F670">
        <v>1.65432092253526</v>
      </c>
      <c r="G670">
        <v>2109.6684408317601</v>
      </c>
      <c r="H670">
        <v>349.06202007915698</v>
      </c>
      <c r="I670">
        <v>0.60207888434984802</v>
      </c>
      <c r="J670">
        <v>0.21757995110539499</v>
      </c>
      <c r="K670">
        <v>0.72281916789733702</v>
      </c>
      <c r="L670" t="s">
        <v>43</v>
      </c>
      <c r="M670" t="s">
        <v>34</v>
      </c>
      <c r="N670" t="s">
        <v>35</v>
      </c>
      <c r="O670">
        <v>0.71534963560379805</v>
      </c>
      <c r="P670" t="s">
        <v>36</v>
      </c>
    </row>
    <row r="671" spans="1:16">
      <c r="A671">
        <v>670</v>
      </c>
      <c r="B671" t="s">
        <v>723</v>
      </c>
      <c r="C671">
        <v>47</v>
      </c>
      <c r="D671">
        <v>65</v>
      </c>
      <c r="E671">
        <v>51.999058788113899</v>
      </c>
      <c r="F671">
        <v>0.71763065624032896</v>
      </c>
      <c r="G671">
        <v>2123.6397550094498</v>
      </c>
      <c r="H671">
        <v>206.990010377635</v>
      </c>
      <c r="I671">
        <v>0.73439740919917496</v>
      </c>
      <c r="J671">
        <v>0.62286214669975704</v>
      </c>
      <c r="K671">
        <v>0.86714814590034595</v>
      </c>
      <c r="L671" t="s">
        <v>38</v>
      </c>
      <c r="M671" t="s">
        <v>34</v>
      </c>
      <c r="N671" t="s">
        <v>35</v>
      </c>
      <c r="O671">
        <v>0.82617257600154503</v>
      </c>
      <c r="P671" t="s">
        <v>36</v>
      </c>
    </row>
    <row r="672" spans="1:16">
      <c r="A672">
        <v>671</v>
      </c>
      <c r="B672" t="s">
        <v>724</v>
      </c>
      <c r="C672">
        <v>63</v>
      </c>
      <c r="D672">
        <v>63</v>
      </c>
      <c r="E672">
        <v>52.129910813569602</v>
      </c>
      <c r="F672">
        <v>1</v>
      </c>
      <c r="G672">
        <v>2134.3411871455601</v>
      </c>
      <c r="H672">
        <v>341.16439283516098</v>
      </c>
      <c r="I672">
        <v>0.72318480142005204</v>
      </c>
      <c r="J672">
        <v>0.23043387005465399</v>
      </c>
      <c r="K672">
        <v>0.70669291338582696</v>
      </c>
      <c r="L672" t="s">
        <v>47</v>
      </c>
      <c r="M672" t="s">
        <v>34</v>
      </c>
      <c r="N672" t="s">
        <v>35</v>
      </c>
      <c r="O672">
        <v>0.94312172019304397</v>
      </c>
      <c r="P672" t="s">
        <v>36</v>
      </c>
    </row>
    <row r="673" spans="1:16">
      <c r="A673">
        <v>672</v>
      </c>
      <c r="B673" t="s">
        <v>725</v>
      </c>
      <c r="C673">
        <v>63</v>
      </c>
      <c r="D673">
        <v>73</v>
      </c>
      <c r="E673">
        <v>52.305679995017897</v>
      </c>
      <c r="F673">
        <v>0.86567164179104505</v>
      </c>
      <c r="G673">
        <v>2148.7583943289201</v>
      </c>
      <c r="H673">
        <v>443.87504896526798</v>
      </c>
      <c r="I673">
        <v>0.55887123831410102</v>
      </c>
      <c r="J673">
        <v>0.13704903563044299</v>
      </c>
      <c r="K673">
        <v>0.58322575439728896</v>
      </c>
      <c r="L673" t="s">
        <v>33</v>
      </c>
      <c r="M673" t="s">
        <v>34</v>
      </c>
      <c r="N673" t="s">
        <v>35</v>
      </c>
      <c r="O673">
        <v>0.699294411645764</v>
      </c>
      <c r="P673" t="s">
        <v>36</v>
      </c>
    </row>
    <row r="674" spans="1:16">
      <c r="A674">
        <v>673</v>
      </c>
      <c r="B674" t="s">
        <v>726</v>
      </c>
      <c r="C674">
        <v>51</v>
      </c>
      <c r="D674">
        <v>77</v>
      </c>
      <c r="E674">
        <v>52.399664015512499</v>
      </c>
      <c r="F674">
        <v>0.65332901349790895</v>
      </c>
      <c r="G674">
        <v>2156.4872064272199</v>
      </c>
      <c r="H674">
        <v>249.430069978859</v>
      </c>
      <c r="I674">
        <v>0.72691913928544905</v>
      </c>
      <c r="J674">
        <v>0.435571176378241</v>
      </c>
      <c r="K674">
        <v>0.74138988247317295</v>
      </c>
      <c r="L674" t="s">
        <v>49</v>
      </c>
      <c r="M674" t="s">
        <v>34</v>
      </c>
      <c r="N674" t="s">
        <v>35</v>
      </c>
      <c r="O674">
        <v>0.69308973813335695</v>
      </c>
      <c r="P674" t="s">
        <v>36</v>
      </c>
    </row>
    <row r="675" spans="1:16">
      <c r="A675">
        <v>674</v>
      </c>
      <c r="B675" t="s">
        <v>727</v>
      </c>
      <c r="C675">
        <v>63</v>
      </c>
      <c r="D675">
        <v>69</v>
      </c>
      <c r="E675">
        <v>52.408692058517403</v>
      </c>
      <c r="F675">
        <v>0.92063492063492103</v>
      </c>
      <c r="G675">
        <v>2157.2303614366701</v>
      </c>
      <c r="H675">
        <v>597.24277290717396</v>
      </c>
      <c r="I675">
        <v>0.55843128567295997</v>
      </c>
      <c r="J675">
        <v>7.5998423203378407E-2</v>
      </c>
      <c r="K675">
        <v>0.56962323390894798</v>
      </c>
      <c r="L675" t="s">
        <v>33</v>
      </c>
      <c r="M675" t="s">
        <v>34</v>
      </c>
      <c r="N675" t="s">
        <v>35</v>
      </c>
      <c r="O675">
        <v>0.82725459440690596</v>
      </c>
      <c r="P675" t="s">
        <v>36</v>
      </c>
    </row>
    <row r="676" spans="1:16">
      <c r="A676">
        <v>675</v>
      </c>
      <c r="B676" t="s">
        <v>728</v>
      </c>
      <c r="C676">
        <v>58</v>
      </c>
      <c r="D676">
        <v>73</v>
      </c>
      <c r="E676">
        <v>52.448396986051598</v>
      </c>
      <c r="F676">
        <v>0.798507530669604</v>
      </c>
      <c r="G676">
        <v>2160.50024347826</v>
      </c>
      <c r="H676">
        <v>381.510479791683</v>
      </c>
      <c r="I676">
        <v>0.63322942235880597</v>
      </c>
      <c r="J676">
        <v>0.18653109481076399</v>
      </c>
      <c r="K676">
        <v>0.73674607197161701</v>
      </c>
      <c r="L676" t="s">
        <v>33</v>
      </c>
      <c r="M676" t="s">
        <v>34</v>
      </c>
      <c r="N676" t="s">
        <v>35</v>
      </c>
      <c r="O676">
        <v>0.70201429693956297</v>
      </c>
      <c r="P676" t="s">
        <v>36</v>
      </c>
    </row>
    <row r="677" spans="1:16">
      <c r="A677">
        <v>676</v>
      </c>
      <c r="B677" t="s">
        <v>729</v>
      </c>
      <c r="C677">
        <v>63</v>
      </c>
      <c r="D677">
        <v>111</v>
      </c>
      <c r="E677">
        <v>52.525915411168498</v>
      </c>
      <c r="F677">
        <v>0.57131512746357005</v>
      </c>
      <c r="G677">
        <v>2166.8913765595498</v>
      </c>
      <c r="H677">
        <v>478.02060567389401</v>
      </c>
      <c r="I677">
        <v>0.81081752168340904</v>
      </c>
      <c r="J677">
        <v>0.119166386297405</v>
      </c>
      <c r="K677">
        <v>0.43047804647592097</v>
      </c>
      <c r="L677" t="s">
        <v>49</v>
      </c>
      <c r="M677" t="s">
        <v>34</v>
      </c>
      <c r="N677" t="s">
        <v>35</v>
      </c>
      <c r="O677">
        <v>0.82843225340204896</v>
      </c>
      <c r="P677" t="s">
        <v>36</v>
      </c>
    </row>
    <row r="678" spans="1:16">
      <c r="A678">
        <v>677</v>
      </c>
      <c r="B678" t="s">
        <v>730</v>
      </c>
      <c r="C678">
        <v>69</v>
      </c>
      <c r="D678">
        <v>86</v>
      </c>
      <c r="E678">
        <v>52.560131319239098</v>
      </c>
      <c r="F678">
        <v>0.80095738703992803</v>
      </c>
      <c r="G678">
        <v>2169.7153655954598</v>
      </c>
      <c r="H678">
        <v>561.55510856649198</v>
      </c>
      <c r="I678">
        <v>0.64501666769298305</v>
      </c>
      <c r="J678">
        <v>8.6462514938281596E-2</v>
      </c>
      <c r="K678">
        <v>0.45750282060925201</v>
      </c>
      <c r="L678" t="s">
        <v>33</v>
      </c>
      <c r="M678" t="s">
        <v>34</v>
      </c>
      <c r="N678" t="s">
        <v>35</v>
      </c>
      <c r="O678">
        <v>0.656287256935983</v>
      </c>
      <c r="P678" t="s">
        <v>36</v>
      </c>
    </row>
    <row r="679" spans="1:16">
      <c r="A679">
        <v>678</v>
      </c>
      <c r="B679" t="s">
        <v>731</v>
      </c>
      <c r="C679">
        <v>79</v>
      </c>
      <c r="D679">
        <v>82</v>
      </c>
      <c r="E679">
        <v>52.680610062249102</v>
      </c>
      <c r="F679">
        <v>0.96506549683688003</v>
      </c>
      <c r="G679">
        <v>2179.6736427221199</v>
      </c>
      <c r="H679">
        <v>555.40937551944205</v>
      </c>
      <c r="I679">
        <v>0.624483481681538</v>
      </c>
      <c r="J679">
        <v>8.8792221866712304E-2</v>
      </c>
      <c r="K679">
        <v>0.48896372365964302</v>
      </c>
      <c r="L679" t="s">
        <v>33</v>
      </c>
      <c r="M679" t="s">
        <v>34</v>
      </c>
      <c r="N679" t="s">
        <v>35</v>
      </c>
      <c r="O679">
        <v>0.82053947014468998</v>
      </c>
      <c r="P679" t="s">
        <v>36</v>
      </c>
    </row>
    <row r="680" spans="1:16">
      <c r="A680">
        <v>679</v>
      </c>
      <c r="B680" t="s">
        <v>732</v>
      </c>
      <c r="C680">
        <v>63</v>
      </c>
      <c r="D680">
        <v>93</v>
      </c>
      <c r="E680">
        <v>52.734466552778898</v>
      </c>
      <c r="F680">
        <v>0.682352973911595</v>
      </c>
      <c r="G680">
        <v>2184.1325727788299</v>
      </c>
      <c r="H680">
        <v>610.75696566675003</v>
      </c>
      <c r="I680">
        <v>0.63755403520949405</v>
      </c>
      <c r="J680">
        <v>7.3578681661820605E-2</v>
      </c>
      <c r="K680">
        <v>0.45615396554400101</v>
      </c>
      <c r="L680" t="s">
        <v>43</v>
      </c>
      <c r="M680" t="s">
        <v>34</v>
      </c>
      <c r="N680" t="s">
        <v>35</v>
      </c>
      <c r="O680">
        <v>0.77879231663022996</v>
      </c>
      <c r="P680" t="s">
        <v>36</v>
      </c>
    </row>
    <row r="681" spans="1:16">
      <c r="A681">
        <v>680</v>
      </c>
      <c r="B681" t="s">
        <v>733</v>
      </c>
      <c r="C681">
        <v>64</v>
      </c>
      <c r="D681">
        <v>78</v>
      </c>
      <c r="E681">
        <v>52.777512175797803</v>
      </c>
      <c r="F681">
        <v>0.81818181818181801</v>
      </c>
      <c r="G681">
        <v>2187.6997168242001</v>
      </c>
      <c r="H681">
        <v>363.74414230336299</v>
      </c>
      <c r="I681">
        <v>0.61946429238221301</v>
      </c>
      <c r="J681">
        <v>0.20778086894766501</v>
      </c>
      <c r="K681">
        <v>0.68597660437153396</v>
      </c>
      <c r="L681" t="s">
        <v>33</v>
      </c>
      <c r="M681" t="s">
        <v>34</v>
      </c>
      <c r="N681" t="s">
        <v>35</v>
      </c>
      <c r="O681">
        <v>0.76321479543800796</v>
      </c>
      <c r="P681" t="s">
        <v>36</v>
      </c>
    </row>
    <row r="682" spans="1:16">
      <c r="A682">
        <v>681</v>
      </c>
      <c r="B682" t="s">
        <v>734</v>
      </c>
      <c r="C682">
        <v>58</v>
      </c>
      <c r="D682">
        <v>82</v>
      </c>
      <c r="E682">
        <v>52.806189763827597</v>
      </c>
      <c r="F682">
        <v>0.70198679578905798</v>
      </c>
      <c r="G682">
        <v>2190.0778128544398</v>
      </c>
      <c r="H682">
        <v>520.06378962651502</v>
      </c>
      <c r="I682">
        <v>0.71885348174897301</v>
      </c>
      <c r="J682">
        <v>0.101755098003237</v>
      </c>
      <c r="K682">
        <v>0.55018295870360701</v>
      </c>
      <c r="L682" t="s">
        <v>49</v>
      </c>
      <c r="M682" t="s">
        <v>34</v>
      </c>
      <c r="N682" t="s">
        <v>35</v>
      </c>
      <c r="O682">
        <v>0.73542372757042895</v>
      </c>
      <c r="P682" t="s">
        <v>36</v>
      </c>
    </row>
    <row r="683" spans="1:16">
      <c r="A683">
        <v>682</v>
      </c>
      <c r="B683" t="s">
        <v>735</v>
      </c>
      <c r="C683">
        <v>51</v>
      </c>
      <c r="D683">
        <v>71</v>
      </c>
      <c r="E683">
        <v>52.908227346194998</v>
      </c>
      <c r="F683">
        <v>0.71467842095774503</v>
      </c>
      <c r="G683">
        <v>2198.5497799621899</v>
      </c>
      <c r="H683">
        <v>329.06001582477398</v>
      </c>
      <c r="I683">
        <v>0.68460054353680899</v>
      </c>
      <c r="J683">
        <v>0.255150215193859</v>
      </c>
      <c r="K683">
        <v>0.77198476071186295</v>
      </c>
      <c r="L683" t="s">
        <v>49</v>
      </c>
      <c r="M683" t="s">
        <v>34</v>
      </c>
      <c r="N683" t="s">
        <v>35</v>
      </c>
      <c r="O683">
        <v>0.71396418208755796</v>
      </c>
      <c r="P683" t="s">
        <v>36</v>
      </c>
    </row>
    <row r="684" spans="1:16">
      <c r="A684">
        <v>683</v>
      </c>
      <c r="B684" t="s">
        <v>736</v>
      </c>
      <c r="C684">
        <v>39</v>
      </c>
      <c r="D684">
        <v>98</v>
      </c>
      <c r="E684">
        <v>52.927896165232603</v>
      </c>
      <c r="F684">
        <v>0.4</v>
      </c>
      <c r="G684">
        <v>2200.1847209829898</v>
      </c>
      <c r="H684">
        <v>324.03681728000203</v>
      </c>
      <c r="I684">
        <v>0.77078365630911805</v>
      </c>
      <c r="J684">
        <v>0.26331784537263803</v>
      </c>
      <c r="K684">
        <v>0.77405354528341397</v>
      </c>
      <c r="L684" t="s">
        <v>33</v>
      </c>
      <c r="M684" t="s">
        <v>34</v>
      </c>
      <c r="N684" t="s">
        <v>35</v>
      </c>
      <c r="O684">
        <v>0.87000571025544104</v>
      </c>
      <c r="P684" t="s">
        <v>36</v>
      </c>
    </row>
    <row r="685" spans="1:16">
      <c r="A685">
        <v>684</v>
      </c>
      <c r="B685" t="s">
        <v>737</v>
      </c>
      <c r="C685">
        <v>58</v>
      </c>
      <c r="D685">
        <v>59</v>
      </c>
      <c r="E685">
        <v>53.093895876187297</v>
      </c>
      <c r="F685">
        <v>0.98148148148148195</v>
      </c>
      <c r="G685">
        <v>2214.00740415879</v>
      </c>
      <c r="H685">
        <v>292.811084232952</v>
      </c>
      <c r="I685">
        <v>0.74566045289746197</v>
      </c>
      <c r="J685">
        <v>0.32449940700938601</v>
      </c>
      <c r="K685">
        <v>0.80358202513891097</v>
      </c>
      <c r="L685" t="s">
        <v>41</v>
      </c>
      <c r="M685" t="s">
        <v>34</v>
      </c>
      <c r="N685" t="s">
        <v>35</v>
      </c>
      <c r="O685">
        <v>0.80829998462377395</v>
      </c>
      <c r="P685" t="s">
        <v>36</v>
      </c>
    </row>
    <row r="686" spans="1:16">
      <c r="A686">
        <v>685</v>
      </c>
      <c r="B686" t="s">
        <v>738</v>
      </c>
      <c r="C686">
        <v>73</v>
      </c>
      <c r="D686">
        <v>73</v>
      </c>
      <c r="E686">
        <v>53.239831842185701</v>
      </c>
      <c r="F686">
        <v>1.0057048637999499</v>
      </c>
      <c r="G686">
        <v>2226.1951463137998</v>
      </c>
      <c r="H686">
        <v>553.01871938933505</v>
      </c>
      <c r="I686">
        <v>0.61742101782421899</v>
      </c>
      <c r="J686">
        <v>9.1473107101860504E-2</v>
      </c>
      <c r="K686">
        <v>0.53485216397657498</v>
      </c>
      <c r="L686" t="s">
        <v>33</v>
      </c>
      <c r="M686" t="s">
        <v>34</v>
      </c>
      <c r="N686" t="s">
        <v>35</v>
      </c>
      <c r="O686">
        <v>0.76830297235784195</v>
      </c>
      <c r="P686" t="s">
        <v>36</v>
      </c>
    </row>
    <row r="687" spans="1:16">
      <c r="A687">
        <v>686</v>
      </c>
      <c r="B687" t="s">
        <v>739</v>
      </c>
      <c r="C687">
        <v>27</v>
      </c>
      <c r="D687">
        <v>117</v>
      </c>
      <c r="E687">
        <v>53.645282286763397</v>
      </c>
      <c r="F687">
        <v>0.227906976744186</v>
      </c>
      <c r="G687">
        <v>2260.23164574669</v>
      </c>
      <c r="H687">
        <v>300.21553666933698</v>
      </c>
      <c r="I687">
        <v>0.93982241958824797</v>
      </c>
      <c r="J687">
        <v>0.31513488911330001</v>
      </c>
      <c r="K687">
        <v>0.80866790747141704</v>
      </c>
      <c r="L687" t="s">
        <v>74</v>
      </c>
      <c r="M687" t="s">
        <v>34</v>
      </c>
      <c r="N687" t="s">
        <v>35</v>
      </c>
      <c r="O687">
        <v>0.74089920236790696</v>
      </c>
      <c r="P687" t="s">
        <v>36</v>
      </c>
    </row>
    <row r="688" spans="1:16">
      <c r="A688">
        <v>687</v>
      </c>
      <c r="B688" t="s">
        <v>740</v>
      </c>
      <c r="C688">
        <v>87</v>
      </c>
      <c r="D688">
        <v>59</v>
      </c>
      <c r="E688">
        <v>53.719312282754501</v>
      </c>
      <c r="F688">
        <v>1.4814814814814801</v>
      </c>
      <c r="G688">
        <v>2266.4741478260898</v>
      </c>
      <c r="H688">
        <v>534.27154152009803</v>
      </c>
      <c r="I688">
        <v>0.678089783999964</v>
      </c>
      <c r="J688">
        <v>9.9778403408579505E-2</v>
      </c>
      <c r="K688">
        <v>0.58202290076335905</v>
      </c>
      <c r="L688" t="s">
        <v>33</v>
      </c>
      <c r="M688" t="s">
        <v>34</v>
      </c>
      <c r="N688" t="s">
        <v>35</v>
      </c>
      <c r="O688">
        <v>0.82073767590230795</v>
      </c>
      <c r="P688" t="s">
        <v>36</v>
      </c>
    </row>
    <row r="689" spans="1:16">
      <c r="A689">
        <v>688</v>
      </c>
      <c r="B689" t="s">
        <v>741</v>
      </c>
      <c r="C689">
        <v>58</v>
      </c>
      <c r="D689">
        <v>58</v>
      </c>
      <c r="E689">
        <v>53.772128451527003</v>
      </c>
      <c r="F689">
        <v>1</v>
      </c>
      <c r="G689">
        <v>2270.9330778827998</v>
      </c>
      <c r="H689">
        <v>259.81075950778097</v>
      </c>
      <c r="I689">
        <v>0.66366896515796803</v>
      </c>
      <c r="J689">
        <v>0.422765885467766</v>
      </c>
      <c r="K689">
        <v>0.80500526870389899</v>
      </c>
      <c r="L689" t="s">
        <v>38</v>
      </c>
      <c r="M689" t="s">
        <v>34</v>
      </c>
      <c r="N689" t="s">
        <v>35</v>
      </c>
      <c r="O689">
        <v>0.79051571943319499</v>
      </c>
      <c r="P689" t="s">
        <v>36</v>
      </c>
    </row>
    <row r="690" spans="1:16">
      <c r="A690">
        <v>689</v>
      </c>
      <c r="B690" t="s">
        <v>742</v>
      </c>
      <c r="C690">
        <v>87</v>
      </c>
      <c r="D690">
        <v>42</v>
      </c>
      <c r="E690">
        <v>53.8776054623657</v>
      </c>
      <c r="F690">
        <v>2.0966342696945302</v>
      </c>
      <c r="G690">
        <v>2279.8509379962202</v>
      </c>
      <c r="H690">
        <v>395.36675099901498</v>
      </c>
      <c r="I690">
        <v>0.713234234182897</v>
      </c>
      <c r="J690">
        <v>0.18328040215491601</v>
      </c>
      <c r="K690">
        <v>0.76374228241386199</v>
      </c>
      <c r="L690" t="s">
        <v>38</v>
      </c>
      <c r="M690" t="s">
        <v>34</v>
      </c>
      <c r="N690" t="s">
        <v>35</v>
      </c>
      <c r="O690">
        <v>0.700315331605177</v>
      </c>
      <c r="P690" t="s">
        <v>36</v>
      </c>
    </row>
    <row r="691" spans="1:16">
      <c r="A691">
        <v>690</v>
      </c>
      <c r="B691" t="s">
        <v>743</v>
      </c>
      <c r="C691">
        <v>73</v>
      </c>
      <c r="D691">
        <v>58</v>
      </c>
      <c r="E691">
        <v>53.925002807846099</v>
      </c>
      <c r="F691">
        <v>1.2523364485981301</v>
      </c>
      <c r="G691">
        <v>2283.8639750472598</v>
      </c>
      <c r="H691">
        <v>377.03914625955701</v>
      </c>
      <c r="I691">
        <v>0.63135864210808301</v>
      </c>
      <c r="J691">
        <v>0.20188646860510101</v>
      </c>
      <c r="K691">
        <v>0.69463405813480406</v>
      </c>
      <c r="L691" t="s">
        <v>47</v>
      </c>
      <c r="M691" t="s">
        <v>34</v>
      </c>
      <c r="N691" t="s">
        <v>35</v>
      </c>
      <c r="O691">
        <v>0.94450497868007199</v>
      </c>
      <c r="P691" t="s">
        <v>36</v>
      </c>
    </row>
    <row r="692" spans="1:16">
      <c r="A692">
        <v>691</v>
      </c>
      <c r="B692" t="s">
        <v>744</v>
      </c>
      <c r="C692">
        <v>64</v>
      </c>
      <c r="D692">
        <v>49</v>
      </c>
      <c r="E692">
        <v>54.103684721861697</v>
      </c>
      <c r="F692">
        <v>1.2997592783130301</v>
      </c>
      <c r="G692">
        <v>2299.0243372400801</v>
      </c>
      <c r="H692">
        <v>294.80486471445698</v>
      </c>
      <c r="I692">
        <v>0.729068873321987</v>
      </c>
      <c r="J692">
        <v>0.33241770071821197</v>
      </c>
      <c r="K692">
        <v>0.827121544302444</v>
      </c>
      <c r="L692" t="s">
        <v>38</v>
      </c>
      <c r="M692" t="s">
        <v>34</v>
      </c>
      <c r="N692" t="s">
        <v>35</v>
      </c>
      <c r="O692">
        <v>0.70493553843789303</v>
      </c>
      <c r="P692" t="s">
        <v>36</v>
      </c>
    </row>
    <row r="693" spans="1:16">
      <c r="A693">
        <v>692</v>
      </c>
      <c r="B693" t="s">
        <v>745</v>
      </c>
      <c r="C693">
        <v>70</v>
      </c>
      <c r="D693">
        <v>61</v>
      </c>
      <c r="E693">
        <v>54.4540771401727</v>
      </c>
      <c r="F693">
        <v>1.1494270178115999</v>
      </c>
      <c r="G693">
        <v>2328.8991686200402</v>
      </c>
      <c r="H693">
        <v>375.44224142665502</v>
      </c>
      <c r="I693">
        <v>0.67015605607502304</v>
      </c>
      <c r="J693">
        <v>0.207622435828693</v>
      </c>
      <c r="K693">
        <v>0.73487477722540095</v>
      </c>
      <c r="L693" t="s">
        <v>41</v>
      </c>
      <c r="M693" t="s">
        <v>34</v>
      </c>
      <c r="N693" t="s">
        <v>35</v>
      </c>
      <c r="O693">
        <v>0.69940636898289998</v>
      </c>
      <c r="P693" t="s">
        <v>36</v>
      </c>
    </row>
    <row r="694" spans="1:16">
      <c r="A694">
        <v>693</v>
      </c>
      <c r="B694" t="s">
        <v>746</v>
      </c>
      <c r="C694">
        <v>95</v>
      </c>
      <c r="D694">
        <v>40</v>
      </c>
      <c r="E694">
        <v>54.537419950970701</v>
      </c>
      <c r="F694">
        <v>2.3597943832060602</v>
      </c>
      <c r="G694">
        <v>2336.0334567107798</v>
      </c>
      <c r="H694">
        <v>348.47805534684102</v>
      </c>
      <c r="I694">
        <v>0.64779149145644799</v>
      </c>
      <c r="J694">
        <v>0.241734175321451</v>
      </c>
      <c r="K694">
        <v>0.781007751937985</v>
      </c>
      <c r="L694" t="s">
        <v>74</v>
      </c>
      <c r="M694" t="s">
        <v>34</v>
      </c>
      <c r="N694" t="s">
        <v>35</v>
      </c>
      <c r="O694">
        <v>0.70110590258917904</v>
      </c>
      <c r="P694" t="s">
        <v>36</v>
      </c>
    </row>
    <row r="695" spans="1:16">
      <c r="A695">
        <v>694</v>
      </c>
      <c r="B695" t="s">
        <v>747</v>
      </c>
      <c r="C695">
        <v>47</v>
      </c>
      <c r="D695">
        <v>74</v>
      </c>
      <c r="E695">
        <v>54.636224416149197</v>
      </c>
      <c r="F695">
        <v>0.63498941167983003</v>
      </c>
      <c r="G695">
        <v>2344.5054238185298</v>
      </c>
      <c r="H695">
        <v>253.769111628118</v>
      </c>
      <c r="I695">
        <v>0.78514594942761795</v>
      </c>
      <c r="J695">
        <v>0.45749208743359299</v>
      </c>
      <c r="K695">
        <v>0.79925010133765695</v>
      </c>
      <c r="L695" t="s">
        <v>33</v>
      </c>
      <c r="M695" t="s">
        <v>34</v>
      </c>
      <c r="N695" t="s">
        <v>35</v>
      </c>
      <c r="O695">
        <v>0.74401841498171295</v>
      </c>
      <c r="P695" t="s">
        <v>36</v>
      </c>
    </row>
    <row r="696" spans="1:16">
      <c r="A696">
        <v>695</v>
      </c>
      <c r="B696" t="s">
        <v>748</v>
      </c>
      <c r="C696">
        <v>76</v>
      </c>
      <c r="D696">
        <v>54</v>
      </c>
      <c r="E696">
        <v>54.8177664604803</v>
      </c>
      <c r="F696">
        <v>1.3912532864607901</v>
      </c>
      <c r="G696">
        <v>2360.1116790170099</v>
      </c>
      <c r="H696">
        <v>402.89020007558503</v>
      </c>
      <c r="I696">
        <v>0.62666225282108101</v>
      </c>
      <c r="J696">
        <v>0.18271281579731899</v>
      </c>
      <c r="K696">
        <v>0.69192557409908895</v>
      </c>
      <c r="L696" t="s">
        <v>298</v>
      </c>
      <c r="M696" t="s">
        <v>34</v>
      </c>
      <c r="N696" t="s">
        <v>35</v>
      </c>
      <c r="O696">
        <v>0.65328928960613497</v>
      </c>
      <c r="P696" t="s">
        <v>36</v>
      </c>
    </row>
    <row r="697" spans="1:16">
      <c r="A697">
        <v>696</v>
      </c>
      <c r="B697" t="s">
        <v>749</v>
      </c>
      <c r="C697">
        <v>53</v>
      </c>
      <c r="D697">
        <v>58</v>
      </c>
      <c r="E697">
        <v>54.898833635763502</v>
      </c>
      <c r="F697">
        <v>0.91588785046729004</v>
      </c>
      <c r="G697">
        <v>2367.09733610586</v>
      </c>
      <c r="H697">
        <v>292.281916701483</v>
      </c>
      <c r="I697">
        <v>0.438656165465454</v>
      </c>
      <c r="J697">
        <v>0.348194644762501</v>
      </c>
      <c r="K697">
        <v>0.83697708639899104</v>
      </c>
      <c r="L697" t="s">
        <v>47</v>
      </c>
      <c r="M697" t="s">
        <v>34</v>
      </c>
      <c r="N697" t="s">
        <v>35</v>
      </c>
      <c r="O697">
        <v>0.94244701572303602</v>
      </c>
      <c r="P697" t="s">
        <v>36</v>
      </c>
    </row>
    <row r="698" spans="1:16">
      <c r="A698">
        <v>697</v>
      </c>
      <c r="B698" t="s">
        <v>750</v>
      </c>
      <c r="C698">
        <v>78</v>
      </c>
      <c r="D698">
        <v>63</v>
      </c>
      <c r="E698">
        <v>55.312651952692697</v>
      </c>
      <c r="F698">
        <v>1.2327586206896599</v>
      </c>
      <c r="G698">
        <v>2402.9174075614401</v>
      </c>
      <c r="H698">
        <v>494.22213804898098</v>
      </c>
      <c r="I698">
        <v>0.63252125067624998</v>
      </c>
      <c r="J698">
        <v>0.123624434298514</v>
      </c>
      <c r="K698">
        <v>0.61706106870229005</v>
      </c>
      <c r="L698" t="s">
        <v>38</v>
      </c>
      <c r="M698" t="s">
        <v>34</v>
      </c>
      <c r="N698" t="s">
        <v>35</v>
      </c>
      <c r="O698">
        <v>0.83280649534944595</v>
      </c>
      <c r="P698" t="s">
        <v>36</v>
      </c>
    </row>
    <row r="699" spans="1:16">
      <c r="A699">
        <v>698</v>
      </c>
      <c r="B699" t="s">
        <v>751</v>
      </c>
      <c r="C699">
        <v>78</v>
      </c>
      <c r="D699">
        <v>59</v>
      </c>
      <c r="E699">
        <v>55.403243028782001</v>
      </c>
      <c r="F699">
        <v>1.3163447130580299</v>
      </c>
      <c r="G699">
        <v>2410.7948506616299</v>
      </c>
      <c r="H699">
        <v>295.43811741331399</v>
      </c>
      <c r="I699">
        <v>0.55085604286456202</v>
      </c>
      <c r="J699">
        <v>0.34708597466223801</v>
      </c>
      <c r="K699">
        <v>0.714474495639151</v>
      </c>
      <c r="L699" t="s">
        <v>288</v>
      </c>
      <c r="M699" t="s">
        <v>34</v>
      </c>
      <c r="N699" t="s">
        <v>35</v>
      </c>
      <c r="O699">
        <v>0.695396454143417</v>
      </c>
      <c r="P699" t="s">
        <v>36</v>
      </c>
    </row>
    <row r="700" spans="1:16">
      <c r="A700">
        <v>699</v>
      </c>
      <c r="B700" t="s">
        <v>752</v>
      </c>
      <c r="C700">
        <v>71</v>
      </c>
      <c r="D700">
        <v>63</v>
      </c>
      <c r="E700">
        <v>55.439096658937999</v>
      </c>
      <c r="F700">
        <v>1.12925174478734</v>
      </c>
      <c r="G700">
        <v>2413.9161017013198</v>
      </c>
      <c r="H700">
        <v>475.46555794124998</v>
      </c>
      <c r="I700">
        <v>0.66451169240758301</v>
      </c>
      <c r="J700">
        <v>0.134181891677878</v>
      </c>
      <c r="K700">
        <v>0.66517857142857095</v>
      </c>
      <c r="L700" t="s">
        <v>33</v>
      </c>
      <c r="M700" t="s">
        <v>34</v>
      </c>
      <c r="N700" t="s">
        <v>35</v>
      </c>
      <c r="O700">
        <v>0.77114370098672103</v>
      </c>
      <c r="P700" t="s">
        <v>36</v>
      </c>
    </row>
    <row r="701" spans="1:16">
      <c r="A701">
        <v>700</v>
      </c>
      <c r="B701" t="s">
        <v>753</v>
      </c>
      <c r="C701">
        <v>78</v>
      </c>
      <c r="D701">
        <v>49</v>
      </c>
      <c r="E701">
        <v>55.464692205012497</v>
      </c>
      <c r="F701">
        <v>1.5888888888888899</v>
      </c>
      <c r="G701">
        <v>2416.14556672968</v>
      </c>
      <c r="H701">
        <v>356.77255823943898</v>
      </c>
      <c r="I701">
        <v>0.72785012292220297</v>
      </c>
      <c r="J701">
        <v>0.23853388133714001</v>
      </c>
      <c r="K701">
        <v>0.74750540304409796</v>
      </c>
      <c r="L701" t="s">
        <v>43</v>
      </c>
      <c r="M701" t="s">
        <v>34</v>
      </c>
      <c r="N701" t="s">
        <v>35</v>
      </c>
      <c r="O701">
        <v>0.76779356446675096</v>
      </c>
      <c r="P701" t="s">
        <v>36</v>
      </c>
    </row>
    <row r="702" spans="1:16">
      <c r="A702">
        <v>701</v>
      </c>
      <c r="B702" t="s">
        <v>754</v>
      </c>
      <c r="C702">
        <v>39</v>
      </c>
      <c r="D702">
        <v>92</v>
      </c>
      <c r="E702">
        <v>55.529481452878997</v>
      </c>
      <c r="F702">
        <v>0.42011834319526598</v>
      </c>
      <c r="G702">
        <v>2421.7935448015101</v>
      </c>
      <c r="H702">
        <v>312.28392095586503</v>
      </c>
      <c r="I702">
        <v>0.83315467577697999</v>
      </c>
      <c r="J702">
        <v>0.31206691958827898</v>
      </c>
      <c r="K702">
        <v>0.79150879238317295</v>
      </c>
      <c r="L702" t="s">
        <v>38</v>
      </c>
      <c r="M702" t="s">
        <v>34</v>
      </c>
      <c r="N702" t="s">
        <v>35</v>
      </c>
      <c r="O702">
        <v>0.82470321899545096</v>
      </c>
      <c r="P702" t="s">
        <v>36</v>
      </c>
    </row>
    <row r="703" spans="1:16">
      <c r="A703">
        <v>702</v>
      </c>
      <c r="B703" t="s">
        <v>755</v>
      </c>
      <c r="C703">
        <v>90</v>
      </c>
      <c r="D703">
        <v>68</v>
      </c>
      <c r="E703">
        <v>55.762438823130303</v>
      </c>
      <c r="F703">
        <v>1.33064507892302</v>
      </c>
      <c r="G703">
        <v>2442.15599206049</v>
      </c>
      <c r="H703">
        <v>520.92952637143799</v>
      </c>
      <c r="I703">
        <v>0.67831177272245402</v>
      </c>
      <c r="J703">
        <v>0.113090289789713</v>
      </c>
      <c r="K703">
        <v>0.52803933541151105</v>
      </c>
      <c r="L703" t="s">
        <v>33</v>
      </c>
      <c r="M703" t="s">
        <v>34</v>
      </c>
      <c r="N703" t="s">
        <v>35</v>
      </c>
      <c r="O703">
        <v>0.70948550338545802</v>
      </c>
      <c r="P703" t="s">
        <v>36</v>
      </c>
    </row>
    <row r="704" spans="1:16">
      <c r="A704">
        <v>703</v>
      </c>
      <c r="B704" t="s">
        <v>756</v>
      </c>
      <c r="C704">
        <v>112</v>
      </c>
      <c r="D704">
        <v>58</v>
      </c>
      <c r="E704">
        <v>55.779404910729902</v>
      </c>
      <c r="F704">
        <v>1.9252336341977201</v>
      </c>
      <c r="G704">
        <v>2443.6423020794</v>
      </c>
      <c r="H704">
        <v>703.14723870308501</v>
      </c>
      <c r="I704">
        <v>0.70222212697309605</v>
      </c>
      <c r="J704">
        <v>6.2109058720251797E-2</v>
      </c>
      <c r="K704">
        <v>0.42818449358022798</v>
      </c>
      <c r="L704" t="s">
        <v>33</v>
      </c>
      <c r="M704" t="s">
        <v>34</v>
      </c>
      <c r="N704" t="s">
        <v>35</v>
      </c>
      <c r="O704">
        <v>0.73446048570440603</v>
      </c>
      <c r="P704" t="s">
        <v>36</v>
      </c>
    </row>
    <row r="705" spans="1:16">
      <c r="A705">
        <v>704</v>
      </c>
      <c r="B705" t="s">
        <v>757</v>
      </c>
      <c r="C705">
        <v>88</v>
      </c>
      <c r="D705">
        <v>83</v>
      </c>
      <c r="E705">
        <v>55.862464256287502</v>
      </c>
      <c r="F705">
        <v>1.06578947368421</v>
      </c>
      <c r="G705">
        <v>2450.92522117202</v>
      </c>
      <c r="H705">
        <v>652.69995745617405</v>
      </c>
      <c r="I705">
        <v>0.53323419850676002</v>
      </c>
      <c r="J705">
        <v>7.2295748119508799E-2</v>
      </c>
      <c r="K705">
        <v>0.48116483324093301</v>
      </c>
      <c r="L705" t="s">
        <v>74</v>
      </c>
      <c r="M705" t="s">
        <v>34</v>
      </c>
      <c r="N705" t="s">
        <v>35</v>
      </c>
      <c r="O705">
        <v>0.73511983836705597</v>
      </c>
      <c r="P705" t="s">
        <v>36</v>
      </c>
    </row>
    <row r="706" spans="1:16">
      <c r="A706">
        <v>705</v>
      </c>
      <c r="B706" t="s">
        <v>758</v>
      </c>
      <c r="C706">
        <v>59</v>
      </c>
      <c r="D706">
        <v>56</v>
      </c>
      <c r="E706">
        <v>55.960620075169501</v>
      </c>
      <c r="F706">
        <v>1.07026635208164</v>
      </c>
      <c r="G706">
        <v>2459.54581928166</v>
      </c>
      <c r="H706">
        <v>228.79870602980901</v>
      </c>
      <c r="I706">
        <v>0.62694089839242895</v>
      </c>
      <c r="J706">
        <v>0.59041536842225595</v>
      </c>
      <c r="K706">
        <v>0.86957435627955904</v>
      </c>
      <c r="L706" t="s">
        <v>74</v>
      </c>
      <c r="M706" t="s">
        <v>34</v>
      </c>
      <c r="N706" t="s">
        <v>35</v>
      </c>
      <c r="O706">
        <v>0.66763574695810601</v>
      </c>
      <c r="P706" t="s">
        <v>36</v>
      </c>
    </row>
    <row r="707" spans="1:16">
      <c r="A707">
        <v>706</v>
      </c>
      <c r="B707" t="s">
        <v>759</v>
      </c>
      <c r="C707">
        <v>91</v>
      </c>
      <c r="D707">
        <v>50</v>
      </c>
      <c r="E707">
        <v>55.982596907403298</v>
      </c>
      <c r="F707">
        <v>1.82502478701176</v>
      </c>
      <c r="G707">
        <v>2461.4780223062398</v>
      </c>
      <c r="H707">
        <v>279.88474920988102</v>
      </c>
      <c r="I707">
        <v>0.62442832663901304</v>
      </c>
      <c r="J707">
        <v>0.39486383327855201</v>
      </c>
      <c r="K707">
        <v>0.69842273954116096</v>
      </c>
      <c r="L707" t="s">
        <v>298</v>
      </c>
      <c r="M707" t="s">
        <v>34</v>
      </c>
      <c r="N707" t="s">
        <v>35</v>
      </c>
      <c r="O707">
        <v>0.73351657966793304</v>
      </c>
      <c r="P707" t="s">
        <v>36</v>
      </c>
    </row>
    <row r="708" spans="1:16">
      <c r="A708">
        <v>707</v>
      </c>
      <c r="B708" t="s">
        <v>760</v>
      </c>
      <c r="C708">
        <v>53</v>
      </c>
      <c r="D708">
        <v>86</v>
      </c>
      <c r="E708">
        <v>56.0619797309039</v>
      </c>
      <c r="F708">
        <v>0.61985192191005301</v>
      </c>
      <c r="G708">
        <v>2468.4636793950899</v>
      </c>
      <c r="H708">
        <v>305.96828707197398</v>
      </c>
      <c r="I708">
        <v>0.82933854974599097</v>
      </c>
      <c r="J708">
        <v>0.33134755870506599</v>
      </c>
      <c r="K708">
        <v>0.72486033519553095</v>
      </c>
      <c r="L708" t="s">
        <v>38</v>
      </c>
      <c r="M708" t="s">
        <v>34</v>
      </c>
      <c r="N708" t="s">
        <v>35</v>
      </c>
      <c r="O708">
        <v>0.67251377775659504</v>
      </c>
      <c r="P708" t="s">
        <v>36</v>
      </c>
    </row>
    <row r="709" spans="1:16">
      <c r="A709">
        <v>708</v>
      </c>
      <c r="B709" t="s">
        <v>761</v>
      </c>
      <c r="C709">
        <v>59</v>
      </c>
      <c r="D709">
        <v>121</v>
      </c>
      <c r="E709">
        <v>56.134508234445597</v>
      </c>
      <c r="F709">
        <v>0.49128506770608499</v>
      </c>
      <c r="G709">
        <v>2474.8548124763702</v>
      </c>
      <c r="H709">
        <v>539.084953499981</v>
      </c>
      <c r="I709">
        <v>0.57092720391220098</v>
      </c>
      <c r="J709">
        <v>0.107015126570099</v>
      </c>
      <c r="K709">
        <v>0.51229117312248096</v>
      </c>
      <c r="L709" t="s">
        <v>38</v>
      </c>
      <c r="M709" t="s">
        <v>34</v>
      </c>
      <c r="N709" t="s">
        <v>35</v>
      </c>
      <c r="O709">
        <v>0.75189730999487403</v>
      </c>
      <c r="P709" t="s">
        <v>36</v>
      </c>
    </row>
    <row r="710" spans="1:16">
      <c r="A710">
        <v>709</v>
      </c>
      <c r="B710" t="s">
        <v>762</v>
      </c>
      <c r="C710">
        <v>69</v>
      </c>
      <c r="D710">
        <v>64</v>
      </c>
      <c r="E710">
        <v>56.316260925193902</v>
      </c>
      <c r="F710">
        <v>1.07692307692308</v>
      </c>
      <c r="G710">
        <v>2490.9069606805301</v>
      </c>
      <c r="H710">
        <v>388.417864416268</v>
      </c>
      <c r="I710">
        <v>0.65496446057374302</v>
      </c>
      <c r="J710">
        <v>0.20747653103403199</v>
      </c>
      <c r="K710">
        <v>0.73614161468857098</v>
      </c>
      <c r="L710" t="s">
        <v>38</v>
      </c>
      <c r="M710" t="s">
        <v>34</v>
      </c>
      <c r="N710" t="s">
        <v>35</v>
      </c>
      <c r="O710">
        <v>0.91074099906375305</v>
      </c>
      <c r="P710" t="s">
        <v>36</v>
      </c>
    </row>
    <row r="711" spans="1:16">
      <c r="A711">
        <v>710</v>
      </c>
      <c r="B711" t="s">
        <v>763</v>
      </c>
      <c r="C711">
        <v>103</v>
      </c>
      <c r="D711">
        <v>68</v>
      </c>
      <c r="E711">
        <v>56.505802257926703</v>
      </c>
      <c r="F711">
        <v>1.504</v>
      </c>
      <c r="G711">
        <v>2507.7022638941398</v>
      </c>
      <c r="H711">
        <v>686.813414445131</v>
      </c>
      <c r="I711">
        <v>0.58778447230027797</v>
      </c>
      <c r="J711">
        <v>6.6804896905340194E-2</v>
      </c>
      <c r="K711">
        <v>0.428353813344166</v>
      </c>
      <c r="L711" t="s">
        <v>33</v>
      </c>
      <c r="M711" t="s">
        <v>34</v>
      </c>
      <c r="N711" t="s">
        <v>35</v>
      </c>
      <c r="O711">
        <v>0.77255695648202904</v>
      </c>
      <c r="P711" t="s">
        <v>36</v>
      </c>
    </row>
    <row r="712" spans="1:16">
      <c r="A712">
        <v>711</v>
      </c>
      <c r="B712" t="s">
        <v>764</v>
      </c>
      <c r="C712">
        <v>63</v>
      </c>
      <c r="D712">
        <v>55</v>
      </c>
      <c r="E712">
        <v>56.579434205865397</v>
      </c>
      <c r="F712">
        <v>1.1500000228881899</v>
      </c>
      <c r="G712">
        <v>2514.24202797732</v>
      </c>
      <c r="H712">
        <v>221.26196171055699</v>
      </c>
      <c r="I712">
        <v>0.60952877154492502</v>
      </c>
      <c r="J712">
        <v>0.64536205779568601</v>
      </c>
      <c r="K712">
        <v>0.95825072225684005</v>
      </c>
      <c r="L712" t="s">
        <v>49</v>
      </c>
      <c r="M712" t="s">
        <v>34</v>
      </c>
      <c r="N712" t="s">
        <v>35</v>
      </c>
      <c r="O712">
        <v>0.82153460385938004</v>
      </c>
      <c r="P712" t="s">
        <v>36</v>
      </c>
    </row>
    <row r="713" spans="1:16">
      <c r="A713">
        <v>712</v>
      </c>
      <c r="B713" t="s">
        <v>765</v>
      </c>
      <c r="C713">
        <v>49</v>
      </c>
      <c r="D713">
        <v>88</v>
      </c>
      <c r="E713">
        <v>56.749759010169001</v>
      </c>
      <c r="F713">
        <v>0.55900621118012395</v>
      </c>
      <c r="G713">
        <v>2529.4023901701298</v>
      </c>
      <c r="H713">
        <v>366.50897660089601</v>
      </c>
      <c r="I713">
        <v>0.85609335634115102</v>
      </c>
      <c r="J713">
        <v>0.23662387206466101</v>
      </c>
      <c r="K713">
        <v>0.746207138472332</v>
      </c>
      <c r="L713" t="s">
        <v>33</v>
      </c>
      <c r="M713" t="s">
        <v>34</v>
      </c>
      <c r="N713" t="s">
        <v>35</v>
      </c>
      <c r="O713">
        <v>0.781380965257365</v>
      </c>
      <c r="P713" t="s">
        <v>36</v>
      </c>
    </row>
    <row r="714" spans="1:16">
      <c r="A714">
        <v>713</v>
      </c>
      <c r="B714" t="s">
        <v>766</v>
      </c>
      <c r="C714">
        <v>62</v>
      </c>
      <c r="D714">
        <v>60</v>
      </c>
      <c r="E714">
        <v>56.754760825148402</v>
      </c>
      <c r="F714">
        <v>1.0340228938589999</v>
      </c>
      <c r="G714">
        <v>2529.8482831758001</v>
      </c>
      <c r="H714">
        <v>213.58741627413301</v>
      </c>
      <c r="I714">
        <v>0.65408457730109903</v>
      </c>
      <c r="J714">
        <v>0.69687200243315595</v>
      </c>
      <c r="K714">
        <v>0.92520519649942901</v>
      </c>
      <c r="L714" t="s">
        <v>38</v>
      </c>
      <c r="M714" t="s">
        <v>34</v>
      </c>
      <c r="N714" t="s">
        <v>35</v>
      </c>
      <c r="O714">
        <v>0.85045879089979803</v>
      </c>
      <c r="P714" t="s">
        <v>36</v>
      </c>
    </row>
    <row r="715" spans="1:16">
      <c r="A715">
        <v>714</v>
      </c>
      <c r="B715" t="s">
        <v>767</v>
      </c>
      <c r="C715">
        <v>68</v>
      </c>
      <c r="D715">
        <v>59</v>
      </c>
      <c r="E715">
        <v>56.982709214265199</v>
      </c>
      <c r="F715">
        <v>1.1574074074074101</v>
      </c>
      <c r="G715">
        <v>2550.2107304347801</v>
      </c>
      <c r="H715">
        <v>281.90673640686498</v>
      </c>
      <c r="I715">
        <v>0.73137264019457104</v>
      </c>
      <c r="J715">
        <v>0.40325060266490498</v>
      </c>
      <c r="K715">
        <v>0.83105686331492801</v>
      </c>
      <c r="L715" t="s">
        <v>74</v>
      </c>
      <c r="M715" t="s">
        <v>34</v>
      </c>
      <c r="N715" t="s">
        <v>35</v>
      </c>
      <c r="O715">
        <v>0.639974250730588</v>
      </c>
      <c r="P715" t="s">
        <v>36</v>
      </c>
    </row>
    <row r="716" spans="1:16">
      <c r="A716">
        <v>715</v>
      </c>
      <c r="B716" t="s">
        <v>768</v>
      </c>
      <c r="C716">
        <v>53</v>
      </c>
      <c r="D716">
        <v>59</v>
      </c>
      <c r="E716">
        <v>57.297341077416398</v>
      </c>
      <c r="F716">
        <v>0.90026960838494996</v>
      </c>
      <c r="G716">
        <v>2578.4506207939498</v>
      </c>
      <c r="H716">
        <v>198.782404405552</v>
      </c>
      <c r="I716">
        <v>0.62530306578588601</v>
      </c>
      <c r="J716">
        <v>0.819998020589503</v>
      </c>
      <c r="K716">
        <v>0.97062608403737505</v>
      </c>
      <c r="L716" t="s">
        <v>43</v>
      </c>
      <c r="M716" t="s">
        <v>34</v>
      </c>
      <c r="N716" t="s">
        <v>35</v>
      </c>
      <c r="O716">
        <v>0.76268807543506201</v>
      </c>
      <c r="P716" t="s">
        <v>36</v>
      </c>
    </row>
    <row r="717" spans="1:16">
      <c r="A717">
        <v>716</v>
      </c>
      <c r="B717" t="s">
        <v>769</v>
      </c>
      <c r="C717">
        <v>88</v>
      </c>
      <c r="D717">
        <v>54</v>
      </c>
      <c r="E717">
        <v>57.445775760868798</v>
      </c>
      <c r="F717">
        <v>1.6262625686587799</v>
      </c>
      <c r="G717">
        <v>2591.8274109640802</v>
      </c>
      <c r="H717">
        <v>397.22823959765202</v>
      </c>
      <c r="I717">
        <v>0.59071634638708703</v>
      </c>
      <c r="J717">
        <v>0.20641236573123001</v>
      </c>
      <c r="K717">
        <v>0.64762682908712799</v>
      </c>
      <c r="L717" t="s">
        <v>33</v>
      </c>
      <c r="M717" t="s">
        <v>34</v>
      </c>
      <c r="N717" t="s">
        <v>35</v>
      </c>
      <c r="O717">
        <v>0.67763167829993698</v>
      </c>
      <c r="P717" t="s">
        <v>36</v>
      </c>
    </row>
    <row r="718" spans="1:16">
      <c r="A718">
        <v>717</v>
      </c>
      <c r="B718" t="s">
        <v>770</v>
      </c>
      <c r="C718">
        <v>82</v>
      </c>
      <c r="D718">
        <v>80</v>
      </c>
      <c r="E718">
        <v>57.506687775663998</v>
      </c>
      <c r="F718">
        <v>1.01584102663354</v>
      </c>
      <c r="G718">
        <v>2597.3267580340298</v>
      </c>
      <c r="H718">
        <v>618.84168199445901</v>
      </c>
      <c r="I718">
        <v>0.61278160846306495</v>
      </c>
      <c r="J718">
        <v>8.5227026791132005E-2</v>
      </c>
      <c r="K718">
        <v>0.47488993967063398</v>
      </c>
      <c r="L718" t="s">
        <v>33</v>
      </c>
      <c r="M718" t="s">
        <v>34</v>
      </c>
      <c r="N718" t="s">
        <v>35</v>
      </c>
      <c r="O718">
        <v>0.80957284976188404</v>
      </c>
      <c r="P718" t="s">
        <v>36</v>
      </c>
    </row>
    <row r="719" spans="1:16">
      <c r="A719">
        <v>718</v>
      </c>
      <c r="B719" t="s">
        <v>771</v>
      </c>
      <c r="C719">
        <v>92</v>
      </c>
      <c r="D719">
        <v>49</v>
      </c>
      <c r="E719">
        <v>57.689037931020501</v>
      </c>
      <c r="F719">
        <v>1.89887640449438</v>
      </c>
      <c r="G719">
        <v>2613.8247992438601</v>
      </c>
      <c r="H719">
        <v>284.83045307263097</v>
      </c>
      <c r="I719">
        <v>0.87086198001015802</v>
      </c>
      <c r="J719">
        <v>0.40486804143276101</v>
      </c>
      <c r="K719">
        <v>0.79002695417789803</v>
      </c>
      <c r="L719" t="s">
        <v>38</v>
      </c>
      <c r="M719" t="s">
        <v>34</v>
      </c>
      <c r="N719" t="s">
        <v>35</v>
      </c>
      <c r="O719">
        <v>0.868890894316383</v>
      </c>
      <c r="P719" t="s">
        <v>36</v>
      </c>
    </row>
    <row r="720" spans="1:16">
      <c r="A720">
        <v>719</v>
      </c>
      <c r="B720" t="s">
        <v>772</v>
      </c>
      <c r="C720">
        <v>58</v>
      </c>
      <c r="D720">
        <v>83</v>
      </c>
      <c r="E720">
        <v>57.7922780150177</v>
      </c>
      <c r="F720">
        <v>0.69281045751633996</v>
      </c>
      <c r="G720">
        <v>2623.1885523629498</v>
      </c>
      <c r="H720">
        <v>425.15056857720703</v>
      </c>
      <c r="I720">
        <v>0.56278834957685098</v>
      </c>
      <c r="J720">
        <v>0.182370187234144</v>
      </c>
      <c r="K720">
        <v>0.68611748240873904</v>
      </c>
      <c r="L720" t="s">
        <v>74</v>
      </c>
      <c r="M720" t="s">
        <v>34</v>
      </c>
      <c r="N720" t="s">
        <v>35</v>
      </c>
      <c r="O720">
        <v>0.76265619592699097</v>
      </c>
      <c r="P720" t="s">
        <v>36</v>
      </c>
    </row>
    <row r="721" spans="1:16">
      <c r="A721">
        <v>720</v>
      </c>
      <c r="B721" t="s">
        <v>773</v>
      </c>
      <c r="C721">
        <v>55</v>
      </c>
      <c r="D721">
        <v>105</v>
      </c>
      <c r="E721">
        <v>57.8397392920415</v>
      </c>
      <c r="F721">
        <v>0.52202508550938898</v>
      </c>
      <c r="G721">
        <v>2627.4988514177699</v>
      </c>
      <c r="H721">
        <v>536.32011920244804</v>
      </c>
      <c r="I721">
        <v>0.71427005754865003</v>
      </c>
      <c r="J721">
        <v>0.114790043535157</v>
      </c>
      <c r="K721">
        <v>0.58080625554423904</v>
      </c>
      <c r="L721" t="s">
        <v>43</v>
      </c>
      <c r="M721" t="s">
        <v>34</v>
      </c>
      <c r="N721" t="s">
        <v>35</v>
      </c>
      <c r="O721">
        <v>0.71169673296233704</v>
      </c>
      <c r="P721" t="s">
        <v>36</v>
      </c>
    </row>
    <row r="722" spans="1:16">
      <c r="A722">
        <v>721</v>
      </c>
      <c r="B722" t="s">
        <v>774</v>
      </c>
      <c r="C722">
        <v>78</v>
      </c>
      <c r="D722">
        <v>93</v>
      </c>
      <c r="E722">
        <v>57.931278615661697</v>
      </c>
      <c r="F722">
        <v>0.84117647058823497</v>
      </c>
      <c r="G722">
        <v>2635.82218752363</v>
      </c>
      <c r="H722">
        <v>722.75236730886502</v>
      </c>
      <c r="I722">
        <v>0.46113990431567697</v>
      </c>
      <c r="J722">
        <v>6.3408419433578195E-2</v>
      </c>
      <c r="K722">
        <v>0.42965475469412501</v>
      </c>
      <c r="L722" t="s">
        <v>74</v>
      </c>
      <c r="M722" t="s">
        <v>34</v>
      </c>
      <c r="N722" t="s">
        <v>35</v>
      </c>
      <c r="O722">
        <v>0.66891569125346695</v>
      </c>
      <c r="P722" t="s">
        <v>36</v>
      </c>
    </row>
    <row r="723" spans="1:16">
      <c r="A723">
        <v>722</v>
      </c>
      <c r="B723" t="s">
        <v>775</v>
      </c>
      <c r="C723">
        <v>49</v>
      </c>
      <c r="D723">
        <v>132</v>
      </c>
      <c r="E723">
        <v>58.014519116972998</v>
      </c>
      <c r="F723">
        <v>0.36625514403292198</v>
      </c>
      <c r="G723">
        <v>2643.4023686200399</v>
      </c>
      <c r="H723">
        <v>775.94178537213304</v>
      </c>
      <c r="I723">
        <v>0.81390165591206398</v>
      </c>
      <c r="J723">
        <v>5.5171508589287897E-2</v>
      </c>
      <c r="K723">
        <v>0.47996221832411301</v>
      </c>
      <c r="L723" t="s">
        <v>33</v>
      </c>
      <c r="M723" t="s">
        <v>34</v>
      </c>
      <c r="N723" t="s">
        <v>35</v>
      </c>
      <c r="O723">
        <v>0.74842501804254002</v>
      </c>
      <c r="P723" t="s">
        <v>36</v>
      </c>
    </row>
    <row r="724" spans="1:16">
      <c r="A724">
        <v>723</v>
      </c>
      <c r="B724" t="s">
        <v>776</v>
      </c>
      <c r="C724">
        <v>52</v>
      </c>
      <c r="D724">
        <v>80</v>
      </c>
      <c r="E724">
        <v>58.110668191436901</v>
      </c>
      <c r="F724">
        <v>0.64802639101403403</v>
      </c>
      <c r="G724">
        <v>2652.1715977315698</v>
      </c>
      <c r="H724">
        <v>303.07667012587802</v>
      </c>
      <c r="I724">
        <v>0.72582593305950505</v>
      </c>
      <c r="J724">
        <v>0.36283274109704</v>
      </c>
      <c r="K724">
        <v>0.81431113950622902</v>
      </c>
      <c r="L724" t="s">
        <v>33</v>
      </c>
      <c r="M724" t="s">
        <v>34</v>
      </c>
      <c r="N724" t="s">
        <v>35</v>
      </c>
      <c r="O724">
        <v>0.67880221303400201</v>
      </c>
      <c r="P724" t="s">
        <v>36</v>
      </c>
    </row>
    <row r="725" spans="1:16">
      <c r="A725">
        <v>724</v>
      </c>
      <c r="B725" t="s">
        <v>777</v>
      </c>
      <c r="C725">
        <v>49</v>
      </c>
      <c r="D725">
        <v>68</v>
      </c>
      <c r="E725">
        <v>58.164377176569403</v>
      </c>
      <c r="F725">
        <v>0.71199999999999997</v>
      </c>
      <c r="G725">
        <v>2657.0764207939501</v>
      </c>
      <c r="H725">
        <v>239.01500395619399</v>
      </c>
      <c r="I725">
        <v>0.65439033738517305</v>
      </c>
      <c r="J725">
        <v>0.58447182567767597</v>
      </c>
      <c r="K725">
        <v>0.94672456707091002</v>
      </c>
      <c r="L725" t="s">
        <v>47</v>
      </c>
      <c r="M725" t="s">
        <v>34</v>
      </c>
      <c r="N725" t="s">
        <v>35</v>
      </c>
      <c r="O725">
        <v>0.92103984473551304</v>
      </c>
      <c r="P725" t="s">
        <v>36</v>
      </c>
    </row>
    <row r="726" spans="1:16">
      <c r="A726">
        <v>725</v>
      </c>
      <c r="B726" t="s">
        <v>778</v>
      </c>
      <c r="C726">
        <v>68</v>
      </c>
      <c r="D726">
        <v>49</v>
      </c>
      <c r="E726">
        <v>58.208284030763998</v>
      </c>
      <c r="F726">
        <v>1.3825137623628401</v>
      </c>
      <c r="G726">
        <v>2661.0894578449902</v>
      </c>
      <c r="H726">
        <v>221.120267589196</v>
      </c>
      <c r="I726">
        <v>0.62460156603052697</v>
      </c>
      <c r="J726">
        <v>0.68393091634750403</v>
      </c>
      <c r="K726">
        <v>0.92551046782114199</v>
      </c>
      <c r="L726" t="s">
        <v>38</v>
      </c>
      <c r="M726" t="s">
        <v>34</v>
      </c>
      <c r="N726" t="s">
        <v>35</v>
      </c>
      <c r="O726">
        <v>0.83466295875663599</v>
      </c>
      <c r="P726" t="s">
        <v>36</v>
      </c>
    </row>
    <row r="727" spans="1:16">
      <c r="A727">
        <v>726</v>
      </c>
      <c r="B727" t="s">
        <v>779</v>
      </c>
      <c r="C727">
        <v>59</v>
      </c>
      <c r="D727">
        <v>74</v>
      </c>
      <c r="E727">
        <v>58.211535072908497</v>
      </c>
      <c r="F727">
        <v>0.79200962180901402</v>
      </c>
      <c r="G727">
        <v>2661.3867198487701</v>
      </c>
      <c r="H727">
        <v>316.23938219920399</v>
      </c>
      <c r="I727">
        <v>0.72955785146990304</v>
      </c>
      <c r="J727">
        <v>0.33441514970561798</v>
      </c>
      <c r="K727">
        <v>0.74019263362407495</v>
      </c>
      <c r="L727" t="s">
        <v>33</v>
      </c>
      <c r="M727" t="s">
        <v>34</v>
      </c>
      <c r="N727" t="s">
        <v>35</v>
      </c>
      <c r="O727">
        <v>0.78424894169715098</v>
      </c>
      <c r="P727" t="s">
        <v>36</v>
      </c>
    </row>
    <row r="728" spans="1:16">
      <c r="A728">
        <v>727</v>
      </c>
      <c r="B728" t="s">
        <v>780</v>
      </c>
      <c r="C728">
        <v>72</v>
      </c>
      <c r="D728">
        <v>50</v>
      </c>
      <c r="E728">
        <v>58.287882363283202</v>
      </c>
      <c r="F728">
        <v>1.4405144214165899</v>
      </c>
      <c r="G728">
        <v>2668.3723769376202</v>
      </c>
      <c r="H728">
        <v>216.85872062195901</v>
      </c>
      <c r="I728">
        <v>0.65706973431381899</v>
      </c>
      <c r="J728">
        <v>0.71302132291253595</v>
      </c>
      <c r="K728">
        <v>0.91709235798937505</v>
      </c>
      <c r="L728" t="s">
        <v>33</v>
      </c>
      <c r="M728" t="s">
        <v>34</v>
      </c>
      <c r="N728" t="s">
        <v>35</v>
      </c>
      <c r="O728">
        <v>0.74838689185187901</v>
      </c>
      <c r="P728" t="s">
        <v>36</v>
      </c>
    </row>
    <row r="729" spans="1:16">
      <c r="A729">
        <v>728</v>
      </c>
      <c r="B729" t="s">
        <v>781</v>
      </c>
      <c r="C729">
        <v>60</v>
      </c>
      <c r="D729">
        <v>70</v>
      </c>
      <c r="E729">
        <v>58.321962678297503</v>
      </c>
      <c r="F729">
        <v>0.85641392256265803</v>
      </c>
      <c r="G729">
        <v>2671.4936279773201</v>
      </c>
      <c r="H729">
        <v>286.86962851648701</v>
      </c>
      <c r="I729">
        <v>0.75967623588286304</v>
      </c>
      <c r="J729">
        <v>0.407938659660943</v>
      </c>
      <c r="K729">
        <v>0.80945732943030801</v>
      </c>
      <c r="L729" t="s">
        <v>38</v>
      </c>
      <c r="M729" t="s">
        <v>34</v>
      </c>
      <c r="N729" t="s">
        <v>35</v>
      </c>
      <c r="O729">
        <v>0.76659404958834498</v>
      </c>
      <c r="P729" t="s">
        <v>36</v>
      </c>
    </row>
    <row r="730" spans="1:16">
      <c r="A730">
        <v>729</v>
      </c>
      <c r="B730" t="s">
        <v>782</v>
      </c>
      <c r="C730">
        <v>79</v>
      </c>
      <c r="D730">
        <v>83</v>
      </c>
      <c r="E730">
        <v>58.451610415651999</v>
      </c>
      <c r="F730">
        <v>0.94736842105263197</v>
      </c>
      <c r="G730">
        <v>2683.38410812854</v>
      </c>
      <c r="H730">
        <v>755.99457831859604</v>
      </c>
      <c r="I730">
        <v>0.54631959716699596</v>
      </c>
      <c r="J730">
        <v>5.9000452924677101E-2</v>
      </c>
      <c r="K730">
        <v>0.45100047463215998</v>
      </c>
      <c r="L730" t="s">
        <v>33</v>
      </c>
      <c r="M730" t="s">
        <v>34</v>
      </c>
      <c r="N730" t="s">
        <v>35</v>
      </c>
      <c r="O730">
        <v>0.71611221993904595</v>
      </c>
      <c r="P730" t="s">
        <v>36</v>
      </c>
    </row>
    <row r="731" spans="1:16">
      <c r="A731">
        <v>730</v>
      </c>
      <c r="B731" t="s">
        <v>783</v>
      </c>
      <c r="C731">
        <v>83</v>
      </c>
      <c r="D731">
        <v>64</v>
      </c>
      <c r="E731">
        <v>58.589046792583098</v>
      </c>
      <c r="F731">
        <v>1.2991452991453001</v>
      </c>
      <c r="G731">
        <v>2696.0177432892301</v>
      </c>
      <c r="H731">
        <v>558.07401765377597</v>
      </c>
      <c r="I731">
        <v>0.53779844541921895</v>
      </c>
      <c r="J731">
        <v>0.10877998715168399</v>
      </c>
      <c r="K731">
        <v>0.66491935483871001</v>
      </c>
      <c r="L731" t="s">
        <v>33</v>
      </c>
      <c r="M731" t="s">
        <v>34</v>
      </c>
      <c r="N731" t="s">
        <v>35</v>
      </c>
      <c r="O731">
        <v>0.76751352620234803</v>
      </c>
      <c r="P731" t="s">
        <v>36</v>
      </c>
    </row>
    <row r="732" spans="1:16">
      <c r="A732">
        <v>731</v>
      </c>
      <c r="B732" t="s">
        <v>784</v>
      </c>
      <c r="C732">
        <v>88</v>
      </c>
      <c r="D732">
        <v>73</v>
      </c>
      <c r="E732">
        <v>58.666515677890402</v>
      </c>
      <c r="F732">
        <v>1.20149258320198</v>
      </c>
      <c r="G732">
        <v>2703.1520313799601</v>
      </c>
      <c r="H732">
        <v>766.62494014045501</v>
      </c>
      <c r="I732">
        <v>0.63272737697905501</v>
      </c>
      <c r="J732">
        <v>5.7798217976189802E-2</v>
      </c>
      <c r="K732">
        <v>0.53018686412267102</v>
      </c>
      <c r="L732" t="s">
        <v>38</v>
      </c>
      <c r="M732" t="s">
        <v>34</v>
      </c>
      <c r="N732" t="s">
        <v>35</v>
      </c>
      <c r="O732">
        <v>0.82164995567049004</v>
      </c>
      <c r="P732" t="s">
        <v>36</v>
      </c>
    </row>
    <row r="733" spans="1:16">
      <c r="A733">
        <v>732</v>
      </c>
      <c r="B733" t="s">
        <v>785</v>
      </c>
      <c r="C733">
        <v>69</v>
      </c>
      <c r="D733">
        <v>104</v>
      </c>
      <c r="E733">
        <v>58.991415658200602</v>
      </c>
      <c r="F733">
        <v>0.66639925444909698</v>
      </c>
      <c r="G733">
        <v>2733.1754937618198</v>
      </c>
      <c r="H733">
        <v>583.12191793410705</v>
      </c>
      <c r="I733">
        <v>0.56521533106615696</v>
      </c>
      <c r="J733">
        <v>0.101008669558131</v>
      </c>
      <c r="K733">
        <v>0.51548790401704403</v>
      </c>
      <c r="L733" t="s">
        <v>47</v>
      </c>
      <c r="M733" t="s">
        <v>34</v>
      </c>
      <c r="N733" t="s">
        <v>35</v>
      </c>
      <c r="O733">
        <v>0.96044104475530701</v>
      </c>
      <c r="P733" t="s">
        <v>36</v>
      </c>
    </row>
    <row r="734" spans="1:16">
      <c r="A734">
        <v>733</v>
      </c>
      <c r="B734" t="s">
        <v>786</v>
      </c>
      <c r="C734">
        <v>85</v>
      </c>
      <c r="D734">
        <v>61</v>
      </c>
      <c r="E734">
        <v>59.018677129656702</v>
      </c>
      <c r="F734">
        <v>1.39542140672516</v>
      </c>
      <c r="G734">
        <v>2735.7022207939499</v>
      </c>
      <c r="H734">
        <v>354.818663485983</v>
      </c>
      <c r="I734">
        <v>0.519026824117227</v>
      </c>
      <c r="J734">
        <v>0.27306483492790501</v>
      </c>
      <c r="K734">
        <v>0.65015895443306204</v>
      </c>
      <c r="L734" t="s">
        <v>38</v>
      </c>
      <c r="M734" t="s">
        <v>34</v>
      </c>
      <c r="N734" t="s">
        <v>35</v>
      </c>
      <c r="O734">
        <v>0.86415570305084</v>
      </c>
      <c r="P734" t="s">
        <v>36</v>
      </c>
    </row>
    <row r="735" spans="1:16">
      <c r="A735">
        <v>734</v>
      </c>
      <c r="B735" t="s">
        <v>787</v>
      </c>
      <c r="C735">
        <v>53</v>
      </c>
      <c r="D735">
        <v>98</v>
      </c>
      <c r="E735">
        <v>59.106789863260097</v>
      </c>
      <c r="F735">
        <v>0.54748603351955305</v>
      </c>
      <c r="G735">
        <v>2743.87692589792</v>
      </c>
      <c r="H735">
        <v>577.59224933904204</v>
      </c>
      <c r="I735">
        <v>0.81364792039906297</v>
      </c>
      <c r="J735">
        <v>0.10335506820953</v>
      </c>
      <c r="K735">
        <v>0.64909813297704</v>
      </c>
      <c r="L735" t="s">
        <v>47</v>
      </c>
      <c r="M735" t="s">
        <v>34</v>
      </c>
      <c r="N735" t="s">
        <v>35</v>
      </c>
      <c r="O735">
        <v>0.95284954205015804</v>
      </c>
      <c r="P735" t="s">
        <v>36</v>
      </c>
    </row>
    <row r="736" spans="1:16">
      <c r="A736">
        <v>735</v>
      </c>
      <c r="B736" t="s">
        <v>788</v>
      </c>
      <c r="C736">
        <v>127</v>
      </c>
      <c r="D736">
        <v>85</v>
      </c>
      <c r="E736">
        <v>59.247497672285398</v>
      </c>
      <c r="F736">
        <v>1.50322580645161</v>
      </c>
      <c r="G736">
        <v>2756.95645406427</v>
      </c>
      <c r="H736">
        <v>1149.42623904114</v>
      </c>
      <c r="I736">
        <v>0.68351091302010702</v>
      </c>
      <c r="J736">
        <v>2.6222709066364602E-2</v>
      </c>
      <c r="K736">
        <v>0.30800524716470501</v>
      </c>
      <c r="L736" t="s">
        <v>33</v>
      </c>
      <c r="M736" t="s">
        <v>34</v>
      </c>
      <c r="N736" t="s">
        <v>35</v>
      </c>
      <c r="O736">
        <v>0.71800441800090598</v>
      </c>
      <c r="P736" t="s">
        <v>36</v>
      </c>
    </row>
    <row r="737" spans="1:16">
      <c r="A737">
        <v>736</v>
      </c>
      <c r="B737" t="s">
        <v>789</v>
      </c>
      <c r="C737">
        <v>58</v>
      </c>
      <c r="D737">
        <v>88</v>
      </c>
      <c r="E737">
        <v>59.285814570500698</v>
      </c>
      <c r="F737">
        <v>0.66459630449118401</v>
      </c>
      <c r="G737">
        <v>2760.5235981096398</v>
      </c>
      <c r="H737">
        <v>537.80742963365901</v>
      </c>
      <c r="I737">
        <v>0.772274909790716</v>
      </c>
      <c r="J737">
        <v>0.11993549528017899</v>
      </c>
      <c r="K737">
        <v>0.58370784751249205</v>
      </c>
      <c r="L737" t="s">
        <v>331</v>
      </c>
      <c r="M737" t="s">
        <v>34</v>
      </c>
      <c r="N737" t="s">
        <v>35</v>
      </c>
      <c r="O737">
        <v>0.68546344705862505</v>
      </c>
      <c r="P737" t="s">
        <v>36</v>
      </c>
    </row>
    <row r="738" spans="1:16">
      <c r="A738">
        <v>737</v>
      </c>
      <c r="B738" t="s">
        <v>790</v>
      </c>
      <c r="C738">
        <v>93</v>
      </c>
      <c r="D738">
        <v>69</v>
      </c>
      <c r="E738">
        <v>59.2969856685149</v>
      </c>
      <c r="F738">
        <v>1.34920634920635</v>
      </c>
      <c r="G738">
        <v>2761.5640151228699</v>
      </c>
      <c r="H738">
        <v>625.96825542242595</v>
      </c>
      <c r="I738">
        <v>0.64201852425084505</v>
      </c>
      <c r="J738">
        <v>8.8564639661015895E-2</v>
      </c>
      <c r="K738">
        <v>0.56608372433124099</v>
      </c>
      <c r="L738" t="s">
        <v>38</v>
      </c>
      <c r="M738" t="s">
        <v>34</v>
      </c>
      <c r="N738" t="s">
        <v>35</v>
      </c>
      <c r="O738">
        <v>0.88142662310416597</v>
      </c>
      <c r="P738" t="s">
        <v>36</v>
      </c>
    </row>
    <row r="739" spans="1:16">
      <c r="A739">
        <v>738</v>
      </c>
      <c r="B739" t="s">
        <v>791</v>
      </c>
      <c r="C739">
        <v>119</v>
      </c>
      <c r="D739">
        <v>46</v>
      </c>
      <c r="E739">
        <v>59.531094489699903</v>
      </c>
      <c r="F739">
        <v>2.5924086337882302</v>
      </c>
      <c r="G739">
        <v>2783.4127724007599</v>
      </c>
      <c r="H739">
        <v>462.64492431568101</v>
      </c>
      <c r="I739">
        <v>0.46517018030858598</v>
      </c>
      <c r="J739">
        <v>0.16341498410694699</v>
      </c>
      <c r="K739">
        <v>0.66663106934358496</v>
      </c>
      <c r="L739" t="s">
        <v>33</v>
      </c>
      <c r="M739" t="s">
        <v>34</v>
      </c>
      <c r="N739" t="s">
        <v>35</v>
      </c>
      <c r="O739">
        <v>0.70802512083850999</v>
      </c>
      <c r="P739" t="s">
        <v>36</v>
      </c>
    </row>
    <row r="740" spans="1:16">
      <c r="A740">
        <v>739</v>
      </c>
      <c r="B740" t="s">
        <v>792</v>
      </c>
      <c r="C740">
        <v>70</v>
      </c>
      <c r="D740">
        <v>53</v>
      </c>
      <c r="E740">
        <v>59.631145485391599</v>
      </c>
      <c r="F740">
        <v>1.31695319381683</v>
      </c>
      <c r="G740">
        <v>2792.7765255198501</v>
      </c>
      <c r="H740">
        <v>211.803422357518</v>
      </c>
      <c r="I740">
        <v>0.62499134325110395</v>
      </c>
      <c r="J740">
        <v>0.78231219983393496</v>
      </c>
      <c r="K740">
        <v>0.957110839445803</v>
      </c>
      <c r="L740" t="s">
        <v>49</v>
      </c>
      <c r="M740" t="s">
        <v>34</v>
      </c>
      <c r="N740" t="s">
        <v>35</v>
      </c>
      <c r="O740">
        <v>0.71978486832859301</v>
      </c>
      <c r="P740" t="s">
        <v>36</v>
      </c>
    </row>
    <row r="741" spans="1:16">
      <c r="A741">
        <v>740</v>
      </c>
      <c r="B741" t="s">
        <v>793</v>
      </c>
      <c r="C741">
        <v>62</v>
      </c>
      <c r="D741">
        <v>66</v>
      </c>
      <c r="E741">
        <v>59.666044405691203</v>
      </c>
      <c r="F741">
        <v>0.95033511221773204</v>
      </c>
      <c r="G741">
        <v>2796.04640756144</v>
      </c>
      <c r="H741">
        <v>238.08345154181799</v>
      </c>
      <c r="I741">
        <v>0.76685504805522298</v>
      </c>
      <c r="J741">
        <v>0.61986315077625098</v>
      </c>
      <c r="K741">
        <v>0.86368853587989503</v>
      </c>
      <c r="L741" t="s">
        <v>38</v>
      </c>
      <c r="M741" t="s">
        <v>34</v>
      </c>
      <c r="N741" t="s">
        <v>35</v>
      </c>
      <c r="O741">
        <v>0.85569806302470497</v>
      </c>
      <c r="P741" t="s">
        <v>36</v>
      </c>
    </row>
    <row r="742" spans="1:16">
      <c r="A742">
        <v>741</v>
      </c>
      <c r="B742" t="s">
        <v>794</v>
      </c>
      <c r="C742">
        <v>62</v>
      </c>
      <c r="D742">
        <v>59</v>
      </c>
      <c r="E742">
        <v>59.740532889097899</v>
      </c>
      <c r="F742">
        <v>1.0612509818506699</v>
      </c>
      <c r="G742">
        <v>2803.0320646502801</v>
      </c>
      <c r="H742">
        <v>210.05152816057199</v>
      </c>
      <c r="I742">
        <v>0.62130645832389197</v>
      </c>
      <c r="J742">
        <v>0.79833696548245403</v>
      </c>
      <c r="K742">
        <v>0.95959904340304303</v>
      </c>
      <c r="L742" t="s">
        <v>74</v>
      </c>
      <c r="M742" t="s">
        <v>34</v>
      </c>
      <c r="N742" t="s">
        <v>35</v>
      </c>
      <c r="O742">
        <v>0.72985522359230004</v>
      </c>
      <c r="P742" t="s">
        <v>36</v>
      </c>
    </row>
    <row r="743" spans="1:16">
      <c r="A743">
        <v>742</v>
      </c>
      <c r="B743" t="s">
        <v>795</v>
      </c>
      <c r="C743">
        <v>50</v>
      </c>
      <c r="D743">
        <v>78</v>
      </c>
      <c r="E743">
        <v>59.775367945294697</v>
      </c>
      <c r="F743">
        <v>0.63553043618805205</v>
      </c>
      <c r="G743">
        <v>2806.3019466918699</v>
      </c>
      <c r="H743">
        <v>254.08849259469801</v>
      </c>
      <c r="I743">
        <v>0.65256535417078898</v>
      </c>
      <c r="J743">
        <v>0.54622838922711203</v>
      </c>
      <c r="K743">
        <v>0.85998633568663196</v>
      </c>
      <c r="L743" t="s">
        <v>41</v>
      </c>
      <c r="M743" t="s">
        <v>34</v>
      </c>
      <c r="N743" t="s">
        <v>35</v>
      </c>
      <c r="O743">
        <v>0.69836091505081999</v>
      </c>
      <c r="P743" t="s">
        <v>36</v>
      </c>
    </row>
    <row r="744" spans="1:16">
      <c r="A744">
        <v>743</v>
      </c>
      <c r="B744" t="s">
        <v>796</v>
      </c>
      <c r="C744">
        <v>93</v>
      </c>
      <c r="D744">
        <v>63</v>
      </c>
      <c r="E744">
        <v>59.776950874601702</v>
      </c>
      <c r="F744">
        <v>1.4766088149922501</v>
      </c>
      <c r="G744">
        <v>2806.4505776937599</v>
      </c>
      <c r="H744">
        <v>397.68769845547899</v>
      </c>
      <c r="I744">
        <v>0.735612068592437</v>
      </c>
      <c r="J744">
        <v>0.222988747423366</v>
      </c>
      <c r="K744">
        <v>0.66812922401896602</v>
      </c>
      <c r="L744" t="s">
        <v>33</v>
      </c>
      <c r="M744" t="s">
        <v>34</v>
      </c>
      <c r="N744" t="s">
        <v>35</v>
      </c>
      <c r="O744">
        <v>0.67505781933509901</v>
      </c>
      <c r="P744" t="s">
        <v>36</v>
      </c>
    </row>
    <row r="745" spans="1:16">
      <c r="A745">
        <v>744</v>
      </c>
      <c r="B745" t="s">
        <v>797</v>
      </c>
      <c r="C745">
        <v>53</v>
      </c>
      <c r="D745">
        <v>79</v>
      </c>
      <c r="E745">
        <v>59.898710810763099</v>
      </c>
      <c r="F745">
        <v>0.67235605494570505</v>
      </c>
      <c r="G745">
        <v>2817.8951648393199</v>
      </c>
      <c r="H745">
        <v>235.20902284259401</v>
      </c>
      <c r="I745">
        <v>0.71389106818443704</v>
      </c>
      <c r="J745">
        <v>0.64006892144632699</v>
      </c>
      <c r="K745">
        <v>0.91762257393156199</v>
      </c>
      <c r="L745" t="s">
        <v>144</v>
      </c>
      <c r="M745" t="s">
        <v>34</v>
      </c>
      <c r="N745" t="s">
        <v>35</v>
      </c>
      <c r="O745">
        <v>0.687824845843236</v>
      </c>
      <c r="P745" t="s">
        <v>36</v>
      </c>
    </row>
    <row r="746" spans="1:16">
      <c r="A746">
        <v>745</v>
      </c>
      <c r="B746" t="s">
        <v>798</v>
      </c>
      <c r="C746">
        <v>78</v>
      </c>
      <c r="D746">
        <v>69</v>
      </c>
      <c r="E746">
        <v>59.912926339931502</v>
      </c>
      <c r="F746">
        <v>1.13492063492063</v>
      </c>
      <c r="G746">
        <v>2819.23284385633</v>
      </c>
      <c r="H746">
        <v>518.23440074754797</v>
      </c>
      <c r="I746">
        <v>0.71684551270226804</v>
      </c>
      <c r="J746">
        <v>0.13191322363241201</v>
      </c>
      <c r="K746">
        <v>0.64076751570839796</v>
      </c>
      <c r="L746" t="s">
        <v>33</v>
      </c>
      <c r="M746" t="s">
        <v>34</v>
      </c>
      <c r="N746" t="s">
        <v>35</v>
      </c>
      <c r="O746">
        <v>0.74851262761686199</v>
      </c>
      <c r="P746" t="s">
        <v>36</v>
      </c>
    </row>
    <row r="747" spans="1:16">
      <c r="A747">
        <v>746</v>
      </c>
      <c r="B747" t="s">
        <v>799</v>
      </c>
      <c r="C747">
        <v>67</v>
      </c>
      <c r="D747">
        <v>66</v>
      </c>
      <c r="E747">
        <v>60.119460730088797</v>
      </c>
      <c r="F747">
        <v>1.01071202719981</v>
      </c>
      <c r="G747">
        <v>2838.7035051039702</v>
      </c>
      <c r="H747">
        <v>292.03452118261998</v>
      </c>
      <c r="I747">
        <v>0.692396043086007</v>
      </c>
      <c r="J747">
        <v>0.41827462046786301</v>
      </c>
      <c r="K747">
        <v>0.74760245821427196</v>
      </c>
      <c r="L747" t="s">
        <v>49</v>
      </c>
      <c r="M747" t="s">
        <v>34</v>
      </c>
      <c r="N747" t="s">
        <v>35</v>
      </c>
      <c r="O747">
        <v>0.74077408247834797</v>
      </c>
      <c r="P747" t="s">
        <v>36</v>
      </c>
    </row>
    <row r="748" spans="1:16">
      <c r="A748">
        <v>747</v>
      </c>
      <c r="B748" t="s">
        <v>800</v>
      </c>
      <c r="C748">
        <v>73</v>
      </c>
      <c r="D748">
        <v>73</v>
      </c>
      <c r="E748">
        <v>60.196531952152597</v>
      </c>
      <c r="F748">
        <v>1</v>
      </c>
      <c r="G748">
        <v>2845.9864241966002</v>
      </c>
      <c r="H748">
        <v>505.14918335624401</v>
      </c>
      <c r="I748">
        <v>0.71659196661028302</v>
      </c>
      <c r="J748">
        <v>0.14015331604033501</v>
      </c>
      <c r="K748">
        <v>0.62369303931468001</v>
      </c>
      <c r="L748" t="s">
        <v>38</v>
      </c>
      <c r="M748" t="s">
        <v>34</v>
      </c>
      <c r="N748" t="s">
        <v>35</v>
      </c>
      <c r="O748">
        <v>0.75732200913141601</v>
      </c>
      <c r="P748" t="s">
        <v>36</v>
      </c>
    </row>
    <row r="749" spans="1:16">
      <c r="A749">
        <v>748</v>
      </c>
      <c r="B749" t="s">
        <v>801</v>
      </c>
      <c r="C749">
        <v>57</v>
      </c>
      <c r="D749">
        <v>108</v>
      </c>
      <c r="E749">
        <v>60.295478767689502</v>
      </c>
      <c r="F749">
        <v>0.52415678722238901</v>
      </c>
      <c r="G749">
        <v>2855.35017731569</v>
      </c>
      <c r="H749">
        <v>413.68495349998102</v>
      </c>
      <c r="I749">
        <v>0.82997229699062003</v>
      </c>
      <c r="J749">
        <v>0.20966685998860701</v>
      </c>
      <c r="K749">
        <v>0.66993304505509799</v>
      </c>
      <c r="L749" t="s">
        <v>33</v>
      </c>
      <c r="M749" t="s">
        <v>34</v>
      </c>
      <c r="N749" t="s">
        <v>35</v>
      </c>
      <c r="O749">
        <v>0.64510269041607704</v>
      </c>
      <c r="P749" t="s">
        <v>36</v>
      </c>
    </row>
    <row r="750" spans="1:16">
      <c r="A750">
        <v>749</v>
      </c>
      <c r="B750" t="s">
        <v>802</v>
      </c>
      <c r="C750">
        <v>62</v>
      </c>
      <c r="D750">
        <v>104</v>
      </c>
      <c r="E750">
        <v>60.510090339567398</v>
      </c>
      <c r="F750">
        <v>0.59896372531716202</v>
      </c>
      <c r="G750">
        <v>2875.7126245746699</v>
      </c>
      <c r="H750">
        <v>545.12109214533905</v>
      </c>
      <c r="I750">
        <v>0.67798534045699299</v>
      </c>
      <c r="J750">
        <v>0.121610024331837</v>
      </c>
      <c r="K750">
        <v>0.55092684871437103</v>
      </c>
      <c r="L750" t="s">
        <v>33</v>
      </c>
      <c r="M750" t="s">
        <v>34</v>
      </c>
      <c r="N750" t="s">
        <v>35</v>
      </c>
      <c r="O750">
        <v>0.79187923433090002</v>
      </c>
      <c r="P750" t="s">
        <v>36</v>
      </c>
    </row>
    <row r="751" spans="1:16">
      <c r="A751">
        <v>750</v>
      </c>
      <c r="B751" t="s">
        <v>803</v>
      </c>
      <c r="C751">
        <v>64</v>
      </c>
      <c r="D751">
        <v>116</v>
      </c>
      <c r="E751">
        <v>60.561671439827101</v>
      </c>
      <c r="F751">
        <v>0.54977881159104602</v>
      </c>
      <c r="G751">
        <v>2880.6174476370502</v>
      </c>
      <c r="H751">
        <v>513.10160780108504</v>
      </c>
      <c r="I751">
        <v>0.76448148815172501</v>
      </c>
      <c r="J751">
        <v>0.137495568122217</v>
      </c>
      <c r="K751">
        <v>0.54404334156748302</v>
      </c>
      <c r="L751" t="s">
        <v>38</v>
      </c>
      <c r="M751" t="s">
        <v>34</v>
      </c>
      <c r="N751" t="s">
        <v>35</v>
      </c>
      <c r="O751">
        <v>0.79846574748069798</v>
      </c>
      <c r="P751" t="s">
        <v>36</v>
      </c>
    </row>
    <row r="752" spans="1:16">
      <c r="A752">
        <v>751</v>
      </c>
      <c r="B752" t="s">
        <v>804</v>
      </c>
      <c r="C752">
        <v>105</v>
      </c>
      <c r="D752">
        <v>55</v>
      </c>
      <c r="E752">
        <v>60.610086425694497</v>
      </c>
      <c r="F752">
        <v>1.91113367085445</v>
      </c>
      <c r="G752">
        <v>2885.2250086956501</v>
      </c>
      <c r="H752">
        <v>353.46364493764003</v>
      </c>
      <c r="I752">
        <v>0.74421843755945205</v>
      </c>
      <c r="J752">
        <v>0.29020176450027801</v>
      </c>
      <c r="K752">
        <v>0.65667602584486295</v>
      </c>
      <c r="L752" t="s">
        <v>38</v>
      </c>
      <c r="M752" t="s">
        <v>34</v>
      </c>
      <c r="N752" t="s">
        <v>35</v>
      </c>
      <c r="O752">
        <v>0.79658182796153099</v>
      </c>
      <c r="P752" t="s">
        <v>36</v>
      </c>
    </row>
    <row r="753" spans="1:16">
      <c r="A753">
        <v>752</v>
      </c>
      <c r="B753" t="s">
        <v>805</v>
      </c>
      <c r="C753">
        <v>58</v>
      </c>
      <c r="D753">
        <v>98</v>
      </c>
      <c r="E753">
        <v>60.639741020593</v>
      </c>
      <c r="F753">
        <v>0.59217877094972105</v>
      </c>
      <c r="G753">
        <v>2888.0489977315701</v>
      </c>
      <c r="H753">
        <v>541.76289087699797</v>
      </c>
      <c r="I753">
        <v>0.75540474983191097</v>
      </c>
      <c r="J753">
        <v>0.123650510403126</v>
      </c>
      <c r="K753">
        <v>0.63475107800862396</v>
      </c>
      <c r="L753" t="s">
        <v>38</v>
      </c>
      <c r="M753" t="s">
        <v>34</v>
      </c>
      <c r="N753" t="s">
        <v>35</v>
      </c>
      <c r="O753">
        <v>0.87010538169327001</v>
      </c>
      <c r="P753" t="s">
        <v>36</v>
      </c>
    </row>
    <row r="754" spans="1:16">
      <c r="A754">
        <v>753</v>
      </c>
      <c r="B754" t="s">
        <v>806</v>
      </c>
      <c r="C754">
        <v>53</v>
      </c>
      <c r="D754">
        <v>98</v>
      </c>
      <c r="E754">
        <v>60.8329212418979</v>
      </c>
      <c r="F754">
        <v>0.54748603351955305</v>
      </c>
      <c r="G754">
        <v>2906.4792419659698</v>
      </c>
      <c r="H754">
        <v>505.46856432282402</v>
      </c>
      <c r="I754">
        <v>0.766389952796519</v>
      </c>
      <c r="J754">
        <v>0.14295152298292199</v>
      </c>
      <c r="K754">
        <v>0.66470648220537698</v>
      </c>
      <c r="L754" t="s">
        <v>38</v>
      </c>
      <c r="M754" t="s">
        <v>34</v>
      </c>
      <c r="N754" t="s">
        <v>35</v>
      </c>
      <c r="O754">
        <v>0.79372902030998005</v>
      </c>
      <c r="P754" t="s">
        <v>36</v>
      </c>
    </row>
    <row r="755" spans="1:16">
      <c r="A755">
        <v>754</v>
      </c>
      <c r="B755" t="s">
        <v>807</v>
      </c>
      <c r="C755">
        <v>80</v>
      </c>
      <c r="D755">
        <v>49</v>
      </c>
      <c r="E755">
        <v>60.8857829413</v>
      </c>
      <c r="F755">
        <v>1.6326172353913799</v>
      </c>
      <c r="G755">
        <v>2911.53269603025</v>
      </c>
      <c r="H755">
        <v>252.06261239352401</v>
      </c>
      <c r="I755">
        <v>0.61789568981718002</v>
      </c>
      <c r="J755">
        <v>0.57585702538597505</v>
      </c>
      <c r="K755">
        <v>0.84885383715387597</v>
      </c>
      <c r="L755" t="s">
        <v>47</v>
      </c>
      <c r="M755" t="s">
        <v>34</v>
      </c>
      <c r="N755" t="s">
        <v>35</v>
      </c>
      <c r="O755">
        <v>0.95351412433660698</v>
      </c>
      <c r="P755" t="s">
        <v>36</v>
      </c>
    </row>
    <row r="756" spans="1:16">
      <c r="A756">
        <v>755</v>
      </c>
      <c r="B756" t="s">
        <v>808</v>
      </c>
      <c r="C756">
        <v>89</v>
      </c>
      <c r="D756">
        <v>59</v>
      </c>
      <c r="E756">
        <v>60.947914477382298</v>
      </c>
      <c r="F756">
        <v>1.5059062374097001</v>
      </c>
      <c r="G756">
        <v>2917.47793610586</v>
      </c>
      <c r="H756">
        <v>382.81070113918099</v>
      </c>
      <c r="I756">
        <v>0.53988020067818399</v>
      </c>
      <c r="J756">
        <v>0.25017810877138102</v>
      </c>
      <c r="K756">
        <v>0.75086068395685102</v>
      </c>
      <c r="L756" t="s">
        <v>33</v>
      </c>
      <c r="M756" t="s">
        <v>34</v>
      </c>
      <c r="N756" t="s">
        <v>35</v>
      </c>
      <c r="O756">
        <v>0.77187351001124804</v>
      </c>
      <c r="P756" t="s">
        <v>36</v>
      </c>
    </row>
    <row r="757" spans="1:16">
      <c r="A757">
        <v>756</v>
      </c>
      <c r="B757" t="s">
        <v>809</v>
      </c>
      <c r="C757">
        <v>130</v>
      </c>
      <c r="D757">
        <v>48</v>
      </c>
      <c r="E757">
        <v>60.983611447121199</v>
      </c>
      <c r="F757">
        <v>2.7045454545454501</v>
      </c>
      <c r="G757">
        <v>2920.8964491493398</v>
      </c>
      <c r="H757">
        <v>581.87487755734003</v>
      </c>
      <c r="I757">
        <v>0.75544072560572795</v>
      </c>
      <c r="J757">
        <v>0.108409367575956</v>
      </c>
      <c r="K757">
        <v>0.64323121235925595</v>
      </c>
      <c r="L757" t="s">
        <v>38</v>
      </c>
      <c r="M757" t="s">
        <v>34</v>
      </c>
      <c r="N757" t="s">
        <v>35</v>
      </c>
      <c r="O757">
        <v>0.81379698923073895</v>
      </c>
      <c r="P757" t="s">
        <v>36</v>
      </c>
    </row>
    <row r="758" spans="1:16">
      <c r="A758">
        <v>757</v>
      </c>
      <c r="B758" t="s">
        <v>810</v>
      </c>
      <c r="C758">
        <v>52</v>
      </c>
      <c r="D758">
        <v>102</v>
      </c>
      <c r="E758">
        <v>61.085930413634202</v>
      </c>
      <c r="F758">
        <v>0.50793235524012603</v>
      </c>
      <c r="G758">
        <v>2930.7060952740999</v>
      </c>
      <c r="H758">
        <v>328.648228703374</v>
      </c>
      <c r="I758">
        <v>0.89216913951958698</v>
      </c>
      <c r="J758">
        <v>0.34097264595169802</v>
      </c>
      <c r="K758">
        <v>0.73960990247561897</v>
      </c>
      <c r="L758" t="s">
        <v>47</v>
      </c>
      <c r="M758" t="s">
        <v>34</v>
      </c>
      <c r="N758" t="s">
        <v>35</v>
      </c>
      <c r="O758">
        <v>0.93209043161458105</v>
      </c>
      <c r="P758" t="s">
        <v>36</v>
      </c>
    </row>
    <row r="759" spans="1:16">
      <c r="A759">
        <v>758</v>
      </c>
      <c r="B759" t="s">
        <v>811</v>
      </c>
      <c r="C759">
        <v>173</v>
      </c>
      <c r="D759">
        <v>30</v>
      </c>
      <c r="E759">
        <v>61.1416685885318</v>
      </c>
      <c r="F759">
        <v>5.6850902226262496</v>
      </c>
      <c r="G759">
        <v>2936.05681134216</v>
      </c>
      <c r="H759">
        <v>497.51613987798299</v>
      </c>
      <c r="I759">
        <v>0.76437787949629099</v>
      </c>
      <c r="J759">
        <v>0.14905960646435601</v>
      </c>
      <c r="K759">
        <v>0.62719075438150895</v>
      </c>
      <c r="L759" t="s">
        <v>47</v>
      </c>
      <c r="M759" t="s">
        <v>34</v>
      </c>
      <c r="N759" t="s">
        <v>35</v>
      </c>
      <c r="O759">
        <v>0.93549962497068295</v>
      </c>
      <c r="P759" t="s">
        <v>36</v>
      </c>
    </row>
    <row r="760" spans="1:16">
      <c r="A760">
        <v>759</v>
      </c>
      <c r="B760" t="s">
        <v>812</v>
      </c>
      <c r="C760">
        <v>53</v>
      </c>
      <c r="D760">
        <v>90</v>
      </c>
      <c r="E760">
        <v>61.214361490105702</v>
      </c>
      <c r="F760">
        <v>0.59322352813026802</v>
      </c>
      <c r="G760">
        <v>2943.0424684310001</v>
      </c>
      <c r="H760">
        <v>304.21639287502899</v>
      </c>
      <c r="I760">
        <v>0.75528201599660405</v>
      </c>
      <c r="J760">
        <v>0.39961443538054803</v>
      </c>
      <c r="K760">
        <v>0.79302334895270099</v>
      </c>
      <c r="L760" t="s">
        <v>298</v>
      </c>
      <c r="M760" t="s">
        <v>34</v>
      </c>
      <c r="N760" t="s">
        <v>35</v>
      </c>
      <c r="O760">
        <v>0.68109073390665198</v>
      </c>
      <c r="P760" t="s">
        <v>36</v>
      </c>
    </row>
    <row r="761" spans="1:16">
      <c r="A761">
        <v>760</v>
      </c>
      <c r="B761" t="s">
        <v>813</v>
      </c>
      <c r="C761">
        <v>122</v>
      </c>
      <c r="D761">
        <v>92</v>
      </c>
      <c r="E761">
        <v>61.257626896398698</v>
      </c>
      <c r="F761">
        <v>1.33284586099145</v>
      </c>
      <c r="G761">
        <v>2947.2041364839301</v>
      </c>
      <c r="H761">
        <v>818.29722482691602</v>
      </c>
      <c r="I761">
        <v>0.71205045802188904</v>
      </c>
      <c r="J761">
        <v>5.53092698716946E-2</v>
      </c>
      <c r="K761">
        <v>0.35614986708815299</v>
      </c>
      <c r="L761" t="s">
        <v>298</v>
      </c>
      <c r="M761" t="s">
        <v>34</v>
      </c>
      <c r="N761" t="s">
        <v>35</v>
      </c>
      <c r="O761">
        <v>0.64363521031318505</v>
      </c>
      <c r="P761" t="s">
        <v>36</v>
      </c>
    </row>
    <row r="762" spans="1:16">
      <c r="A762">
        <v>761</v>
      </c>
      <c r="B762" t="s">
        <v>814</v>
      </c>
      <c r="C762">
        <v>103</v>
      </c>
      <c r="D762">
        <v>53</v>
      </c>
      <c r="E762">
        <v>61.3671988662526</v>
      </c>
      <c r="F762">
        <v>1.9443708057364399</v>
      </c>
      <c r="G762">
        <v>2957.75693761815</v>
      </c>
      <c r="H762">
        <v>450.969522673565</v>
      </c>
      <c r="I762">
        <v>0.85778166342550799</v>
      </c>
      <c r="J762">
        <v>0.18275865817419401</v>
      </c>
      <c r="K762">
        <v>0.71035910616120501</v>
      </c>
      <c r="L762" t="s">
        <v>33</v>
      </c>
      <c r="M762" t="s">
        <v>34</v>
      </c>
      <c r="N762" t="s">
        <v>35</v>
      </c>
      <c r="O762">
        <v>0.76345953041148296</v>
      </c>
      <c r="P762" t="s">
        <v>36</v>
      </c>
    </row>
    <row r="763" spans="1:16">
      <c r="A763">
        <v>762</v>
      </c>
      <c r="B763" t="s">
        <v>815</v>
      </c>
      <c r="C763">
        <v>88</v>
      </c>
      <c r="D763">
        <v>103</v>
      </c>
      <c r="E763">
        <v>61.394946602594601</v>
      </c>
      <c r="F763">
        <v>0.85638295541040199</v>
      </c>
      <c r="G763">
        <v>2960.4322956521701</v>
      </c>
      <c r="H763">
        <v>681.58042933546994</v>
      </c>
      <c r="I763">
        <v>0.43901880175799901</v>
      </c>
      <c r="J763">
        <v>8.0081237155900001E-2</v>
      </c>
      <c r="K763">
        <v>0.44075147706401702</v>
      </c>
      <c r="L763" t="s">
        <v>38</v>
      </c>
      <c r="M763" t="s">
        <v>34</v>
      </c>
      <c r="N763" t="s">
        <v>35</v>
      </c>
      <c r="O763">
        <v>0.68497091483642203</v>
      </c>
      <c r="P763" t="s">
        <v>36</v>
      </c>
    </row>
    <row r="764" spans="1:16">
      <c r="A764">
        <v>763</v>
      </c>
      <c r="B764" t="s">
        <v>816</v>
      </c>
      <c r="C764">
        <v>65</v>
      </c>
      <c r="D764">
        <v>80</v>
      </c>
      <c r="E764">
        <v>61.6609964621369</v>
      </c>
      <c r="F764">
        <v>0.81465569171591401</v>
      </c>
      <c r="G764">
        <v>2986.1454589792102</v>
      </c>
      <c r="H764">
        <v>383.86903620212001</v>
      </c>
      <c r="I764">
        <v>0.76275843130642096</v>
      </c>
      <c r="J764">
        <v>0.25465643698944801</v>
      </c>
      <c r="K764">
        <v>0.73904726871436499</v>
      </c>
      <c r="L764" t="s">
        <v>38</v>
      </c>
      <c r="M764" t="s">
        <v>34</v>
      </c>
      <c r="N764" t="s">
        <v>35</v>
      </c>
      <c r="O764">
        <v>0.72731177457076002</v>
      </c>
      <c r="P764" t="s">
        <v>36</v>
      </c>
    </row>
    <row r="765" spans="1:16">
      <c r="A765">
        <v>764</v>
      </c>
      <c r="B765" t="s">
        <v>817</v>
      </c>
      <c r="C765">
        <v>98</v>
      </c>
      <c r="D765">
        <v>73</v>
      </c>
      <c r="E765">
        <v>61.7775116264921</v>
      </c>
      <c r="F765">
        <v>1.3458646616541401</v>
      </c>
      <c r="G765">
        <v>2997.4414151228698</v>
      </c>
      <c r="H765">
        <v>887.32112256226299</v>
      </c>
      <c r="I765">
        <v>0.636955143889256</v>
      </c>
      <c r="J765">
        <v>4.78408544517872E-2</v>
      </c>
      <c r="K765">
        <v>0.50019842254080105</v>
      </c>
      <c r="L765" t="s">
        <v>33</v>
      </c>
      <c r="M765" t="s">
        <v>34</v>
      </c>
      <c r="N765" t="s">
        <v>35</v>
      </c>
      <c r="O765">
        <v>0.77610258593498904</v>
      </c>
      <c r="P765" t="s">
        <v>36</v>
      </c>
    </row>
    <row r="766" spans="1:16">
      <c r="A766">
        <v>765</v>
      </c>
      <c r="B766" t="s">
        <v>818</v>
      </c>
      <c r="C766">
        <v>60</v>
      </c>
      <c r="D766">
        <v>104</v>
      </c>
      <c r="E766">
        <v>61.991571559742098</v>
      </c>
      <c r="F766">
        <v>0.57370748310210495</v>
      </c>
      <c r="G766">
        <v>3018.2497553875201</v>
      </c>
      <c r="H766">
        <v>490.73164489777201</v>
      </c>
      <c r="I766">
        <v>0.812844008844396</v>
      </c>
      <c r="J766">
        <v>0.15749867672644099</v>
      </c>
      <c r="K766">
        <v>0.63714231927710796</v>
      </c>
      <c r="L766" t="s">
        <v>33</v>
      </c>
      <c r="M766" t="s">
        <v>34</v>
      </c>
      <c r="N766" t="s">
        <v>35</v>
      </c>
      <c r="O766">
        <v>0.68780596728212895</v>
      </c>
      <c r="P766" t="s">
        <v>36</v>
      </c>
    </row>
    <row r="767" spans="1:16">
      <c r="A767">
        <v>766</v>
      </c>
      <c r="B767" t="s">
        <v>819</v>
      </c>
      <c r="C767">
        <v>82</v>
      </c>
      <c r="D767">
        <v>68</v>
      </c>
      <c r="E767">
        <v>61.993097900619603</v>
      </c>
      <c r="F767">
        <v>1.208</v>
      </c>
      <c r="G767">
        <v>3018.39838638941</v>
      </c>
      <c r="H767">
        <v>395.24224512452702</v>
      </c>
      <c r="I767">
        <v>0.69613236711375803</v>
      </c>
      <c r="J767">
        <v>0.242806164621438</v>
      </c>
      <c r="K767">
        <v>0.71076578468430596</v>
      </c>
      <c r="L767" t="s">
        <v>38</v>
      </c>
      <c r="M767" t="s">
        <v>34</v>
      </c>
      <c r="N767" t="s">
        <v>35</v>
      </c>
      <c r="O767">
        <v>0.83619904718448801</v>
      </c>
      <c r="P767" t="s">
        <v>36</v>
      </c>
    </row>
    <row r="768" spans="1:16">
      <c r="A768">
        <v>767</v>
      </c>
      <c r="B768" t="s">
        <v>820</v>
      </c>
      <c r="C768">
        <v>68</v>
      </c>
      <c r="D768">
        <v>88</v>
      </c>
      <c r="E768">
        <v>62.020565613037199</v>
      </c>
      <c r="F768">
        <v>0.77639756791915804</v>
      </c>
      <c r="G768">
        <v>3021.0737444234401</v>
      </c>
      <c r="H768">
        <v>514.24683978453902</v>
      </c>
      <c r="I768">
        <v>0.72264941645601699</v>
      </c>
      <c r="J768">
        <v>0.14355817463371101</v>
      </c>
      <c r="K768">
        <v>0.66307822796372395</v>
      </c>
      <c r="L768" t="s">
        <v>33</v>
      </c>
      <c r="M768" t="s">
        <v>34</v>
      </c>
      <c r="N768" t="s">
        <v>35</v>
      </c>
      <c r="O768">
        <v>0.76746696467893605</v>
      </c>
      <c r="P768" t="s">
        <v>36</v>
      </c>
    </row>
    <row r="769" spans="1:16">
      <c r="A769">
        <v>768</v>
      </c>
      <c r="B769" t="s">
        <v>821</v>
      </c>
      <c r="C769">
        <v>68</v>
      </c>
      <c r="D769">
        <v>83</v>
      </c>
      <c r="E769">
        <v>62.072415906851802</v>
      </c>
      <c r="F769">
        <v>0.82236848577569399</v>
      </c>
      <c r="G769">
        <v>3026.1271984877098</v>
      </c>
      <c r="H769">
        <v>683.41922045293097</v>
      </c>
      <c r="I769">
        <v>0.62537436466338103</v>
      </c>
      <c r="J769">
        <v>8.1418419121029706E-2</v>
      </c>
      <c r="K769">
        <v>0.58229658229658199</v>
      </c>
      <c r="L769" t="s">
        <v>38</v>
      </c>
      <c r="M769" t="s">
        <v>34</v>
      </c>
      <c r="N769" t="s">
        <v>35</v>
      </c>
      <c r="O769">
        <v>0.67980680069114297</v>
      </c>
      <c r="P769" t="s">
        <v>36</v>
      </c>
    </row>
    <row r="770" spans="1:16">
      <c r="A770">
        <v>769</v>
      </c>
      <c r="B770" t="s">
        <v>822</v>
      </c>
      <c r="C770">
        <v>98</v>
      </c>
      <c r="D770">
        <v>59</v>
      </c>
      <c r="E770">
        <v>62.1516326874087</v>
      </c>
      <c r="F770">
        <v>1.6787233000439401</v>
      </c>
      <c r="G770">
        <v>3033.8560105860101</v>
      </c>
      <c r="H770">
        <v>364.78756589350502</v>
      </c>
      <c r="I770">
        <v>0.73807469004245296</v>
      </c>
      <c r="J770">
        <v>0.28650009860665498</v>
      </c>
      <c r="K770">
        <v>0.69803706996785397</v>
      </c>
      <c r="L770" t="s">
        <v>41</v>
      </c>
      <c r="M770" t="s">
        <v>34</v>
      </c>
      <c r="N770" t="s">
        <v>35</v>
      </c>
      <c r="O770">
        <v>0.71376839315366403</v>
      </c>
      <c r="P770" t="s">
        <v>36</v>
      </c>
    </row>
    <row r="771" spans="1:16">
      <c r="A771">
        <v>770</v>
      </c>
      <c r="B771" t="s">
        <v>823</v>
      </c>
      <c r="C771">
        <v>95</v>
      </c>
      <c r="D771">
        <v>71</v>
      </c>
      <c r="E771">
        <v>62.1896817602412</v>
      </c>
      <c r="F771">
        <v>1.3509503155740299</v>
      </c>
      <c r="G771">
        <v>3037.5717856332699</v>
      </c>
      <c r="H771">
        <v>467.46612230394197</v>
      </c>
      <c r="I771">
        <v>0.63953311600418905</v>
      </c>
      <c r="J771">
        <v>0.17467716268671701</v>
      </c>
      <c r="K771">
        <v>0.59508487901464602</v>
      </c>
      <c r="L771" t="s">
        <v>38</v>
      </c>
      <c r="M771" t="s">
        <v>34</v>
      </c>
      <c r="N771" t="s">
        <v>35</v>
      </c>
      <c r="O771">
        <v>0.83841454618447198</v>
      </c>
      <c r="P771" t="s">
        <v>36</v>
      </c>
    </row>
    <row r="772" spans="1:16">
      <c r="A772">
        <v>771</v>
      </c>
      <c r="B772" t="s">
        <v>824</v>
      </c>
      <c r="C772">
        <v>73</v>
      </c>
      <c r="D772">
        <v>83</v>
      </c>
      <c r="E772">
        <v>62.2824239449629</v>
      </c>
      <c r="F772">
        <v>0.88157892359260204</v>
      </c>
      <c r="G772">
        <v>3046.6382767485802</v>
      </c>
      <c r="H772">
        <v>404.26240687080099</v>
      </c>
      <c r="I772">
        <v>0.67323269971062505</v>
      </c>
      <c r="J772">
        <v>0.23426318491555401</v>
      </c>
      <c r="K772">
        <v>0.61446686051740196</v>
      </c>
      <c r="L772" t="s">
        <v>38</v>
      </c>
      <c r="M772" t="s">
        <v>34</v>
      </c>
      <c r="N772" t="s">
        <v>35</v>
      </c>
      <c r="O772">
        <v>0.76355669506316504</v>
      </c>
      <c r="P772" t="s">
        <v>36</v>
      </c>
    </row>
    <row r="773" spans="1:16">
      <c r="A773">
        <v>772</v>
      </c>
      <c r="B773" t="s">
        <v>825</v>
      </c>
      <c r="C773">
        <v>73</v>
      </c>
      <c r="D773">
        <v>53</v>
      </c>
      <c r="E773">
        <v>62.321911452223397</v>
      </c>
      <c r="F773">
        <v>1.3571428571428601</v>
      </c>
      <c r="G773">
        <v>3050.5026827977299</v>
      </c>
      <c r="H773">
        <v>389.48560171769998</v>
      </c>
      <c r="I773">
        <v>0.686575335793292</v>
      </c>
      <c r="J773">
        <v>0.25269605399023598</v>
      </c>
      <c r="K773">
        <v>0.82165018615637098</v>
      </c>
      <c r="L773" t="s">
        <v>38</v>
      </c>
      <c r="M773" t="s">
        <v>34</v>
      </c>
      <c r="N773" t="s">
        <v>35</v>
      </c>
      <c r="O773">
        <v>0.814335658904072</v>
      </c>
      <c r="P773" t="s">
        <v>36</v>
      </c>
    </row>
    <row r="774" spans="1:16">
      <c r="A774">
        <v>773</v>
      </c>
      <c r="B774" t="s">
        <v>826</v>
      </c>
      <c r="C774">
        <v>59</v>
      </c>
      <c r="D774">
        <v>88</v>
      </c>
      <c r="E774">
        <v>62.338610175554599</v>
      </c>
      <c r="F774">
        <v>0.67463818207078596</v>
      </c>
      <c r="G774">
        <v>3052.1376238185298</v>
      </c>
      <c r="H774">
        <v>315.31333901913302</v>
      </c>
      <c r="I774">
        <v>0.60705573101772203</v>
      </c>
      <c r="J774">
        <v>0.38577074471741402</v>
      </c>
      <c r="K774">
        <v>0.81462234211361495</v>
      </c>
      <c r="L774" t="s">
        <v>38</v>
      </c>
      <c r="M774" t="s">
        <v>34</v>
      </c>
      <c r="N774" t="s">
        <v>35</v>
      </c>
      <c r="O774">
        <v>0.785622950689845</v>
      </c>
      <c r="P774" t="s">
        <v>36</v>
      </c>
    </row>
    <row r="775" spans="1:16">
      <c r="A775">
        <v>774</v>
      </c>
      <c r="B775" t="s">
        <v>827</v>
      </c>
      <c r="C775">
        <v>67</v>
      </c>
      <c r="D775">
        <v>65</v>
      </c>
      <c r="E775">
        <v>62.371994210075798</v>
      </c>
      <c r="F775">
        <v>1.0226384788803899</v>
      </c>
      <c r="G775">
        <v>3055.4075058601102</v>
      </c>
      <c r="H775">
        <v>248.44922959794201</v>
      </c>
      <c r="I775">
        <v>0.69535224018432096</v>
      </c>
      <c r="J775">
        <v>0.62201906540637497</v>
      </c>
      <c r="K775">
        <v>0.90008319103288204</v>
      </c>
      <c r="L775" t="s">
        <v>33</v>
      </c>
      <c r="M775" t="s">
        <v>34</v>
      </c>
      <c r="N775" t="s">
        <v>35</v>
      </c>
      <c r="O775">
        <v>0.73346072256025197</v>
      </c>
      <c r="P775" t="s">
        <v>36</v>
      </c>
    </row>
    <row r="776" spans="1:16">
      <c r="A776">
        <v>775</v>
      </c>
      <c r="B776" t="s">
        <v>828</v>
      </c>
      <c r="C776">
        <v>51</v>
      </c>
      <c r="D776">
        <v>99</v>
      </c>
      <c r="E776">
        <v>62.440224141612802</v>
      </c>
      <c r="F776">
        <v>0.52039232816632897</v>
      </c>
      <c r="G776">
        <v>3062.0959009451799</v>
      </c>
      <c r="H776">
        <v>401.90774346455299</v>
      </c>
      <c r="I776">
        <v>0.88498896139445105</v>
      </c>
      <c r="J776">
        <v>0.238218729840458</v>
      </c>
      <c r="K776">
        <v>0.69700250355233795</v>
      </c>
      <c r="L776" t="s">
        <v>38</v>
      </c>
      <c r="M776" t="s">
        <v>34</v>
      </c>
      <c r="N776" t="s">
        <v>35</v>
      </c>
      <c r="O776">
        <v>0.80064575434431495</v>
      </c>
      <c r="P776" t="s">
        <v>36</v>
      </c>
    </row>
    <row r="777" spans="1:16">
      <c r="A777">
        <v>776</v>
      </c>
      <c r="B777" t="s">
        <v>829</v>
      </c>
      <c r="C777">
        <v>83</v>
      </c>
      <c r="D777">
        <v>78</v>
      </c>
      <c r="E777">
        <v>62.597626546456297</v>
      </c>
      <c r="F777">
        <v>1.0672913800655099</v>
      </c>
      <c r="G777">
        <v>3077.55352514178</v>
      </c>
      <c r="H777">
        <v>479.50791610510498</v>
      </c>
      <c r="I777">
        <v>0.65930839316557499</v>
      </c>
      <c r="J777">
        <v>0.16819919637433001</v>
      </c>
      <c r="K777">
        <v>0.60955577143866502</v>
      </c>
      <c r="L777" t="s">
        <v>830</v>
      </c>
      <c r="M777" t="s">
        <v>34</v>
      </c>
      <c r="N777" t="s">
        <v>35</v>
      </c>
      <c r="O777">
        <v>0.80217262291638203</v>
      </c>
      <c r="P777" t="s">
        <v>36</v>
      </c>
    </row>
    <row r="778" spans="1:16">
      <c r="A778">
        <v>777</v>
      </c>
      <c r="B778" t="s">
        <v>831</v>
      </c>
      <c r="C778">
        <v>73</v>
      </c>
      <c r="D778">
        <v>68</v>
      </c>
      <c r="E778">
        <v>62.599138110031497</v>
      </c>
      <c r="F778">
        <v>1.0719998867187399</v>
      </c>
      <c r="G778">
        <v>3077.70215614367</v>
      </c>
      <c r="H778">
        <v>509.346530884142</v>
      </c>
      <c r="I778">
        <v>0.60225167350083697</v>
      </c>
      <c r="J778">
        <v>0.14907669215766001</v>
      </c>
      <c r="K778">
        <v>0.73693013986262901</v>
      </c>
      <c r="L778" t="s">
        <v>43</v>
      </c>
      <c r="M778" t="s">
        <v>34</v>
      </c>
      <c r="N778" t="s">
        <v>35</v>
      </c>
      <c r="O778">
        <v>0.85955060805005401</v>
      </c>
      <c r="P778" t="s">
        <v>36</v>
      </c>
    </row>
    <row r="779" spans="1:16">
      <c r="A779">
        <v>778</v>
      </c>
      <c r="B779" t="s">
        <v>832</v>
      </c>
      <c r="C779">
        <v>63</v>
      </c>
      <c r="D779">
        <v>138</v>
      </c>
      <c r="E779">
        <v>62.609718033249898</v>
      </c>
      <c r="F779">
        <v>0.453632122030728</v>
      </c>
      <c r="G779">
        <v>3078.7425731569001</v>
      </c>
      <c r="H779">
        <v>662.59136518167395</v>
      </c>
      <c r="I779">
        <v>0.78871374486335599</v>
      </c>
      <c r="J779">
        <v>8.8123491827496903E-2</v>
      </c>
      <c r="K779">
        <v>0.52541599025973995</v>
      </c>
      <c r="L779" t="s">
        <v>33</v>
      </c>
      <c r="M779" t="s">
        <v>34</v>
      </c>
      <c r="N779" t="s">
        <v>35</v>
      </c>
      <c r="O779">
        <v>0.77730323717781002</v>
      </c>
      <c r="P779" t="s">
        <v>36</v>
      </c>
    </row>
    <row r="780" spans="1:16">
      <c r="A780">
        <v>779</v>
      </c>
      <c r="B780" t="s">
        <v>833</v>
      </c>
      <c r="C780">
        <v>103</v>
      </c>
      <c r="D780">
        <v>63</v>
      </c>
      <c r="E780">
        <v>62.632383279265099</v>
      </c>
      <c r="F780">
        <v>1.6347826086956501</v>
      </c>
      <c r="G780">
        <v>3080.9720381852599</v>
      </c>
      <c r="H780">
        <v>636.02405475046305</v>
      </c>
      <c r="I780">
        <v>0.69655635855450204</v>
      </c>
      <c r="J780">
        <v>9.5708506324572507E-2</v>
      </c>
      <c r="K780">
        <v>0.59941588109421096</v>
      </c>
      <c r="L780" t="s">
        <v>33</v>
      </c>
      <c r="M780" t="s">
        <v>34</v>
      </c>
      <c r="N780" t="s">
        <v>35</v>
      </c>
      <c r="O780">
        <v>0.79304093783594598</v>
      </c>
      <c r="P780" t="s">
        <v>36</v>
      </c>
    </row>
    <row r="781" spans="1:16">
      <c r="A781">
        <v>780</v>
      </c>
      <c r="B781" t="s">
        <v>834</v>
      </c>
      <c r="C781">
        <v>120</v>
      </c>
      <c r="D781">
        <v>81</v>
      </c>
      <c r="E781">
        <v>62.665610811375103</v>
      </c>
      <c r="F781">
        <v>1.48322147651007</v>
      </c>
      <c r="G781">
        <v>3084.2419202268402</v>
      </c>
      <c r="H781">
        <v>710.70506427339899</v>
      </c>
      <c r="I781">
        <v>0.69359414465180602</v>
      </c>
      <c r="J781">
        <v>7.6732523223044705E-2</v>
      </c>
      <c r="K781">
        <v>0.41123662306777597</v>
      </c>
      <c r="L781" t="s">
        <v>49</v>
      </c>
      <c r="M781" t="s">
        <v>34</v>
      </c>
      <c r="N781" t="s">
        <v>35</v>
      </c>
      <c r="O781">
        <v>0.70914449026473303</v>
      </c>
      <c r="P781" t="s">
        <v>36</v>
      </c>
    </row>
    <row r="782" spans="1:16">
      <c r="A782">
        <v>781</v>
      </c>
      <c r="B782" t="s">
        <v>835</v>
      </c>
      <c r="C782">
        <v>63</v>
      </c>
      <c r="D782">
        <v>68</v>
      </c>
      <c r="E782">
        <v>62.725979411484303</v>
      </c>
      <c r="F782">
        <v>0.92799999121093601</v>
      </c>
      <c r="G782">
        <v>3090.1871603024601</v>
      </c>
      <c r="H782">
        <v>313.474547901672</v>
      </c>
      <c r="I782">
        <v>0.83710074857898098</v>
      </c>
      <c r="J782">
        <v>0.39517556083331801</v>
      </c>
      <c r="K782">
        <v>0.84078777094791302</v>
      </c>
      <c r="L782" t="s">
        <v>188</v>
      </c>
      <c r="M782" t="s">
        <v>34</v>
      </c>
      <c r="N782" t="s">
        <v>35</v>
      </c>
      <c r="O782">
        <v>0.71371630974909495</v>
      </c>
      <c r="P782" t="s">
        <v>36</v>
      </c>
    </row>
    <row r="783" spans="1:16">
      <c r="A783">
        <v>782</v>
      </c>
      <c r="B783" t="s">
        <v>836</v>
      </c>
      <c r="C783">
        <v>102</v>
      </c>
      <c r="D783">
        <v>60</v>
      </c>
      <c r="E783">
        <v>62.8088914958294</v>
      </c>
      <c r="F783">
        <v>1.70251458754281</v>
      </c>
      <c r="G783">
        <v>3098.3618654064298</v>
      </c>
      <c r="H783">
        <v>515.49226393119204</v>
      </c>
      <c r="I783">
        <v>0.74509412896730398</v>
      </c>
      <c r="J783">
        <v>0.14652026600562701</v>
      </c>
      <c r="K783">
        <v>0.67048341963912395</v>
      </c>
      <c r="L783" t="s">
        <v>67</v>
      </c>
      <c r="M783" t="s">
        <v>34</v>
      </c>
      <c r="N783" t="s">
        <v>35</v>
      </c>
      <c r="O783">
        <v>0.69088559619784495</v>
      </c>
      <c r="P783" t="s">
        <v>36</v>
      </c>
    </row>
    <row r="784" spans="1:16">
      <c r="A784">
        <v>783</v>
      </c>
      <c r="B784" t="s">
        <v>837</v>
      </c>
      <c r="C784">
        <v>88</v>
      </c>
      <c r="D784">
        <v>59</v>
      </c>
      <c r="E784">
        <v>62.811904418455804</v>
      </c>
      <c r="F784">
        <v>1.5</v>
      </c>
      <c r="G784">
        <v>3098.6591274102102</v>
      </c>
      <c r="H784">
        <v>373.393663744305</v>
      </c>
      <c r="I784">
        <v>0.784143054453597</v>
      </c>
      <c r="J784">
        <v>0.27928639467750399</v>
      </c>
      <c r="K784">
        <v>0.74659790860908204</v>
      </c>
      <c r="L784" t="s">
        <v>33</v>
      </c>
      <c r="M784" t="s">
        <v>34</v>
      </c>
      <c r="N784" t="s">
        <v>35</v>
      </c>
      <c r="O784">
        <v>0.70306009933229996</v>
      </c>
      <c r="P784" t="s">
        <v>36</v>
      </c>
    </row>
    <row r="785" spans="1:16">
      <c r="A785">
        <v>784</v>
      </c>
      <c r="B785" t="s">
        <v>838</v>
      </c>
      <c r="C785">
        <v>61</v>
      </c>
      <c r="D785">
        <v>66</v>
      </c>
      <c r="E785">
        <v>62.814917196567201</v>
      </c>
      <c r="F785">
        <v>0.91758159876352696</v>
      </c>
      <c r="G785">
        <v>3098.9563894139901</v>
      </c>
      <c r="H785">
        <v>223.72071028419199</v>
      </c>
      <c r="I785">
        <v>0.66346468677377701</v>
      </c>
      <c r="J785">
        <v>0.77805975062036403</v>
      </c>
      <c r="K785">
        <v>0.948115138011005</v>
      </c>
      <c r="L785" t="s">
        <v>74</v>
      </c>
      <c r="M785" t="s">
        <v>34</v>
      </c>
      <c r="N785" t="s">
        <v>35</v>
      </c>
      <c r="O785">
        <v>0.67832997176845</v>
      </c>
      <c r="P785" t="s">
        <v>36</v>
      </c>
    </row>
    <row r="786" spans="1:16">
      <c r="A786">
        <v>785</v>
      </c>
      <c r="B786" t="s">
        <v>839</v>
      </c>
      <c r="C786">
        <v>112</v>
      </c>
      <c r="D786">
        <v>53</v>
      </c>
      <c r="E786">
        <v>62.852564737973097</v>
      </c>
      <c r="F786">
        <v>2.1020408322144899</v>
      </c>
      <c r="G786">
        <v>3102.6721644612498</v>
      </c>
      <c r="H786">
        <v>814.49447617354599</v>
      </c>
      <c r="I786">
        <v>0.76295280482602501</v>
      </c>
      <c r="J786">
        <v>5.8771864256438801E-2</v>
      </c>
      <c r="K786">
        <v>0.558633055020338</v>
      </c>
      <c r="L786" t="s">
        <v>33</v>
      </c>
      <c r="M786" t="s">
        <v>34</v>
      </c>
      <c r="N786" t="s">
        <v>35</v>
      </c>
      <c r="O786">
        <v>0.76090151385961602</v>
      </c>
      <c r="P786" t="s">
        <v>36</v>
      </c>
    </row>
    <row r="787" spans="1:16">
      <c r="A787">
        <v>786</v>
      </c>
      <c r="B787" t="s">
        <v>840</v>
      </c>
      <c r="C787">
        <v>78</v>
      </c>
      <c r="D787">
        <v>63</v>
      </c>
      <c r="E787">
        <v>63.038964219912998</v>
      </c>
      <c r="F787">
        <v>1.2327586206896599</v>
      </c>
      <c r="G787">
        <v>3121.10240869565</v>
      </c>
      <c r="H787">
        <v>467.03876316578499</v>
      </c>
      <c r="I787">
        <v>0.71173261288594003</v>
      </c>
      <c r="J787">
        <v>0.17980924927676201</v>
      </c>
      <c r="K787">
        <v>0.68480954865640498</v>
      </c>
      <c r="L787" t="s">
        <v>43</v>
      </c>
      <c r="M787" t="s">
        <v>34</v>
      </c>
      <c r="N787" t="s">
        <v>35</v>
      </c>
      <c r="O787">
        <v>0.82679880745621803</v>
      </c>
      <c r="P787" t="s">
        <v>36</v>
      </c>
    </row>
    <row r="788" spans="1:16">
      <c r="A788">
        <v>787</v>
      </c>
      <c r="B788" t="s">
        <v>841</v>
      </c>
      <c r="C788">
        <v>59</v>
      </c>
      <c r="D788">
        <v>111</v>
      </c>
      <c r="E788">
        <v>63.236785723590401</v>
      </c>
      <c r="F788">
        <v>0.53297829059414703</v>
      </c>
      <c r="G788">
        <v>3140.7217009451801</v>
      </c>
      <c r="H788">
        <v>380.66971730201101</v>
      </c>
      <c r="I788">
        <v>0.71095228914505904</v>
      </c>
      <c r="J788">
        <v>0.27235958274669902</v>
      </c>
      <c r="K788">
        <v>0.60905029543161804</v>
      </c>
      <c r="L788" t="s">
        <v>33</v>
      </c>
      <c r="M788" t="s">
        <v>34</v>
      </c>
      <c r="N788" t="s">
        <v>35</v>
      </c>
      <c r="O788">
        <v>0.71872871796847504</v>
      </c>
      <c r="P788" t="s">
        <v>36</v>
      </c>
    </row>
    <row r="789" spans="1:16">
      <c r="A789">
        <v>788</v>
      </c>
      <c r="B789" t="s">
        <v>842</v>
      </c>
      <c r="C789">
        <v>107</v>
      </c>
      <c r="D789">
        <v>81</v>
      </c>
      <c r="E789">
        <v>63.286144481507499</v>
      </c>
      <c r="F789">
        <v>1.3307667047442699</v>
      </c>
      <c r="G789">
        <v>3145.62652400756</v>
      </c>
      <c r="H789">
        <v>758.48770338597501</v>
      </c>
      <c r="I789">
        <v>0.47857447864481101</v>
      </c>
      <c r="J789">
        <v>6.8709997602967199E-2</v>
      </c>
      <c r="K789">
        <v>0.49754331523144602</v>
      </c>
      <c r="L789" t="s">
        <v>33</v>
      </c>
      <c r="M789" t="s">
        <v>34</v>
      </c>
      <c r="N789" t="s">
        <v>35</v>
      </c>
      <c r="O789">
        <v>0.69296662620943605</v>
      </c>
      <c r="P789" t="s">
        <v>36</v>
      </c>
    </row>
    <row r="790" spans="1:16">
      <c r="A790">
        <v>789</v>
      </c>
      <c r="B790" t="s">
        <v>843</v>
      </c>
      <c r="C790">
        <v>91</v>
      </c>
      <c r="D790">
        <v>54</v>
      </c>
      <c r="E790">
        <v>63.375789190234698</v>
      </c>
      <c r="F790">
        <v>1.7024963774403901</v>
      </c>
      <c r="G790">
        <v>3154.5443841209799</v>
      </c>
      <c r="H790">
        <v>278.52032842304402</v>
      </c>
      <c r="I790">
        <v>0.61831041802176501</v>
      </c>
      <c r="J790">
        <v>0.51101389482306103</v>
      </c>
      <c r="K790">
        <v>0.83250961010433799</v>
      </c>
      <c r="L790" t="s">
        <v>58</v>
      </c>
      <c r="M790" t="s">
        <v>34</v>
      </c>
      <c r="N790" t="s">
        <v>35</v>
      </c>
      <c r="O790">
        <v>0.72126613882688695</v>
      </c>
      <c r="P790" t="s">
        <v>36</v>
      </c>
    </row>
    <row r="791" spans="1:16">
      <c r="A791">
        <v>790</v>
      </c>
      <c r="B791" t="s">
        <v>844</v>
      </c>
      <c r="C791">
        <v>78</v>
      </c>
      <c r="D791">
        <v>83</v>
      </c>
      <c r="E791">
        <v>63.429515202116797</v>
      </c>
      <c r="F791">
        <v>0.94078947368421095</v>
      </c>
      <c r="G791">
        <v>3159.89510018904</v>
      </c>
      <c r="H791">
        <v>641.60852054637405</v>
      </c>
      <c r="I791">
        <v>0.63251479560961399</v>
      </c>
      <c r="J791">
        <v>9.6458895342830905E-2</v>
      </c>
      <c r="K791">
        <v>0.62862211709047899</v>
      </c>
      <c r="L791" t="s">
        <v>38</v>
      </c>
      <c r="M791" t="s">
        <v>34</v>
      </c>
      <c r="N791" t="s">
        <v>35</v>
      </c>
      <c r="O791">
        <v>0.8180872072134</v>
      </c>
      <c r="P791" t="s">
        <v>36</v>
      </c>
    </row>
    <row r="792" spans="1:16">
      <c r="A792">
        <v>791</v>
      </c>
      <c r="B792" t="s">
        <v>845</v>
      </c>
      <c r="C792">
        <v>69</v>
      </c>
      <c r="D792">
        <v>72</v>
      </c>
      <c r="E792">
        <v>63.569585718946797</v>
      </c>
      <c r="F792">
        <v>0.95379108487123698</v>
      </c>
      <c r="G792">
        <v>3173.8664143667302</v>
      </c>
      <c r="H792">
        <v>346.35976899084801</v>
      </c>
      <c r="I792">
        <v>0.64566454250799798</v>
      </c>
      <c r="J792">
        <v>0.33246323396719402</v>
      </c>
      <c r="K792">
        <v>0.779172443990367</v>
      </c>
      <c r="L792" t="s">
        <v>74</v>
      </c>
      <c r="M792" t="s">
        <v>34</v>
      </c>
      <c r="N792" t="s">
        <v>35</v>
      </c>
      <c r="O792">
        <v>0.74916384820052495</v>
      </c>
      <c r="P792" t="s">
        <v>36</v>
      </c>
    </row>
    <row r="793" spans="1:16">
      <c r="A793">
        <v>792</v>
      </c>
      <c r="B793" t="s">
        <v>846</v>
      </c>
      <c r="C793">
        <v>80</v>
      </c>
      <c r="D793">
        <v>58</v>
      </c>
      <c r="E793">
        <v>63.646939106887899</v>
      </c>
      <c r="F793">
        <v>1.3708610203741101</v>
      </c>
      <c r="G793">
        <v>3181.59522646503</v>
      </c>
      <c r="H793">
        <v>344.06151901556098</v>
      </c>
      <c r="I793">
        <v>0.63002978369640406</v>
      </c>
      <c r="J793">
        <v>0.33774006731802497</v>
      </c>
      <c r="K793">
        <v>0.752963523162967</v>
      </c>
      <c r="L793" t="s">
        <v>33</v>
      </c>
      <c r="M793" t="s">
        <v>34</v>
      </c>
      <c r="N793" t="s">
        <v>35</v>
      </c>
      <c r="O793">
        <v>0.69053981043420498</v>
      </c>
      <c r="P793" t="s">
        <v>36</v>
      </c>
    </row>
    <row r="794" spans="1:16">
      <c r="A794">
        <v>793</v>
      </c>
      <c r="B794" t="s">
        <v>847</v>
      </c>
      <c r="C794">
        <v>60</v>
      </c>
      <c r="D794">
        <v>102</v>
      </c>
      <c r="E794">
        <v>63.651398934221703</v>
      </c>
      <c r="F794">
        <v>0.591860004685138</v>
      </c>
      <c r="G794">
        <v>3182.0411194706999</v>
      </c>
      <c r="H794">
        <v>350.84050476146803</v>
      </c>
      <c r="I794">
        <v>0.63261787258166402</v>
      </c>
      <c r="J794">
        <v>0.32485996796508199</v>
      </c>
      <c r="K794">
        <v>0.78640170437849</v>
      </c>
      <c r="L794" t="s">
        <v>331</v>
      </c>
      <c r="M794" t="s">
        <v>34</v>
      </c>
      <c r="N794" t="s">
        <v>35</v>
      </c>
      <c r="O794">
        <v>0.68852872566522705</v>
      </c>
      <c r="P794" t="s">
        <v>36</v>
      </c>
    </row>
    <row r="795" spans="1:16">
      <c r="A795">
        <v>794</v>
      </c>
      <c r="B795" t="s">
        <v>848</v>
      </c>
      <c r="C795">
        <v>64</v>
      </c>
      <c r="D795">
        <v>147</v>
      </c>
      <c r="E795">
        <v>63.747951910474498</v>
      </c>
      <c r="F795">
        <v>0.43639672615879999</v>
      </c>
      <c r="G795">
        <v>3191.70213459357</v>
      </c>
      <c r="H795">
        <v>680.21439231851798</v>
      </c>
      <c r="I795">
        <v>0.87544815568216405</v>
      </c>
      <c r="J795">
        <v>8.6684327578249398E-2</v>
      </c>
      <c r="K795">
        <v>0.51493933144693305</v>
      </c>
      <c r="L795" t="s">
        <v>144</v>
      </c>
      <c r="M795" t="s">
        <v>34</v>
      </c>
      <c r="N795" t="s">
        <v>35</v>
      </c>
      <c r="O795">
        <v>0.77752741612968201</v>
      </c>
      <c r="P795" t="s">
        <v>36</v>
      </c>
    </row>
    <row r="796" spans="1:16">
      <c r="A796">
        <v>795</v>
      </c>
      <c r="B796" t="s">
        <v>849</v>
      </c>
      <c r="C796">
        <v>128</v>
      </c>
      <c r="D796">
        <v>60</v>
      </c>
      <c r="E796">
        <v>63.765761088615101</v>
      </c>
      <c r="F796">
        <v>2.1403354400015502</v>
      </c>
      <c r="G796">
        <v>3193.4857066162599</v>
      </c>
      <c r="H796">
        <v>518.57647919530496</v>
      </c>
      <c r="I796">
        <v>0.70019617950459001</v>
      </c>
      <c r="J796">
        <v>0.14922761949059299</v>
      </c>
      <c r="K796">
        <v>0.55404847859721496</v>
      </c>
      <c r="L796" t="s">
        <v>49</v>
      </c>
      <c r="M796" t="s">
        <v>34</v>
      </c>
      <c r="N796" t="s">
        <v>35</v>
      </c>
      <c r="O796">
        <v>0.82368674260409802</v>
      </c>
      <c r="P796" t="s">
        <v>36</v>
      </c>
    </row>
    <row r="797" spans="1:16">
      <c r="A797">
        <v>796</v>
      </c>
      <c r="B797" t="s">
        <v>850</v>
      </c>
      <c r="C797">
        <v>82</v>
      </c>
      <c r="D797">
        <v>73</v>
      </c>
      <c r="E797">
        <v>64.026393246739204</v>
      </c>
      <c r="F797">
        <v>1.12686567164179</v>
      </c>
      <c r="G797">
        <v>3219.6447629489599</v>
      </c>
      <c r="H797">
        <v>806.83873521410897</v>
      </c>
      <c r="I797">
        <v>0.697460152190021</v>
      </c>
      <c r="J797">
        <v>6.2150459083671401E-2</v>
      </c>
      <c r="K797">
        <v>0.60390298299414602</v>
      </c>
      <c r="L797" t="s">
        <v>38</v>
      </c>
      <c r="M797" t="s">
        <v>34</v>
      </c>
      <c r="N797" t="s">
        <v>35</v>
      </c>
      <c r="O797">
        <v>0.72549432659142299</v>
      </c>
      <c r="P797" t="s">
        <v>36</v>
      </c>
    </row>
    <row r="798" spans="1:16">
      <c r="A798">
        <v>797</v>
      </c>
      <c r="B798" t="s">
        <v>851</v>
      </c>
      <c r="C798">
        <v>135</v>
      </c>
      <c r="D798">
        <v>61</v>
      </c>
      <c r="E798">
        <v>64.0456024211298</v>
      </c>
      <c r="F798">
        <v>2.2220976833537098</v>
      </c>
      <c r="G798">
        <v>3221.5769659735402</v>
      </c>
      <c r="H798">
        <v>535.62656006844202</v>
      </c>
      <c r="I798">
        <v>0.55993342752036002</v>
      </c>
      <c r="J798">
        <v>0.14110882224438501</v>
      </c>
      <c r="K798">
        <v>0.54755589238347901</v>
      </c>
      <c r="L798" t="s">
        <v>144</v>
      </c>
      <c r="M798" t="s">
        <v>34</v>
      </c>
      <c r="N798" t="s">
        <v>35</v>
      </c>
      <c r="O798">
        <v>0.87860341050943103</v>
      </c>
      <c r="P798" t="s">
        <v>36</v>
      </c>
    </row>
    <row r="799" spans="1:16">
      <c r="A799">
        <v>798</v>
      </c>
      <c r="B799" t="s">
        <v>852</v>
      </c>
      <c r="C799">
        <v>79</v>
      </c>
      <c r="D799">
        <v>74</v>
      </c>
      <c r="E799">
        <v>64.228539647603696</v>
      </c>
      <c r="F799">
        <v>1.06666668173708</v>
      </c>
      <c r="G799">
        <v>3240.0072102079398</v>
      </c>
      <c r="H799">
        <v>385.14656006844098</v>
      </c>
      <c r="I799">
        <v>0.64373778382036195</v>
      </c>
      <c r="J799">
        <v>0.27447563219459398</v>
      </c>
      <c r="K799">
        <v>0.74905504776303999</v>
      </c>
      <c r="L799" t="s">
        <v>188</v>
      </c>
      <c r="M799" t="s">
        <v>34</v>
      </c>
      <c r="N799" t="s">
        <v>35</v>
      </c>
      <c r="O799">
        <v>0.65739394781492</v>
      </c>
      <c r="P799" t="s">
        <v>36</v>
      </c>
    </row>
    <row r="800" spans="1:16">
      <c r="A800">
        <v>799</v>
      </c>
      <c r="B800" t="s">
        <v>853</v>
      </c>
      <c r="C800">
        <v>57</v>
      </c>
      <c r="D800">
        <v>104</v>
      </c>
      <c r="E800">
        <v>64.299214326338898</v>
      </c>
      <c r="F800">
        <v>0.54973821989528804</v>
      </c>
      <c r="G800">
        <v>3247.1414982986798</v>
      </c>
      <c r="H800">
        <v>336.46446826115903</v>
      </c>
      <c r="I800">
        <v>0.74063268358486301</v>
      </c>
      <c r="J800">
        <v>0.36043973510055999</v>
      </c>
      <c r="K800">
        <v>0.73914808674763999</v>
      </c>
      <c r="L800" t="s">
        <v>43</v>
      </c>
      <c r="M800" t="s">
        <v>34</v>
      </c>
      <c r="N800" t="s">
        <v>35</v>
      </c>
      <c r="O800">
        <v>0.77808083789030802</v>
      </c>
      <c r="P800" t="s">
        <v>36</v>
      </c>
    </row>
    <row r="801" spans="1:16">
      <c r="A801">
        <v>800</v>
      </c>
      <c r="B801" t="s">
        <v>854</v>
      </c>
      <c r="C801">
        <v>52</v>
      </c>
      <c r="D801">
        <v>130</v>
      </c>
      <c r="E801">
        <v>64.318342020638298</v>
      </c>
      <c r="F801">
        <v>0.40167364016736401</v>
      </c>
      <c r="G801">
        <v>3249.0737013232501</v>
      </c>
      <c r="H801">
        <v>735.04611017703996</v>
      </c>
      <c r="I801">
        <v>0.81947573350575298</v>
      </c>
      <c r="J801">
        <v>7.5568405662191501E-2</v>
      </c>
      <c r="K801">
        <v>0.57349738961618202</v>
      </c>
      <c r="L801" t="s">
        <v>74</v>
      </c>
      <c r="M801" t="s">
        <v>34</v>
      </c>
      <c r="N801" t="s">
        <v>35</v>
      </c>
      <c r="O801">
        <v>0.68748128130930297</v>
      </c>
      <c r="P801" t="s">
        <v>36</v>
      </c>
    </row>
    <row r="802" spans="1:16">
      <c r="A802">
        <v>801</v>
      </c>
      <c r="B802" t="s">
        <v>855</v>
      </c>
      <c r="C802">
        <v>114</v>
      </c>
      <c r="D802">
        <v>62</v>
      </c>
      <c r="E802">
        <v>64.358050605589995</v>
      </c>
      <c r="F802">
        <v>1.85200965257477</v>
      </c>
      <c r="G802">
        <v>3253.0867383742898</v>
      </c>
      <c r="H802">
        <v>549.31843967323698</v>
      </c>
      <c r="I802">
        <v>0.70989833672957803</v>
      </c>
      <c r="J802">
        <v>0.135474373613515</v>
      </c>
      <c r="K802">
        <v>0.602283984589983</v>
      </c>
      <c r="L802" t="s">
        <v>38</v>
      </c>
      <c r="M802" t="s">
        <v>34</v>
      </c>
      <c r="N802" t="s">
        <v>35</v>
      </c>
      <c r="O802">
        <v>0.666754794838475</v>
      </c>
      <c r="P802" t="s">
        <v>36</v>
      </c>
    </row>
    <row r="803" spans="1:16">
      <c r="A803">
        <v>802</v>
      </c>
      <c r="B803" t="s">
        <v>856</v>
      </c>
      <c r="C803">
        <v>131</v>
      </c>
      <c r="D803">
        <v>46</v>
      </c>
      <c r="E803">
        <v>64.385979003709394</v>
      </c>
      <c r="F803">
        <v>2.8527646194607499</v>
      </c>
      <c r="G803">
        <v>3255.9107274102098</v>
      </c>
      <c r="H803">
        <v>364.55508184744002</v>
      </c>
      <c r="I803">
        <v>0.44930091034709102</v>
      </c>
      <c r="J803">
        <v>0.30786196668424598</v>
      </c>
      <c r="K803">
        <v>0.705598144688527</v>
      </c>
      <c r="L803" t="s">
        <v>33</v>
      </c>
      <c r="M803" t="s">
        <v>34</v>
      </c>
      <c r="N803" t="s">
        <v>35</v>
      </c>
      <c r="O803">
        <v>0.73471636744039603</v>
      </c>
      <c r="P803" t="s">
        <v>36</v>
      </c>
    </row>
    <row r="804" spans="1:16">
      <c r="A804">
        <v>803</v>
      </c>
      <c r="B804" t="s">
        <v>857</v>
      </c>
      <c r="C804">
        <v>127</v>
      </c>
      <c r="D804">
        <v>58</v>
      </c>
      <c r="E804">
        <v>64.493170349396493</v>
      </c>
      <c r="F804">
        <v>2.1919016673963498</v>
      </c>
      <c r="G804">
        <v>3266.7607905482</v>
      </c>
      <c r="H804">
        <v>412.75729408979402</v>
      </c>
      <c r="I804">
        <v>0.61715036574066395</v>
      </c>
      <c r="J804">
        <v>0.24095596665177799</v>
      </c>
      <c r="K804">
        <v>0.63089155519834705</v>
      </c>
      <c r="L804" t="s">
        <v>33</v>
      </c>
      <c r="M804" t="s">
        <v>34</v>
      </c>
      <c r="N804" t="s">
        <v>35</v>
      </c>
      <c r="O804">
        <v>0.75256715895705695</v>
      </c>
      <c r="P804" t="s">
        <v>36</v>
      </c>
    </row>
    <row r="805" spans="1:16">
      <c r="A805">
        <v>804</v>
      </c>
      <c r="B805" t="s">
        <v>858</v>
      </c>
      <c r="C805">
        <v>107</v>
      </c>
      <c r="D805">
        <v>57</v>
      </c>
      <c r="E805">
        <v>64.506373386967695</v>
      </c>
      <c r="F805">
        <v>1.8846153846153799</v>
      </c>
      <c r="G805">
        <v>3268.0984695652201</v>
      </c>
      <c r="H805">
        <v>311.15587721928301</v>
      </c>
      <c r="I805">
        <v>0.75739231032726795</v>
      </c>
      <c r="J805">
        <v>0.42417882095117398</v>
      </c>
      <c r="K805">
        <v>0.77781315221620895</v>
      </c>
      <c r="L805" t="s">
        <v>144</v>
      </c>
      <c r="M805" t="s">
        <v>34</v>
      </c>
      <c r="N805" t="s">
        <v>35</v>
      </c>
      <c r="O805">
        <v>0.80287332902637898</v>
      </c>
      <c r="P805" t="s">
        <v>36</v>
      </c>
    </row>
    <row r="806" spans="1:16">
      <c r="A806">
        <v>805</v>
      </c>
      <c r="B806" t="s">
        <v>859</v>
      </c>
      <c r="C806">
        <v>63</v>
      </c>
      <c r="D806">
        <v>83</v>
      </c>
      <c r="E806">
        <v>64.509307028344793</v>
      </c>
      <c r="F806">
        <v>0.76315789473684204</v>
      </c>
      <c r="G806">
        <v>3268.395731569</v>
      </c>
      <c r="H806">
        <v>534.513427804657</v>
      </c>
      <c r="I806">
        <v>0.54794956319344901</v>
      </c>
      <c r="J806">
        <v>0.14375642334733499</v>
      </c>
      <c r="K806">
        <v>0.62358212341197805</v>
      </c>
      <c r="L806" t="s">
        <v>33</v>
      </c>
      <c r="M806" t="s">
        <v>34</v>
      </c>
      <c r="N806" t="s">
        <v>35</v>
      </c>
      <c r="O806">
        <v>0.69431749165560197</v>
      </c>
      <c r="P806" t="s">
        <v>36</v>
      </c>
    </row>
    <row r="807" spans="1:16">
      <c r="A807">
        <v>806</v>
      </c>
      <c r="B807" t="s">
        <v>860</v>
      </c>
      <c r="C807">
        <v>84</v>
      </c>
      <c r="D807">
        <v>86</v>
      </c>
      <c r="E807">
        <v>64.607507036816898</v>
      </c>
      <c r="F807">
        <v>0.96802232562295898</v>
      </c>
      <c r="G807">
        <v>3278.35400869565</v>
      </c>
      <c r="H807">
        <v>702.77306053565906</v>
      </c>
      <c r="I807">
        <v>0.56976122119277195</v>
      </c>
      <c r="J807">
        <v>8.3413338184243097E-2</v>
      </c>
      <c r="K807">
        <v>0.545317444620253</v>
      </c>
      <c r="L807" t="s">
        <v>33</v>
      </c>
      <c r="M807" t="s">
        <v>34</v>
      </c>
      <c r="N807" t="s">
        <v>35</v>
      </c>
      <c r="O807">
        <v>0.82148332028825399</v>
      </c>
      <c r="P807" t="s">
        <v>36</v>
      </c>
    </row>
    <row r="808" spans="1:16">
      <c r="A808">
        <v>807</v>
      </c>
      <c r="B808" t="s">
        <v>861</v>
      </c>
      <c r="C808">
        <v>68</v>
      </c>
      <c r="D808">
        <v>93</v>
      </c>
      <c r="E808">
        <v>64.633863702842305</v>
      </c>
      <c r="F808">
        <v>0.72941176470588198</v>
      </c>
      <c r="G808">
        <v>3281.0293667296801</v>
      </c>
      <c r="H808">
        <v>463.12869688479799</v>
      </c>
      <c r="I808">
        <v>0.63900237254998304</v>
      </c>
      <c r="J808">
        <v>0.19222797787762799</v>
      </c>
      <c r="K808">
        <v>0.705001277465508</v>
      </c>
      <c r="L808" t="s">
        <v>43</v>
      </c>
      <c r="M808" t="s">
        <v>34</v>
      </c>
      <c r="N808" t="s">
        <v>35</v>
      </c>
      <c r="O808">
        <v>0.75052710098778297</v>
      </c>
      <c r="P808" t="s">
        <v>36</v>
      </c>
    </row>
    <row r="809" spans="1:16">
      <c r="A809">
        <v>808</v>
      </c>
      <c r="B809" t="s">
        <v>862</v>
      </c>
      <c r="C809">
        <v>75</v>
      </c>
      <c r="D809">
        <v>58</v>
      </c>
      <c r="E809">
        <v>64.761103038600993</v>
      </c>
      <c r="F809">
        <v>1.29799075644135</v>
      </c>
      <c r="G809">
        <v>3293.9602638941401</v>
      </c>
      <c r="H809">
        <v>243.87770390261801</v>
      </c>
      <c r="I809">
        <v>0.678975949475492</v>
      </c>
      <c r="J809">
        <v>0.69595959200106305</v>
      </c>
      <c r="K809">
        <v>0.91491557610535401</v>
      </c>
      <c r="L809" t="s">
        <v>38</v>
      </c>
      <c r="M809" t="s">
        <v>34</v>
      </c>
      <c r="N809" t="s">
        <v>35</v>
      </c>
      <c r="O809">
        <v>0.78345352751033004</v>
      </c>
      <c r="P809" t="s">
        <v>36</v>
      </c>
    </row>
    <row r="810" spans="1:16">
      <c r="A810">
        <v>809</v>
      </c>
      <c r="B810" t="s">
        <v>863</v>
      </c>
      <c r="C810">
        <v>114</v>
      </c>
      <c r="D810">
        <v>56</v>
      </c>
      <c r="E810">
        <v>64.823899220511606</v>
      </c>
      <c r="F810">
        <v>2.0457531822998098</v>
      </c>
      <c r="G810">
        <v>3300.3513969754299</v>
      </c>
      <c r="H810">
        <v>388.909422993764</v>
      </c>
      <c r="I810">
        <v>0.52663098228191696</v>
      </c>
      <c r="J810">
        <v>0.27420357643535898</v>
      </c>
      <c r="K810">
        <v>0.63508179842123302</v>
      </c>
      <c r="L810" t="s">
        <v>74</v>
      </c>
      <c r="M810" t="s">
        <v>34</v>
      </c>
      <c r="N810" t="s">
        <v>35</v>
      </c>
      <c r="O810">
        <v>0.77246002459417396</v>
      </c>
      <c r="P810" t="s">
        <v>36</v>
      </c>
    </row>
    <row r="811" spans="1:16">
      <c r="A811">
        <v>810</v>
      </c>
      <c r="B811" t="s">
        <v>864</v>
      </c>
      <c r="C811">
        <v>80</v>
      </c>
      <c r="D811">
        <v>104</v>
      </c>
      <c r="E811">
        <v>64.971158523904094</v>
      </c>
      <c r="F811">
        <v>0.76735486167975797</v>
      </c>
      <c r="G811">
        <v>3315.3631281663502</v>
      </c>
      <c r="H811">
        <v>504.058748573635</v>
      </c>
      <c r="I811">
        <v>0.80467466956939904</v>
      </c>
      <c r="J811">
        <v>0.16397538280016299</v>
      </c>
      <c r="K811">
        <v>0.52665627803749304</v>
      </c>
      <c r="L811" t="s">
        <v>33</v>
      </c>
      <c r="M811" t="s">
        <v>34</v>
      </c>
      <c r="N811" t="s">
        <v>35</v>
      </c>
      <c r="O811">
        <v>0.709307168862639</v>
      </c>
      <c r="P811" t="s">
        <v>36</v>
      </c>
    </row>
    <row r="812" spans="1:16">
      <c r="A812">
        <v>811</v>
      </c>
      <c r="B812" t="s">
        <v>865</v>
      </c>
      <c r="C812">
        <v>88</v>
      </c>
      <c r="D812">
        <v>78</v>
      </c>
      <c r="E812">
        <v>64.991544373916796</v>
      </c>
      <c r="F812">
        <v>1.13286713286713</v>
      </c>
      <c r="G812">
        <v>3317.44396219282</v>
      </c>
      <c r="H812">
        <v>865.42552998957399</v>
      </c>
      <c r="I812">
        <v>0.61099070353706797</v>
      </c>
      <c r="J812">
        <v>5.5661390851421598E-2</v>
      </c>
      <c r="K812">
        <v>0.572571956287517</v>
      </c>
      <c r="L812" t="s">
        <v>33</v>
      </c>
      <c r="M812" t="s">
        <v>34</v>
      </c>
      <c r="N812" t="s">
        <v>35</v>
      </c>
      <c r="O812">
        <v>0.79058143701855599</v>
      </c>
      <c r="P812" t="s">
        <v>36</v>
      </c>
    </row>
    <row r="813" spans="1:16">
      <c r="A813">
        <v>812</v>
      </c>
      <c r="B813" t="s">
        <v>866</v>
      </c>
      <c r="C813">
        <v>73</v>
      </c>
      <c r="D813">
        <v>78</v>
      </c>
      <c r="E813">
        <v>65.071569812873904</v>
      </c>
      <c r="F813">
        <v>0.93706292363155796</v>
      </c>
      <c r="G813">
        <v>3325.6186672967901</v>
      </c>
      <c r="H813">
        <v>660.46529281730204</v>
      </c>
      <c r="I813">
        <v>0.70692155663841505</v>
      </c>
      <c r="J813">
        <v>9.5803706632140495E-2</v>
      </c>
      <c r="K813">
        <v>0.66325774418259997</v>
      </c>
      <c r="L813" t="s">
        <v>33</v>
      </c>
      <c r="M813" t="s">
        <v>34</v>
      </c>
      <c r="N813" t="s">
        <v>35</v>
      </c>
      <c r="O813">
        <v>0.78379001784442504</v>
      </c>
      <c r="P813" t="s">
        <v>36</v>
      </c>
    </row>
    <row r="814" spans="1:16">
      <c r="A814">
        <v>813</v>
      </c>
      <c r="B814" t="s">
        <v>867</v>
      </c>
      <c r="C814">
        <v>110</v>
      </c>
      <c r="D814">
        <v>54</v>
      </c>
      <c r="E814">
        <v>65.074477974472302</v>
      </c>
      <c r="F814">
        <v>2.0507041472094798</v>
      </c>
      <c r="G814">
        <v>3325.91592930057</v>
      </c>
      <c r="H814">
        <v>383.63655215605502</v>
      </c>
      <c r="I814">
        <v>0.46936163100193201</v>
      </c>
      <c r="J814">
        <v>0.28397569607506601</v>
      </c>
      <c r="K814">
        <v>0.770451728412064</v>
      </c>
      <c r="L814" t="s">
        <v>33</v>
      </c>
      <c r="M814" t="s">
        <v>34</v>
      </c>
      <c r="N814" t="s">
        <v>35</v>
      </c>
      <c r="O814">
        <v>0.71578054539534397</v>
      </c>
      <c r="P814" t="s">
        <v>36</v>
      </c>
    </row>
    <row r="815" spans="1:16">
      <c r="A815">
        <v>814</v>
      </c>
      <c r="B815" t="s">
        <v>868</v>
      </c>
      <c r="C815">
        <v>68</v>
      </c>
      <c r="D815">
        <v>83</v>
      </c>
      <c r="E815">
        <v>65.086109321448305</v>
      </c>
      <c r="F815">
        <v>0.81054517291060502</v>
      </c>
      <c r="G815">
        <v>3327.1049773156901</v>
      </c>
      <c r="H815">
        <v>348.75042512095501</v>
      </c>
      <c r="I815">
        <v>0.60100009605742299</v>
      </c>
      <c r="J815">
        <v>0.34375330049630998</v>
      </c>
      <c r="K815">
        <v>0.729343151309788</v>
      </c>
      <c r="L815" t="s">
        <v>74</v>
      </c>
      <c r="M815" t="s">
        <v>34</v>
      </c>
      <c r="N815" t="s">
        <v>35</v>
      </c>
      <c r="O815">
        <v>0.72138471938082804</v>
      </c>
      <c r="P815" t="s">
        <v>36</v>
      </c>
    </row>
    <row r="816" spans="1:16">
      <c r="A816">
        <v>815</v>
      </c>
      <c r="B816" t="s">
        <v>869</v>
      </c>
      <c r="C816">
        <v>119</v>
      </c>
      <c r="D816">
        <v>43</v>
      </c>
      <c r="E816">
        <v>65.1674706220644</v>
      </c>
      <c r="F816">
        <v>2.7381630499239802</v>
      </c>
      <c r="G816">
        <v>3335.4283134215498</v>
      </c>
      <c r="H816">
        <v>324.94794898727702</v>
      </c>
      <c r="I816">
        <v>0.46258574465121999</v>
      </c>
      <c r="J816">
        <v>0.39694823461371698</v>
      </c>
      <c r="K816">
        <v>0.82394624761345303</v>
      </c>
      <c r="L816" t="s">
        <v>47</v>
      </c>
      <c r="M816" t="s">
        <v>34</v>
      </c>
      <c r="N816" t="s">
        <v>35</v>
      </c>
      <c r="O816">
        <v>0.92598955100584102</v>
      </c>
      <c r="P816" t="s">
        <v>36</v>
      </c>
    </row>
    <row r="817" spans="1:16">
      <c r="A817">
        <v>816</v>
      </c>
      <c r="B817" t="s">
        <v>870</v>
      </c>
      <c r="C817">
        <v>49</v>
      </c>
      <c r="D817">
        <v>86</v>
      </c>
      <c r="E817">
        <v>65.229875598933802</v>
      </c>
      <c r="F817">
        <v>0.57236683310646996</v>
      </c>
      <c r="G817">
        <v>3341.81944650284</v>
      </c>
      <c r="H817">
        <v>251.524042623561</v>
      </c>
      <c r="I817">
        <v>0.82387328544184801</v>
      </c>
      <c r="J817">
        <v>0.66379478587936802</v>
      </c>
      <c r="K817">
        <v>0.92602965403624404</v>
      </c>
      <c r="L817" t="s">
        <v>38</v>
      </c>
      <c r="M817" t="s">
        <v>34</v>
      </c>
      <c r="N817" t="s">
        <v>35</v>
      </c>
      <c r="O817">
        <v>0.86052552436233098</v>
      </c>
      <c r="P817" t="s">
        <v>36</v>
      </c>
    </row>
    <row r="818" spans="1:16">
      <c r="A818">
        <v>817</v>
      </c>
      <c r="B818" t="s">
        <v>871</v>
      </c>
      <c r="C818">
        <v>61</v>
      </c>
      <c r="D818">
        <v>80</v>
      </c>
      <c r="E818">
        <v>65.266130131806406</v>
      </c>
      <c r="F818">
        <v>0.75907295678436304</v>
      </c>
      <c r="G818">
        <v>3345.5352215500898</v>
      </c>
      <c r="H818">
        <v>254.46267076212399</v>
      </c>
      <c r="I818">
        <v>0.77220788516074501</v>
      </c>
      <c r="J818">
        <v>0.64927294794424895</v>
      </c>
      <c r="K818">
        <v>0.89442104426607305</v>
      </c>
      <c r="L818" t="s">
        <v>38</v>
      </c>
      <c r="M818" t="s">
        <v>34</v>
      </c>
      <c r="N818" t="s">
        <v>35</v>
      </c>
      <c r="O818">
        <v>0.89274304306507302</v>
      </c>
      <c r="P818" t="s">
        <v>36</v>
      </c>
    </row>
    <row r="819" spans="1:16">
      <c r="A819">
        <v>818</v>
      </c>
      <c r="B819" t="s">
        <v>872</v>
      </c>
      <c r="C819">
        <v>70</v>
      </c>
      <c r="D819">
        <v>156</v>
      </c>
      <c r="E819">
        <v>65.290771715135705</v>
      </c>
      <c r="F819">
        <v>0.44729332841265101</v>
      </c>
      <c r="G819">
        <v>3348.0619485822299</v>
      </c>
      <c r="H819">
        <v>753.09972891227096</v>
      </c>
      <c r="I819">
        <v>0.82542462231530001</v>
      </c>
      <c r="J819">
        <v>7.4181970706846206E-2</v>
      </c>
      <c r="K819">
        <v>0.39577623163960901</v>
      </c>
      <c r="L819" t="s">
        <v>873</v>
      </c>
      <c r="M819" t="s">
        <v>34</v>
      </c>
      <c r="N819" t="s">
        <v>35</v>
      </c>
      <c r="O819">
        <v>0.72291462113607896</v>
      </c>
      <c r="P819" t="s">
        <v>36</v>
      </c>
    </row>
    <row r="820" spans="1:16">
      <c r="A820">
        <v>819</v>
      </c>
      <c r="B820" t="s">
        <v>874</v>
      </c>
      <c r="C820">
        <v>83</v>
      </c>
      <c r="D820">
        <v>88</v>
      </c>
      <c r="E820">
        <v>65.502017755625701</v>
      </c>
      <c r="F820">
        <v>0.94409936828601304</v>
      </c>
      <c r="G820">
        <v>3369.7620748582199</v>
      </c>
      <c r="H820">
        <v>627.51036305448304</v>
      </c>
      <c r="I820">
        <v>0.61959882101696695</v>
      </c>
      <c r="J820">
        <v>0.107539322833162</v>
      </c>
      <c r="K820">
        <v>0.60949513414699696</v>
      </c>
      <c r="L820" t="s">
        <v>33</v>
      </c>
      <c r="M820" t="s">
        <v>34</v>
      </c>
      <c r="N820" t="s">
        <v>35</v>
      </c>
      <c r="O820">
        <v>0.71478103745606403</v>
      </c>
      <c r="P820" t="s">
        <v>36</v>
      </c>
    </row>
    <row r="821" spans="1:16">
      <c r="A821">
        <v>820</v>
      </c>
      <c r="B821" t="s">
        <v>875</v>
      </c>
      <c r="C821">
        <v>47</v>
      </c>
      <c r="D821">
        <v>102</v>
      </c>
      <c r="E821">
        <v>65.577091726117899</v>
      </c>
      <c r="F821">
        <v>0.46051314375456498</v>
      </c>
      <c r="G821">
        <v>3377.4908869565202</v>
      </c>
      <c r="H821">
        <v>288.70841963394798</v>
      </c>
      <c r="I821">
        <v>0.81790183321395904</v>
      </c>
      <c r="J821">
        <v>0.50919619656429205</v>
      </c>
      <c r="K821">
        <v>0.87182044887780596</v>
      </c>
      <c r="L821" t="s">
        <v>38</v>
      </c>
      <c r="M821" t="s">
        <v>34</v>
      </c>
      <c r="N821" t="s">
        <v>35</v>
      </c>
      <c r="O821">
        <v>0.69727642049719896</v>
      </c>
      <c r="P821" t="s">
        <v>36</v>
      </c>
    </row>
    <row r="822" spans="1:16">
      <c r="A822">
        <v>821</v>
      </c>
      <c r="B822" t="s">
        <v>876</v>
      </c>
      <c r="C822">
        <v>136</v>
      </c>
      <c r="D822">
        <v>59</v>
      </c>
      <c r="E822">
        <v>65.605943455141997</v>
      </c>
      <c r="F822">
        <v>2.3098207020407</v>
      </c>
      <c r="G822">
        <v>3380.4635069943301</v>
      </c>
      <c r="H822">
        <v>548.73447494092204</v>
      </c>
      <c r="I822">
        <v>0.90498442165362702</v>
      </c>
      <c r="J822">
        <v>0.141078756707818</v>
      </c>
      <c r="K822">
        <v>0.609236044144434</v>
      </c>
      <c r="L822" t="s">
        <v>33</v>
      </c>
      <c r="M822" t="s">
        <v>34</v>
      </c>
      <c r="N822" t="s">
        <v>35</v>
      </c>
      <c r="O822">
        <v>0.74116448305237204</v>
      </c>
      <c r="P822" t="s">
        <v>36</v>
      </c>
    </row>
    <row r="823" spans="1:16">
      <c r="A823">
        <v>822</v>
      </c>
      <c r="B823" t="s">
        <v>877</v>
      </c>
      <c r="C823">
        <v>103</v>
      </c>
      <c r="D823">
        <v>49</v>
      </c>
      <c r="E823">
        <v>65.6145964999738</v>
      </c>
      <c r="F823">
        <v>2.0963293851018499</v>
      </c>
      <c r="G823">
        <v>3381.3552930056699</v>
      </c>
      <c r="H823">
        <v>319.84725576048299</v>
      </c>
      <c r="I823">
        <v>0.67909907511730105</v>
      </c>
      <c r="J823">
        <v>0.415351145478142</v>
      </c>
      <c r="K823">
        <v>0.82685178454604902</v>
      </c>
      <c r="L823" t="s">
        <v>38</v>
      </c>
      <c r="M823" t="s">
        <v>34</v>
      </c>
      <c r="N823" t="s">
        <v>35</v>
      </c>
      <c r="O823">
        <v>0.67068117988684395</v>
      </c>
      <c r="P823" t="s">
        <v>36</v>
      </c>
    </row>
    <row r="824" spans="1:16">
      <c r="A824">
        <v>823</v>
      </c>
      <c r="B824" t="s">
        <v>878</v>
      </c>
      <c r="C824">
        <v>37</v>
      </c>
      <c r="D824">
        <v>116</v>
      </c>
      <c r="E824">
        <v>65.923914406899101</v>
      </c>
      <c r="F824">
        <v>0.31883754341909198</v>
      </c>
      <c r="G824">
        <v>3413.3109584120998</v>
      </c>
      <c r="H824">
        <v>276.43965102102402</v>
      </c>
      <c r="I824">
        <v>0.85816434479941495</v>
      </c>
      <c r="J824">
        <v>0.561287081895264</v>
      </c>
      <c r="K824">
        <v>0.96208630079597801</v>
      </c>
      <c r="L824" t="s">
        <v>38</v>
      </c>
      <c r="M824" t="s">
        <v>34</v>
      </c>
      <c r="N824" t="s">
        <v>35</v>
      </c>
      <c r="O824">
        <v>0.81719654527854302</v>
      </c>
      <c r="P824" t="s">
        <v>36</v>
      </c>
    </row>
    <row r="825" spans="1:16">
      <c r="A825">
        <v>824</v>
      </c>
      <c r="B825" t="s">
        <v>879</v>
      </c>
      <c r="C825">
        <v>57</v>
      </c>
      <c r="D825">
        <v>107</v>
      </c>
      <c r="E825">
        <v>66.208925544031203</v>
      </c>
      <c r="F825">
        <v>0.53319861283495196</v>
      </c>
      <c r="G825">
        <v>3442.88852778828</v>
      </c>
      <c r="H825">
        <v>355.79950386690098</v>
      </c>
      <c r="I825">
        <v>0.76558195669100704</v>
      </c>
      <c r="J825">
        <v>0.34176072259298002</v>
      </c>
      <c r="K825">
        <v>0.74034773715162405</v>
      </c>
      <c r="L825" t="s">
        <v>38</v>
      </c>
      <c r="M825" t="s">
        <v>34</v>
      </c>
      <c r="N825" t="s">
        <v>35</v>
      </c>
      <c r="O825">
        <v>0.80284995000804305</v>
      </c>
      <c r="P825" t="s">
        <v>36</v>
      </c>
    </row>
    <row r="826" spans="1:16">
      <c r="A826">
        <v>825</v>
      </c>
      <c r="B826" t="s">
        <v>880</v>
      </c>
      <c r="C826">
        <v>68</v>
      </c>
      <c r="D826">
        <v>68</v>
      </c>
      <c r="E826">
        <v>66.307462473453995</v>
      </c>
      <c r="F826">
        <v>1</v>
      </c>
      <c r="G826">
        <v>3453.14406691871</v>
      </c>
      <c r="H826">
        <v>374.72598481147202</v>
      </c>
      <c r="I826">
        <v>0.62357037771507196</v>
      </c>
      <c r="J826">
        <v>0.30902736761502803</v>
      </c>
      <c r="K826">
        <v>0.84974946051717204</v>
      </c>
      <c r="L826" t="s">
        <v>47</v>
      </c>
      <c r="M826" t="s">
        <v>34</v>
      </c>
      <c r="N826" t="s">
        <v>35</v>
      </c>
      <c r="O826">
        <v>0.94058160199123098</v>
      </c>
      <c r="P826" t="s">
        <v>36</v>
      </c>
    </row>
    <row r="827" spans="1:16">
      <c r="A827">
        <v>826</v>
      </c>
      <c r="B827" t="s">
        <v>881</v>
      </c>
      <c r="C827">
        <v>139</v>
      </c>
      <c r="D827">
        <v>50</v>
      </c>
      <c r="E827">
        <v>66.326011013537197</v>
      </c>
      <c r="F827">
        <v>2.8042837578717998</v>
      </c>
      <c r="G827">
        <v>3455.0762699432898</v>
      </c>
      <c r="H827">
        <v>484.32132808498699</v>
      </c>
      <c r="I827">
        <v>0.68246674855592504</v>
      </c>
      <c r="J827">
        <v>0.18509739801190001</v>
      </c>
      <c r="K827">
        <v>0.61573914655788897</v>
      </c>
      <c r="L827" t="s">
        <v>33</v>
      </c>
      <c r="M827" t="s">
        <v>34</v>
      </c>
      <c r="N827" t="s">
        <v>35</v>
      </c>
      <c r="O827">
        <v>0.80150373532292896</v>
      </c>
      <c r="P827" t="s">
        <v>36</v>
      </c>
    </row>
    <row r="828" spans="1:16">
      <c r="A828">
        <v>827</v>
      </c>
      <c r="B828" t="s">
        <v>882</v>
      </c>
      <c r="C828">
        <v>76</v>
      </c>
      <c r="D828">
        <v>82</v>
      </c>
      <c r="E828">
        <v>66.397303261705403</v>
      </c>
      <c r="F828">
        <v>0.92205809970720698</v>
      </c>
      <c r="G828">
        <v>3462.5078200378098</v>
      </c>
      <c r="H828">
        <v>375.95649748532702</v>
      </c>
      <c r="I828">
        <v>0.71366964063577198</v>
      </c>
      <c r="J828">
        <v>0.307840274108172</v>
      </c>
      <c r="K828">
        <v>0.76342782238243501</v>
      </c>
      <c r="L828" t="s">
        <v>38</v>
      </c>
      <c r="M828" t="s">
        <v>34</v>
      </c>
      <c r="N828" t="s">
        <v>35</v>
      </c>
      <c r="O828">
        <v>0.77469522166031901</v>
      </c>
      <c r="P828" t="s">
        <v>36</v>
      </c>
    </row>
    <row r="829" spans="1:16">
      <c r="A829">
        <v>828</v>
      </c>
      <c r="B829" t="s">
        <v>883</v>
      </c>
      <c r="C829">
        <v>94</v>
      </c>
      <c r="D829">
        <v>55</v>
      </c>
      <c r="E829">
        <v>66.499829826909107</v>
      </c>
      <c r="F829">
        <v>1.6983821713540399</v>
      </c>
      <c r="G829">
        <v>3473.20925217391</v>
      </c>
      <c r="H829">
        <v>299.64486717970499</v>
      </c>
      <c r="I829">
        <v>0.64982682371411504</v>
      </c>
      <c r="J829">
        <v>0.48610168638807599</v>
      </c>
      <c r="K829">
        <v>0.84792626728110598</v>
      </c>
      <c r="L829" t="s">
        <v>41</v>
      </c>
      <c r="M829" t="s">
        <v>34</v>
      </c>
      <c r="N829" t="s">
        <v>35</v>
      </c>
      <c r="O829">
        <v>0.84259405449600699</v>
      </c>
      <c r="P829" t="s">
        <v>36</v>
      </c>
    </row>
    <row r="830" spans="1:16">
      <c r="A830">
        <v>829</v>
      </c>
      <c r="B830" t="s">
        <v>884</v>
      </c>
      <c r="C830">
        <v>88</v>
      </c>
      <c r="D830">
        <v>63</v>
      </c>
      <c r="E830">
        <v>66.542502606103398</v>
      </c>
      <c r="F830">
        <v>1.38793103448276</v>
      </c>
      <c r="G830">
        <v>3477.66818223062</v>
      </c>
      <c r="H830">
        <v>451.64038432639597</v>
      </c>
      <c r="I830">
        <v>0.71445769799435999</v>
      </c>
      <c r="J830">
        <v>0.21424587519880001</v>
      </c>
      <c r="K830">
        <v>0.725924547034003</v>
      </c>
      <c r="L830" t="s">
        <v>43</v>
      </c>
      <c r="M830" t="s">
        <v>34</v>
      </c>
      <c r="N830" t="s">
        <v>35</v>
      </c>
      <c r="O830">
        <v>0.8336266629254</v>
      </c>
      <c r="P830" t="s">
        <v>36</v>
      </c>
    </row>
    <row r="831" spans="1:16">
      <c r="A831">
        <v>830</v>
      </c>
      <c r="B831" t="s">
        <v>885</v>
      </c>
      <c r="C831">
        <v>120</v>
      </c>
      <c r="D831">
        <v>50</v>
      </c>
      <c r="E831">
        <v>66.623505586441198</v>
      </c>
      <c r="F831">
        <v>2.3978778928987099</v>
      </c>
      <c r="G831">
        <v>3486.1401493383701</v>
      </c>
      <c r="H831">
        <v>467.03876316578499</v>
      </c>
      <c r="I831">
        <v>0.73459961266098195</v>
      </c>
      <c r="J831">
        <v>0.20083937053128501</v>
      </c>
      <c r="K831">
        <v>0.735381721272927</v>
      </c>
      <c r="L831" t="s">
        <v>33</v>
      </c>
      <c r="M831" t="s">
        <v>34</v>
      </c>
      <c r="N831" t="s">
        <v>35</v>
      </c>
      <c r="O831">
        <v>0.84521755191159897</v>
      </c>
      <c r="P831" t="s">
        <v>36</v>
      </c>
    </row>
    <row r="832" spans="1:16">
      <c r="A832">
        <v>831</v>
      </c>
      <c r="B832" t="s">
        <v>886</v>
      </c>
      <c r="C832">
        <v>71</v>
      </c>
      <c r="D832">
        <v>97</v>
      </c>
      <c r="E832">
        <v>66.633446531834394</v>
      </c>
      <c r="F832">
        <v>0.72821242863839697</v>
      </c>
      <c r="G832">
        <v>3487.1805663516102</v>
      </c>
      <c r="H832">
        <v>358.96121381303499</v>
      </c>
      <c r="I832">
        <v>0.69958685230012996</v>
      </c>
      <c r="J832">
        <v>0.340086388017528</v>
      </c>
      <c r="K832">
        <v>0.72389003733300405</v>
      </c>
      <c r="L832" t="s">
        <v>38</v>
      </c>
      <c r="M832" t="s">
        <v>34</v>
      </c>
      <c r="N832" t="s">
        <v>35</v>
      </c>
      <c r="O832">
        <v>0.76159922886404097</v>
      </c>
      <c r="P832" t="s">
        <v>36</v>
      </c>
    </row>
    <row r="833" spans="1:16">
      <c r="A833">
        <v>832</v>
      </c>
      <c r="B833" t="s">
        <v>887</v>
      </c>
      <c r="C833">
        <v>71</v>
      </c>
      <c r="D833">
        <v>90</v>
      </c>
      <c r="E833">
        <v>66.674614658931901</v>
      </c>
      <c r="F833">
        <v>0.78501709771053296</v>
      </c>
      <c r="G833">
        <v>3491.4908654064302</v>
      </c>
      <c r="H833">
        <v>434.83057350770298</v>
      </c>
      <c r="I833">
        <v>0.571499660810036</v>
      </c>
      <c r="J833">
        <v>0.23204949604577799</v>
      </c>
      <c r="K833">
        <v>0.65185781280350796</v>
      </c>
      <c r="L833" t="s">
        <v>33</v>
      </c>
      <c r="M833" t="s">
        <v>34</v>
      </c>
      <c r="N833" t="s">
        <v>35</v>
      </c>
      <c r="O833">
        <v>0.70529423956316695</v>
      </c>
      <c r="P833" t="s">
        <v>36</v>
      </c>
    </row>
    <row r="834" spans="1:16">
      <c r="A834">
        <v>833</v>
      </c>
      <c r="B834" t="s">
        <v>888</v>
      </c>
      <c r="C834">
        <v>128</v>
      </c>
      <c r="D834">
        <v>54</v>
      </c>
      <c r="E834">
        <v>66.715757382520096</v>
      </c>
      <c r="F834">
        <v>2.3791980328793301</v>
      </c>
      <c r="G834">
        <v>3495.8011644612502</v>
      </c>
      <c r="H834">
        <v>350.19234058981402</v>
      </c>
      <c r="I834">
        <v>0.82816881042406298</v>
      </c>
      <c r="J834">
        <v>0.358214614917506</v>
      </c>
      <c r="K834">
        <v>0.75522589345920399</v>
      </c>
      <c r="L834" t="s">
        <v>33</v>
      </c>
      <c r="M834" t="s">
        <v>34</v>
      </c>
      <c r="N834" t="s">
        <v>35</v>
      </c>
      <c r="O834">
        <v>0.74736588539635496</v>
      </c>
      <c r="P834" t="s">
        <v>36</v>
      </c>
    </row>
    <row r="835" spans="1:16">
      <c r="A835">
        <v>834</v>
      </c>
      <c r="B835" t="s">
        <v>889</v>
      </c>
      <c r="C835">
        <v>67</v>
      </c>
      <c r="D835">
        <v>77</v>
      </c>
      <c r="E835">
        <v>66.837617924884199</v>
      </c>
      <c r="F835">
        <v>0.87315313944345896</v>
      </c>
      <c r="G835">
        <v>3508.5834306238198</v>
      </c>
      <c r="H835">
        <v>268.92560418294801</v>
      </c>
      <c r="I835">
        <v>0.66884081650315497</v>
      </c>
      <c r="J835">
        <v>0.60964549103007504</v>
      </c>
      <c r="K835">
        <v>0.87967207005776005</v>
      </c>
      <c r="L835" t="s">
        <v>38</v>
      </c>
      <c r="M835" t="s">
        <v>34</v>
      </c>
      <c r="N835" t="s">
        <v>35</v>
      </c>
      <c r="O835">
        <v>0.769900728249584</v>
      </c>
      <c r="P835" t="s">
        <v>36</v>
      </c>
    </row>
    <row r="836" spans="1:16">
      <c r="A836">
        <v>835</v>
      </c>
      <c r="B836" t="s">
        <v>890</v>
      </c>
      <c r="C836">
        <v>63</v>
      </c>
      <c r="D836">
        <v>82</v>
      </c>
      <c r="E836">
        <v>67.070800228471796</v>
      </c>
      <c r="F836">
        <v>0.77495151323571398</v>
      </c>
      <c r="G836">
        <v>3533.1075459357298</v>
      </c>
      <c r="H836">
        <v>271.50334939676799</v>
      </c>
      <c r="I836">
        <v>0.73900323393519496</v>
      </c>
      <c r="J836">
        <v>0.60230481922023904</v>
      </c>
      <c r="K836">
        <v>0.89482401656314703</v>
      </c>
      <c r="L836" t="s">
        <v>49</v>
      </c>
      <c r="M836" t="s">
        <v>34</v>
      </c>
      <c r="N836" t="s">
        <v>35</v>
      </c>
      <c r="O836">
        <v>0.68667316578901505</v>
      </c>
      <c r="P836" t="s">
        <v>36</v>
      </c>
    </row>
    <row r="837" spans="1:16">
      <c r="A837">
        <v>836</v>
      </c>
      <c r="B837" t="s">
        <v>891</v>
      </c>
      <c r="C837">
        <v>53</v>
      </c>
      <c r="D837">
        <v>90</v>
      </c>
      <c r="E837">
        <v>67.073621707985396</v>
      </c>
      <c r="F837">
        <v>0.58743755910706397</v>
      </c>
      <c r="G837">
        <v>3533.4048079395102</v>
      </c>
      <c r="H837">
        <v>264.21238436626402</v>
      </c>
      <c r="I837">
        <v>0.83311114355499905</v>
      </c>
      <c r="J837">
        <v>0.63605829244504397</v>
      </c>
      <c r="K837">
        <v>0.90114097266972404</v>
      </c>
      <c r="L837" t="s">
        <v>33</v>
      </c>
      <c r="M837" t="s">
        <v>34</v>
      </c>
      <c r="N837" t="s">
        <v>35</v>
      </c>
      <c r="O837">
        <v>0.71669033185684605</v>
      </c>
      <c r="P837" t="s">
        <v>36</v>
      </c>
    </row>
    <row r="838" spans="1:16">
      <c r="A838">
        <v>837</v>
      </c>
      <c r="B838" t="s">
        <v>892</v>
      </c>
      <c r="C838">
        <v>103</v>
      </c>
      <c r="D838">
        <v>59</v>
      </c>
      <c r="E838">
        <v>67.075032403235696</v>
      </c>
      <c r="F838">
        <v>1.73117331212523</v>
      </c>
      <c r="G838">
        <v>3533.5534389414001</v>
      </c>
      <c r="H838">
        <v>351.17318097073098</v>
      </c>
      <c r="I838">
        <v>0.59952933960036403</v>
      </c>
      <c r="J838">
        <v>0.36006328935063298</v>
      </c>
      <c r="K838">
        <v>0.71011678962932001</v>
      </c>
      <c r="L838" t="s">
        <v>893</v>
      </c>
      <c r="M838" t="s">
        <v>34</v>
      </c>
      <c r="N838" t="s">
        <v>35</v>
      </c>
      <c r="O838">
        <v>0.62376750177144302</v>
      </c>
      <c r="P838" t="s">
        <v>36</v>
      </c>
    </row>
    <row r="839" spans="1:16">
      <c r="A839">
        <v>838</v>
      </c>
      <c r="B839" t="s">
        <v>894</v>
      </c>
      <c r="C839">
        <v>93</v>
      </c>
      <c r="D839">
        <v>72</v>
      </c>
      <c r="E839">
        <v>67.166664040964903</v>
      </c>
      <c r="F839">
        <v>1.28683642524058</v>
      </c>
      <c r="G839">
        <v>3543.2144540642698</v>
      </c>
      <c r="H839">
        <v>589.21285378031098</v>
      </c>
      <c r="I839">
        <v>0.78688033505243205</v>
      </c>
      <c r="J839">
        <v>0.12825162543590801</v>
      </c>
      <c r="K839">
        <v>0.626435422414926</v>
      </c>
      <c r="L839" t="s">
        <v>33</v>
      </c>
      <c r="M839" t="s">
        <v>34</v>
      </c>
      <c r="N839" t="s">
        <v>35</v>
      </c>
      <c r="O839">
        <v>0.69667217502494805</v>
      </c>
      <c r="P839" t="s">
        <v>36</v>
      </c>
    </row>
    <row r="840" spans="1:16">
      <c r="A840">
        <v>839</v>
      </c>
      <c r="B840" t="s">
        <v>895</v>
      </c>
      <c r="C840">
        <v>111</v>
      </c>
      <c r="D840">
        <v>56</v>
      </c>
      <c r="E840">
        <v>67.180750122960404</v>
      </c>
      <c r="F840">
        <v>1.97210945497253</v>
      </c>
      <c r="G840">
        <v>3544.7007640831798</v>
      </c>
      <c r="H840">
        <v>330.27723325594599</v>
      </c>
      <c r="I840">
        <v>0.60205376800811905</v>
      </c>
      <c r="J840">
        <v>0.40834963075244401</v>
      </c>
      <c r="K840">
        <v>0.76451354383715298</v>
      </c>
      <c r="L840" t="s">
        <v>38</v>
      </c>
      <c r="M840" t="s">
        <v>34</v>
      </c>
      <c r="N840" t="s">
        <v>35</v>
      </c>
      <c r="O840">
        <v>0.84848158158904696</v>
      </c>
      <c r="P840" t="s">
        <v>36</v>
      </c>
    </row>
    <row r="841" spans="1:16">
      <c r="A841">
        <v>840</v>
      </c>
      <c r="B841" t="s">
        <v>896</v>
      </c>
      <c r="C841">
        <v>78</v>
      </c>
      <c r="D841">
        <v>78</v>
      </c>
      <c r="E841">
        <v>67.218767800008905</v>
      </c>
      <c r="F841">
        <v>1</v>
      </c>
      <c r="G841">
        <v>3548.7138011342199</v>
      </c>
      <c r="H841">
        <v>659.80383340296498</v>
      </c>
      <c r="I841">
        <v>0.51649261618733</v>
      </c>
      <c r="J841">
        <v>0.102435660165085</v>
      </c>
      <c r="K841">
        <v>0.59272131473114498</v>
      </c>
      <c r="L841" t="s">
        <v>47</v>
      </c>
      <c r="M841" t="s">
        <v>34</v>
      </c>
      <c r="N841" t="s">
        <v>35</v>
      </c>
      <c r="O841">
        <v>0.95035976320133897</v>
      </c>
      <c r="P841" t="s">
        <v>36</v>
      </c>
    </row>
    <row r="842" spans="1:16">
      <c r="A842">
        <v>841</v>
      </c>
      <c r="B842" t="s">
        <v>897</v>
      </c>
      <c r="C842">
        <v>107</v>
      </c>
      <c r="D842">
        <v>68</v>
      </c>
      <c r="E842">
        <v>67.320043309051002</v>
      </c>
      <c r="F842">
        <v>1.5887096774193501</v>
      </c>
      <c r="G842">
        <v>3559.4152332703202</v>
      </c>
      <c r="H842">
        <v>596.82319977739598</v>
      </c>
      <c r="I842">
        <v>0.74579881497096001</v>
      </c>
      <c r="J842">
        <v>0.125573247341939</v>
      </c>
      <c r="K842">
        <v>0.61974017907975798</v>
      </c>
      <c r="L842" t="s">
        <v>38</v>
      </c>
      <c r="M842" t="s">
        <v>34</v>
      </c>
      <c r="N842" t="s">
        <v>35</v>
      </c>
      <c r="O842">
        <v>0.74440991283868496</v>
      </c>
      <c r="P842" t="s">
        <v>36</v>
      </c>
    </row>
    <row r="843" spans="1:16">
      <c r="A843">
        <v>842</v>
      </c>
      <c r="B843" t="s">
        <v>898</v>
      </c>
      <c r="C843">
        <v>103</v>
      </c>
      <c r="D843">
        <v>83</v>
      </c>
      <c r="E843">
        <v>67.327070673529306</v>
      </c>
      <c r="F843">
        <v>1.2368421528147999</v>
      </c>
      <c r="G843">
        <v>3560.15838827977</v>
      </c>
      <c r="H843">
        <v>813.54573551229805</v>
      </c>
      <c r="I843">
        <v>0.68655373761160199</v>
      </c>
      <c r="J843">
        <v>6.7595103595532405E-2</v>
      </c>
      <c r="K843">
        <v>0.55874874618022397</v>
      </c>
      <c r="L843" t="s">
        <v>43</v>
      </c>
      <c r="M843" t="s">
        <v>34</v>
      </c>
      <c r="N843" t="s">
        <v>35</v>
      </c>
      <c r="O843">
        <v>0.66644875418739802</v>
      </c>
      <c r="P843" t="s">
        <v>36</v>
      </c>
    </row>
    <row r="844" spans="1:16">
      <c r="A844">
        <v>843</v>
      </c>
      <c r="B844" t="s">
        <v>899</v>
      </c>
      <c r="C844">
        <v>86</v>
      </c>
      <c r="D844">
        <v>58</v>
      </c>
      <c r="E844">
        <v>67.336907751712701</v>
      </c>
      <c r="F844">
        <v>1.4897702354328799</v>
      </c>
      <c r="G844">
        <v>3561.1988052930101</v>
      </c>
      <c r="H844">
        <v>279.04949595451399</v>
      </c>
      <c r="I844">
        <v>0.64293031114569599</v>
      </c>
      <c r="J844">
        <v>0.57470317739559096</v>
      </c>
      <c r="K844">
        <v>0.89610292467649</v>
      </c>
      <c r="L844" t="s">
        <v>58</v>
      </c>
      <c r="M844" t="s">
        <v>34</v>
      </c>
      <c r="N844" t="s">
        <v>35</v>
      </c>
      <c r="O844">
        <v>0.67791912564349099</v>
      </c>
      <c r="P844" t="s">
        <v>36</v>
      </c>
    </row>
    <row r="845" spans="1:16">
      <c r="A845">
        <v>844</v>
      </c>
      <c r="B845" t="s">
        <v>900</v>
      </c>
      <c r="C845">
        <v>63</v>
      </c>
      <c r="D845">
        <v>107</v>
      </c>
      <c r="E845">
        <v>67.501115259355402</v>
      </c>
      <c r="F845">
        <v>0.58883250107082596</v>
      </c>
      <c r="G845">
        <v>3578.5886325141801</v>
      </c>
      <c r="H845">
        <v>716.15496141236804</v>
      </c>
      <c r="I845">
        <v>0.61667867402409005</v>
      </c>
      <c r="J845">
        <v>8.7681431606193502E-2</v>
      </c>
      <c r="K845">
        <v>0.64208757800416005</v>
      </c>
      <c r="L845" t="s">
        <v>33</v>
      </c>
      <c r="M845" t="s">
        <v>34</v>
      </c>
      <c r="N845" t="s">
        <v>35</v>
      </c>
      <c r="O845">
        <v>0.68166986819722497</v>
      </c>
      <c r="P845" t="s">
        <v>36</v>
      </c>
    </row>
    <row r="846" spans="1:16">
      <c r="A846">
        <v>845</v>
      </c>
      <c r="B846" t="s">
        <v>901</v>
      </c>
      <c r="C846">
        <v>77</v>
      </c>
      <c r="D846">
        <v>128</v>
      </c>
      <c r="E846">
        <v>67.5319472870341</v>
      </c>
      <c r="F846">
        <v>0.6</v>
      </c>
      <c r="G846">
        <v>3581.8585145557699</v>
      </c>
      <c r="H846">
        <v>528.71755921374199</v>
      </c>
      <c r="I846">
        <v>0.67234995690385502</v>
      </c>
      <c r="J846">
        <v>0.16101666344608501</v>
      </c>
      <c r="K846">
        <v>0.509126632019267</v>
      </c>
      <c r="L846" t="s">
        <v>33</v>
      </c>
      <c r="M846" t="s">
        <v>34</v>
      </c>
      <c r="N846" t="s">
        <v>35</v>
      </c>
      <c r="O846">
        <v>0.749289728754441</v>
      </c>
      <c r="P846" t="s">
        <v>36</v>
      </c>
    </row>
    <row r="847" spans="1:16">
      <c r="A847">
        <v>846</v>
      </c>
      <c r="B847" t="s">
        <v>902</v>
      </c>
      <c r="C847">
        <v>58</v>
      </c>
      <c r="D847">
        <v>88</v>
      </c>
      <c r="E847">
        <v>67.594968995420601</v>
      </c>
      <c r="F847">
        <v>0.66049382716049398</v>
      </c>
      <c r="G847">
        <v>3588.5469096408301</v>
      </c>
      <c r="H847">
        <v>361.77305930303498</v>
      </c>
      <c r="I847">
        <v>0.73622994712525003</v>
      </c>
      <c r="J847">
        <v>0.34455300885765699</v>
      </c>
      <c r="K847">
        <v>0.81802473318651503</v>
      </c>
      <c r="L847" t="s">
        <v>74</v>
      </c>
      <c r="M847" t="s">
        <v>34</v>
      </c>
      <c r="N847" t="s">
        <v>35</v>
      </c>
      <c r="O847">
        <v>0.70713612339579501</v>
      </c>
      <c r="P847" t="s">
        <v>36</v>
      </c>
    </row>
    <row r="848" spans="1:16">
      <c r="A848">
        <v>847</v>
      </c>
      <c r="B848" t="s">
        <v>903</v>
      </c>
      <c r="C848">
        <v>70</v>
      </c>
      <c r="D848">
        <v>102</v>
      </c>
      <c r="E848">
        <v>67.615963178302593</v>
      </c>
      <c r="F848">
        <v>0.68560616556682297</v>
      </c>
      <c r="G848">
        <v>3590.7763746691899</v>
      </c>
      <c r="H848">
        <v>559.79219590093805</v>
      </c>
      <c r="I848">
        <v>0.51994613539881396</v>
      </c>
      <c r="J848">
        <v>0.143994048977682</v>
      </c>
      <c r="K848">
        <v>0.65113333153653297</v>
      </c>
      <c r="L848" t="s">
        <v>38</v>
      </c>
      <c r="M848" t="s">
        <v>34</v>
      </c>
      <c r="N848" t="s">
        <v>35</v>
      </c>
      <c r="O848">
        <v>0.71466066500096803</v>
      </c>
      <c r="P848" t="s">
        <v>36</v>
      </c>
    </row>
    <row r="849" spans="1:16">
      <c r="A849">
        <v>848</v>
      </c>
      <c r="B849" t="s">
        <v>904</v>
      </c>
      <c r="C849">
        <v>68</v>
      </c>
      <c r="D849">
        <v>74</v>
      </c>
      <c r="E849">
        <v>67.6565334593475</v>
      </c>
      <c r="F849">
        <v>0.92592592592592604</v>
      </c>
      <c r="G849">
        <v>3595.0866737240099</v>
      </c>
      <c r="H849">
        <v>307.173825490578</v>
      </c>
      <c r="I849">
        <v>0.67442081937201004</v>
      </c>
      <c r="J849">
        <v>0.47879633399919802</v>
      </c>
      <c r="K849">
        <v>0.88251605370694697</v>
      </c>
      <c r="L849" t="s">
        <v>43</v>
      </c>
      <c r="M849" t="s">
        <v>34</v>
      </c>
      <c r="N849" t="s">
        <v>35</v>
      </c>
      <c r="O849">
        <v>0.78871897085261999</v>
      </c>
      <c r="P849" t="s">
        <v>36</v>
      </c>
    </row>
    <row r="850" spans="1:16">
      <c r="A850">
        <v>849</v>
      </c>
      <c r="B850" t="s">
        <v>905</v>
      </c>
      <c r="C850">
        <v>83</v>
      </c>
      <c r="D850">
        <v>69</v>
      </c>
      <c r="E850">
        <v>67.664924273591595</v>
      </c>
      <c r="F850">
        <v>1.2063492063492101</v>
      </c>
      <c r="G850">
        <v>3595.97845973535</v>
      </c>
      <c r="H850">
        <v>583.02172577090903</v>
      </c>
      <c r="I850">
        <v>0.52245560093792198</v>
      </c>
      <c r="J850">
        <v>0.132940549121805</v>
      </c>
      <c r="K850">
        <v>0.72792369949153102</v>
      </c>
      <c r="L850" t="s">
        <v>33</v>
      </c>
      <c r="M850" t="s">
        <v>34</v>
      </c>
      <c r="N850" t="s">
        <v>35</v>
      </c>
      <c r="O850">
        <v>0.70119535398016097</v>
      </c>
      <c r="P850" t="s">
        <v>36</v>
      </c>
    </row>
    <row r="851" spans="1:16">
      <c r="A851">
        <v>850</v>
      </c>
      <c r="B851" t="s">
        <v>906</v>
      </c>
      <c r="C851">
        <v>69</v>
      </c>
      <c r="D851">
        <v>130</v>
      </c>
      <c r="E851">
        <v>67.701272451480406</v>
      </c>
      <c r="F851">
        <v>0.53361344537815103</v>
      </c>
      <c r="G851">
        <v>3599.8428657845002</v>
      </c>
      <c r="H851">
        <v>496.23310677735702</v>
      </c>
      <c r="I851">
        <v>0.804600255244035</v>
      </c>
      <c r="J851">
        <v>0.18370540627902401</v>
      </c>
      <c r="K851">
        <v>0.61121485893100502</v>
      </c>
      <c r="L851" t="s">
        <v>38</v>
      </c>
      <c r="M851" t="s">
        <v>34</v>
      </c>
      <c r="N851" t="s">
        <v>35</v>
      </c>
      <c r="O851">
        <v>0.69916354200062503</v>
      </c>
      <c r="P851" t="s">
        <v>36</v>
      </c>
    </row>
    <row r="852" spans="1:16">
      <c r="A852">
        <v>851</v>
      </c>
      <c r="B852" t="s">
        <v>907</v>
      </c>
      <c r="C852">
        <v>59</v>
      </c>
      <c r="D852">
        <v>103</v>
      </c>
      <c r="E852">
        <v>67.747378593068305</v>
      </c>
      <c r="F852">
        <v>0.57446808510638303</v>
      </c>
      <c r="G852">
        <v>3604.74768884688</v>
      </c>
      <c r="H852">
        <v>503.84896200874601</v>
      </c>
      <c r="I852">
        <v>0.78327468135582801</v>
      </c>
      <c r="J852">
        <v>0.17843662475500599</v>
      </c>
      <c r="K852">
        <v>0.70915204678362598</v>
      </c>
      <c r="L852" t="s">
        <v>33</v>
      </c>
      <c r="M852" t="s">
        <v>34</v>
      </c>
      <c r="N852" t="s">
        <v>35</v>
      </c>
      <c r="O852">
        <v>0.62647368620663302</v>
      </c>
      <c r="P852" t="s">
        <v>36</v>
      </c>
    </row>
    <row r="853" spans="1:16">
      <c r="A853">
        <v>852</v>
      </c>
      <c r="B853" t="s">
        <v>908</v>
      </c>
      <c r="C853">
        <v>84</v>
      </c>
      <c r="D853">
        <v>72</v>
      </c>
      <c r="E853">
        <v>67.850654223462598</v>
      </c>
      <c r="F853">
        <v>1.16522743689667</v>
      </c>
      <c r="G853">
        <v>3615.7463829867702</v>
      </c>
      <c r="H853">
        <v>344.38089998214099</v>
      </c>
      <c r="I853">
        <v>0.72647905946664904</v>
      </c>
      <c r="J853">
        <v>0.383115489605034</v>
      </c>
      <c r="K853">
        <v>0.77998653371380899</v>
      </c>
      <c r="L853" t="s">
        <v>38</v>
      </c>
      <c r="M853" t="s">
        <v>34</v>
      </c>
      <c r="N853" t="s">
        <v>35</v>
      </c>
      <c r="O853">
        <v>0.79140581375705799</v>
      </c>
      <c r="P853" t="s">
        <v>36</v>
      </c>
    </row>
    <row r="854" spans="1:16">
      <c r="A854">
        <v>853</v>
      </c>
      <c r="B854" t="s">
        <v>909</v>
      </c>
      <c r="C854">
        <v>83</v>
      </c>
      <c r="D854">
        <v>93</v>
      </c>
      <c r="E854">
        <v>68.012230160294095</v>
      </c>
      <c r="F854">
        <v>0.89411764705882402</v>
      </c>
      <c r="G854">
        <v>3632.9875792060502</v>
      </c>
      <c r="H854">
        <v>643.54750382703298</v>
      </c>
      <c r="I854">
        <v>0.60371742938637696</v>
      </c>
      <c r="J854">
        <v>0.110233236030545</v>
      </c>
      <c r="K854">
        <v>0.61788720645112405</v>
      </c>
      <c r="L854" t="s">
        <v>38</v>
      </c>
      <c r="M854" t="s">
        <v>34</v>
      </c>
      <c r="N854" t="s">
        <v>35</v>
      </c>
      <c r="O854">
        <v>0.83707672293940705</v>
      </c>
      <c r="P854" t="s">
        <v>36</v>
      </c>
    </row>
    <row r="855" spans="1:16">
      <c r="A855">
        <v>854</v>
      </c>
      <c r="B855" t="s">
        <v>910</v>
      </c>
      <c r="C855">
        <v>104</v>
      </c>
      <c r="D855">
        <v>73</v>
      </c>
      <c r="E855">
        <v>68.126216441613806</v>
      </c>
      <c r="F855">
        <v>1.4179104477611899</v>
      </c>
      <c r="G855">
        <v>3645.17532136106</v>
      </c>
      <c r="H855">
        <v>637.86284586792397</v>
      </c>
      <c r="I855">
        <v>0.58067106219721398</v>
      </c>
      <c r="J855">
        <v>0.112583221875071</v>
      </c>
      <c r="K855">
        <v>0.60992290475006194</v>
      </c>
      <c r="L855" t="s">
        <v>38</v>
      </c>
      <c r="M855" t="s">
        <v>34</v>
      </c>
      <c r="N855" t="s">
        <v>35</v>
      </c>
      <c r="O855">
        <v>0.65868356308610698</v>
      </c>
      <c r="P855" t="s">
        <v>36</v>
      </c>
    </row>
    <row r="856" spans="1:16">
      <c r="A856">
        <v>855</v>
      </c>
      <c r="B856" t="s">
        <v>911</v>
      </c>
      <c r="C856">
        <v>113</v>
      </c>
      <c r="D856">
        <v>59</v>
      </c>
      <c r="E856">
        <v>68.126216441613806</v>
      </c>
      <c r="F856">
        <v>1.9142743784501399</v>
      </c>
      <c r="G856">
        <v>3645.17532136106</v>
      </c>
      <c r="H856">
        <v>414.737779328616</v>
      </c>
      <c r="I856">
        <v>0.76648004877156795</v>
      </c>
      <c r="J856">
        <v>0.266306084647844</v>
      </c>
      <c r="K856">
        <v>0.68444407233757498</v>
      </c>
      <c r="L856" t="s">
        <v>47</v>
      </c>
      <c r="M856" t="s">
        <v>34</v>
      </c>
      <c r="N856" t="s">
        <v>35</v>
      </c>
      <c r="O856">
        <v>0.92508629835954603</v>
      </c>
      <c r="P856" t="s">
        <v>36</v>
      </c>
    </row>
    <row r="857" spans="1:16">
      <c r="A857">
        <v>856</v>
      </c>
      <c r="B857" t="s">
        <v>912</v>
      </c>
      <c r="C857">
        <v>95</v>
      </c>
      <c r="D857">
        <v>72</v>
      </c>
      <c r="E857">
        <v>68.187301258324794</v>
      </c>
      <c r="F857">
        <v>1.3212220377092001</v>
      </c>
      <c r="G857">
        <v>3651.7150854442302</v>
      </c>
      <c r="H857">
        <v>395.14756219563299</v>
      </c>
      <c r="I857">
        <v>0.61628421058052096</v>
      </c>
      <c r="J857">
        <v>0.29389225128990099</v>
      </c>
      <c r="K857">
        <v>0.73524658846061797</v>
      </c>
      <c r="L857" t="s">
        <v>298</v>
      </c>
      <c r="M857" t="s">
        <v>34</v>
      </c>
      <c r="N857" t="s">
        <v>35</v>
      </c>
      <c r="O857">
        <v>0.64151762267281998</v>
      </c>
      <c r="P857" t="s">
        <v>36</v>
      </c>
    </row>
    <row r="858" spans="1:16">
      <c r="A858">
        <v>857</v>
      </c>
      <c r="B858" t="s">
        <v>913</v>
      </c>
      <c r="C858">
        <v>52</v>
      </c>
      <c r="D858">
        <v>114</v>
      </c>
      <c r="E858">
        <v>68.199789139821902</v>
      </c>
      <c r="F858">
        <v>0.45424415321303502</v>
      </c>
      <c r="G858">
        <v>3653.0527644612498</v>
      </c>
      <c r="H858">
        <v>388.59004202718302</v>
      </c>
      <c r="I858">
        <v>0.77899626139020195</v>
      </c>
      <c r="J858">
        <v>0.30400622375066699</v>
      </c>
      <c r="K858">
        <v>0.77768636881407405</v>
      </c>
      <c r="L858" t="s">
        <v>49</v>
      </c>
      <c r="M858" t="s">
        <v>34</v>
      </c>
      <c r="N858" t="s">
        <v>35</v>
      </c>
      <c r="O858">
        <v>0.72111882462556698</v>
      </c>
      <c r="P858" t="s">
        <v>36</v>
      </c>
    </row>
    <row r="859" spans="1:16">
      <c r="A859">
        <v>858</v>
      </c>
      <c r="B859" t="s">
        <v>914</v>
      </c>
      <c r="C859">
        <v>69</v>
      </c>
      <c r="D859">
        <v>78</v>
      </c>
      <c r="E859">
        <v>68.2705106546331</v>
      </c>
      <c r="F859">
        <v>0.88386213971878702</v>
      </c>
      <c r="G859">
        <v>3660.6329455576602</v>
      </c>
      <c r="H859">
        <v>301.47976529297603</v>
      </c>
      <c r="I859">
        <v>0.69439481035087902</v>
      </c>
      <c r="J859">
        <v>0.50611558518561095</v>
      </c>
      <c r="K859">
        <v>0.89251676028266003</v>
      </c>
      <c r="L859" t="s">
        <v>144</v>
      </c>
      <c r="M859" t="s">
        <v>34</v>
      </c>
      <c r="N859" t="s">
        <v>35</v>
      </c>
      <c r="O859">
        <v>0.78007711828183701</v>
      </c>
      <c r="P859" t="s">
        <v>36</v>
      </c>
    </row>
    <row r="860" spans="1:16">
      <c r="A860">
        <v>859</v>
      </c>
      <c r="B860" t="s">
        <v>915</v>
      </c>
      <c r="C860">
        <v>111</v>
      </c>
      <c r="D860">
        <v>58</v>
      </c>
      <c r="E860">
        <v>68.271896618693305</v>
      </c>
      <c r="F860">
        <v>1.89719626168224</v>
      </c>
      <c r="G860">
        <v>3660.7815765595501</v>
      </c>
      <c r="H860">
        <v>381.62786020175298</v>
      </c>
      <c r="I860">
        <v>0.78075460362468996</v>
      </c>
      <c r="J860">
        <v>0.31586647708155502</v>
      </c>
      <c r="K860">
        <v>0.68752791424743198</v>
      </c>
      <c r="L860" t="s">
        <v>38</v>
      </c>
      <c r="M860" t="s">
        <v>34</v>
      </c>
      <c r="N860" t="s">
        <v>35</v>
      </c>
      <c r="O860">
        <v>0.749884567402058</v>
      </c>
      <c r="P860" t="s">
        <v>36</v>
      </c>
    </row>
    <row r="861" spans="1:16">
      <c r="A861">
        <v>860</v>
      </c>
      <c r="B861" t="s">
        <v>916</v>
      </c>
      <c r="C861">
        <v>78</v>
      </c>
      <c r="D861">
        <v>113</v>
      </c>
      <c r="E861">
        <v>68.424181277698807</v>
      </c>
      <c r="F861">
        <v>0.68930249591671</v>
      </c>
      <c r="G861">
        <v>3677.13098676749</v>
      </c>
      <c r="H861">
        <v>490.57503930361401</v>
      </c>
      <c r="I861">
        <v>0.71259349684940898</v>
      </c>
      <c r="J861">
        <v>0.19200302452221199</v>
      </c>
      <c r="K861">
        <v>0.58109219025249603</v>
      </c>
      <c r="L861" t="s">
        <v>38</v>
      </c>
      <c r="M861" t="s">
        <v>34</v>
      </c>
      <c r="N861" t="s">
        <v>35</v>
      </c>
      <c r="O861">
        <v>0.80923956556261001</v>
      </c>
      <c r="P861" t="s">
        <v>36</v>
      </c>
    </row>
    <row r="862" spans="1:16">
      <c r="A862">
        <v>861</v>
      </c>
      <c r="B862" t="s">
        <v>917</v>
      </c>
      <c r="C862">
        <v>87</v>
      </c>
      <c r="D862">
        <v>61</v>
      </c>
      <c r="E862">
        <v>68.4421561672537</v>
      </c>
      <c r="F862">
        <v>1.4198446148791399</v>
      </c>
      <c r="G862">
        <v>3679.0631897920598</v>
      </c>
      <c r="H862">
        <v>288.20194958365499</v>
      </c>
      <c r="I862">
        <v>0.63278325117270195</v>
      </c>
      <c r="J862">
        <v>0.55661291948066605</v>
      </c>
      <c r="K862">
        <v>0.88937194596148295</v>
      </c>
      <c r="L862" t="s">
        <v>33</v>
      </c>
      <c r="M862" t="s">
        <v>34</v>
      </c>
      <c r="N862" t="s">
        <v>35</v>
      </c>
      <c r="O862">
        <v>0.715369983536565</v>
      </c>
      <c r="P862" t="s">
        <v>36</v>
      </c>
    </row>
    <row r="863" spans="1:16">
      <c r="A863">
        <v>862</v>
      </c>
      <c r="B863" t="s">
        <v>918</v>
      </c>
      <c r="C863">
        <v>48</v>
      </c>
      <c r="D863">
        <v>156</v>
      </c>
      <c r="E863">
        <v>68.462890560218398</v>
      </c>
      <c r="F863">
        <v>0.306680153182253</v>
      </c>
      <c r="G863">
        <v>3681.29265482042</v>
      </c>
      <c r="H863">
        <v>430.55573129778298</v>
      </c>
      <c r="I863">
        <v>0.72586797860034402</v>
      </c>
      <c r="J863">
        <v>0.249546486151937</v>
      </c>
      <c r="K863">
        <v>0.58006042296072502</v>
      </c>
      <c r="L863" t="s">
        <v>47</v>
      </c>
      <c r="M863" t="s">
        <v>34</v>
      </c>
      <c r="N863" t="s">
        <v>35</v>
      </c>
      <c r="O863">
        <v>0.94992058834683402</v>
      </c>
      <c r="P863" t="s">
        <v>36</v>
      </c>
    </row>
    <row r="864" spans="1:16">
      <c r="A864">
        <v>863</v>
      </c>
      <c r="B864" t="s">
        <v>919</v>
      </c>
      <c r="C864">
        <v>116</v>
      </c>
      <c r="D864">
        <v>75</v>
      </c>
      <c r="E864">
        <v>68.523675252458403</v>
      </c>
      <c r="F864">
        <v>1.5362318840579701</v>
      </c>
      <c r="G864">
        <v>3687.8324189035902</v>
      </c>
      <c r="H864">
        <v>570.17677843404897</v>
      </c>
      <c r="I864">
        <v>0.77906776426684599</v>
      </c>
      <c r="J864">
        <v>0.14254828284992499</v>
      </c>
      <c r="K864">
        <v>0.54489952783573103</v>
      </c>
      <c r="L864" t="s">
        <v>47</v>
      </c>
      <c r="M864" t="s">
        <v>34</v>
      </c>
      <c r="N864" t="s">
        <v>35</v>
      </c>
      <c r="O864">
        <v>0.95066655189732996</v>
      </c>
      <c r="P864" t="s">
        <v>36</v>
      </c>
    </row>
    <row r="865" spans="1:16">
      <c r="A865">
        <v>864</v>
      </c>
      <c r="B865" t="s">
        <v>920</v>
      </c>
      <c r="C865">
        <v>117</v>
      </c>
      <c r="D865">
        <v>62</v>
      </c>
      <c r="E865">
        <v>68.653353157783499</v>
      </c>
      <c r="F865">
        <v>1.87553372244376</v>
      </c>
      <c r="G865">
        <v>3701.8037330812899</v>
      </c>
      <c r="H865">
        <v>439.434198922696</v>
      </c>
      <c r="I865">
        <v>0.65043813115030202</v>
      </c>
      <c r="J865">
        <v>0.24089930520793201</v>
      </c>
      <c r="K865">
        <v>0.59542422721078703</v>
      </c>
      <c r="L865" t="s">
        <v>58</v>
      </c>
      <c r="M865" t="s">
        <v>34</v>
      </c>
      <c r="N865" t="s">
        <v>35</v>
      </c>
      <c r="O865">
        <v>0.69060015644100603</v>
      </c>
      <c r="P865" t="s">
        <v>36</v>
      </c>
    </row>
    <row r="866" spans="1:16">
      <c r="A866">
        <v>865</v>
      </c>
      <c r="B866" t="s">
        <v>921</v>
      </c>
      <c r="C866">
        <v>87</v>
      </c>
      <c r="D866">
        <v>99</v>
      </c>
      <c r="E866">
        <v>68.793790944123302</v>
      </c>
      <c r="F866">
        <v>0.879120879120879</v>
      </c>
      <c r="G866">
        <v>3716.9640952741001</v>
      </c>
      <c r="H866">
        <v>540.34756589350502</v>
      </c>
      <c r="I866">
        <v>0.55617496918831999</v>
      </c>
      <c r="J866">
        <v>0.15997489401183701</v>
      </c>
      <c r="K866">
        <v>0.601674526032143</v>
      </c>
      <c r="L866" t="s">
        <v>33</v>
      </c>
      <c r="M866" t="s">
        <v>34</v>
      </c>
      <c r="N866" t="s">
        <v>35</v>
      </c>
      <c r="O866">
        <v>0.725491794872416</v>
      </c>
      <c r="P866" t="s">
        <v>36</v>
      </c>
    </row>
    <row r="867" spans="1:16">
      <c r="A867">
        <v>866</v>
      </c>
      <c r="B867" t="s">
        <v>922</v>
      </c>
      <c r="C867">
        <v>113</v>
      </c>
      <c r="D867">
        <v>70</v>
      </c>
      <c r="E867">
        <v>68.836416244661805</v>
      </c>
      <c r="F867">
        <v>1.6046511627907001</v>
      </c>
      <c r="G867">
        <v>3721.5716563327001</v>
      </c>
      <c r="H867">
        <v>579.23293290418098</v>
      </c>
      <c r="I867">
        <v>0.68571510103147304</v>
      </c>
      <c r="J867">
        <v>0.13938940271698699</v>
      </c>
      <c r="K867">
        <v>0.62514668064814105</v>
      </c>
      <c r="L867" t="s">
        <v>49</v>
      </c>
      <c r="M867" t="s">
        <v>34</v>
      </c>
      <c r="N867" t="s">
        <v>35</v>
      </c>
      <c r="O867">
        <v>0.82882848900708295</v>
      </c>
      <c r="P867" t="s">
        <v>36</v>
      </c>
    </row>
    <row r="868" spans="1:16">
      <c r="A868">
        <v>867</v>
      </c>
      <c r="B868" t="s">
        <v>923</v>
      </c>
      <c r="C868">
        <v>78</v>
      </c>
      <c r="D868">
        <v>113</v>
      </c>
      <c r="E868">
        <v>69.154584425460897</v>
      </c>
      <c r="F868">
        <v>0.69082125603864697</v>
      </c>
      <c r="G868">
        <v>3756.0540487712701</v>
      </c>
      <c r="H868">
        <v>714.95493222806795</v>
      </c>
      <c r="I868">
        <v>0.571564126991287</v>
      </c>
      <c r="J868">
        <v>9.2338829261968694E-2</v>
      </c>
      <c r="K868">
        <v>0.587561032318066</v>
      </c>
      <c r="L868" t="s">
        <v>33</v>
      </c>
      <c r="M868" t="s">
        <v>34</v>
      </c>
      <c r="N868" t="s">
        <v>35</v>
      </c>
      <c r="O868">
        <v>0.73282587433427904</v>
      </c>
      <c r="P868" t="s">
        <v>36</v>
      </c>
    </row>
    <row r="869" spans="1:16">
      <c r="A869">
        <v>868</v>
      </c>
      <c r="B869" t="s">
        <v>924</v>
      </c>
      <c r="C869">
        <v>85</v>
      </c>
      <c r="D869">
        <v>101</v>
      </c>
      <c r="E869">
        <v>69.186047242557095</v>
      </c>
      <c r="F869">
        <v>0.83377716994828399</v>
      </c>
      <c r="G869">
        <v>3759.47256181475</v>
      </c>
      <c r="H869">
        <v>699.853236874083</v>
      </c>
      <c r="I869">
        <v>0.59034109524751399</v>
      </c>
      <c r="J869">
        <v>9.6454575129878303E-2</v>
      </c>
      <c r="K869">
        <v>0.56497654679472897</v>
      </c>
      <c r="L869" t="s">
        <v>38</v>
      </c>
      <c r="M869" t="s">
        <v>34</v>
      </c>
      <c r="N869" t="s">
        <v>35</v>
      </c>
      <c r="O869">
        <v>0.69172824792577903</v>
      </c>
      <c r="P869" t="s">
        <v>36</v>
      </c>
    </row>
    <row r="870" spans="1:16">
      <c r="A870">
        <v>869</v>
      </c>
      <c r="B870" t="s">
        <v>925</v>
      </c>
      <c r="C870">
        <v>72</v>
      </c>
      <c r="D870">
        <v>83</v>
      </c>
      <c r="E870">
        <v>69.229797810358505</v>
      </c>
      <c r="F870">
        <v>0.86809689884099805</v>
      </c>
      <c r="G870">
        <v>3764.2287538752398</v>
      </c>
      <c r="H870">
        <v>352.03664094157801</v>
      </c>
      <c r="I870">
        <v>0.64662707499056105</v>
      </c>
      <c r="J870">
        <v>0.38168943151173301</v>
      </c>
      <c r="K870">
        <v>0.83104183757177996</v>
      </c>
      <c r="L870" t="s">
        <v>72</v>
      </c>
      <c r="M870" t="s">
        <v>34</v>
      </c>
      <c r="N870" t="s">
        <v>35</v>
      </c>
      <c r="O870">
        <v>0.71304076034698105</v>
      </c>
      <c r="P870" t="s">
        <v>36</v>
      </c>
    </row>
    <row r="871" spans="1:16">
      <c r="A871">
        <v>870</v>
      </c>
      <c r="B871" t="s">
        <v>926</v>
      </c>
      <c r="C871">
        <v>127</v>
      </c>
      <c r="D871">
        <v>65</v>
      </c>
      <c r="E871">
        <v>69.581531781872002</v>
      </c>
      <c r="F871">
        <v>1.96421691240497</v>
      </c>
      <c r="G871">
        <v>3802.57555236295</v>
      </c>
      <c r="H871">
        <v>518.03629319522702</v>
      </c>
      <c r="I871">
        <v>0.70287984156271099</v>
      </c>
      <c r="J871">
        <v>0.17806039869349299</v>
      </c>
      <c r="K871">
        <v>0.63303228999133998</v>
      </c>
      <c r="L871" t="s">
        <v>38</v>
      </c>
      <c r="M871" t="s">
        <v>34</v>
      </c>
      <c r="N871" t="s">
        <v>35</v>
      </c>
      <c r="O871">
        <v>0.71775367044921601</v>
      </c>
      <c r="P871" t="s">
        <v>36</v>
      </c>
    </row>
    <row r="872" spans="1:16">
      <c r="A872">
        <v>871</v>
      </c>
      <c r="B872" t="s">
        <v>927</v>
      </c>
      <c r="C872">
        <v>81</v>
      </c>
      <c r="D872">
        <v>99</v>
      </c>
      <c r="E872">
        <v>69.618238433470395</v>
      </c>
      <c r="F872">
        <v>0.82365547613929602</v>
      </c>
      <c r="G872">
        <v>3806.5885894139901</v>
      </c>
      <c r="H872">
        <v>394.735775074233</v>
      </c>
      <c r="I872">
        <v>0.58629628683212798</v>
      </c>
      <c r="J872">
        <v>0.30699607890311797</v>
      </c>
      <c r="K872">
        <v>0.68945002288206303</v>
      </c>
      <c r="L872" t="s">
        <v>144</v>
      </c>
      <c r="M872" t="s">
        <v>34</v>
      </c>
      <c r="N872" t="s">
        <v>35</v>
      </c>
      <c r="O872">
        <v>0.67950865782098602</v>
      </c>
      <c r="P872" t="s">
        <v>36</v>
      </c>
    </row>
    <row r="873" spans="1:16">
      <c r="A873">
        <v>872</v>
      </c>
      <c r="B873" t="s">
        <v>928</v>
      </c>
      <c r="C873">
        <v>64</v>
      </c>
      <c r="D873">
        <v>89</v>
      </c>
      <c r="E873">
        <v>69.824523189886193</v>
      </c>
      <c r="F873">
        <v>0.72450318742587705</v>
      </c>
      <c r="G873">
        <v>3829.1805017013198</v>
      </c>
      <c r="H873">
        <v>412.59451871737201</v>
      </c>
      <c r="I873">
        <v>0.78753701540670695</v>
      </c>
      <c r="J873">
        <v>0.28266288977354398</v>
      </c>
      <c r="K873">
        <v>0.78200030353619698</v>
      </c>
      <c r="L873" t="s">
        <v>33</v>
      </c>
      <c r="M873" t="s">
        <v>34</v>
      </c>
      <c r="N873" t="s">
        <v>35</v>
      </c>
      <c r="O873">
        <v>0.687886562073179</v>
      </c>
      <c r="P873" t="s">
        <v>36</v>
      </c>
    </row>
    <row r="874" spans="1:16">
      <c r="A874">
        <v>873</v>
      </c>
      <c r="B874" t="s">
        <v>929</v>
      </c>
      <c r="C874">
        <v>63</v>
      </c>
      <c r="D874">
        <v>107</v>
      </c>
      <c r="E874">
        <v>69.842137682020507</v>
      </c>
      <c r="F874">
        <v>0.58883248730964499</v>
      </c>
      <c r="G874">
        <v>3831.1127047259001</v>
      </c>
      <c r="H874">
        <v>521.24112132963899</v>
      </c>
      <c r="I874">
        <v>0.74177833250958902</v>
      </c>
      <c r="J874">
        <v>0.177197443393383</v>
      </c>
      <c r="K874">
        <v>0.71635817908954502</v>
      </c>
      <c r="L874" t="s">
        <v>74</v>
      </c>
      <c r="M874" t="s">
        <v>34</v>
      </c>
      <c r="N874" t="s">
        <v>35</v>
      </c>
      <c r="O874">
        <v>0.71647724251794298</v>
      </c>
      <c r="P874" t="s">
        <v>36</v>
      </c>
    </row>
    <row r="875" spans="1:16">
      <c r="A875">
        <v>874</v>
      </c>
      <c r="B875" t="s">
        <v>930</v>
      </c>
      <c r="C875">
        <v>144</v>
      </c>
      <c r="D875">
        <v>50</v>
      </c>
      <c r="E875">
        <v>70.277026117148694</v>
      </c>
      <c r="F875">
        <v>2.8804347826086998</v>
      </c>
      <c r="G875">
        <v>3878.9718873345901</v>
      </c>
      <c r="H875">
        <v>479.95407972024799</v>
      </c>
      <c r="I875">
        <v>0.84113890117449197</v>
      </c>
      <c r="J875">
        <v>0.21160558246858599</v>
      </c>
      <c r="K875">
        <v>0.631194524391129</v>
      </c>
      <c r="L875" t="s">
        <v>33</v>
      </c>
      <c r="M875" t="s">
        <v>34</v>
      </c>
      <c r="N875" t="s">
        <v>35</v>
      </c>
      <c r="O875">
        <v>0.827344471554046</v>
      </c>
      <c r="P875" t="s">
        <v>36</v>
      </c>
    </row>
    <row r="876" spans="1:16">
      <c r="A876">
        <v>875</v>
      </c>
      <c r="B876" t="s">
        <v>931</v>
      </c>
      <c r="C876">
        <v>100</v>
      </c>
      <c r="D876">
        <v>98</v>
      </c>
      <c r="E876">
        <v>70.303949087188599</v>
      </c>
      <c r="F876">
        <v>1.0279329608938499</v>
      </c>
      <c r="G876">
        <v>3881.9445073724</v>
      </c>
      <c r="H876">
        <v>500.27935794540099</v>
      </c>
      <c r="I876">
        <v>0.64927610292009696</v>
      </c>
      <c r="J876">
        <v>0.19490995411502801</v>
      </c>
      <c r="K876">
        <v>0.53977307954615905</v>
      </c>
      <c r="L876" t="s">
        <v>49</v>
      </c>
      <c r="M876" t="s">
        <v>34</v>
      </c>
      <c r="N876" t="s">
        <v>35</v>
      </c>
      <c r="O876">
        <v>0.796473147483579</v>
      </c>
      <c r="P876" t="s">
        <v>36</v>
      </c>
    </row>
    <row r="877" spans="1:16">
      <c r="A877">
        <v>876</v>
      </c>
      <c r="B877" t="s">
        <v>932</v>
      </c>
      <c r="C877">
        <v>83</v>
      </c>
      <c r="D877">
        <v>82</v>
      </c>
      <c r="E877">
        <v>70.359108968849199</v>
      </c>
      <c r="F877">
        <v>1.0071156553601199</v>
      </c>
      <c r="G877">
        <v>3888.0383784499099</v>
      </c>
      <c r="H877">
        <v>350.963394405842</v>
      </c>
      <c r="I877">
        <v>0.63219540567877996</v>
      </c>
      <c r="J877">
        <v>0.39665849854136898</v>
      </c>
      <c r="K877">
        <v>0.76129914728907799</v>
      </c>
      <c r="L877" t="s">
        <v>74</v>
      </c>
      <c r="M877" t="s">
        <v>34</v>
      </c>
      <c r="N877" t="s">
        <v>35</v>
      </c>
      <c r="O877">
        <v>0.72648138919931304</v>
      </c>
      <c r="P877" t="s">
        <v>36</v>
      </c>
    </row>
    <row r="878" spans="1:16">
      <c r="A878">
        <v>877</v>
      </c>
      <c r="B878" t="s">
        <v>933</v>
      </c>
      <c r="C878">
        <v>75</v>
      </c>
      <c r="D878">
        <v>83</v>
      </c>
      <c r="E878">
        <v>70.371211448382994</v>
      </c>
      <c r="F878">
        <v>0.90789473684210498</v>
      </c>
      <c r="G878">
        <v>3889.37605746692</v>
      </c>
      <c r="H878">
        <v>355.56701982083501</v>
      </c>
      <c r="I878">
        <v>0.66459467742327305</v>
      </c>
      <c r="J878">
        <v>0.386586654037124</v>
      </c>
      <c r="K878">
        <v>0.80161744884205399</v>
      </c>
      <c r="L878" t="s">
        <v>49</v>
      </c>
      <c r="M878" t="s">
        <v>34</v>
      </c>
      <c r="N878" t="s">
        <v>35</v>
      </c>
      <c r="O878">
        <v>0.67096332005561499</v>
      </c>
      <c r="P878" t="s">
        <v>36</v>
      </c>
    </row>
    <row r="879" spans="1:16">
      <c r="A879">
        <v>878</v>
      </c>
      <c r="B879" t="s">
        <v>934</v>
      </c>
      <c r="C879">
        <v>123</v>
      </c>
      <c r="D879">
        <v>92</v>
      </c>
      <c r="E879">
        <v>70.373900605632102</v>
      </c>
      <c r="F879">
        <v>1.3284278328052299</v>
      </c>
      <c r="G879">
        <v>3889.6733194706999</v>
      </c>
      <c r="H879">
        <v>794.40785177272301</v>
      </c>
      <c r="I879">
        <v>0.71984955343450097</v>
      </c>
      <c r="J879">
        <v>7.7452588378364495E-2</v>
      </c>
      <c r="K879">
        <v>0.40784839323006</v>
      </c>
      <c r="L879" t="s">
        <v>144</v>
      </c>
      <c r="M879" t="s">
        <v>34</v>
      </c>
      <c r="N879" t="s">
        <v>35</v>
      </c>
      <c r="O879">
        <v>0.69265017894968905</v>
      </c>
      <c r="P879" t="s">
        <v>36</v>
      </c>
    </row>
    <row r="880" spans="1:16">
      <c r="A880">
        <v>879</v>
      </c>
      <c r="B880" t="s">
        <v>935</v>
      </c>
      <c r="C880">
        <v>103</v>
      </c>
      <c r="D880">
        <v>83</v>
      </c>
      <c r="E880">
        <v>70.548475954090193</v>
      </c>
      <c r="F880">
        <v>1.2287581699346399</v>
      </c>
      <c r="G880">
        <v>3908.9953497164502</v>
      </c>
      <c r="H880">
        <v>589.84999948335701</v>
      </c>
      <c r="I880">
        <v>0.56617563530860604</v>
      </c>
      <c r="J880">
        <v>0.14118607049176801</v>
      </c>
      <c r="K880">
        <v>0.59392078045255403</v>
      </c>
      <c r="L880" t="s">
        <v>38</v>
      </c>
      <c r="M880" t="s">
        <v>34</v>
      </c>
      <c r="N880" t="s">
        <v>35</v>
      </c>
      <c r="O880">
        <v>0.83760638854811598</v>
      </c>
      <c r="P880" t="s">
        <v>36</v>
      </c>
    </row>
    <row r="881" spans="1:16">
      <c r="A881">
        <v>880</v>
      </c>
      <c r="B881" t="s">
        <v>936</v>
      </c>
      <c r="C881">
        <v>77</v>
      </c>
      <c r="D881">
        <v>88</v>
      </c>
      <c r="E881">
        <v>70.671761004020794</v>
      </c>
      <c r="F881">
        <v>0.881987577639752</v>
      </c>
      <c r="G881">
        <v>3922.6694018903599</v>
      </c>
      <c r="H881">
        <v>681.42543997142604</v>
      </c>
      <c r="I881">
        <v>0.675437065312809</v>
      </c>
      <c r="J881">
        <v>0.106158527364396</v>
      </c>
      <c r="K881">
        <v>0.65726951237734699</v>
      </c>
      <c r="L881" t="s">
        <v>893</v>
      </c>
      <c r="M881" t="s">
        <v>34</v>
      </c>
      <c r="N881" t="s">
        <v>35</v>
      </c>
      <c r="O881">
        <v>0.66058377371483601</v>
      </c>
      <c r="P881" t="s">
        <v>36</v>
      </c>
    </row>
    <row r="882" spans="1:16">
      <c r="A882">
        <v>881</v>
      </c>
      <c r="B882" t="s">
        <v>937</v>
      </c>
      <c r="C882">
        <v>109</v>
      </c>
      <c r="D882">
        <v>81</v>
      </c>
      <c r="E882">
        <v>70.695856845042101</v>
      </c>
      <c r="F882">
        <v>1.33842527740229</v>
      </c>
      <c r="G882">
        <v>3925.34475992439</v>
      </c>
      <c r="H882">
        <v>446.50597514981803</v>
      </c>
      <c r="I882">
        <v>0.71652420994113897</v>
      </c>
      <c r="J882">
        <v>0.247419041733387</v>
      </c>
      <c r="K882">
        <v>0.65161608684924699</v>
      </c>
      <c r="L882" t="s">
        <v>41</v>
      </c>
      <c r="M882" t="s">
        <v>34</v>
      </c>
      <c r="N882" t="s">
        <v>35</v>
      </c>
      <c r="O882">
        <v>0.68700545158534598</v>
      </c>
      <c r="P882" t="s">
        <v>36</v>
      </c>
    </row>
    <row r="883" spans="1:16">
      <c r="A883">
        <v>882</v>
      </c>
      <c r="B883" t="s">
        <v>938</v>
      </c>
      <c r="C883">
        <v>55</v>
      </c>
      <c r="D883">
        <v>150</v>
      </c>
      <c r="E883">
        <v>70.698533653768493</v>
      </c>
      <c r="F883">
        <v>0.36430594623284102</v>
      </c>
      <c r="G883">
        <v>3925.6420219281699</v>
      </c>
      <c r="H883">
        <v>480.49654249440101</v>
      </c>
      <c r="I883">
        <v>0.60709840422373995</v>
      </c>
      <c r="J883">
        <v>0.21366826522368701</v>
      </c>
      <c r="K883">
        <v>0.61708838578537895</v>
      </c>
      <c r="L883" t="s">
        <v>298</v>
      </c>
      <c r="M883" t="s">
        <v>34</v>
      </c>
      <c r="N883" t="s">
        <v>35</v>
      </c>
      <c r="O883">
        <v>0.74451619990922602</v>
      </c>
      <c r="P883" t="s">
        <v>36</v>
      </c>
    </row>
    <row r="884" spans="1:16">
      <c r="A884">
        <v>883</v>
      </c>
      <c r="B884" t="s">
        <v>939</v>
      </c>
      <c r="C884">
        <v>156</v>
      </c>
      <c r="D884">
        <v>66</v>
      </c>
      <c r="E884">
        <v>70.821557486104794</v>
      </c>
      <c r="F884">
        <v>2.3719006211336802</v>
      </c>
      <c r="G884">
        <v>3939.3160741020802</v>
      </c>
      <c r="H884">
        <v>869.72534645474502</v>
      </c>
      <c r="I884">
        <v>0.76973369144066195</v>
      </c>
      <c r="J884">
        <v>6.54434880105704E-2</v>
      </c>
      <c r="K884">
        <v>0.47856704344371798</v>
      </c>
      <c r="L884" t="s">
        <v>38</v>
      </c>
      <c r="M884" t="s">
        <v>34</v>
      </c>
      <c r="N884" t="s">
        <v>35</v>
      </c>
      <c r="O884">
        <v>0.69107965868826504</v>
      </c>
      <c r="P884" t="s">
        <v>36</v>
      </c>
    </row>
    <row r="885" spans="1:16">
      <c r="A885">
        <v>884</v>
      </c>
      <c r="B885" t="s">
        <v>940</v>
      </c>
      <c r="C885">
        <v>103</v>
      </c>
      <c r="D885">
        <v>67</v>
      </c>
      <c r="E885">
        <v>70.836252556996698</v>
      </c>
      <c r="F885">
        <v>1.5364431282059099</v>
      </c>
      <c r="G885">
        <v>3940.9510151228701</v>
      </c>
      <c r="H885">
        <v>365.40363034549</v>
      </c>
      <c r="I885">
        <v>0.59153258036753598</v>
      </c>
      <c r="J885">
        <v>0.37090713273565201</v>
      </c>
      <c r="K885">
        <v>0.77249155110126999</v>
      </c>
      <c r="L885" t="s">
        <v>74</v>
      </c>
      <c r="M885" t="s">
        <v>34</v>
      </c>
      <c r="N885" t="s">
        <v>35</v>
      </c>
      <c r="O885">
        <v>0.72849918915935996</v>
      </c>
      <c r="P885" t="s">
        <v>36</v>
      </c>
    </row>
    <row r="886" spans="1:16">
      <c r="A886">
        <v>885</v>
      </c>
      <c r="B886" t="s">
        <v>941</v>
      </c>
      <c r="C886">
        <v>108</v>
      </c>
      <c r="D886">
        <v>113</v>
      </c>
      <c r="E886">
        <v>70.873644443161496</v>
      </c>
      <c r="F886">
        <v>0.95673076923076905</v>
      </c>
      <c r="G886">
        <v>3945.1126831758002</v>
      </c>
      <c r="H886">
        <v>964.47417590151701</v>
      </c>
      <c r="I886">
        <v>0.61925379053830198</v>
      </c>
      <c r="J886">
        <v>5.3295196629264102E-2</v>
      </c>
      <c r="K886">
        <v>0.408077609003136</v>
      </c>
      <c r="L886" t="s">
        <v>33</v>
      </c>
      <c r="M886" t="s">
        <v>34</v>
      </c>
      <c r="N886" t="s">
        <v>35</v>
      </c>
      <c r="O886">
        <v>0.69483677404839495</v>
      </c>
      <c r="P886" t="s">
        <v>36</v>
      </c>
    </row>
    <row r="887" spans="1:16">
      <c r="A887">
        <v>886</v>
      </c>
      <c r="B887" t="s">
        <v>942</v>
      </c>
      <c r="C887">
        <v>110</v>
      </c>
      <c r="D887">
        <v>69</v>
      </c>
      <c r="E887">
        <v>70.900340859824396</v>
      </c>
      <c r="F887">
        <v>1.5934271907398101</v>
      </c>
      <c r="G887">
        <v>3948.0853032136101</v>
      </c>
      <c r="H887">
        <v>437.63690976339802</v>
      </c>
      <c r="I887">
        <v>0.59873647321512702</v>
      </c>
      <c r="J887">
        <v>0.25904099889691801</v>
      </c>
      <c r="K887">
        <v>0.66397540368944696</v>
      </c>
      <c r="L887" t="s">
        <v>33</v>
      </c>
      <c r="M887" t="s">
        <v>34</v>
      </c>
      <c r="N887" t="s">
        <v>35</v>
      </c>
      <c r="O887">
        <v>0.73726946020712503</v>
      </c>
      <c r="P887" t="s">
        <v>36</v>
      </c>
    </row>
    <row r="888" spans="1:16">
      <c r="A888">
        <v>887</v>
      </c>
      <c r="B888" t="s">
        <v>943</v>
      </c>
      <c r="C888">
        <v>74</v>
      </c>
      <c r="D888">
        <v>74</v>
      </c>
      <c r="E888">
        <v>71.027011809672999</v>
      </c>
      <c r="F888">
        <v>1.00310871236161</v>
      </c>
      <c r="G888">
        <v>3962.2052483931998</v>
      </c>
      <c r="H888">
        <v>297.54700153081302</v>
      </c>
      <c r="I888">
        <v>0.65612741493346305</v>
      </c>
      <c r="J888">
        <v>0.56238752268635805</v>
      </c>
      <c r="K888">
        <v>0.894143690883478</v>
      </c>
      <c r="L888" t="s">
        <v>58</v>
      </c>
      <c r="M888" t="s">
        <v>34</v>
      </c>
      <c r="N888" t="s">
        <v>35</v>
      </c>
      <c r="O888">
        <v>0.721361637919123</v>
      </c>
      <c r="P888" t="s">
        <v>36</v>
      </c>
    </row>
    <row r="889" spans="1:16">
      <c r="A889">
        <v>888</v>
      </c>
      <c r="B889" t="s">
        <v>944</v>
      </c>
      <c r="C889">
        <v>126</v>
      </c>
      <c r="D889">
        <v>78</v>
      </c>
      <c r="E889">
        <v>71.069629086025202</v>
      </c>
      <c r="F889">
        <v>1.61532068985231</v>
      </c>
      <c r="G889">
        <v>3966.9614404536901</v>
      </c>
      <c r="H889">
        <v>657.57984564947003</v>
      </c>
      <c r="I889">
        <v>0.62241517932275503</v>
      </c>
      <c r="J889">
        <v>0.115284482725972</v>
      </c>
      <c r="K889">
        <v>0.512195590013241</v>
      </c>
      <c r="L889" t="s">
        <v>41</v>
      </c>
      <c r="M889" t="s">
        <v>34</v>
      </c>
      <c r="N889" t="s">
        <v>35</v>
      </c>
      <c r="O889">
        <v>0.70178443593390305</v>
      </c>
      <c r="P889" t="s">
        <v>36</v>
      </c>
    </row>
    <row r="890" spans="1:16">
      <c r="A890">
        <v>889</v>
      </c>
      <c r="B890" t="s">
        <v>945</v>
      </c>
      <c r="C890">
        <v>93</v>
      </c>
      <c r="D890">
        <v>107</v>
      </c>
      <c r="E890">
        <v>71.176060638107998</v>
      </c>
      <c r="F890">
        <v>0.86831463634545203</v>
      </c>
      <c r="G890">
        <v>3978.85192060492</v>
      </c>
      <c r="H890">
        <v>573.38388334253602</v>
      </c>
      <c r="I890">
        <v>0.71134688382718603</v>
      </c>
      <c r="J890">
        <v>0.15208160149143801</v>
      </c>
      <c r="K890">
        <v>0.55448538702127204</v>
      </c>
      <c r="L890" t="s">
        <v>38</v>
      </c>
      <c r="M890" t="s">
        <v>34</v>
      </c>
      <c r="N890" t="s">
        <v>35</v>
      </c>
      <c r="O890">
        <v>0.91737143901223395</v>
      </c>
      <c r="P890" t="s">
        <v>36</v>
      </c>
    </row>
    <row r="891" spans="1:16">
      <c r="A891">
        <v>890</v>
      </c>
      <c r="B891" t="s">
        <v>946</v>
      </c>
      <c r="C891">
        <v>106</v>
      </c>
      <c r="D891">
        <v>64</v>
      </c>
      <c r="E891">
        <v>71.195998841208294</v>
      </c>
      <c r="F891">
        <v>1.65254237288136</v>
      </c>
      <c r="G891">
        <v>3981.0813856332702</v>
      </c>
      <c r="H891">
        <v>413.19567169655897</v>
      </c>
      <c r="I891">
        <v>0.62789852193673201</v>
      </c>
      <c r="J891">
        <v>0.29302143637737799</v>
      </c>
      <c r="K891">
        <v>0.78772461253418802</v>
      </c>
      <c r="L891" t="s">
        <v>188</v>
      </c>
      <c r="M891" t="s">
        <v>34</v>
      </c>
      <c r="N891" t="s">
        <v>35</v>
      </c>
      <c r="O891">
        <v>0.879387507559104</v>
      </c>
      <c r="P891" t="s">
        <v>36</v>
      </c>
    </row>
    <row r="892" spans="1:16">
      <c r="A892">
        <v>891</v>
      </c>
      <c r="B892" t="s">
        <v>947</v>
      </c>
      <c r="C892">
        <v>96</v>
      </c>
      <c r="D892">
        <v>83</v>
      </c>
      <c r="E892">
        <v>71.235858505901007</v>
      </c>
      <c r="F892">
        <v>1.16215189167189</v>
      </c>
      <c r="G892">
        <v>3985.5403156899802</v>
      </c>
      <c r="H892">
        <v>467.96319011574201</v>
      </c>
      <c r="I892">
        <v>0.67174063193033295</v>
      </c>
      <c r="J892">
        <v>0.228703960176072</v>
      </c>
      <c r="K892">
        <v>0.59728254816794701</v>
      </c>
      <c r="L892" t="s">
        <v>47</v>
      </c>
      <c r="M892" t="s">
        <v>34</v>
      </c>
      <c r="N892" t="s">
        <v>35</v>
      </c>
      <c r="O892">
        <v>0.95020605768746502</v>
      </c>
      <c r="P892" t="s">
        <v>36</v>
      </c>
    </row>
    <row r="893" spans="1:16">
      <c r="A893">
        <v>892</v>
      </c>
      <c r="B893" t="s">
        <v>948</v>
      </c>
      <c r="C893">
        <v>71</v>
      </c>
      <c r="D893">
        <v>83</v>
      </c>
      <c r="E893">
        <v>71.263747005932402</v>
      </c>
      <c r="F893">
        <v>0.85229194153356802</v>
      </c>
      <c r="G893">
        <v>3988.6615667296801</v>
      </c>
      <c r="H893">
        <v>311.34296630299599</v>
      </c>
      <c r="I893">
        <v>0.71485479820987397</v>
      </c>
      <c r="J893">
        <v>0.51708142249603295</v>
      </c>
      <c r="K893">
        <v>0.83209822951226298</v>
      </c>
      <c r="L893" t="s">
        <v>144</v>
      </c>
      <c r="M893" t="s">
        <v>34</v>
      </c>
      <c r="N893" t="s">
        <v>35</v>
      </c>
      <c r="O893">
        <v>0.71493955617275495</v>
      </c>
      <c r="P893" t="s">
        <v>36</v>
      </c>
    </row>
    <row r="894" spans="1:16">
      <c r="A894">
        <v>893</v>
      </c>
      <c r="B894" t="s">
        <v>949</v>
      </c>
      <c r="C894">
        <v>69</v>
      </c>
      <c r="D894">
        <v>91</v>
      </c>
      <c r="E894">
        <v>71.278350913068394</v>
      </c>
      <c r="F894">
        <v>0.753424660034964</v>
      </c>
      <c r="G894">
        <v>3990.29650775047</v>
      </c>
      <c r="H894">
        <v>335.884396533033</v>
      </c>
      <c r="I894">
        <v>0.68229673181959405</v>
      </c>
      <c r="J894">
        <v>0.44446275476796998</v>
      </c>
      <c r="K894">
        <v>0.78525256661499299</v>
      </c>
      <c r="L894" t="s">
        <v>58</v>
      </c>
      <c r="M894" t="s">
        <v>34</v>
      </c>
      <c r="N894" t="s">
        <v>35</v>
      </c>
      <c r="O894">
        <v>0.66260816381765297</v>
      </c>
      <c r="P894" t="s">
        <v>36</v>
      </c>
    </row>
    <row r="895" spans="1:16">
      <c r="A895">
        <v>894</v>
      </c>
      <c r="B895" t="s">
        <v>950</v>
      </c>
      <c r="C895">
        <v>70</v>
      </c>
      <c r="D895">
        <v>133</v>
      </c>
      <c r="E895">
        <v>71.368563275372097</v>
      </c>
      <c r="F895">
        <v>0.52246909696589205</v>
      </c>
      <c r="G895">
        <v>4000.40341587902</v>
      </c>
      <c r="H895">
        <v>461.29769177571598</v>
      </c>
      <c r="I895">
        <v>0.57860040690880299</v>
      </c>
      <c r="J895">
        <v>0.236238725222957</v>
      </c>
      <c r="K895">
        <v>0.58056514236410695</v>
      </c>
      <c r="L895" t="s">
        <v>38</v>
      </c>
      <c r="M895" t="s">
        <v>34</v>
      </c>
      <c r="N895" t="s">
        <v>35</v>
      </c>
      <c r="O895">
        <v>0.77887405812178301</v>
      </c>
      <c r="P895" t="s">
        <v>36</v>
      </c>
    </row>
    <row r="896" spans="1:16">
      <c r="A896">
        <v>895</v>
      </c>
      <c r="B896" t="s">
        <v>951</v>
      </c>
      <c r="C896">
        <v>70</v>
      </c>
      <c r="D896">
        <v>107</v>
      </c>
      <c r="E896">
        <v>71.391098554139504</v>
      </c>
      <c r="F896">
        <v>0.65224131050686196</v>
      </c>
      <c r="G896">
        <v>4002.9301429111501</v>
      </c>
      <c r="H896">
        <v>464.06252607324899</v>
      </c>
      <c r="I896">
        <v>0.82070034814242399</v>
      </c>
      <c r="J896">
        <v>0.23357958131422701</v>
      </c>
      <c r="K896">
        <v>0.66228943809172502</v>
      </c>
      <c r="L896" t="s">
        <v>74</v>
      </c>
      <c r="M896" t="s">
        <v>34</v>
      </c>
      <c r="N896" t="s">
        <v>35</v>
      </c>
      <c r="O896">
        <v>0.746611128962691</v>
      </c>
      <c r="P896" t="s">
        <v>36</v>
      </c>
    </row>
    <row r="897" spans="1:16">
      <c r="A897">
        <v>896</v>
      </c>
      <c r="B897" t="s">
        <v>952</v>
      </c>
      <c r="C897">
        <v>77</v>
      </c>
      <c r="D897">
        <v>128</v>
      </c>
      <c r="E897">
        <v>71.3963999389576</v>
      </c>
      <c r="F897">
        <v>0.60509276027296199</v>
      </c>
      <c r="G897">
        <v>4003.52466691871</v>
      </c>
      <c r="H897">
        <v>693.91729039192205</v>
      </c>
      <c r="I897">
        <v>0.69981185441514404</v>
      </c>
      <c r="J897">
        <v>0.104480911974973</v>
      </c>
      <c r="K897">
        <v>0.56240865244080696</v>
      </c>
      <c r="L897" t="s">
        <v>38</v>
      </c>
      <c r="M897" t="s">
        <v>34</v>
      </c>
      <c r="N897" t="s">
        <v>35</v>
      </c>
      <c r="O897">
        <v>0.66718702680662501</v>
      </c>
      <c r="P897" t="s">
        <v>36</v>
      </c>
    </row>
    <row r="898" spans="1:16">
      <c r="A898">
        <v>897</v>
      </c>
      <c r="B898" t="s">
        <v>953</v>
      </c>
      <c r="C898">
        <v>60</v>
      </c>
      <c r="D898">
        <v>129</v>
      </c>
      <c r="E898">
        <v>71.459985879961096</v>
      </c>
      <c r="F898">
        <v>0.46949570997085899</v>
      </c>
      <c r="G898">
        <v>4010.65895500945</v>
      </c>
      <c r="H898">
        <v>547.56654547629205</v>
      </c>
      <c r="I898">
        <v>0.88613670536734801</v>
      </c>
      <c r="J898">
        <v>0.16809383473664</v>
      </c>
      <c r="K898">
        <v>0.64321128909229597</v>
      </c>
      <c r="L898" t="s">
        <v>33</v>
      </c>
      <c r="M898" t="s">
        <v>34</v>
      </c>
      <c r="N898" t="s">
        <v>35</v>
      </c>
      <c r="O898">
        <v>0.82270613937681103</v>
      </c>
      <c r="P898" t="s">
        <v>36</v>
      </c>
    </row>
    <row r="899" spans="1:16">
      <c r="A899">
        <v>898</v>
      </c>
      <c r="B899" t="s">
        <v>954</v>
      </c>
      <c r="C899">
        <v>87</v>
      </c>
      <c r="D899">
        <v>71</v>
      </c>
      <c r="E899">
        <v>71.568481171791205</v>
      </c>
      <c r="F899">
        <v>1.21666064736825</v>
      </c>
      <c r="G899">
        <v>4022.8466971644598</v>
      </c>
      <c r="H899">
        <v>310.54921500579201</v>
      </c>
      <c r="I899">
        <v>0.71235483389686005</v>
      </c>
      <c r="J899">
        <v>0.52418244860743102</v>
      </c>
      <c r="K899">
        <v>0.83883964544722001</v>
      </c>
      <c r="L899" t="s">
        <v>38</v>
      </c>
      <c r="M899" t="s">
        <v>34</v>
      </c>
      <c r="N899" t="s">
        <v>35</v>
      </c>
      <c r="O899">
        <v>0.78861580190469405</v>
      </c>
      <c r="P899" t="s">
        <v>36</v>
      </c>
    </row>
    <row r="900" spans="1:16">
      <c r="A900">
        <v>899</v>
      </c>
      <c r="B900" t="s">
        <v>955</v>
      </c>
      <c r="C900">
        <v>110</v>
      </c>
      <c r="D900">
        <v>70</v>
      </c>
      <c r="E900">
        <v>71.9298272164786</v>
      </c>
      <c r="F900">
        <v>1.5658914728682201</v>
      </c>
      <c r="G900">
        <v>4063.5715916824201</v>
      </c>
      <c r="H900">
        <v>383.79543452428697</v>
      </c>
      <c r="I900">
        <v>0.55005796597844303</v>
      </c>
      <c r="J900">
        <v>0.34667152511552102</v>
      </c>
      <c r="K900">
        <v>0.76069113268968602</v>
      </c>
      <c r="L900" t="s">
        <v>33</v>
      </c>
      <c r="M900" t="s">
        <v>34</v>
      </c>
      <c r="N900" t="s">
        <v>35</v>
      </c>
      <c r="O900">
        <v>0.684121880867679</v>
      </c>
      <c r="P900" t="s">
        <v>36</v>
      </c>
    </row>
    <row r="901" spans="1:16">
      <c r="A901">
        <v>900</v>
      </c>
      <c r="B901" t="s">
        <v>956</v>
      </c>
      <c r="C901">
        <v>117</v>
      </c>
      <c r="D901">
        <v>83</v>
      </c>
      <c r="E901">
        <v>72.062567073201606</v>
      </c>
      <c r="F901">
        <v>1.4144736842105301</v>
      </c>
      <c r="G901">
        <v>4078.58332287335</v>
      </c>
      <c r="H901">
        <v>832.34771058238096</v>
      </c>
      <c r="I901">
        <v>0.65870677480461004</v>
      </c>
      <c r="J901">
        <v>7.3979198955111194E-2</v>
      </c>
      <c r="K901">
        <v>0.55019548872180402</v>
      </c>
      <c r="L901" t="s">
        <v>957</v>
      </c>
      <c r="M901" t="s">
        <v>34</v>
      </c>
      <c r="N901" t="s">
        <v>35</v>
      </c>
      <c r="O901">
        <v>0.67905807837257603</v>
      </c>
      <c r="P901" t="s">
        <v>36</v>
      </c>
    </row>
    <row r="902" spans="1:16">
      <c r="A902">
        <v>901</v>
      </c>
      <c r="B902" t="s">
        <v>958</v>
      </c>
      <c r="C902">
        <v>75</v>
      </c>
      <c r="D902">
        <v>100</v>
      </c>
      <c r="E902">
        <v>72.074383514549098</v>
      </c>
      <c r="F902">
        <v>0.74876433892132299</v>
      </c>
      <c r="G902">
        <v>4079.92100189036</v>
      </c>
      <c r="H902">
        <v>407.424116816935</v>
      </c>
      <c r="I902">
        <v>0.59262858829778498</v>
      </c>
      <c r="J902">
        <v>0.30886461230410001</v>
      </c>
      <c r="K902">
        <v>0.71749699409273904</v>
      </c>
      <c r="L902" t="s">
        <v>47</v>
      </c>
      <c r="M902" t="s">
        <v>34</v>
      </c>
      <c r="N902" t="s">
        <v>35</v>
      </c>
      <c r="O902">
        <v>0.94395506397297302</v>
      </c>
      <c r="P902" t="s">
        <v>36</v>
      </c>
    </row>
    <row r="903" spans="1:16">
      <c r="A903">
        <v>902</v>
      </c>
      <c r="B903" t="s">
        <v>959</v>
      </c>
      <c r="C903">
        <v>79</v>
      </c>
      <c r="D903">
        <v>68</v>
      </c>
      <c r="E903">
        <v>72.100635339682796</v>
      </c>
      <c r="F903">
        <v>1.1519999999999999</v>
      </c>
      <c r="G903">
        <v>4082.89362192817</v>
      </c>
      <c r="H903">
        <v>310.18054607266998</v>
      </c>
      <c r="I903">
        <v>0.67001164388100398</v>
      </c>
      <c r="J903">
        <v>0.53327204309944698</v>
      </c>
      <c r="K903">
        <v>0.91174615818646498</v>
      </c>
      <c r="L903" t="s">
        <v>43</v>
      </c>
      <c r="M903" t="s">
        <v>34</v>
      </c>
      <c r="N903" t="s">
        <v>35</v>
      </c>
      <c r="O903">
        <v>0.745548089619264</v>
      </c>
      <c r="P903" t="s">
        <v>36</v>
      </c>
    </row>
    <row r="904" spans="1:16">
      <c r="A904">
        <v>903</v>
      </c>
      <c r="B904" t="s">
        <v>960</v>
      </c>
      <c r="C904">
        <v>86</v>
      </c>
      <c r="D904">
        <v>98</v>
      </c>
      <c r="E904">
        <v>72.149176035112106</v>
      </c>
      <c r="F904">
        <v>0.88268156424581001</v>
      </c>
      <c r="G904">
        <v>4088.3929689981101</v>
      </c>
      <c r="H904">
        <v>480.84802318065101</v>
      </c>
      <c r="I904">
        <v>0.62919234973437799</v>
      </c>
      <c r="J904">
        <v>0.22220141838318599</v>
      </c>
      <c r="K904">
        <v>0.77530370078074395</v>
      </c>
      <c r="L904" t="s">
        <v>33</v>
      </c>
      <c r="M904" t="s">
        <v>34</v>
      </c>
      <c r="N904" t="s">
        <v>35</v>
      </c>
      <c r="O904">
        <v>0.66044384462220496</v>
      </c>
      <c r="P904" t="s">
        <v>36</v>
      </c>
    </row>
    <row r="905" spans="1:16">
      <c r="A905">
        <v>904</v>
      </c>
      <c r="B905" t="s">
        <v>961</v>
      </c>
      <c r="C905">
        <v>63</v>
      </c>
      <c r="D905">
        <v>113</v>
      </c>
      <c r="E905">
        <v>72.150487492565006</v>
      </c>
      <c r="F905">
        <v>0.559451195180514</v>
      </c>
      <c r="G905">
        <v>4088.5416</v>
      </c>
      <c r="H905">
        <v>475.78493890783102</v>
      </c>
      <c r="I905">
        <v>0.738895415832591</v>
      </c>
      <c r="J905">
        <v>0.22696396222197701</v>
      </c>
      <c r="K905">
        <v>0.72389473684210504</v>
      </c>
      <c r="L905" t="s">
        <v>288</v>
      </c>
      <c r="M905" t="s">
        <v>34</v>
      </c>
      <c r="N905" t="s">
        <v>35</v>
      </c>
      <c r="O905">
        <v>0.70090846358613501</v>
      </c>
      <c r="P905" t="s">
        <v>36</v>
      </c>
    </row>
    <row r="906" spans="1:16">
      <c r="A906">
        <v>905</v>
      </c>
      <c r="B906" t="s">
        <v>962</v>
      </c>
      <c r="C906">
        <v>90</v>
      </c>
      <c r="D906">
        <v>80</v>
      </c>
      <c r="E906">
        <v>72.166223123043807</v>
      </c>
      <c r="F906">
        <v>1.1301369863013699</v>
      </c>
      <c r="G906">
        <v>4090.3251720226799</v>
      </c>
      <c r="H906">
        <v>449.53150020889598</v>
      </c>
      <c r="I906">
        <v>0.49534338704004799</v>
      </c>
      <c r="J906">
        <v>0.25435919368520399</v>
      </c>
      <c r="K906">
        <v>0.79116835326586898</v>
      </c>
      <c r="L906" t="s">
        <v>33</v>
      </c>
      <c r="M906" t="s">
        <v>34</v>
      </c>
      <c r="N906" t="s">
        <v>35</v>
      </c>
      <c r="O906">
        <v>0.75422722752703497</v>
      </c>
      <c r="P906" t="s">
        <v>36</v>
      </c>
    </row>
    <row r="907" spans="1:16">
      <c r="A907">
        <v>906</v>
      </c>
      <c r="B907" t="s">
        <v>963</v>
      </c>
      <c r="C907">
        <v>74</v>
      </c>
      <c r="D907">
        <v>147</v>
      </c>
      <c r="E907">
        <v>72.168845394555802</v>
      </c>
      <c r="F907">
        <v>0.505576209443661</v>
      </c>
      <c r="G907">
        <v>4090.6224340264698</v>
      </c>
      <c r="H907">
        <v>847.37418802841898</v>
      </c>
      <c r="I907">
        <v>0.73192946715594498</v>
      </c>
      <c r="J907">
        <v>7.1589412484636794E-2</v>
      </c>
      <c r="K907">
        <v>0.498776708530419</v>
      </c>
      <c r="L907" t="s">
        <v>38</v>
      </c>
      <c r="M907" t="s">
        <v>34</v>
      </c>
      <c r="N907" t="s">
        <v>35</v>
      </c>
      <c r="O907">
        <v>0.68450542787903401</v>
      </c>
      <c r="P907" t="s">
        <v>36</v>
      </c>
    </row>
    <row r="908" spans="1:16">
      <c r="A908">
        <v>907</v>
      </c>
      <c r="B908" t="s">
        <v>964</v>
      </c>
      <c r="C908">
        <v>120</v>
      </c>
      <c r="D908">
        <v>54</v>
      </c>
      <c r="E908">
        <v>72.176711637469197</v>
      </c>
      <c r="F908">
        <v>2.2185565504438798</v>
      </c>
      <c r="G908">
        <v>4091.51422003781</v>
      </c>
      <c r="H908">
        <v>355.72200918487903</v>
      </c>
      <c r="I908">
        <v>0.59733210502678502</v>
      </c>
      <c r="J908">
        <v>0.40632398173436701</v>
      </c>
      <c r="K908">
        <v>0.81443786982248501</v>
      </c>
      <c r="L908" t="s">
        <v>38</v>
      </c>
      <c r="M908" t="s">
        <v>34</v>
      </c>
      <c r="N908" t="s">
        <v>35</v>
      </c>
      <c r="O908">
        <v>0.76811167340522502</v>
      </c>
      <c r="P908" t="s">
        <v>36</v>
      </c>
    </row>
    <row r="909" spans="1:16">
      <c r="A909">
        <v>908</v>
      </c>
      <c r="B909" t="s">
        <v>965</v>
      </c>
      <c r="C909">
        <v>82</v>
      </c>
      <c r="D909">
        <v>78</v>
      </c>
      <c r="E909">
        <v>72.213409441290295</v>
      </c>
      <c r="F909">
        <v>1.0471805373968299</v>
      </c>
      <c r="G909">
        <v>4095.67588809074</v>
      </c>
      <c r="H909">
        <v>387.49182123619602</v>
      </c>
      <c r="I909">
        <v>0.72371630832760703</v>
      </c>
      <c r="J909">
        <v>0.342775967054051</v>
      </c>
      <c r="K909">
        <v>0.82775608290778002</v>
      </c>
      <c r="L909" t="s">
        <v>38</v>
      </c>
      <c r="M909" t="s">
        <v>34</v>
      </c>
      <c r="N909" t="s">
        <v>35</v>
      </c>
      <c r="O909">
        <v>0.77863813587637998</v>
      </c>
      <c r="P909" t="s">
        <v>36</v>
      </c>
    </row>
    <row r="910" spans="1:16">
      <c r="A910">
        <v>909</v>
      </c>
      <c r="B910" t="s">
        <v>966</v>
      </c>
      <c r="C910">
        <v>83</v>
      </c>
      <c r="D910">
        <v>82</v>
      </c>
      <c r="E910">
        <v>72.2343712441821</v>
      </c>
      <c r="F910">
        <v>1.0133333333333301</v>
      </c>
      <c r="G910">
        <v>4098.0539841209802</v>
      </c>
      <c r="H910">
        <v>321.11148438412198</v>
      </c>
      <c r="I910">
        <v>0.57520941622024802</v>
      </c>
      <c r="J910">
        <v>0.49943142207769903</v>
      </c>
      <c r="K910">
        <v>0.80920376837965502</v>
      </c>
      <c r="L910" t="s">
        <v>74</v>
      </c>
      <c r="M910" t="s">
        <v>34</v>
      </c>
      <c r="N910" t="s">
        <v>35</v>
      </c>
      <c r="O910">
        <v>0.68800758600426004</v>
      </c>
      <c r="P910" t="s">
        <v>36</v>
      </c>
    </row>
    <row r="911" spans="1:16">
      <c r="A911">
        <v>910</v>
      </c>
      <c r="B911" t="s">
        <v>967</v>
      </c>
      <c r="C911">
        <v>62</v>
      </c>
      <c r="D911">
        <v>100</v>
      </c>
      <c r="E911">
        <v>72.273658238100396</v>
      </c>
      <c r="F911">
        <v>0.61702568200234498</v>
      </c>
      <c r="G911">
        <v>4102.5129141776897</v>
      </c>
      <c r="H911">
        <v>332.35791065796599</v>
      </c>
      <c r="I911">
        <v>0.66627328287694298</v>
      </c>
      <c r="J911">
        <v>0.46671072444379302</v>
      </c>
      <c r="K911">
        <v>0.84044820656476504</v>
      </c>
      <c r="L911" t="s">
        <v>47</v>
      </c>
      <c r="M911" t="s">
        <v>34</v>
      </c>
      <c r="N911" t="s">
        <v>35</v>
      </c>
      <c r="O911">
        <v>0.95448064575592695</v>
      </c>
      <c r="P911" t="s">
        <v>36</v>
      </c>
    </row>
    <row r="912" spans="1:16">
      <c r="A912">
        <v>911</v>
      </c>
      <c r="B912" t="s">
        <v>968</v>
      </c>
      <c r="C912">
        <v>78</v>
      </c>
      <c r="D912">
        <v>93</v>
      </c>
      <c r="E912">
        <v>72.290675971504598</v>
      </c>
      <c r="F912">
        <v>0.84117647058823497</v>
      </c>
      <c r="G912">
        <v>4104.44511720227</v>
      </c>
      <c r="H912">
        <v>917.40162362585897</v>
      </c>
      <c r="I912">
        <v>0.58528718507398503</v>
      </c>
      <c r="J912">
        <v>6.1283746583632698E-2</v>
      </c>
      <c r="K912">
        <v>0.605645232037898</v>
      </c>
      <c r="L912" t="s">
        <v>33</v>
      </c>
      <c r="M912" t="s">
        <v>34</v>
      </c>
      <c r="N912" t="s">
        <v>35</v>
      </c>
      <c r="O912">
        <v>0.82317499665636895</v>
      </c>
      <c r="P912" t="s">
        <v>36</v>
      </c>
    </row>
    <row r="913" spans="1:16">
      <c r="A913">
        <v>912</v>
      </c>
      <c r="B913" t="s">
        <v>969</v>
      </c>
      <c r="C913">
        <v>132</v>
      </c>
      <c r="D913">
        <v>46</v>
      </c>
      <c r="E913">
        <v>72.344321062910495</v>
      </c>
      <c r="F913">
        <v>2.88095238095238</v>
      </c>
      <c r="G913">
        <v>4110.5389882797699</v>
      </c>
      <c r="H913">
        <v>410.08875895126999</v>
      </c>
      <c r="I913">
        <v>0.89592585559109394</v>
      </c>
      <c r="J913">
        <v>0.30715168776398599</v>
      </c>
      <c r="K913">
        <v>0.80173938251920596</v>
      </c>
      <c r="L913" t="s">
        <v>47</v>
      </c>
      <c r="M913" t="s">
        <v>34</v>
      </c>
      <c r="N913" t="s">
        <v>35</v>
      </c>
      <c r="O913">
        <v>0.85587012326352196</v>
      </c>
      <c r="P913" t="s">
        <v>36</v>
      </c>
    </row>
    <row r="914" spans="1:16">
      <c r="A914">
        <v>913</v>
      </c>
      <c r="B914" t="s">
        <v>970</v>
      </c>
      <c r="C914">
        <v>72</v>
      </c>
      <c r="D914">
        <v>139</v>
      </c>
      <c r="E914">
        <v>72.461939308023702</v>
      </c>
      <c r="F914">
        <v>0.52026877496994095</v>
      </c>
      <c r="G914">
        <v>4123.9157784499102</v>
      </c>
      <c r="H914">
        <v>496.71137011217002</v>
      </c>
      <c r="I914">
        <v>0.61145062617380597</v>
      </c>
      <c r="J914">
        <v>0.21004456495335899</v>
      </c>
      <c r="K914">
        <v>0.55003568313377205</v>
      </c>
      <c r="L914" t="s">
        <v>38</v>
      </c>
      <c r="M914" t="s">
        <v>34</v>
      </c>
      <c r="N914" t="s">
        <v>35</v>
      </c>
      <c r="O914">
        <v>0.88759660129932705</v>
      </c>
      <c r="P914" t="s">
        <v>36</v>
      </c>
    </row>
    <row r="915" spans="1:16">
      <c r="A915">
        <v>914</v>
      </c>
      <c r="B915" t="s">
        <v>971</v>
      </c>
      <c r="C915">
        <v>143</v>
      </c>
      <c r="D915">
        <v>83</v>
      </c>
      <c r="E915">
        <v>72.499797872035103</v>
      </c>
      <c r="F915">
        <v>1.73657411572506</v>
      </c>
      <c r="G915">
        <v>4128.2260775047298</v>
      </c>
      <c r="H915">
        <v>522.37533484448602</v>
      </c>
      <c r="I915">
        <v>0.85089396961538</v>
      </c>
      <c r="J915">
        <v>0.19011133512881501</v>
      </c>
      <c r="K915">
        <v>0.511095981157073</v>
      </c>
      <c r="L915" t="s">
        <v>38</v>
      </c>
      <c r="M915" t="s">
        <v>34</v>
      </c>
      <c r="N915" t="s">
        <v>35</v>
      </c>
      <c r="O915">
        <v>0.73823007651669004</v>
      </c>
      <c r="P915" t="s">
        <v>36</v>
      </c>
    </row>
    <row r="916" spans="1:16">
      <c r="A916">
        <v>915</v>
      </c>
      <c r="B916" t="s">
        <v>972</v>
      </c>
      <c r="C916">
        <v>59</v>
      </c>
      <c r="D916">
        <v>100</v>
      </c>
      <c r="E916">
        <v>72.499797872035103</v>
      </c>
      <c r="F916">
        <v>0.58951529248197598</v>
      </c>
      <c r="G916">
        <v>4128.2260775047298</v>
      </c>
      <c r="H916">
        <v>312.64318765049399</v>
      </c>
      <c r="I916">
        <v>0.814651132909196</v>
      </c>
      <c r="J916">
        <v>0.53073215034687204</v>
      </c>
      <c r="K916">
        <v>0.86499532855808203</v>
      </c>
      <c r="L916" t="s">
        <v>41</v>
      </c>
      <c r="M916" t="s">
        <v>34</v>
      </c>
      <c r="N916" t="s">
        <v>35</v>
      </c>
      <c r="O916">
        <v>0.70240942707210297</v>
      </c>
      <c r="P916" t="s">
        <v>36</v>
      </c>
    </row>
    <row r="917" spans="1:16">
      <c r="A917">
        <v>916</v>
      </c>
      <c r="B917" t="s">
        <v>973</v>
      </c>
      <c r="C917">
        <v>133</v>
      </c>
      <c r="D917">
        <v>64</v>
      </c>
      <c r="E917">
        <v>72.531114153487806</v>
      </c>
      <c r="F917">
        <v>2.08484845393615</v>
      </c>
      <c r="G917">
        <v>4131.7932215500996</v>
      </c>
      <c r="H917">
        <v>393.14827247982402</v>
      </c>
      <c r="I917">
        <v>0.42945944978404499</v>
      </c>
      <c r="J917">
        <v>0.33591987457314498</v>
      </c>
      <c r="K917">
        <v>0.66932318878963704</v>
      </c>
      <c r="L917" t="s">
        <v>33</v>
      </c>
      <c r="M917" t="s">
        <v>34</v>
      </c>
      <c r="N917" t="s">
        <v>35</v>
      </c>
      <c r="O917">
        <v>0.69886180251289498</v>
      </c>
      <c r="P917" t="s">
        <v>36</v>
      </c>
    </row>
    <row r="918" spans="1:16">
      <c r="A918">
        <v>917</v>
      </c>
      <c r="B918" t="s">
        <v>974</v>
      </c>
      <c r="C918">
        <v>122</v>
      </c>
      <c r="D918">
        <v>84</v>
      </c>
      <c r="E918">
        <v>72.593706187705607</v>
      </c>
      <c r="F918">
        <v>1.4467432217786</v>
      </c>
      <c r="G918">
        <v>4138.9275096408301</v>
      </c>
      <c r="H918">
        <v>457.87139806384602</v>
      </c>
      <c r="I918">
        <v>0.54840648811013804</v>
      </c>
      <c r="J918">
        <v>0.24809079665479</v>
      </c>
      <c r="K918">
        <v>0.60214937508108801</v>
      </c>
      <c r="L918" t="s">
        <v>49</v>
      </c>
      <c r="M918" t="s">
        <v>34</v>
      </c>
      <c r="N918" t="s">
        <v>35</v>
      </c>
      <c r="O918">
        <v>0.81710784845095596</v>
      </c>
      <c r="P918" t="s">
        <v>36</v>
      </c>
    </row>
    <row r="919" spans="1:16">
      <c r="A919">
        <v>918</v>
      </c>
      <c r="B919" t="s">
        <v>975</v>
      </c>
      <c r="C919">
        <v>103</v>
      </c>
      <c r="D919">
        <v>132</v>
      </c>
      <c r="E919">
        <v>72.735642231354504</v>
      </c>
      <c r="F919">
        <v>0.77685950413223104</v>
      </c>
      <c r="G919">
        <v>4155.1282888468804</v>
      </c>
      <c r="H919">
        <v>1211.10665131921</v>
      </c>
      <c r="I919">
        <v>0.787265697681925</v>
      </c>
      <c r="J919">
        <v>3.5598321632255001E-2</v>
      </c>
      <c r="K919">
        <v>0.397621892245548</v>
      </c>
      <c r="L919" t="s">
        <v>144</v>
      </c>
      <c r="M919" t="s">
        <v>34</v>
      </c>
      <c r="N919" t="s">
        <v>35</v>
      </c>
      <c r="O919">
        <v>0.97328898785634699</v>
      </c>
      <c r="P919" t="s">
        <v>36</v>
      </c>
    </row>
    <row r="920" spans="1:16">
      <c r="A920">
        <v>919</v>
      </c>
      <c r="B920" t="s">
        <v>976</v>
      </c>
      <c r="C920">
        <v>61</v>
      </c>
      <c r="D920">
        <v>107</v>
      </c>
      <c r="E920">
        <v>73.434765609791498</v>
      </c>
      <c r="F920">
        <v>0.57388242218737995</v>
      </c>
      <c r="G920">
        <v>4235.3890298676797</v>
      </c>
      <c r="H920">
        <v>339.36548744574799</v>
      </c>
      <c r="I920">
        <v>0.84686063541506196</v>
      </c>
      <c r="J920">
        <v>0.46213389639680902</v>
      </c>
      <c r="K920">
        <v>0.85875297592140598</v>
      </c>
      <c r="L920" t="s">
        <v>33</v>
      </c>
      <c r="M920" t="s">
        <v>34</v>
      </c>
      <c r="N920" t="s">
        <v>35</v>
      </c>
      <c r="O920">
        <v>0.67787190966385302</v>
      </c>
      <c r="P920" t="s">
        <v>36</v>
      </c>
    </row>
    <row r="921" spans="1:16">
      <c r="A921">
        <v>920</v>
      </c>
      <c r="B921" t="s">
        <v>977</v>
      </c>
      <c r="C921">
        <v>113</v>
      </c>
      <c r="D921">
        <v>114</v>
      </c>
      <c r="E921">
        <v>73.442496263267799</v>
      </c>
      <c r="F921">
        <v>0.995215311004785</v>
      </c>
      <c r="G921">
        <v>4236.2808158790203</v>
      </c>
      <c r="H921">
        <v>790.70367905243597</v>
      </c>
      <c r="I921">
        <v>0.64064253705542096</v>
      </c>
      <c r="J921">
        <v>8.5146555933006199E-2</v>
      </c>
      <c r="K921">
        <v>0.41740378419541901</v>
      </c>
      <c r="L921" t="s">
        <v>38</v>
      </c>
      <c r="M921" t="s">
        <v>34</v>
      </c>
      <c r="N921" t="s">
        <v>35</v>
      </c>
      <c r="O921">
        <v>0.84439550208015801</v>
      </c>
      <c r="P921" t="s">
        <v>36</v>
      </c>
    </row>
    <row r="922" spans="1:16">
      <c r="A922">
        <v>921</v>
      </c>
      <c r="B922" t="s">
        <v>978</v>
      </c>
      <c r="C922">
        <v>90</v>
      </c>
      <c r="D922">
        <v>84</v>
      </c>
      <c r="E922">
        <v>73.508173992477197</v>
      </c>
      <c r="F922">
        <v>1.07099367750139</v>
      </c>
      <c r="G922">
        <v>4243.8609969754298</v>
      </c>
      <c r="H922">
        <v>447.19953428382502</v>
      </c>
      <c r="I922">
        <v>0.68712140685991496</v>
      </c>
      <c r="J922">
        <v>0.26666641931863799</v>
      </c>
      <c r="K922">
        <v>0.74184832029930603</v>
      </c>
      <c r="L922" t="s">
        <v>41</v>
      </c>
      <c r="M922" t="s">
        <v>34</v>
      </c>
      <c r="N922" t="s">
        <v>35</v>
      </c>
      <c r="O922">
        <v>0.66336321916421603</v>
      </c>
      <c r="P922" t="s">
        <v>36</v>
      </c>
    </row>
    <row r="923" spans="1:16">
      <c r="A923">
        <v>922</v>
      </c>
      <c r="B923" t="s">
        <v>979</v>
      </c>
      <c r="C923">
        <v>129</v>
      </c>
      <c r="D923">
        <v>86</v>
      </c>
      <c r="E923">
        <v>73.560931215861501</v>
      </c>
      <c r="F923">
        <v>1.49902661285364</v>
      </c>
      <c r="G923">
        <v>4249.9548680529297</v>
      </c>
      <c r="H923">
        <v>803.56970764035805</v>
      </c>
      <c r="I923">
        <v>0.59762520902727401</v>
      </c>
      <c r="J923">
        <v>8.2707914245868305E-2</v>
      </c>
      <c r="K923">
        <v>0.50936102748632806</v>
      </c>
      <c r="L923" t="s">
        <v>38</v>
      </c>
      <c r="M923" t="s">
        <v>34</v>
      </c>
      <c r="N923" t="s">
        <v>35</v>
      </c>
      <c r="O923">
        <v>0.70067164607987398</v>
      </c>
      <c r="P923" t="s">
        <v>36</v>
      </c>
    </row>
    <row r="924" spans="1:16">
      <c r="A924">
        <v>923</v>
      </c>
      <c r="B924" t="s">
        <v>980</v>
      </c>
      <c r="C924">
        <v>82</v>
      </c>
      <c r="D924">
        <v>88</v>
      </c>
      <c r="E924">
        <v>73.811333552747101</v>
      </c>
      <c r="F924">
        <v>0.93788818698445897</v>
      </c>
      <c r="G924">
        <v>4278.9379134215496</v>
      </c>
      <c r="H924">
        <v>593.72958227478898</v>
      </c>
      <c r="I924">
        <v>0.56903301197488299</v>
      </c>
      <c r="J924">
        <v>0.152534637078794</v>
      </c>
      <c r="K924">
        <v>0.69945819869287396</v>
      </c>
      <c r="L924" t="s">
        <v>33</v>
      </c>
      <c r="M924" t="s">
        <v>34</v>
      </c>
      <c r="N924" t="s">
        <v>35</v>
      </c>
      <c r="O924">
        <v>0.78335560465203902</v>
      </c>
      <c r="P924" t="s">
        <v>36</v>
      </c>
    </row>
    <row r="925" spans="1:16">
      <c r="A925">
        <v>924</v>
      </c>
      <c r="B925" t="s">
        <v>981</v>
      </c>
      <c r="C925">
        <v>80</v>
      </c>
      <c r="D925">
        <v>115</v>
      </c>
      <c r="E925">
        <v>73.893331935042895</v>
      </c>
      <c r="F925">
        <v>0.69668246445497595</v>
      </c>
      <c r="G925">
        <v>4288.4502975425303</v>
      </c>
      <c r="H925">
        <v>618.44319011574203</v>
      </c>
      <c r="I925">
        <v>0.60950161180820295</v>
      </c>
      <c r="J925">
        <v>0.14089987947520399</v>
      </c>
      <c r="K925">
        <v>0.60191926567226495</v>
      </c>
      <c r="L925" t="s">
        <v>33</v>
      </c>
      <c r="M925" t="s">
        <v>34</v>
      </c>
      <c r="N925" t="s">
        <v>35</v>
      </c>
      <c r="O925">
        <v>0.68872214476528903</v>
      </c>
      <c r="P925" t="s">
        <v>36</v>
      </c>
    </row>
    <row r="926" spans="1:16">
      <c r="A926">
        <v>925</v>
      </c>
      <c r="B926" t="s">
        <v>982</v>
      </c>
      <c r="C926">
        <v>90</v>
      </c>
      <c r="D926">
        <v>91</v>
      </c>
      <c r="E926">
        <v>73.938136336289602</v>
      </c>
      <c r="F926">
        <v>0.99009535965896101</v>
      </c>
      <c r="G926">
        <v>4293.6523826086996</v>
      </c>
      <c r="H926">
        <v>416.56716820758299</v>
      </c>
      <c r="I926">
        <v>0.71209905380671801</v>
      </c>
      <c r="J926">
        <v>0.31093289378329297</v>
      </c>
      <c r="K926">
        <v>0.711124239962583</v>
      </c>
      <c r="L926" t="s">
        <v>38</v>
      </c>
      <c r="M926" t="s">
        <v>34</v>
      </c>
      <c r="N926" t="s">
        <v>35</v>
      </c>
      <c r="O926">
        <v>0.68662494062822599</v>
      </c>
      <c r="P926" t="s">
        <v>36</v>
      </c>
    </row>
    <row r="927" spans="1:16">
      <c r="A927">
        <v>926</v>
      </c>
      <c r="B927" t="s">
        <v>983</v>
      </c>
      <c r="C927">
        <v>100</v>
      </c>
      <c r="D927">
        <v>75</v>
      </c>
      <c r="E927">
        <v>74.011045448818194</v>
      </c>
      <c r="F927">
        <v>1.3342602644000601</v>
      </c>
      <c r="G927">
        <v>4302.1243497164496</v>
      </c>
      <c r="H927">
        <v>400.12374954793802</v>
      </c>
      <c r="I927">
        <v>0.70224663383658004</v>
      </c>
      <c r="J927">
        <v>0.337679085806386</v>
      </c>
      <c r="K927">
        <v>0.74483415249221596</v>
      </c>
      <c r="L927" t="s">
        <v>144</v>
      </c>
      <c r="M927" t="s">
        <v>34</v>
      </c>
      <c r="N927" t="s">
        <v>35</v>
      </c>
      <c r="O927">
        <v>0.78252260857250699</v>
      </c>
      <c r="P927" t="s">
        <v>36</v>
      </c>
    </row>
    <row r="928" spans="1:16">
      <c r="A928">
        <v>927</v>
      </c>
      <c r="B928" t="s">
        <v>984</v>
      </c>
      <c r="C928">
        <v>59</v>
      </c>
      <c r="D928">
        <v>136</v>
      </c>
      <c r="E928">
        <v>74.036610577542206</v>
      </c>
      <c r="F928">
        <v>0.435133197751845</v>
      </c>
      <c r="G928">
        <v>4305.0969697542496</v>
      </c>
      <c r="H928">
        <v>560.97114383417602</v>
      </c>
      <c r="I928">
        <v>0.90555749332734303</v>
      </c>
      <c r="J928">
        <v>0.171914203087906</v>
      </c>
      <c r="K928">
        <v>0.70293161190117903</v>
      </c>
      <c r="L928" t="s">
        <v>41</v>
      </c>
      <c r="M928" t="s">
        <v>34</v>
      </c>
      <c r="N928" t="s">
        <v>35</v>
      </c>
      <c r="O928">
        <v>0.71449249287981897</v>
      </c>
      <c r="P928" t="s">
        <v>36</v>
      </c>
    </row>
    <row r="929" spans="1:16">
      <c r="A929">
        <v>928</v>
      </c>
      <c r="B929" t="s">
        <v>985</v>
      </c>
      <c r="C929">
        <v>193</v>
      </c>
      <c r="D929">
        <v>64</v>
      </c>
      <c r="E929">
        <v>74.104315514531294</v>
      </c>
      <c r="F929">
        <v>2.99748992525052</v>
      </c>
      <c r="G929">
        <v>4312.9744128544398</v>
      </c>
      <c r="H929">
        <v>648.867385857209</v>
      </c>
      <c r="I929">
        <v>0.69455927756319902</v>
      </c>
      <c r="J929">
        <v>0.12872854316315999</v>
      </c>
      <c r="K929">
        <v>0.50757390239636202</v>
      </c>
      <c r="L929" t="s">
        <v>47</v>
      </c>
      <c r="M929" t="s">
        <v>34</v>
      </c>
      <c r="N929" t="s">
        <v>35</v>
      </c>
      <c r="O929">
        <v>0.95185541884828795</v>
      </c>
      <c r="P929" t="s">
        <v>36</v>
      </c>
    </row>
    <row r="930" spans="1:16">
      <c r="A930">
        <v>929</v>
      </c>
      <c r="B930" t="s">
        <v>986</v>
      </c>
      <c r="C930">
        <v>103</v>
      </c>
      <c r="D930">
        <v>79</v>
      </c>
      <c r="E930">
        <v>74.202569219698105</v>
      </c>
      <c r="F930">
        <v>1.30555555555556</v>
      </c>
      <c r="G930">
        <v>4324.4189999999999</v>
      </c>
      <c r="H930">
        <v>424.51180664404598</v>
      </c>
      <c r="I930">
        <v>0.70961674828233301</v>
      </c>
      <c r="J930">
        <v>0.30154913282996099</v>
      </c>
      <c r="K930">
        <v>0.75025786487880397</v>
      </c>
      <c r="L930" t="s">
        <v>33</v>
      </c>
      <c r="M930" t="s">
        <v>34</v>
      </c>
      <c r="N930" t="s">
        <v>35</v>
      </c>
      <c r="O930">
        <v>0.68178945068830099</v>
      </c>
      <c r="P930" t="s">
        <v>36</v>
      </c>
    </row>
    <row r="931" spans="1:16">
      <c r="A931">
        <v>930</v>
      </c>
      <c r="B931" t="s">
        <v>987</v>
      </c>
      <c r="C931">
        <v>105</v>
      </c>
      <c r="D931">
        <v>80</v>
      </c>
      <c r="E931">
        <v>74.261204210451595</v>
      </c>
      <c r="F931">
        <v>1.3048921779645399</v>
      </c>
      <c r="G931">
        <v>4331.2560260869604</v>
      </c>
      <c r="H931">
        <v>446.81757010801999</v>
      </c>
      <c r="I931">
        <v>0.58509238704713895</v>
      </c>
      <c r="J931">
        <v>0.272623466264931</v>
      </c>
      <c r="K931">
        <v>0.707391673746814</v>
      </c>
      <c r="L931" t="s">
        <v>33</v>
      </c>
      <c r="M931" t="s">
        <v>34</v>
      </c>
      <c r="N931" t="s">
        <v>35</v>
      </c>
      <c r="O931">
        <v>0.71099097016119694</v>
      </c>
      <c r="P931" t="s">
        <v>36</v>
      </c>
    </row>
    <row r="932" spans="1:16">
      <c r="A932">
        <v>931</v>
      </c>
      <c r="B932" t="s">
        <v>988</v>
      </c>
      <c r="C932">
        <v>97</v>
      </c>
      <c r="D932">
        <v>66</v>
      </c>
      <c r="E932">
        <v>74.393599920834205</v>
      </c>
      <c r="F932">
        <v>1.4686594369607999</v>
      </c>
      <c r="G932">
        <v>4346.7136502835501</v>
      </c>
      <c r="H932">
        <v>297.719179141729</v>
      </c>
      <c r="I932">
        <v>0.57953442855464099</v>
      </c>
      <c r="J932">
        <v>0.61625047807724398</v>
      </c>
      <c r="K932">
        <v>0.89766413947635004</v>
      </c>
      <c r="L932" t="s">
        <v>33</v>
      </c>
      <c r="M932" t="s">
        <v>34</v>
      </c>
      <c r="N932" t="s">
        <v>35</v>
      </c>
      <c r="O932">
        <v>0.763933798331353</v>
      </c>
      <c r="P932" t="s">
        <v>36</v>
      </c>
    </row>
    <row r="933" spans="1:16">
      <c r="A933">
        <v>932</v>
      </c>
      <c r="B933" t="s">
        <v>989</v>
      </c>
      <c r="C933">
        <v>146</v>
      </c>
      <c r="D933">
        <v>75</v>
      </c>
      <c r="E933">
        <v>74.605705333669206</v>
      </c>
      <c r="F933">
        <v>1.93549419124258</v>
      </c>
      <c r="G933">
        <v>4371.5350275992396</v>
      </c>
      <c r="H933">
        <v>748.96819705382597</v>
      </c>
      <c r="I933">
        <v>0.69841767066468796</v>
      </c>
      <c r="J933">
        <v>9.7930297255138896E-2</v>
      </c>
      <c r="K933">
        <v>0.56274753659236598</v>
      </c>
      <c r="L933" t="s">
        <v>38</v>
      </c>
      <c r="M933" t="s">
        <v>34</v>
      </c>
      <c r="N933" t="s">
        <v>35</v>
      </c>
      <c r="O933">
        <v>0.70627609202103003</v>
      </c>
      <c r="P933" t="s">
        <v>36</v>
      </c>
    </row>
    <row r="934" spans="1:16">
      <c r="A934">
        <v>933</v>
      </c>
      <c r="B934" t="s">
        <v>990</v>
      </c>
      <c r="C934">
        <v>82</v>
      </c>
      <c r="D934">
        <v>75</v>
      </c>
      <c r="E934">
        <v>74.608241864237996</v>
      </c>
      <c r="F934">
        <v>1.09347440625985</v>
      </c>
      <c r="G934">
        <v>4371.8322896030204</v>
      </c>
      <c r="H934">
        <v>288.33424146652197</v>
      </c>
      <c r="I934">
        <v>0.71324238228770498</v>
      </c>
      <c r="J934">
        <v>0.66081655753527102</v>
      </c>
      <c r="K934">
        <v>0.90262988308221104</v>
      </c>
      <c r="L934" t="s">
        <v>74</v>
      </c>
      <c r="M934" t="s">
        <v>34</v>
      </c>
      <c r="N934" t="s">
        <v>35</v>
      </c>
      <c r="O934">
        <v>0.67553499369758996</v>
      </c>
      <c r="P934" t="s">
        <v>36</v>
      </c>
    </row>
    <row r="935" spans="1:16">
      <c r="A935">
        <v>934</v>
      </c>
      <c r="B935" t="s">
        <v>991</v>
      </c>
      <c r="C935">
        <v>112</v>
      </c>
      <c r="D935">
        <v>152</v>
      </c>
      <c r="E935">
        <v>74.638673507324398</v>
      </c>
      <c r="F935">
        <v>0.73741007194244601</v>
      </c>
      <c r="G935">
        <v>4375.3994336483902</v>
      </c>
      <c r="H935">
        <v>795.09751790253995</v>
      </c>
      <c r="I935">
        <v>0.64946420474480404</v>
      </c>
      <c r="J935">
        <v>8.6973465455958895E-2</v>
      </c>
      <c r="K935">
        <v>0.40981735159817401</v>
      </c>
      <c r="L935" t="s">
        <v>74</v>
      </c>
      <c r="M935" t="s">
        <v>34</v>
      </c>
      <c r="N935" t="s">
        <v>35</v>
      </c>
      <c r="O935">
        <v>0.70954928615560597</v>
      </c>
      <c r="P935" t="s">
        <v>36</v>
      </c>
    </row>
    <row r="936" spans="1:16">
      <c r="A936">
        <v>935</v>
      </c>
      <c r="B936" t="s">
        <v>992</v>
      </c>
      <c r="C936">
        <v>108</v>
      </c>
      <c r="D936">
        <v>65</v>
      </c>
      <c r="E936">
        <v>74.664023735106696</v>
      </c>
      <c r="F936">
        <v>1.65772447216685</v>
      </c>
      <c r="G936">
        <v>4378.3720536862002</v>
      </c>
      <c r="H936">
        <v>374.52398425496102</v>
      </c>
      <c r="I936">
        <v>0.53623180730133901</v>
      </c>
      <c r="J936">
        <v>0.39225027565654602</v>
      </c>
      <c r="K936">
        <v>0.77362256421030495</v>
      </c>
      <c r="L936" t="s">
        <v>38</v>
      </c>
      <c r="M936" t="s">
        <v>34</v>
      </c>
      <c r="N936" t="s">
        <v>35</v>
      </c>
      <c r="O936">
        <v>0.77999736975879597</v>
      </c>
      <c r="P936" t="s">
        <v>36</v>
      </c>
    </row>
    <row r="937" spans="1:16">
      <c r="A937">
        <v>936</v>
      </c>
      <c r="B937" t="s">
        <v>993</v>
      </c>
      <c r="C937">
        <v>129</v>
      </c>
      <c r="D937">
        <v>56</v>
      </c>
      <c r="E937">
        <v>74.752681832555098</v>
      </c>
      <c r="F937">
        <v>2.29126213592233</v>
      </c>
      <c r="G937">
        <v>4388.7762238185296</v>
      </c>
      <c r="H937">
        <v>542.793019224457</v>
      </c>
      <c r="I937">
        <v>0.81169862928844605</v>
      </c>
      <c r="J937">
        <v>0.187190926674698</v>
      </c>
      <c r="K937">
        <v>0.73648766617614003</v>
      </c>
      <c r="L937" t="s">
        <v>41</v>
      </c>
      <c r="M937" t="s">
        <v>34</v>
      </c>
      <c r="N937" t="s">
        <v>35</v>
      </c>
      <c r="O937">
        <v>0.68112535779591898</v>
      </c>
      <c r="P937" t="s">
        <v>36</v>
      </c>
    </row>
    <row r="938" spans="1:16">
      <c r="A938">
        <v>937</v>
      </c>
      <c r="B938" t="s">
        <v>994</v>
      </c>
      <c r="C938">
        <v>68</v>
      </c>
      <c r="D938">
        <v>142</v>
      </c>
      <c r="E938">
        <v>74.934734364787005</v>
      </c>
      <c r="F938">
        <v>0.480769230769231</v>
      </c>
      <c r="G938">
        <v>4410.1790880907402</v>
      </c>
      <c r="H938">
        <v>634.31755551587003</v>
      </c>
      <c r="I938">
        <v>0.80631423736679397</v>
      </c>
      <c r="J938">
        <v>0.13773763674600301</v>
      </c>
      <c r="K938">
        <v>0.63628760748825897</v>
      </c>
      <c r="L938" t="s">
        <v>38</v>
      </c>
      <c r="M938" t="s">
        <v>34</v>
      </c>
      <c r="N938" t="s">
        <v>35</v>
      </c>
      <c r="O938">
        <v>0.70369387221894697</v>
      </c>
      <c r="P938" t="s">
        <v>36</v>
      </c>
    </row>
    <row r="939" spans="1:16">
      <c r="A939">
        <v>938</v>
      </c>
      <c r="B939" t="s">
        <v>995</v>
      </c>
      <c r="C939">
        <v>148</v>
      </c>
      <c r="D939">
        <v>81</v>
      </c>
      <c r="E939">
        <v>74.965033470155404</v>
      </c>
      <c r="F939">
        <v>1.8313938308634099</v>
      </c>
      <c r="G939">
        <v>4413.7462321361099</v>
      </c>
      <c r="H939">
        <v>983.37634313479703</v>
      </c>
      <c r="I939">
        <v>0.62848113932905803</v>
      </c>
      <c r="J939">
        <v>5.7355848792294398E-2</v>
      </c>
      <c r="K939">
        <v>0.45541821304787899</v>
      </c>
      <c r="L939" t="s">
        <v>74</v>
      </c>
      <c r="M939" t="s">
        <v>34</v>
      </c>
      <c r="N939" t="s">
        <v>35</v>
      </c>
      <c r="O939">
        <v>0.64291453952353395</v>
      </c>
      <c r="P939" t="s">
        <v>36</v>
      </c>
    </row>
    <row r="940" spans="1:16">
      <c r="A940">
        <v>939</v>
      </c>
      <c r="B940" t="s">
        <v>996</v>
      </c>
      <c r="C940">
        <v>108</v>
      </c>
      <c r="D940">
        <v>62</v>
      </c>
      <c r="E940">
        <v>75.011720613122804</v>
      </c>
      <c r="F940">
        <v>1.7354776496422899</v>
      </c>
      <c r="G940">
        <v>4419.24557920605</v>
      </c>
      <c r="H940">
        <v>387.32742963365899</v>
      </c>
      <c r="I940">
        <v>0.67441960181315797</v>
      </c>
      <c r="J940">
        <v>0.37017023320833597</v>
      </c>
      <c r="K940">
        <v>0.85784766301211801</v>
      </c>
      <c r="L940" t="s">
        <v>61</v>
      </c>
      <c r="M940" t="s">
        <v>34</v>
      </c>
      <c r="N940" t="s">
        <v>35</v>
      </c>
      <c r="O940">
        <v>0.66051826616641796</v>
      </c>
      <c r="P940" t="s">
        <v>36</v>
      </c>
    </row>
    <row r="941" spans="1:16">
      <c r="A941">
        <v>940</v>
      </c>
      <c r="B941" t="s">
        <v>997</v>
      </c>
      <c r="C941">
        <v>119</v>
      </c>
      <c r="D941">
        <v>64</v>
      </c>
      <c r="E941">
        <v>75.011720613122804</v>
      </c>
      <c r="F941">
        <v>1.8766840859426499</v>
      </c>
      <c r="G941">
        <v>4419.24557920605</v>
      </c>
      <c r="H941">
        <v>376.385472853598</v>
      </c>
      <c r="I941">
        <v>0.70347505784543196</v>
      </c>
      <c r="J941">
        <v>0.39200562101948799</v>
      </c>
      <c r="K941">
        <v>0.79020384298509005</v>
      </c>
      <c r="L941" t="s">
        <v>49</v>
      </c>
      <c r="M941" t="s">
        <v>34</v>
      </c>
      <c r="N941" t="s">
        <v>35</v>
      </c>
      <c r="O941">
        <v>0.717988939264387</v>
      </c>
      <c r="P941" t="s">
        <v>36</v>
      </c>
    </row>
    <row r="942" spans="1:16">
      <c r="A942">
        <v>941</v>
      </c>
      <c r="B942" t="s">
        <v>998</v>
      </c>
      <c r="C942">
        <v>70</v>
      </c>
      <c r="D942">
        <v>111</v>
      </c>
      <c r="E942">
        <v>75.127681804417406</v>
      </c>
      <c r="F942">
        <v>0.62753076037859601</v>
      </c>
      <c r="G942">
        <v>4432.9196313799603</v>
      </c>
      <c r="H942">
        <v>536.23322228193297</v>
      </c>
      <c r="I942">
        <v>0.76429376626186996</v>
      </c>
      <c r="J942">
        <v>0.193727952002717</v>
      </c>
      <c r="K942">
        <v>0.76582359738092198</v>
      </c>
      <c r="L942" t="s">
        <v>33</v>
      </c>
      <c r="M942" t="s">
        <v>34</v>
      </c>
      <c r="N942" t="s">
        <v>35</v>
      </c>
      <c r="O942">
        <v>0.66285182405520504</v>
      </c>
      <c r="P942" t="s">
        <v>36</v>
      </c>
    </row>
    <row r="943" spans="1:16">
      <c r="A943">
        <v>942</v>
      </c>
      <c r="B943" t="s">
        <v>999</v>
      </c>
      <c r="C943">
        <v>109</v>
      </c>
      <c r="D943">
        <v>73</v>
      </c>
      <c r="E943">
        <v>75.227114526419498</v>
      </c>
      <c r="F943">
        <v>1.4847278953787399</v>
      </c>
      <c r="G943">
        <v>4444.6614805293002</v>
      </c>
      <c r="H943">
        <v>395.950715731331</v>
      </c>
      <c r="I943">
        <v>0.66890855820899298</v>
      </c>
      <c r="J943">
        <v>0.35625936432691402</v>
      </c>
      <c r="K943">
        <v>0.79358845071917605</v>
      </c>
      <c r="L943" t="s">
        <v>49</v>
      </c>
      <c r="M943" t="s">
        <v>34</v>
      </c>
      <c r="N943" t="s">
        <v>35</v>
      </c>
      <c r="O943">
        <v>0.81278629912651601</v>
      </c>
      <c r="P943" t="s">
        <v>36</v>
      </c>
    </row>
    <row r="944" spans="1:16">
      <c r="A944">
        <v>943</v>
      </c>
      <c r="B944" t="s">
        <v>1000</v>
      </c>
      <c r="C944">
        <v>77</v>
      </c>
      <c r="D944">
        <v>133</v>
      </c>
      <c r="E944">
        <v>75.230887862490206</v>
      </c>
      <c r="F944">
        <v>0.58249371873649203</v>
      </c>
      <c r="G944">
        <v>4445.1073735349701</v>
      </c>
      <c r="H944">
        <v>513.49686721957301</v>
      </c>
      <c r="I944">
        <v>0.59931721138999405</v>
      </c>
      <c r="J944">
        <v>0.21184417325973301</v>
      </c>
      <c r="K944">
        <v>0.60393780290791599</v>
      </c>
      <c r="L944" t="s">
        <v>38</v>
      </c>
      <c r="M944" t="s">
        <v>34</v>
      </c>
      <c r="N944" t="s">
        <v>35</v>
      </c>
      <c r="O944">
        <v>0.84231958325192302</v>
      </c>
      <c r="P944" t="s">
        <v>36</v>
      </c>
    </row>
    <row r="945" spans="1:16">
      <c r="A945">
        <v>944</v>
      </c>
      <c r="B945" t="s">
        <v>1001</v>
      </c>
      <c r="C945">
        <v>123</v>
      </c>
      <c r="D945">
        <v>76</v>
      </c>
      <c r="E945">
        <v>75.389197436339103</v>
      </c>
      <c r="F945">
        <v>1.6142857142857101</v>
      </c>
      <c r="G945">
        <v>4463.8348797731596</v>
      </c>
      <c r="H945">
        <v>600.40286662319397</v>
      </c>
      <c r="I945">
        <v>0.64251324189417902</v>
      </c>
      <c r="J945">
        <v>0.155608197184326</v>
      </c>
      <c r="K945">
        <v>0.54008416055243802</v>
      </c>
      <c r="L945" t="s">
        <v>38</v>
      </c>
      <c r="M945" t="s">
        <v>34</v>
      </c>
      <c r="N945" t="s">
        <v>35</v>
      </c>
      <c r="O945">
        <v>0.81239141432027795</v>
      </c>
      <c r="P945" t="s">
        <v>36</v>
      </c>
    </row>
    <row r="946" spans="1:16">
      <c r="A946">
        <v>945</v>
      </c>
      <c r="B946" t="s">
        <v>1002</v>
      </c>
      <c r="C946">
        <v>84</v>
      </c>
      <c r="D946">
        <v>106</v>
      </c>
      <c r="E946">
        <v>75.395472705204398</v>
      </c>
      <c r="F946">
        <v>0.79132767322559605</v>
      </c>
      <c r="G946">
        <v>4464.5780347826103</v>
      </c>
      <c r="H946">
        <v>424.99396298304902</v>
      </c>
      <c r="I946">
        <v>0.69528881731296699</v>
      </c>
      <c r="J946">
        <v>0.31061667060968901</v>
      </c>
      <c r="K946">
        <v>0.73065602880007796</v>
      </c>
      <c r="L946" t="s">
        <v>38</v>
      </c>
      <c r="M946" t="s">
        <v>34</v>
      </c>
      <c r="N946" t="s">
        <v>35</v>
      </c>
      <c r="O946">
        <v>0.83806554571726999</v>
      </c>
      <c r="P946" t="s">
        <v>36</v>
      </c>
    </row>
    <row r="947" spans="1:16">
      <c r="A947">
        <v>946</v>
      </c>
      <c r="B947" t="s">
        <v>1003</v>
      </c>
      <c r="C947">
        <v>75</v>
      </c>
      <c r="D947">
        <v>162</v>
      </c>
      <c r="E947">
        <v>75.429350135799893</v>
      </c>
      <c r="F947">
        <v>0.46188725470069703</v>
      </c>
      <c r="G947">
        <v>4468.5910718336499</v>
      </c>
      <c r="H947">
        <v>789.37135798526901</v>
      </c>
      <c r="I947">
        <v>0.63418090741321598</v>
      </c>
      <c r="J947">
        <v>9.0119287446948804E-2</v>
      </c>
      <c r="K947">
        <v>0.54159461017437704</v>
      </c>
      <c r="L947" t="s">
        <v>43</v>
      </c>
      <c r="M947" t="s">
        <v>34</v>
      </c>
      <c r="N947" t="s">
        <v>35</v>
      </c>
      <c r="O947">
        <v>0.85973852291266695</v>
      </c>
      <c r="P947" t="s">
        <v>36</v>
      </c>
    </row>
    <row r="948" spans="1:16">
      <c r="A948">
        <v>947</v>
      </c>
      <c r="B948" t="s">
        <v>1004</v>
      </c>
      <c r="C948">
        <v>122</v>
      </c>
      <c r="D948">
        <v>92</v>
      </c>
      <c r="E948">
        <v>75.487032223365304</v>
      </c>
      <c r="F948">
        <v>1.3273810118504501</v>
      </c>
      <c r="G948">
        <v>4475.4280979206096</v>
      </c>
      <c r="H948">
        <v>713.78927953751202</v>
      </c>
      <c r="I948">
        <v>0.61655875646038405</v>
      </c>
      <c r="J948">
        <v>0.110383562488911</v>
      </c>
      <c r="K948">
        <v>0.49978422520249599</v>
      </c>
      <c r="L948" t="s">
        <v>38</v>
      </c>
      <c r="M948" t="s">
        <v>34</v>
      </c>
      <c r="N948" t="s">
        <v>35</v>
      </c>
      <c r="O948">
        <v>0.73059900552905099</v>
      </c>
      <c r="P948" t="s">
        <v>36</v>
      </c>
    </row>
    <row r="949" spans="1:16">
      <c r="A949">
        <v>948</v>
      </c>
      <c r="B949" t="s">
        <v>1005</v>
      </c>
      <c r="C949">
        <v>108</v>
      </c>
      <c r="D949">
        <v>68</v>
      </c>
      <c r="E949">
        <v>75.606018983038197</v>
      </c>
      <c r="F949">
        <v>1.5967741935483899</v>
      </c>
      <c r="G949">
        <v>4489.5480431001897</v>
      </c>
      <c r="H949">
        <v>359.51469505579598</v>
      </c>
      <c r="I949">
        <v>0.76459474532871197</v>
      </c>
      <c r="J949">
        <v>0.43649492021438602</v>
      </c>
      <c r="K949">
        <v>0.85586376901935202</v>
      </c>
      <c r="L949" t="s">
        <v>43</v>
      </c>
      <c r="M949" t="s">
        <v>34</v>
      </c>
      <c r="N949" t="s">
        <v>35</v>
      </c>
      <c r="O949">
        <v>0.71153665211116501</v>
      </c>
      <c r="P949" t="s">
        <v>36</v>
      </c>
    </row>
    <row r="950" spans="1:16">
      <c r="A950">
        <v>949</v>
      </c>
      <c r="B950" t="s">
        <v>1006</v>
      </c>
      <c r="C950">
        <v>82</v>
      </c>
      <c r="D950">
        <v>83</v>
      </c>
      <c r="E950">
        <v>75.693975660604806</v>
      </c>
      <c r="F950">
        <v>0.983333256921744</v>
      </c>
      <c r="G950">
        <v>4500</v>
      </c>
      <c r="H950">
        <v>309.70562458038302</v>
      </c>
      <c r="I950">
        <v>0.72717727662769904</v>
      </c>
      <c r="J950">
        <v>0.58955481740501903</v>
      </c>
      <c r="K950">
        <v>0.83526682134570795</v>
      </c>
      <c r="L950" t="s">
        <v>74</v>
      </c>
      <c r="M950" t="s">
        <v>34</v>
      </c>
      <c r="N950" t="s">
        <v>35</v>
      </c>
      <c r="O950">
        <v>0.67456569629687402</v>
      </c>
      <c r="P950" t="s">
        <v>36</v>
      </c>
    </row>
    <row r="951" spans="1:16">
      <c r="A951">
        <v>950</v>
      </c>
      <c r="B951" t="s">
        <v>1007</v>
      </c>
      <c r="C951">
        <v>125</v>
      </c>
      <c r="D951">
        <v>152</v>
      </c>
      <c r="E951">
        <v>75.8521651087961</v>
      </c>
      <c r="F951">
        <v>0.81957083833571198</v>
      </c>
      <c r="G951">
        <v>4518.8283504725896</v>
      </c>
      <c r="H951">
        <v>1134.57649275417</v>
      </c>
      <c r="I951">
        <v>0.58051254423556997</v>
      </c>
      <c r="J951">
        <v>4.4113157695127997E-2</v>
      </c>
      <c r="K951">
        <v>0.33991100576897298</v>
      </c>
      <c r="L951" t="s">
        <v>41</v>
      </c>
      <c r="M951" t="s">
        <v>34</v>
      </c>
      <c r="N951" t="s">
        <v>35</v>
      </c>
      <c r="O951">
        <v>0.72603127503014298</v>
      </c>
      <c r="P951" t="s">
        <v>36</v>
      </c>
    </row>
    <row r="952" spans="1:16">
      <c r="A952">
        <v>951</v>
      </c>
      <c r="B952" t="s">
        <v>1008</v>
      </c>
      <c r="C952">
        <v>89</v>
      </c>
      <c r="D952">
        <v>101</v>
      </c>
      <c r="E952">
        <v>75.8908260637388</v>
      </c>
      <c r="F952">
        <v>0.87634408602150504</v>
      </c>
      <c r="G952">
        <v>4523.43591153119</v>
      </c>
      <c r="H952">
        <v>444.68598850934399</v>
      </c>
      <c r="I952">
        <v>0.59563073785160103</v>
      </c>
      <c r="J952">
        <v>0.28745602409154702</v>
      </c>
      <c r="K952">
        <v>0.72446380537503896</v>
      </c>
      <c r="L952" t="s">
        <v>33</v>
      </c>
      <c r="M952" t="s">
        <v>34</v>
      </c>
      <c r="N952" t="s">
        <v>35</v>
      </c>
      <c r="O952">
        <v>0.79156200613604999</v>
      </c>
      <c r="P952" t="s">
        <v>36</v>
      </c>
    </row>
    <row r="953" spans="1:16">
      <c r="A953">
        <v>952</v>
      </c>
      <c r="B953" t="s">
        <v>1009</v>
      </c>
      <c r="C953">
        <v>83</v>
      </c>
      <c r="D953">
        <v>112</v>
      </c>
      <c r="E953">
        <v>75.900799887682993</v>
      </c>
      <c r="F953">
        <v>0.73786403883614204</v>
      </c>
      <c r="G953">
        <v>4524.6249595463096</v>
      </c>
      <c r="H953">
        <v>846.99773308691795</v>
      </c>
      <c r="I953">
        <v>0.61246330006828398</v>
      </c>
      <c r="J953">
        <v>7.9255234439880806E-2</v>
      </c>
      <c r="K953">
        <v>0.64026416522946195</v>
      </c>
      <c r="L953" t="s">
        <v>47</v>
      </c>
      <c r="M953" t="s">
        <v>34</v>
      </c>
      <c r="N953" t="s">
        <v>35</v>
      </c>
      <c r="O953">
        <v>0.91741422189548505</v>
      </c>
      <c r="P953" t="s">
        <v>36</v>
      </c>
    </row>
    <row r="954" spans="1:16">
      <c r="A954">
        <v>953</v>
      </c>
      <c r="B954" t="s">
        <v>1010</v>
      </c>
      <c r="C954">
        <v>86</v>
      </c>
      <c r="D954">
        <v>120</v>
      </c>
      <c r="E954">
        <v>75.918250926629199</v>
      </c>
      <c r="F954">
        <v>0.71236445994428099</v>
      </c>
      <c r="G954">
        <v>4526.7057935727798</v>
      </c>
      <c r="H954">
        <v>699.29196962294395</v>
      </c>
      <c r="I954">
        <v>0.69154655796758602</v>
      </c>
      <c r="J954">
        <v>0.116325532989334</v>
      </c>
      <c r="K954">
        <v>0.62737666083015797</v>
      </c>
      <c r="L954" t="s">
        <v>41</v>
      </c>
      <c r="M954" t="s">
        <v>34</v>
      </c>
      <c r="N954" t="s">
        <v>35</v>
      </c>
      <c r="O954">
        <v>0.72857340307405905</v>
      </c>
      <c r="P954" t="s">
        <v>36</v>
      </c>
    </row>
    <row r="955" spans="1:16">
      <c r="A955">
        <v>954</v>
      </c>
      <c r="B955" t="s">
        <v>1011</v>
      </c>
      <c r="C955">
        <v>80</v>
      </c>
      <c r="D955">
        <v>98</v>
      </c>
      <c r="E955">
        <v>75.9369440180228</v>
      </c>
      <c r="F955">
        <v>0.81971071531958895</v>
      </c>
      <c r="G955">
        <v>4528.93525860113</v>
      </c>
      <c r="H955">
        <v>367.02323265956801</v>
      </c>
      <c r="I955">
        <v>0.69569249756921703</v>
      </c>
      <c r="J955">
        <v>0.42249236429081499</v>
      </c>
      <c r="K955">
        <v>0.73813618856132401</v>
      </c>
      <c r="L955" t="s">
        <v>144</v>
      </c>
      <c r="M955" t="s">
        <v>34</v>
      </c>
      <c r="N955" t="s">
        <v>35</v>
      </c>
      <c r="O955">
        <v>0.79215583576329296</v>
      </c>
      <c r="P955" t="s">
        <v>36</v>
      </c>
    </row>
    <row r="956" spans="1:16">
      <c r="A956">
        <v>955</v>
      </c>
      <c r="B956" t="s">
        <v>1012</v>
      </c>
      <c r="C956">
        <v>99</v>
      </c>
      <c r="D956">
        <v>71</v>
      </c>
      <c r="E956">
        <v>76.136051420238502</v>
      </c>
      <c r="F956">
        <v>1.39118672757116</v>
      </c>
      <c r="G956">
        <v>4552.7162189035898</v>
      </c>
      <c r="H956">
        <v>366.08778724100301</v>
      </c>
      <c r="I956">
        <v>0.67491397453041002</v>
      </c>
      <c r="J956">
        <v>0.42688408385235999</v>
      </c>
      <c r="K956">
        <v>0.82963625037241695</v>
      </c>
      <c r="L956" t="s">
        <v>74</v>
      </c>
      <c r="M956" t="s">
        <v>34</v>
      </c>
      <c r="N956" t="s">
        <v>35</v>
      </c>
      <c r="O956">
        <v>0.74948338002502501</v>
      </c>
      <c r="P956" t="s">
        <v>36</v>
      </c>
    </row>
    <row r="957" spans="1:16">
      <c r="A957">
        <v>956</v>
      </c>
      <c r="B957" t="s">
        <v>1013</v>
      </c>
      <c r="C957">
        <v>142</v>
      </c>
      <c r="D957">
        <v>68</v>
      </c>
      <c r="E957">
        <v>76.174568294213501</v>
      </c>
      <c r="F957">
        <v>2.08</v>
      </c>
      <c r="G957">
        <v>4557.3237799621902</v>
      </c>
      <c r="H957">
        <v>914.75967897270004</v>
      </c>
      <c r="I957">
        <v>0.72996432413752799</v>
      </c>
      <c r="J957">
        <v>6.8439325670573203E-2</v>
      </c>
      <c r="K957">
        <v>0.54989239598278306</v>
      </c>
      <c r="L957" t="s">
        <v>38</v>
      </c>
      <c r="M957" t="s">
        <v>34</v>
      </c>
      <c r="N957" t="s">
        <v>35</v>
      </c>
      <c r="O957">
        <v>0.70937993958607604</v>
      </c>
      <c r="P957" t="s">
        <v>36</v>
      </c>
    </row>
    <row r="958" spans="1:16">
      <c r="A958">
        <v>957</v>
      </c>
      <c r="B958" t="s">
        <v>1014</v>
      </c>
      <c r="C958">
        <v>128</v>
      </c>
      <c r="D958">
        <v>77</v>
      </c>
      <c r="E958">
        <v>76.205616108914896</v>
      </c>
      <c r="F958">
        <v>1.6549295774647901</v>
      </c>
      <c r="G958">
        <v>4561.0395550094499</v>
      </c>
      <c r="H958">
        <v>701.639507564773</v>
      </c>
      <c r="I958">
        <v>0.71902788723730005</v>
      </c>
      <c r="J958">
        <v>0.116424835365612</v>
      </c>
      <c r="K958">
        <v>0.56134413814549899</v>
      </c>
      <c r="L958" t="s">
        <v>74</v>
      </c>
      <c r="M958" t="s">
        <v>34</v>
      </c>
      <c r="N958" t="s">
        <v>35</v>
      </c>
      <c r="O958">
        <v>0.71683277543991797</v>
      </c>
      <c r="P958" t="s">
        <v>36</v>
      </c>
    </row>
    <row r="959" spans="1:16">
      <c r="A959">
        <v>958</v>
      </c>
      <c r="B959" t="s">
        <v>1015</v>
      </c>
      <c r="C959">
        <v>82</v>
      </c>
      <c r="D959">
        <v>121</v>
      </c>
      <c r="E959">
        <v>76.219273140723999</v>
      </c>
      <c r="F959">
        <v>0.67354731283945701</v>
      </c>
      <c r="G959">
        <v>4562.6744960302503</v>
      </c>
      <c r="H959">
        <v>490.62043426596603</v>
      </c>
      <c r="I959">
        <v>0.68954165424917302</v>
      </c>
      <c r="J959">
        <v>0.23819798646045801</v>
      </c>
      <c r="K959">
        <v>0.58891915742623602</v>
      </c>
      <c r="L959" t="s">
        <v>298</v>
      </c>
      <c r="M959" t="s">
        <v>34</v>
      </c>
      <c r="N959" t="s">
        <v>35</v>
      </c>
      <c r="O959">
        <v>0.81734345786802998</v>
      </c>
      <c r="P959" t="s">
        <v>36</v>
      </c>
    </row>
    <row r="960" spans="1:16">
      <c r="A960">
        <v>959</v>
      </c>
      <c r="B960" t="s">
        <v>1016</v>
      </c>
      <c r="C960">
        <v>142</v>
      </c>
      <c r="D960">
        <v>62</v>
      </c>
      <c r="E960">
        <v>76.580914828049501</v>
      </c>
      <c r="F960">
        <v>2.28070175438596</v>
      </c>
      <c r="G960">
        <v>4606.0747485822303</v>
      </c>
      <c r="H960">
        <v>791.90370823673595</v>
      </c>
      <c r="I960">
        <v>0.77686261667775003</v>
      </c>
      <c r="J960">
        <v>9.2298807989030895E-2</v>
      </c>
      <c r="K960">
        <v>0.55536639128331</v>
      </c>
      <c r="L960" t="s">
        <v>74</v>
      </c>
      <c r="M960" t="s">
        <v>34</v>
      </c>
      <c r="N960" t="s">
        <v>35</v>
      </c>
      <c r="O960">
        <v>0.74342212431751098</v>
      </c>
      <c r="P960" t="s">
        <v>36</v>
      </c>
    </row>
    <row r="961" spans="1:16">
      <c r="A961">
        <v>960</v>
      </c>
      <c r="B961" t="s">
        <v>1017</v>
      </c>
      <c r="C961">
        <v>65</v>
      </c>
      <c r="D961">
        <v>140</v>
      </c>
      <c r="E961">
        <v>76.647606817412793</v>
      </c>
      <c r="F961">
        <v>0.46865788937241798</v>
      </c>
      <c r="G961">
        <v>4614.1008226843096</v>
      </c>
      <c r="H961">
        <v>431.53657167870102</v>
      </c>
      <c r="I961">
        <v>0.81323865288969799</v>
      </c>
      <c r="J961">
        <v>0.311359219588418</v>
      </c>
      <c r="K961">
        <v>0.72202065308400798</v>
      </c>
      <c r="L961" t="s">
        <v>33</v>
      </c>
      <c r="M961" t="s">
        <v>34</v>
      </c>
      <c r="N961" t="s">
        <v>35</v>
      </c>
      <c r="O961">
        <v>0.70063066858295997</v>
      </c>
      <c r="P961" t="s">
        <v>36</v>
      </c>
    </row>
    <row r="962" spans="1:16">
      <c r="A962">
        <v>961</v>
      </c>
      <c r="B962" t="s">
        <v>1018</v>
      </c>
      <c r="C962">
        <v>83</v>
      </c>
      <c r="D962">
        <v>137</v>
      </c>
      <c r="E962">
        <v>76.715474245041605</v>
      </c>
      <c r="F962">
        <v>0.60557768924302802</v>
      </c>
      <c r="G962">
        <v>4622.2755277882798</v>
      </c>
      <c r="H962">
        <v>795.16333357199403</v>
      </c>
      <c r="I962">
        <v>0.62786546971634505</v>
      </c>
      <c r="J962">
        <v>9.1865618254296205E-2</v>
      </c>
      <c r="K962">
        <v>0.56537468639784705</v>
      </c>
      <c r="L962" t="s">
        <v>74</v>
      </c>
      <c r="M962" t="s">
        <v>34</v>
      </c>
      <c r="N962" t="s">
        <v>35</v>
      </c>
      <c r="O962">
        <v>0.72543376251760405</v>
      </c>
      <c r="P962" t="s">
        <v>36</v>
      </c>
    </row>
    <row r="963" spans="1:16">
      <c r="A963">
        <v>962</v>
      </c>
      <c r="B963" t="s">
        <v>1019</v>
      </c>
      <c r="C963">
        <v>127</v>
      </c>
      <c r="D963">
        <v>86</v>
      </c>
      <c r="E963">
        <v>76.738079819605403</v>
      </c>
      <c r="F963">
        <v>1.47028427693407</v>
      </c>
      <c r="G963">
        <v>4625</v>
      </c>
      <c r="H963">
        <v>474.55843687057501</v>
      </c>
      <c r="I963">
        <v>0.68484809425520699</v>
      </c>
      <c r="J963">
        <v>0.25807278194726802</v>
      </c>
      <c r="K963">
        <v>0.60955518945634302</v>
      </c>
      <c r="L963" t="s">
        <v>38</v>
      </c>
      <c r="M963" t="s">
        <v>34</v>
      </c>
      <c r="N963" t="s">
        <v>35</v>
      </c>
      <c r="O963">
        <v>0.78227328842541799</v>
      </c>
      <c r="P963" t="s">
        <v>36</v>
      </c>
    </row>
    <row r="964" spans="1:16">
      <c r="A964">
        <v>963</v>
      </c>
      <c r="B964" t="s">
        <v>1020</v>
      </c>
      <c r="C964">
        <v>71</v>
      </c>
      <c r="D964">
        <v>118</v>
      </c>
      <c r="E964">
        <v>76.843641552417296</v>
      </c>
      <c r="F964">
        <v>0.60493683647103202</v>
      </c>
      <c r="G964">
        <v>4637.7331519848804</v>
      </c>
      <c r="H964">
        <v>662.42697357913698</v>
      </c>
      <c r="I964">
        <v>0.72985764504725803</v>
      </c>
      <c r="J964">
        <v>0.132812699404213</v>
      </c>
      <c r="K964">
        <v>0.64964293893527103</v>
      </c>
      <c r="L964" t="s">
        <v>47</v>
      </c>
      <c r="M964" t="s">
        <v>34</v>
      </c>
      <c r="N964" t="s">
        <v>35</v>
      </c>
      <c r="O964">
        <v>0.93793039320612304</v>
      </c>
      <c r="P964" t="s">
        <v>36</v>
      </c>
    </row>
    <row r="965" spans="1:16">
      <c r="A965">
        <v>964</v>
      </c>
      <c r="B965" t="s">
        <v>1021</v>
      </c>
      <c r="C965">
        <v>101</v>
      </c>
      <c r="D965">
        <v>102</v>
      </c>
      <c r="E965">
        <v>76.947005452113302</v>
      </c>
      <c r="F965">
        <v>0.98119022100972697</v>
      </c>
      <c r="G965">
        <v>4650.2181561436701</v>
      </c>
      <c r="H965">
        <v>574.57451028834203</v>
      </c>
      <c r="I965">
        <v>0.60574701351334403</v>
      </c>
      <c r="J965">
        <v>0.17700701582109701</v>
      </c>
      <c r="K965">
        <v>0.52696557299737201</v>
      </c>
      <c r="L965" t="s">
        <v>38</v>
      </c>
      <c r="M965" t="s">
        <v>34</v>
      </c>
      <c r="N965" t="s">
        <v>35</v>
      </c>
      <c r="O965">
        <v>0.86546192706168501</v>
      </c>
      <c r="P965" t="s">
        <v>36</v>
      </c>
    </row>
    <row r="966" spans="1:16">
      <c r="A966">
        <v>965</v>
      </c>
      <c r="B966" t="s">
        <v>1022</v>
      </c>
      <c r="C966">
        <v>86</v>
      </c>
      <c r="D966">
        <v>73</v>
      </c>
      <c r="E966">
        <v>76.9740540128264</v>
      </c>
      <c r="F966">
        <v>1.17386236492746</v>
      </c>
      <c r="G966">
        <v>4653.4880381852599</v>
      </c>
      <c r="H966">
        <v>281.098073636864</v>
      </c>
      <c r="I966">
        <v>0.58343662302813903</v>
      </c>
      <c r="J966">
        <v>0.74006987631246202</v>
      </c>
      <c r="K966">
        <v>0.92373281406738705</v>
      </c>
      <c r="L966" t="s">
        <v>188</v>
      </c>
      <c r="M966" t="s">
        <v>34</v>
      </c>
      <c r="N966" t="s">
        <v>35</v>
      </c>
      <c r="O966">
        <v>0.90353429312171396</v>
      </c>
      <c r="P966" t="s">
        <v>36</v>
      </c>
    </row>
    <row r="967" spans="1:16">
      <c r="A967">
        <v>966</v>
      </c>
      <c r="B967" t="s">
        <v>1023</v>
      </c>
      <c r="C967">
        <v>87</v>
      </c>
      <c r="D967">
        <v>89</v>
      </c>
      <c r="E967">
        <v>77.007236988723307</v>
      </c>
      <c r="F967">
        <v>0.97862371150635796</v>
      </c>
      <c r="G967">
        <v>4657.5010752362996</v>
      </c>
      <c r="H967">
        <v>495.30317059309601</v>
      </c>
      <c r="I967">
        <v>0.69688157610717405</v>
      </c>
      <c r="J967">
        <v>0.2385726264577</v>
      </c>
      <c r="K967">
        <v>0.74750125235562104</v>
      </c>
      <c r="L967" t="s">
        <v>61</v>
      </c>
      <c r="M967" t="s">
        <v>34</v>
      </c>
      <c r="N967" t="s">
        <v>35</v>
      </c>
      <c r="O967">
        <v>0.83108344571827497</v>
      </c>
      <c r="P967" t="s">
        <v>36</v>
      </c>
    </row>
    <row r="968" spans="1:16">
      <c r="A968">
        <v>967</v>
      </c>
      <c r="B968" t="s">
        <v>1024</v>
      </c>
      <c r="C968">
        <v>84</v>
      </c>
      <c r="D968">
        <v>103</v>
      </c>
      <c r="E968">
        <v>77.030579402934606</v>
      </c>
      <c r="F968">
        <v>0.81737266814213805</v>
      </c>
      <c r="G968">
        <v>4660.3250642722096</v>
      </c>
      <c r="H968">
        <v>505.44425061153299</v>
      </c>
      <c r="I968">
        <v>0.65085965179230898</v>
      </c>
      <c r="J968">
        <v>0.22923427451571701</v>
      </c>
      <c r="K968">
        <v>0.61292907967784804</v>
      </c>
      <c r="L968" t="s">
        <v>38</v>
      </c>
      <c r="M968" t="s">
        <v>34</v>
      </c>
      <c r="N968" t="s">
        <v>35</v>
      </c>
      <c r="O968">
        <v>0.76835252759331196</v>
      </c>
      <c r="P968" t="s">
        <v>36</v>
      </c>
    </row>
    <row r="969" spans="1:16">
      <c r="A969">
        <v>968</v>
      </c>
      <c r="B969" t="s">
        <v>1025</v>
      </c>
      <c r="C969">
        <v>97</v>
      </c>
      <c r="D969">
        <v>71</v>
      </c>
      <c r="E969">
        <v>77.036720967975498</v>
      </c>
      <c r="F969">
        <v>1.3692307692307699</v>
      </c>
      <c r="G969">
        <v>4661.0682192816603</v>
      </c>
      <c r="H969">
        <v>418.25096996100098</v>
      </c>
      <c r="I969">
        <v>0.76052741599402596</v>
      </c>
      <c r="J969">
        <v>0.33482772321569498</v>
      </c>
      <c r="K969">
        <v>0.82563251981149499</v>
      </c>
      <c r="L969" t="s">
        <v>33</v>
      </c>
      <c r="M969" t="s">
        <v>34</v>
      </c>
      <c r="N969" t="s">
        <v>35</v>
      </c>
      <c r="O969">
        <v>0.72836828984284896</v>
      </c>
      <c r="P969" t="s">
        <v>36</v>
      </c>
    </row>
    <row r="970" spans="1:16">
      <c r="A970">
        <v>969</v>
      </c>
      <c r="B970" t="s">
        <v>1026</v>
      </c>
      <c r="C970">
        <v>103</v>
      </c>
      <c r="D970">
        <v>75</v>
      </c>
      <c r="E970">
        <v>77.062510196271901</v>
      </c>
      <c r="F970">
        <v>1.38689379989433</v>
      </c>
      <c r="G970">
        <v>4664.1894703213602</v>
      </c>
      <c r="H970">
        <v>381.34057895484199</v>
      </c>
      <c r="I970">
        <v>0.679952811876261</v>
      </c>
      <c r="J970">
        <v>0.40305100187481202</v>
      </c>
      <c r="K970">
        <v>0.73785563131906895</v>
      </c>
      <c r="L970" t="s">
        <v>41</v>
      </c>
      <c r="M970" t="s">
        <v>34</v>
      </c>
      <c r="N970" t="s">
        <v>35</v>
      </c>
      <c r="O970">
        <v>0.67551225501092405</v>
      </c>
      <c r="P970" t="s">
        <v>36</v>
      </c>
    </row>
    <row r="971" spans="1:16">
      <c r="A971">
        <v>970</v>
      </c>
      <c r="B971" t="s">
        <v>1027</v>
      </c>
      <c r="C971">
        <v>82</v>
      </c>
      <c r="D971">
        <v>146</v>
      </c>
      <c r="E971">
        <v>77.106700234421993</v>
      </c>
      <c r="F971">
        <v>0.56142568521399305</v>
      </c>
      <c r="G971">
        <v>4669.5401863894103</v>
      </c>
      <c r="H971">
        <v>846.94293588607195</v>
      </c>
      <c r="I971">
        <v>0.70775823179864905</v>
      </c>
      <c r="J971">
        <v>8.1804214960356905E-2</v>
      </c>
      <c r="K971">
        <v>0.47353982967819702</v>
      </c>
      <c r="L971" t="s">
        <v>830</v>
      </c>
      <c r="M971" t="s">
        <v>34</v>
      </c>
      <c r="N971" t="s">
        <v>35</v>
      </c>
      <c r="O971">
        <v>0.86975870036765202</v>
      </c>
      <c r="P971" t="s">
        <v>36</v>
      </c>
    </row>
    <row r="972" spans="1:16">
      <c r="A972">
        <v>971</v>
      </c>
      <c r="B972" t="s">
        <v>1028</v>
      </c>
      <c r="C972">
        <v>65</v>
      </c>
      <c r="D972">
        <v>120</v>
      </c>
      <c r="E972">
        <v>77.111608675462904</v>
      </c>
      <c r="F972">
        <v>0.54153025182412196</v>
      </c>
      <c r="G972">
        <v>4670.1347103969802</v>
      </c>
      <c r="H972">
        <v>392.67779515338998</v>
      </c>
      <c r="I972">
        <v>0.70818773783753197</v>
      </c>
      <c r="J972">
        <v>0.380598072405117</v>
      </c>
      <c r="K972">
        <v>0.71987261730205299</v>
      </c>
      <c r="L972" t="s">
        <v>74</v>
      </c>
      <c r="M972" t="s">
        <v>34</v>
      </c>
      <c r="N972" t="s">
        <v>35</v>
      </c>
      <c r="O972">
        <v>0.69268044756700997</v>
      </c>
      <c r="P972" t="s">
        <v>36</v>
      </c>
    </row>
    <row r="973" spans="1:16">
      <c r="A973">
        <v>972</v>
      </c>
      <c r="B973" t="s">
        <v>1029</v>
      </c>
      <c r="C973">
        <v>100</v>
      </c>
      <c r="D973">
        <v>147</v>
      </c>
      <c r="E973">
        <v>77.3505174643836</v>
      </c>
      <c r="F973">
        <v>0.68029739776951703</v>
      </c>
      <c r="G973">
        <v>4699.1177557656001</v>
      </c>
      <c r="H973">
        <v>956.27597216792697</v>
      </c>
      <c r="I973">
        <v>0.67279357459879596</v>
      </c>
      <c r="J973">
        <v>6.4574299693767101E-2</v>
      </c>
      <c r="K973">
        <v>0.46419028042871802</v>
      </c>
      <c r="L973" t="s">
        <v>38</v>
      </c>
      <c r="M973" t="s">
        <v>34</v>
      </c>
      <c r="N973" t="s">
        <v>35</v>
      </c>
      <c r="O973">
        <v>0.77129975181014299</v>
      </c>
      <c r="P973" t="s">
        <v>36</v>
      </c>
    </row>
    <row r="974" spans="1:16">
      <c r="A974">
        <v>973</v>
      </c>
      <c r="B974" t="s">
        <v>1030</v>
      </c>
      <c r="C974">
        <v>94</v>
      </c>
      <c r="D974">
        <v>132</v>
      </c>
      <c r="E974">
        <v>77.425101659784204</v>
      </c>
      <c r="F974">
        <v>0.71153428600131496</v>
      </c>
      <c r="G974">
        <v>4708.18424688091</v>
      </c>
      <c r="H974">
        <v>990.69323810670699</v>
      </c>
      <c r="I974">
        <v>0.68761948096022296</v>
      </c>
      <c r="J974">
        <v>6.0281620196637402E-2</v>
      </c>
      <c r="K974">
        <v>0.501488142355064</v>
      </c>
      <c r="L974" t="s">
        <v>43</v>
      </c>
      <c r="M974" t="s">
        <v>34</v>
      </c>
      <c r="N974" t="s">
        <v>35</v>
      </c>
      <c r="O974">
        <v>0.82274435413199798</v>
      </c>
      <c r="P974" t="s">
        <v>36</v>
      </c>
    </row>
    <row r="975" spans="1:16">
      <c r="A975">
        <v>974</v>
      </c>
      <c r="B975" t="s">
        <v>1031</v>
      </c>
      <c r="C975">
        <v>81</v>
      </c>
      <c r="D975">
        <v>111</v>
      </c>
      <c r="E975">
        <v>77.432433929478094</v>
      </c>
      <c r="F975">
        <v>0.72521634829058101</v>
      </c>
      <c r="G975">
        <v>4709.0760328922497</v>
      </c>
      <c r="H975">
        <v>616.02205049608096</v>
      </c>
      <c r="I975">
        <v>0.63588551179145203</v>
      </c>
      <c r="J975">
        <v>0.15593839166970999</v>
      </c>
      <c r="K975">
        <v>0.67630798130083003</v>
      </c>
      <c r="L975" t="s">
        <v>43</v>
      </c>
      <c r="M975" t="s">
        <v>34</v>
      </c>
      <c r="N975" t="s">
        <v>35</v>
      </c>
      <c r="O975">
        <v>0.65141685282599304</v>
      </c>
      <c r="P975" t="s">
        <v>36</v>
      </c>
    </row>
    <row r="976" spans="1:16">
      <c r="A976">
        <v>975</v>
      </c>
      <c r="B976" t="s">
        <v>1032</v>
      </c>
      <c r="C976">
        <v>103</v>
      </c>
      <c r="D976">
        <v>93</v>
      </c>
      <c r="E976">
        <v>77.570395567254806</v>
      </c>
      <c r="F976">
        <v>1.1058823529411801</v>
      </c>
      <c r="G976">
        <v>4725.8713361058599</v>
      </c>
      <c r="H976">
        <v>750.806988171287</v>
      </c>
      <c r="I976">
        <v>0.58454582752039597</v>
      </c>
      <c r="J976">
        <v>0.10535014683485799</v>
      </c>
      <c r="K976">
        <v>0.62394034536891696</v>
      </c>
      <c r="L976" t="s">
        <v>38</v>
      </c>
      <c r="M976" t="s">
        <v>34</v>
      </c>
      <c r="N976" t="s">
        <v>35</v>
      </c>
      <c r="O976">
        <v>0.72691677724820802</v>
      </c>
      <c r="P976" t="s">
        <v>36</v>
      </c>
    </row>
    <row r="977" spans="1:16">
      <c r="A977">
        <v>976</v>
      </c>
      <c r="B977" t="s">
        <v>1033</v>
      </c>
      <c r="C977">
        <v>83</v>
      </c>
      <c r="D977">
        <v>93</v>
      </c>
      <c r="E977">
        <v>77.793301212382005</v>
      </c>
      <c r="F977">
        <v>0.89411762805133199</v>
      </c>
      <c r="G977">
        <v>4753.0708094518004</v>
      </c>
      <c r="H977">
        <v>620.46128430853696</v>
      </c>
      <c r="I977">
        <v>0.67667475690872503</v>
      </c>
      <c r="J977">
        <v>0.155151069405947</v>
      </c>
      <c r="K977">
        <v>0.70120159628119105</v>
      </c>
      <c r="L977" t="s">
        <v>33</v>
      </c>
      <c r="M977" t="s">
        <v>34</v>
      </c>
      <c r="N977" t="s">
        <v>35</v>
      </c>
      <c r="O977">
        <v>0.84128930903602805</v>
      </c>
      <c r="P977" t="s">
        <v>36</v>
      </c>
    </row>
    <row r="978" spans="1:16">
      <c r="A978">
        <v>977</v>
      </c>
      <c r="B978" t="s">
        <v>1034</v>
      </c>
      <c r="C978">
        <v>105</v>
      </c>
      <c r="D978">
        <v>118</v>
      </c>
      <c r="E978">
        <v>78.007079540873406</v>
      </c>
      <c r="F978">
        <v>0.89105064508188303</v>
      </c>
      <c r="G978">
        <v>4779.2298657845004</v>
      </c>
      <c r="H978">
        <v>775.02191197032505</v>
      </c>
      <c r="I978">
        <v>0.72546648015350301</v>
      </c>
      <c r="J978">
        <v>9.9986144119625101E-2</v>
      </c>
      <c r="K978">
        <v>0.46579847027465499</v>
      </c>
      <c r="L978" t="s">
        <v>74</v>
      </c>
      <c r="M978" t="s">
        <v>34</v>
      </c>
      <c r="N978" t="s">
        <v>35</v>
      </c>
      <c r="O978">
        <v>0.64997592682271599</v>
      </c>
      <c r="P978" t="s">
        <v>36</v>
      </c>
    </row>
    <row r="979" spans="1:16">
      <c r="A979">
        <v>978</v>
      </c>
      <c r="B979" t="s">
        <v>1035</v>
      </c>
      <c r="C979">
        <v>129</v>
      </c>
      <c r="D979">
        <v>133</v>
      </c>
      <c r="E979">
        <v>78.036185756074005</v>
      </c>
      <c r="F979">
        <v>0.97131147540983598</v>
      </c>
      <c r="G979">
        <v>4782.7970098298701</v>
      </c>
      <c r="H979">
        <v>1017.51800683923</v>
      </c>
      <c r="I979">
        <v>0.62328119975393803</v>
      </c>
      <c r="J979">
        <v>5.8050719363625297E-2</v>
      </c>
      <c r="K979">
        <v>0.40830076638075402</v>
      </c>
      <c r="L979" t="s">
        <v>33</v>
      </c>
      <c r="M979" t="s">
        <v>34</v>
      </c>
      <c r="N979" t="s">
        <v>35</v>
      </c>
      <c r="O979">
        <v>0.79946920887468897</v>
      </c>
      <c r="P979" t="s">
        <v>36</v>
      </c>
    </row>
    <row r="980" spans="1:16">
      <c r="A980">
        <v>979</v>
      </c>
      <c r="B980" t="s">
        <v>1036</v>
      </c>
      <c r="C980">
        <v>110</v>
      </c>
      <c r="D980">
        <v>87</v>
      </c>
      <c r="E980">
        <v>78.165819092227196</v>
      </c>
      <c r="F980">
        <v>1.2657357486005401</v>
      </c>
      <c r="G980">
        <v>4798.7005270321397</v>
      </c>
      <c r="H980">
        <v>590.99684769692601</v>
      </c>
      <c r="I980">
        <v>0.83490026025320596</v>
      </c>
      <c r="J980">
        <v>0.17264864845495001</v>
      </c>
      <c r="K980">
        <v>0.68982757515543902</v>
      </c>
      <c r="L980" t="s">
        <v>33</v>
      </c>
      <c r="M980" t="s">
        <v>34</v>
      </c>
      <c r="N980" t="s">
        <v>35</v>
      </c>
      <c r="O980">
        <v>0.83118515514896996</v>
      </c>
      <c r="P980" t="s">
        <v>36</v>
      </c>
    </row>
    <row r="981" spans="1:16">
      <c r="A981">
        <v>980</v>
      </c>
      <c r="B981" t="s">
        <v>1037</v>
      </c>
      <c r="C981">
        <v>136</v>
      </c>
      <c r="D981">
        <v>73</v>
      </c>
      <c r="E981">
        <v>78.182764561809293</v>
      </c>
      <c r="F981">
        <v>1.8656716417910399</v>
      </c>
      <c r="G981">
        <v>4800.7813610585999</v>
      </c>
      <c r="H981">
        <v>831.09288419723498</v>
      </c>
      <c r="I981">
        <v>0.82847759139211097</v>
      </c>
      <c r="J981">
        <v>8.7341905768227104E-2</v>
      </c>
      <c r="K981">
        <v>0.59572113611213595</v>
      </c>
      <c r="L981" t="s">
        <v>1038</v>
      </c>
      <c r="M981" t="s">
        <v>34</v>
      </c>
      <c r="N981" t="s">
        <v>35</v>
      </c>
      <c r="O981">
        <v>0.83945123976163705</v>
      </c>
      <c r="P981" t="s">
        <v>36</v>
      </c>
    </row>
    <row r="982" spans="1:16">
      <c r="A982">
        <v>981</v>
      </c>
      <c r="B982" t="s">
        <v>1039</v>
      </c>
      <c r="C982">
        <v>147</v>
      </c>
      <c r="D982">
        <v>95</v>
      </c>
      <c r="E982">
        <v>78.215434742735894</v>
      </c>
      <c r="F982">
        <v>1.5371427764269601</v>
      </c>
      <c r="G982">
        <v>4804.7943981096396</v>
      </c>
      <c r="H982">
        <v>844.82854253426899</v>
      </c>
      <c r="I982">
        <v>0.660874821489846</v>
      </c>
      <c r="J982">
        <v>8.4595549617562299E-2</v>
      </c>
      <c r="K982">
        <v>0.42459546075443899</v>
      </c>
      <c r="L982" t="s">
        <v>33</v>
      </c>
      <c r="M982" t="s">
        <v>34</v>
      </c>
      <c r="N982" t="s">
        <v>35</v>
      </c>
      <c r="O982">
        <v>0.60927031643846297</v>
      </c>
      <c r="P982" t="s">
        <v>36</v>
      </c>
    </row>
    <row r="983" spans="1:16">
      <c r="A983">
        <v>982</v>
      </c>
      <c r="B983" t="s">
        <v>1040</v>
      </c>
      <c r="C983">
        <v>107</v>
      </c>
      <c r="D983">
        <v>80</v>
      </c>
      <c r="E983">
        <v>78.257764678123095</v>
      </c>
      <c r="F983">
        <v>1.3512796873478199</v>
      </c>
      <c r="G983">
        <v>4809.9964831757998</v>
      </c>
      <c r="H983">
        <v>458.84283620627002</v>
      </c>
      <c r="I983">
        <v>0.71831928253751198</v>
      </c>
      <c r="J983">
        <v>0.28709571577673598</v>
      </c>
      <c r="K983">
        <v>0.73774677426708601</v>
      </c>
      <c r="L983" t="s">
        <v>38</v>
      </c>
      <c r="M983" t="s">
        <v>34</v>
      </c>
      <c r="N983" t="s">
        <v>35</v>
      </c>
      <c r="O983">
        <v>0.77424666273808995</v>
      </c>
      <c r="P983" t="s">
        <v>36</v>
      </c>
    </row>
    <row r="984" spans="1:16">
      <c r="A984">
        <v>983</v>
      </c>
      <c r="B984" t="s">
        <v>1041</v>
      </c>
      <c r="C984">
        <v>91</v>
      </c>
      <c r="D984">
        <v>83</v>
      </c>
      <c r="E984">
        <v>78.642521625931096</v>
      </c>
      <c r="F984">
        <v>1.0986842105263199</v>
      </c>
      <c r="G984">
        <v>4857.4097727788303</v>
      </c>
      <c r="H984">
        <v>477.45382918845098</v>
      </c>
      <c r="I984">
        <v>0.55393032804789999</v>
      </c>
      <c r="J984">
        <v>0.26776378893986102</v>
      </c>
      <c r="K984">
        <v>0.70799393414211398</v>
      </c>
      <c r="L984" t="s">
        <v>43</v>
      </c>
      <c r="M984" t="s">
        <v>34</v>
      </c>
      <c r="N984" t="s">
        <v>35</v>
      </c>
      <c r="O984">
        <v>0.84440122871450696</v>
      </c>
      <c r="P984" t="s">
        <v>36</v>
      </c>
    </row>
    <row r="985" spans="1:16">
      <c r="A985">
        <v>984</v>
      </c>
      <c r="B985" t="s">
        <v>1042</v>
      </c>
      <c r="C985">
        <v>126</v>
      </c>
      <c r="D985">
        <v>73</v>
      </c>
      <c r="E985">
        <v>78.652146510050798</v>
      </c>
      <c r="F985">
        <v>1.71175306328695</v>
      </c>
      <c r="G985">
        <v>4858.5988207939499</v>
      </c>
      <c r="H985">
        <v>423.72584135521998</v>
      </c>
      <c r="I985">
        <v>0.54851695709960502</v>
      </c>
      <c r="J985">
        <v>0.340056439295427</v>
      </c>
      <c r="K985">
        <v>0.68846485962806203</v>
      </c>
      <c r="L985" t="s">
        <v>144</v>
      </c>
      <c r="M985" t="s">
        <v>34</v>
      </c>
      <c r="N985" t="s">
        <v>35</v>
      </c>
      <c r="O985">
        <v>0.70638495285776703</v>
      </c>
      <c r="P985" t="s">
        <v>36</v>
      </c>
    </row>
    <row r="986" spans="1:16">
      <c r="A986">
        <v>985</v>
      </c>
      <c r="B986" t="s">
        <v>1043</v>
      </c>
      <c r="C986">
        <v>168</v>
      </c>
      <c r="D986">
        <v>81</v>
      </c>
      <c r="E986">
        <v>78.7915752061311</v>
      </c>
      <c r="F986">
        <v>2.07796651889279</v>
      </c>
      <c r="G986">
        <v>4875.84001701323</v>
      </c>
      <c r="H986">
        <v>730.58417888340796</v>
      </c>
      <c r="I986">
        <v>0.63117598966968202</v>
      </c>
      <c r="J986">
        <v>0.11479389320544101</v>
      </c>
      <c r="K986">
        <v>0.481513012080025</v>
      </c>
      <c r="L986" t="s">
        <v>58</v>
      </c>
      <c r="M986" t="s">
        <v>34</v>
      </c>
      <c r="N986" t="s">
        <v>35</v>
      </c>
      <c r="O986">
        <v>0.70668343844273895</v>
      </c>
      <c r="P986" t="s">
        <v>36</v>
      </c>
    </row>
    <row r="987" spans="1:16">
      <c r="A987">
        <v>986</v>
      </c>
      <c r="B987" t="s">
        <v>1044</v>
      </c>
      <c r="C987">
        <v>66</v>
      </c>
      <c r="D987">
        <v>159</v>
      </c>
      <c r="E987">
        <v>78.873194677074494</v>
      </c>
      <c r="F987">
        <v>0.41836043090444502</v>
      </c>
      <c r="G987">
        <v>4885.9469251417804</v>
      </c>
      <c r="H987">
        <v>502.51502471146398</v>
      </c>
      <c r="I987">
        <v>0.678138414639611</v>
      </c>
      <c r="J987">
        <v>0.243142292121621</v>
      </c>
      <c r="K987">
        <v>0.63776579233276398</v>
      </c>
      <c r="L987" t="s">
        <v>38</v>
      </c>
      <c r="M987" t="s">
        <v>34</v>
      </c>
      <c r="N987" t="s">
        <v>35</v>
      </c>
      <c r="O987">
        <v>0.77570294621091695</v>
      </c>
      <c r="P987" t="s">
        <v>36</v>
      </c>
    </row>
    <row r="988" spans="1:16">
      <c r="A988">
        <v>987</v>
      </c>
      <c r="B988" t="s">
        <v>1045</v>
      </c>
      <c r="C988">
        <v>79</v>
      </c>
      <c r="D988">
        <v>113</v>
      </c>
      <c r="E988">
        <v>78.939148692981306</v>
      </c>
      <c r="F988">
        <v>0.70163949282113502</v>
      </c>
      <c r="G988">
        <v>4894.1216302457497</v>
      </c>
      <c r="H988">
        <v>453.84233514267498</v>
      </c>
      <c r="I988">
        <v>0.68984465058709599</v>
      </c>
      <c r="J988">
        <v>0.29858955541221199</v>
      </c>
      <c r="K988">
        <v>0.71834027792927402</v>
      </c>
      <c r="L988" t="s">
        <v>33</v>
      </c>
      <c r="M988" t="s">
        <v>34</v>
      </c>
      <c r="N988" t="s">
        <v>35</v>
      </c>
      <c r="O988">
        <v>0.68990755520881897</v>
      </c>
      <c r="P988" t="s">
        <v>36</v>
      </c>
    </row>
    <row r="989" spans="1:16">
      <c r="A989">
        <v>988</v>
      </c>
      <c r="B989" t="s">
        <v>1046</v>
      </c>
      <c r="C989">
        <v>103</v>
      </c>
      <c r="D989">
        <v>103</v>
      </c>
      <c r="E989">
        <v>79.049348766053797</v>
      </c>
      <c r="F989">
        <v>0.99756603403031996</v>
      </c>
      <c r="G989">
        <v>4907.7956824196599</v>
      </c>
      <c r="H989">
        <v>497.53722112904399</v>
      </c>
      <c r="I989">
        <v>0.61016236076915997</v>
      </c>
      <c r="J989">
        <v>0.249140990004413</v>
      </c>
      <c r="K989">
        <v>0.62360717658168097</v>
      </c>
      <c r="L989" t="s">
        <v>38</v>
      </c>
      <c r="M989" t="s">
        <v>34</v>
      </c>
      <c r="N989" t="s">
        <v>35</v>
      </c>
      <c r="O989">
        <v>0.80863882859782699</v>
      </c>
      <c r="P989" t="s">
        <v>36</v>
      </c>
    </row>
    <row r="990" spans="1:16">
      <c r="A990">
        <v>989</v>
      </c>
      <c r="B990" t="s">
        <v>1047</v>
      </c>
      <c r="C990">
        <v>95</v>
      </c>
      <c r="D990">
        <v>82</v>
      </c>
      <c r="E990">
        <v>79.074481601778402</v>
      </c>
      <c r="F990">
        <v>1.1496410546273499</v>
      </c>
      <c r="G990">
        <v>4910.9169334593598</v>
      </c>
      <c r="H990">
        <v>358.82892193016801</v>
      </c>
      <c r="I990">
        <v>0.70722874480815401</v>
      </c>
      <c r="J990">
        <v>0.47928912128523099</v>
      </c>
      <c r="K990">
        <v>0.82672771856077698</v>
      </c>
      <c r="L990" t="s">
        <v>49</v>
      </c>
      <c r="M990" t="s">
        <v>34</v>
      </c>
      <c r="N990" t="s">
        <v>35</v>
      </c>
      <c r="O990">
        <v>0.71125778216792301</v>
      </c>
      <c r="P990" t="s">
        <v>36</v>
      </c>
    </row>
    <row r="991" spans="1:16">
      <c r="A991">
        <v>990</v>
      </c>
      <c r="B991" t="s">
        <v>1048</v>
      </c>
      <c r="C991">
        <v>119</v>
      </c>
      <c r="D991">
        <v>108</v>
      </c>
      <c r="E991">
        <v>79.101998878543796</v>
      </c>
      <c r="F991">
        <v>1.09731546824191</v>
      </c>
      <c r="G991">
        <v>4914.3354465028397</v>
      </c>
      <c r="H991">
        <v>576.85557201675704</v>
      </c>
      <c r="I991">
        <v>0.67733796840073901</v>
      </c>
      <c r="J991">
        <v>0.18558397716754299</v>
      </c>
      <c r="K991">
        <v>0.56389528438645897</v>
      </c>
      <c r="L991" t="s">
        <v>74</v>
      </c>
      <c r="M991" t="s">
        <v>34</v>
      </c>
      <c r="N991" t="s">
        <v>35</v>
      </c>
      <c r="O991">
        <v>0.72297222755429702</v>
      </c>
      <c r="P991" t="s">
        <v>36</v>
      </c>
    </row>
    <row r="992" spans="1:16">
      <c r="A992">
        <v>991</v>
      </c>
      <c r="B992" t="s">
        <v>1049</v>
      </c>
      <c r="C992">
        <v>132</v>
      </c>
      <c r="D992">
        <v>81</v>
      </c>
      <c r="E992">
        <v>79.320600550179606</v>
      </c>
      <c r="F992">
        <v>1.63513513513514</v>
      </c>
      <c r="G992">
        <v>4941.5349198487702</v>
      </c>
      <c r="H992">
        <v>414.09901739545501</v>
      </c>
      <c r="I992">
        <v>0.65879028538573403</v>
      </c>
      <c r="J992">
        <v>0.36212902284755799</v>
      </c>
      <c r="K992">
        <v>0.68302654285479503</v>
      </c>
      <c r="L992" t="s">
        <v>33</v>
      </c>
      <c r="M992" t="s">
        <v>34</v>
      </c>
      <c r="N992" t="s">
        <v>35</v>
      </c>
      <c r="O992">
        <v>0.86697220196477398</v>
      </c>
      <c r="P992" t="s">
        <v>36</v>
      </c>
    </row>
    <row r="993" spans="1:16">
      <c r="A993">
        <v>992</v>
      </c>
      <c r="B993" t="s">
        <v>1050</v>
      </c>
      <c r="C993">
        <v>75</v>
      </c>
      <c r="D993">
        <v>121</v>
      </c>
      <c r="E993">
        <v>79.327757618983796</v>
      </c>
      <c r="F993">
        <v>0.61854784827182197</v>
      </c>
      <c r="G993">
        <v>4942.4267058601099</v>
      </c>
      <c r="H993">
        <v>567.21706904442397</v>
      </c>
      <c r="I993">
        <v>0.72203645913926595</v>
      </c>
      <c r="J993">
        <v>0.19304187126817199</v>
      </c>
      <c r="K993">
        <v>0.70235505333192505</v>
      </c>
      <c r="L993" t="s">
        <v>74</v>
      </c>
      <c r="M993" t="s">
        <v>34</v>
      </c>
      <c r="N993" t="s">
        <v>35</v>
      </c>
      <c r="O993">
        <v>0.64256047719033904</v>
      </c>
      <c r="P993" t="s">
        <v>36</v>
      </c>
    </row>
    <row r="994" spans="1:16">
      <c r="A994">
        <v>993</v>
      </c>
      <c r="B994" t="s">
        <v>1051</v>
      </c>
      <c r="C994">
        <v>66</v>
      </c>
      <c r="D994">
        <v>130</v>
      </c>
      <c r="E994">
        <v>79.410017547093503</v>
      </c>
      <c r="F994">
        <v>0.50301636731151</v>
      </c>
      <c r="G994">
        <v>4952.6822449905503</v>
      </c>
      <c r="H994">
        <v>466.58547408622201</v>
      </c>
      <c r="I994">
        <v>0.73042376507760098</v>
      </c>
      <c r="J994">
        <v>0.28588271721236702</v>
      </c>
      <c r="K994">
        <v>0.71403775687316495</v>
      </c>
      <c r="L994" t="s">
        <v>33</v>
      </c>
      <c r="M994" t="s">
        <v>34</v>
      </c>
      <c r="N994" t="s">
        <v>35</v>
      </c>
      <c r="O994">
        <v>0.71806438672919004</v>
      </c>
      <c r="P994" t="s">
        <v>36</v>
      </c>
    </row>
    <row r="995" spans="1:16">
      <c r="A995">
        <v>994</v>
      </c>
      <c r="B995" t="s">
        <v>1052</v>
      </c>
      <c r="C995">
        <v>161</v>
      </c>
      <c r="D995">
        <v>83</v>
      </c>
      <c r="E995">
        <v>79.415975100577796</v>
      </c>
      <c r="F995">
        <v>1.9473684210526301</v>
      </c>
      <c r="G995">
        <v>4953.4254000000001</v>
      </c>
      <c r="H995">
        <v>779.587267887385</v>
      </c>
      <c r="I995">
        <v>0.69100490274006598</v>
      </c>
      <c r="J995">
        <v>0.102420293367253</v>
      </c>
      <c r="K995">
        <v>0.51683389420467396</v>
      </c>
      <c r="L995" t="s">
        <v>41</v>
      </c>
      <c r="M995" t="s">
        <v>34</v>
      </c>
      <c r="N995" t="s">
        <v>35</v>
      </c>
      <c r="O995">
        <v>0.80876276602316899</v>
      </c>
      <c r="P995" t="s">
        <v>36</v>
      </c>
    </row>
    <row r="996" spans="1:16">
      <c r="A996">
        <v>995</v>
      </c>
      <c r="B996" t="s">
        <v>1053</v>
      </c>
      <c r="C996">
        <v>142</v>
      </c>
      <c r="D996">
        <v>97</v>
      </c>
      <c r="E996">
        <v>79.421932207177505</v>
      </c>
      <c r="F996">
        <v>1.4606741573033699</v>
      </c>
      <c r="G996">
        <v>4954.1685550094498</v>
      </c>
      <c r="H996">
        <v>948.31414548459304</v>
      </c>
      <c r="I996">
        <v>0.66560358820399601</v>
      </c>
      <c r="J996">
        <v>6.9227107343346903E-2</v>
      </c>
      <c r="K996">
        <v>0.40599763699923302</v>
      </c>
      <c r="L996" t="s">
        <v>38</v>
      </c>
      <c r="M996" t="s">
        <v>34</v>
      </c>
      <c r="N996" t="s">
        <v>35</v>
      </c>
      <c r="O996">
        <v>0.65901792608426901</v>
      </c>
      <c r="P996" t="s">
        <v>36</v>
      </c>
    </row>
    <row r="997" spans="1:16">
      <c r="A997">
        <v>996</v>
      </c>
      <c r="B997" t="s">
        <v>1054</v>
      </c>
      <c r="C997">
        <v>99</v>
      </c>
      <c r="D997">
        <v>73</v>
      </c>
      <c r="E997">
        <v>79.466000916625802</v>
      </c>
      <c r="F997">
        <v>1.3624518327876101</v>
      </c>
      <c r="G997">
        <v>4959.6679020793999</v>
      </c>
      <c r="H997">
        <v>327.64469084128098</v>
      </c>
      <c r="I997">
        <v>0.69466344476684405</v>
      </c>
      <c r="J997">
        <v>0.58057213965087995</v>
      </c>
      <c r="K997">
        <v>0.85572509296063604</v>
      </c>
      <c r="L997" t="s">
        <v>33</v>
      </c>
      <c r="M997" t="s">
        <v>34</v>
      </c>
      <c r="N997" t="s">
        <v>35</v>
      </c>
      <c r="O997">
        <v>0.71797131812152803</v>
      </c>
      <c r="P997" t="s">
        <v>36</v>
      </c>
    </row>
    <row r="998" spans="1:16">
      <c r="A998">
        <v>997</v>
      </c>
      <c r="B998" t="s">
        <v>1055</v>
      </c>
      <c r="C998">
        <v>88</v>
      </c>
      <c r="D998">
        <v>88</v>
      </c>
      <c r="E998">
        <v>79.649160093091695</v>
      </c>
      <c r="F998">
        <v>1</v>
      </c>
      <c r="G998">
        <v>4982.55707637051</v>
      </c>
      <c r="H998">
        <v>379.61689147337597</v>
      </c>
      <c r="I998">
        <v>0.67936705820607002</v>
      </c>
      <c r="J998">
        <v>0.43448129994477402</v>
      </c>
      <c r="K998">
        <v>0.85445925623837105</v>
      </c>
      <c r="L998" t="s">
        <v>33</v>
      </c>
      <c r="M998" t="s">
        <v>34</v>
      </c>
      <c r="N998" t="s">
        <v>35</v>
      </c>
      <c r="O998">
        <v>0.72059981579115595</v>
      </c>
      <c r="P998" t="s">
        <v>36</v>
      </c>
    </row>
    <row r="999" spans="1:16">
      <c r="A999">
        <v>998</v>
      </c>
      <c r="B999" t="s">
        <v>1056</v>
      </c>
      <c r="C999">
        <v>93</v>
      </c>
      <c r="D999">
        <v>73</v>
      </c>
      <c r="E999">
        <v>79.774986353293002</v>
      </c>
      <c r="F999">
        <v>1.28571428571429</v>
      </c>
      <c r="G999">
        <v>4998.3119625708896</v>
      </c>
      <c r="H999">
        <v>423.98263911257601</v>
      </c>
      <c r="I999">
        <v>0.62884228700281097</v>
      </c>
      <c r="J999">
        <v>0.34941140368342399</v>
      </c>
      <c r="K999">
        <v>0.83810591900311504</v>
      </c>
      <c r="L999" t="s">
        <v>33</v>
      </c>
      <c r="M999" t="s">
        <v>34</v>
      </c>
      <c r="N999" t="s">
        <v>35</v>
      </c>
      <c r="O999">
        <v>0.66806409058613303</v>
      </c>
      <c r="P999" t="s">
        <v>36</v>
      </c>
    </row>
    <row r="1000" spans="1:16">
      <c r="A1000">
        <v>999</v>
      </c>
      <c r="B1000" t="s">
        <v>1057</v>
      </c>
      <c r="C1000">
        <v>105</v>
      </c>
      <c r="D1000">
        <v>127</v>
      </c>
      <c r="E1000">
        <v>80.031957056417298</v>
      </c>
      <c r="F1000">
        <v>0.83333333333333304</v>
      </c>
      <c r="G1000">
        <v>5030.5648899811004</v>
      </c>
      <c r="H1000">
        <v>1041.3730033996801</v>
      </c>
      <c r="I1000">
        <v>0.77277027771997497</v>
      </c>
      <c r="J1000">
        <v>5.82926756198026E-2</v>
      </c>
      <c r="K1000">
        <v>0.50428356452165601</v>
      </c>
      <c r="L1000" t="s">
        <v>33</v>
      </c>
      <c r="M1000" t="s">
        <v>34</v>
      </c>
      <c r="N1000" t="s">
        <v>35</v>
      </c>
      <c r="O1000">
        <v>0.68754965756827902</v>
      </c>
      <c r="P1000" t="s">
        <v>36</v>
      </c>
    </row>
    <row r="1001" spans="1:16">
      <c r="A1001">
        <v>1000</v>
      </c>
      <c r="B1001" t="s">
        <v>1058</v>
      </c>
      <c r="C1001">
        <v>92</v>
      </c>
      <c r="D1001">
        <v>83</v>
      </c>
      <c r="E1001">
        <v>80.087103871992895</v>
      </c>
      <c r="F1001">
        <v>1.10810800218504</v>
      </c>
      <c r="G1001">
        <v>5037.5</v>
      </c>
      <c r="H1001">
        <v>310.91882765293099</v>
      </c>
      <c r="I1001">
        <v>0.61520595743351303</v>
      </c>
      <c r="J1001">
        <v>0.65483348677090703</v>
      </c>
      <c r="K1001">
        <v>0.88766519823788503</v>
      </c>
      <c r="L1001" t="s">
        <v>49</v>
      </c>
      <c r="M1001" t="s">
        <v>34</v>
      </c>
      <c r="N1001" t="s">
        <v>35</v>
      </c>
      <c r="O1001">
        <v>0.77575346505307996</v>
      </c>
      <c r="P1001" t="s">
        <v>36</v>
      </c>
    </row>
    <row r="1002" spans="1:16">
      <c r="A1002">
        <v>1001</v>
      </c>
      <c r="B1002" t="s">
        <v>1059</v>
      </c>
      <c r="C1002">
        <v>52</v>
      </c>
      <c r="D1002">
        <v>147</v>
      </c>
      <c r="E1002">
        <v>80.125303974122204</v>
      </c>
      <c r="F1002">
        <v>0.35315987470772903</v>
      </c>
      <c r="G1002">
        <v>5042.3067391304403</v>
      </c>
      <c r="H1002">
        <v>479.06013625984599</v>
      </c>
      <c r="I1002">
        <v>0.86204606631704295</v>
      </c>
      <c r="J1002">
        <v>0.27609532837034001</v>
      </c>
      <c r="K1002">
        <v>0.72894284486463301</v>
      </c>
      <c r="L1002" t="s">
        <v>49</v>
      </c>
      <c r="M1002" t="s">
        <v>34</v>
      </c>
      <c r="N1002" t="s">
        <v>35</v>
      </c>
      <c r="O1002">
        <v>0.69413554783476905</v>
      </c>
      <c r="P1002" t="s">
        <v>36</v>
      </c>
    </row>
    <row r="1003" spans="1:16">
      <c r="A1003">
        <v>1002</v>
      </c>
      <c r="B1003" t="s">
        <v>1060</v>
      </c>
      <c r="C1003">
        <v>89</v>
      </c>
      <c r="D1003">
        <v>127</v>
      </c>
      <c r="E1003">
        <v>80.212644322854899</v>
      </c>
      <c r="F1003">
        <v>0.69743640497515302</v>
      </c>
      <c r="G1003">
        <v>5053.3054332703196</v>
      </c>
      <c r="H1003">
        <v>555.80463493792899</v>
      </c>
      <c r="I1003">
        <v>0.57898154071504604</v>
      </c>
      <c r="J1003">
        <v>0.205561171743536</v>
      </c>
      <c r="K1003">
        <v>0.54178219715077902</v>
      </c>
      <c r="L1003" t="s">
        <v>1038</v>
      </c>
      <c r="M1003" t="s">
        <v>34</v>
      </c>
      <c r="N1003" t="s">
        <v>35</v>
      </c>
      <c r="O1003">
        <v>0.69754033105010904</v>
      </c>
      <c r="P1003" t="s">
        <v>36</v>
      </c>
    </row>
    <row r="1004" spans="1:16">
      <c r="A1004">
        <v>1003</v>
      </c>
      <c r="B1004" t="s">
        <v>1061</v>
      </c>
      <c r="C1004">
        <v>115</v>
      </c>
      <c r="D1004">
        <v>100</v>
      </c>
      <c r="E1004">
        <v>80.243308904004707</v>
      </c>
      <c r="F1004">
        <v>1.14969134124478</v>
      </c>
      <c r="G1004">
        <v>5057.1698393194702</v>
      </c>
      <c r="H1004">
        <v>454.50379455701199</v>
      </c>
      <c r="I1004">
        <v>0.55552993537714901</v>
      </c>
      <c r="J1004">
        <v>0.307639698016897</v>
      </c>
      <c r="K1004">
        <v>0.62218849431298695</v>
      </c>
      <c r="L1004" t="s">
        <v>288</v>
      </c>
      <c r="M1004" t="s">
        <v>34</v>
      </c>
      <c r="N1004" t="s">
        <v>35</v>
      </c>
      <c r="O1004">
        <v>0.71023789054563702</v>
      </c>
      <c r="P1004" t="s">
        <v>36</v>
      </c>
    </row>
    <row r="1005" spans="1:16">
      <c r="A1005">
        <v>1004</v>
      </c>
      <c r="B1005" t="s">
        <v>1062</v>
      </c>
      <c r="C1005">
        <v>94</v>
      </c>
      <c r="D1005">
        <v>94</v>
      </c>
      <c r="E1005">
        <v>80.311672316519406</v>
      </c>
      <c r="F1005">
        <v>0.99663601888626996</v>
      </c>
      <c r="G1005">
        <v>5065.7904374291102</v>
      </c>
      <c r="H1005">
        <v>539.41601347912899</v>
      </c>
      <c r="I1005">
        <v>0.61408353451727304</v>
      </c>
      <c r="J1005">
        <v>0.21878090461447</v>
      </c>
      <c r="K1005">
        <v>0.63437377854709898</v>
      </c>
      <c r="L1005" t="s">
        <v>33</v>
      </c>
      <c r="M1005" t="s">
        <v>34</v>
      </c>
      <c r="N1005" t="s">
        <v>35</v>
      </c>
      <c r="O1005">
        <v>0.76279150051592703</v>
      </c>
      <c r="P1005" t="s">
        <v>36</v>
      </c>
    </row>
    <row r="1006" spans="1:16">
      <c r="A1006">
        <v>1005</v>
      </c>
      <c r="B1006" t="s">
        <v>1063</v>
      </c>
      <c r="C1006">
        <v>62</v>
      </c>
      <c r="D1006">
        <v>160</v>
      </c>
      <c r="E1006">
        <v>80.376445978165194</v>
      </c>
      <c r="F1006">
        <v>0.38446751108794902</v>
      </c>
      <c r="G1006">
        <v>5073.9651425330803</v>
      </c>
      <c r="H1006">
        <v>499.64059601224</v>
      </c>
      <c r="I1006">
        <v>0.73342729602965395</v>
      </c>
      <c r="J1006">
        <v>0.25541235877499902</v>
      </c>
      <c r="K1006">
        <v>0.68554330582163603</v>
      </c>
      <c r="L1006" t="s">
        <v>38</v>
      </c>
      <c r="M1006" t="s">
        <v>34</v>
      </c>
      <c r="N1006" t="s">
        <v>35</v>
      </c>
      <c r="O1006">
        <v>0.67419461612376397</v>
      </c>
      <c r="P1006" t="s">
        <v>36</v>
      </c>
    </row>
    <row r="1007" spans="1:16">
      <c r="A1007">
        <v>1006</v>
      </c>
      <c r="B1007" t="s">
        <v>1064</v>
      </c>
      <c r="C1007">
        <v>114</v>
      </c>
      <c r="D1007">
        <v>84</v>
      </c>
      <c r="E1007">
        <v>80.471744982226696</v>
      </c>
      <c r="F1007">
        <v>1.3473387815931901</v>
      </c>
      <c r="G1007">
        <v>5086.0042536862002</v>
      </c>
      <c r="H1007">
        <v>506.238001908738</v>
      </c>
      <c r="I1007">
        <v>0.65195131388582706</v>
      </c>
      <c r="J1007">
        <v>0.24938888664096601</v>
      </c>
      <c r="K1007">
        <v>0.69267828586465896</v>
      </c>
      <c r="L1007" t="s">
        <v>33</v>
      </c>
      <c r="M1007" t="s">
        <v>34</v>
      </c>
      <c r="N1007" t="s">
        <v>35</v>
      </c>
      <c r="O1007">
        <v>0.69286805070515101</v>
      </c>
      <c r="P1007" t="s">
        <v>36</v>
      </c>
    </row>
    <row r="1008" spans="1:16">
      <c r="A1008">
        <v>1007</v>
      </c>
      <c r="B1008" t="s">
        <v>1065</v>
      </c>
      <c r="C1008">
        <v>136</v>
      </c>
      <c r="D1008">
        <v>87</v>
      </c>
      <c r="E1008">
        <v>80.5058369541659</v>
      </c>
      <c r="F1008">
        <v>1.56205096027271</v>
      </c>
      <c r="G1008">
        <v>5090.3145527410197</v>
      </c>
      <c r="H1008">
        <v>507.98989610568299</v>
      </c>
      <c r="I1008">
        <v>0.68577417025309495</v>
      </c>
      <c r="J1008">
        <v>0.247881625608252</v>
      </c>
      <c r="K1008">
        <v>0.63265230723759602</v>
      </c>
      <c r="L1008" t="s">
        <v>38</v>
      </c>
      <c r="M1008" t="s">
        <v>34</v>
      </c>
      <c r="N1008" t="s">
        <v>35</v>
      </c>
      <c r="O1008">
        <v>0.79982572386051598</v>
      </c>
      <c r="P1008" t="s">
        <v>36</v>
      </c>
    </row>
    <row r="1009" spans="1:16">
      <c r="A1009">
        <v>1008</v>
      </c>
      <c r="B1009" t="s">
        <v>1066</v>
      </c>
      <c r="C1009">
        <v>112</v>
      </c>
      <c r="D1009">
        <v>92</v>
      </c>
      <c r="E1009">
        <v>80.525815192811393</v>
      </c>
      <c r="F1009">
        <v>1.2157073678957</v>
      </c>
      <c r="G1009">
        <v>5092.8412797731598</v>
      </c>
      <c r="H1009">
        <v>500.70833331367197</v>
      </c>
      <c r="I1009">
        <v>0.52605583797522604</v>
      </c>
      <c r="J1009">
        <v>0.25527034573406898</v>
      </c>
      <c r="K1009">
        <v>0.68165993594206897</v>
      </c>
      <c r="L1009" t="s">
        <v>38</v>
      </c>
      <c r="M1009" t="s">
        <v>34</v>
      </c>
      <c r="N1009" t="s">
        <v>35</v>
      </c>
      <c r="O1009">
        <v>0.85466823054305696</v>
      </c>
      <c r="P1009" t="s">
        <v>36</v>
      </c>
    </row>
    <row r="1010" spans="1:16">
      <c r="A1010">
        <v>1009</v>
      </c>
      <c r="B1010" t="s">
        <v>1067</v>
      </c>
      <c r="C1010">
        <v>104</v>
      </c>
      <c r="D1010">
        <v>94</v>
      </c>
      <c r="E1010">
        <v>80.544613714224894</v>
      </c>
      <c r="F1010">
        <v>1.1040462427745701</v>
      </c>
      <c r="G1010">
        <v>5095.2193758034</v>
      </c>
      <c r="H1010">
        <v>542.00316093144204</v>
      </c>
      <c r="I1010">
        <v>0.613414030947523</v>
      </c>
      <c r="J1010">
        <v>0.21795614241321801</v>
      </c>
      <c r="K1010">
        <v>0.65461732355637003</v>
      </c>
      <c r="L1010" t="s">
        <v>33</v>
      </c>
      <c r="M1010" t="s">
        <v>34</v>
      </c>
      <c r="N1010" t="s">
        <v>35</v>
      </c>
      <c r="O1010">
        <v>0.67504832805577797</v>
      </c>
      <c r="P1010" t="s">
        <v>36</v>
      </c>
    </row>
    <row r="1011" spans="1:16">
      <c r="A1011">
        <v>1010</v>
      </c>
      <c r="B1011" t="s">
        <v>1068</v>
      </c>
      <c r="C1011">
        <v>176</v>
      </c>
      <c r="D1011">
        <v>112</v>
      </c>
      <c r="E1011">
        <v>80.562233344237697</v>
      </c>
      <c r="F1011">
        <v>1.5679611010447501</v>
      </c>
      <c r="G1011">
        <v>5097.4488408317602</v>
      </c>
      <c r="H1011">
        <v>1348.2281084676399</v>
      </c>
      <c r="I1011">
        <v>0.73864738433709798</v>
      </c>
      <c r="J1011">
        <v>3.5240006941478899E-2</v>
      </c>
      <c r="K1011">
        <v>0.29436099905587498</v>
      </c>
      <c r="L1011" t="s">
        <v>49</v>
      </c>
      <c r="M1011" t="s">
        <v>34</v>
      </c>
      <c r="N1011" t="s">
        <v>35</v>
      </c>
      <c r="O1011">
        <v>0.64081142642200595</v>
      </c>
      <c r="P1011" t="s">
        <v>36</v>
      </c>
    </row>
    <row r="1012" spans="1:16">
      <c r="A1012">
        <v>1011</v>
      </c>
      <c r="B1012" t="s">
        <v>1069</v>
      </c>
      <c r="C1012">
        <v>146</v>
      </c>
      <c r="D1012">
        <v>87</v>
      </c>
      <c r="E1012">
        <v>80.584546011787097</v>
      </c>
      <c r="F1012">
        <v>1.6749657567546701</v>
      </c>
      <c r="G1012">
        <v>5100.2728298676802</v>
      </c>
      <c r="H1012">
        <v>593.58237891912495</v>
      </c>
      <c r="I1012">
        <v>0.69281934083587005</v>
      </c>
      <c r="J1012">
        <v>0.18190359095151301</v>
      </c>
      <c r="K1012">
        <v>0.531751689084485</v>
      </c>
      <c r="L1012" t="s">
        <v>33</v>
      </c>
      <c r="M1012" t="s">
        <v>34</v>
      </c>
      <c r="N1012" t="s">
        <v>35</v>
      </c>
      <c r="O1012">
        <v>0.647076616102361</v>
      </c>
      <c r="P1012" t="s">
        <v>36</v>
      </c>
    </row>
    <row r="1013" spans="1:16">
      <c r="A1013">
        <v>1012</v>
      </c>
      <c r="B1013" t="s">
        <v>1070</v>
      </c>
      <c r="C1013">
        <v>161</v>
      </c>
      <c r="D1013">
        <v>83</v>
      </c>
      <c r="E1013">
        <v>80.672562071093097</v>
      </c>
      <c r="F1013">
        <v>1.9281385301277301</v>
      </c>
      <c r="G1013">
        <v>5111.4201550094504</v>
      </c>
      <c r="H1013">
        <v>1092.5780432199399</v>
      </c>
      <c r="I1013">
        <v>0.48679152950374899</v>
      </c>
      <c r="J1013">
        <v>5.3807957634354302E-2</v>
      </c>
      <c r="K1013">
        <v>0.51139067332857502</v>
      </c>
      <c r="L1013" t="s">
        <v>33</v>
      </c>
      <c r="M1013" t="s">
        <v>34</v>
      </c>
      <c r="N1013" t="s">
        <v>35</v>
      </c>
      <c r="O1013">
        <v>0.68706338394463895</v>
      </c>
      <c r="P1013" t="s">
        <v>36</v>
      </c>
    </row>
    <row r="1014" spans="1:16">
      <c r="A1014">
        <v>1013</v>
      </c>
      <c r="B1014" t="s">
        <v>1071</v>
      </c>
      <c r="C1014">
        <v>179</v>
      </c>
      <c r="D1014">
        <v>84</v>
      </c>
      <c r="E1014">
        <v>80.8857495069756</v>
      </c>
      <c r="F1014">
        <v>2.1229657083929898</v>
      </c>
      <c r="G1014">
        <v>5138.4709973535</v>
      </c>
      <c r="H1014">
        <v>1012.86670968781</v>
      </c>
      <c r="I1014">
        <v>0.69012168206152202</v>
      </c>
      <c r="J1014">
        <v>6.29418029765271E-2</v>
      </c>
      <c r="K1014">
        <v>0.46161857583485799</v>
      </c>
      <c r="L1014" t="s">
        <v>1072</v>
      </c>
      <c r="M1014" t="s">
        <v>34</v>
      </c>
      <c r="N1014" t="s">
        <v>35</v>
      </c>
      <c r="O1014">
        <v>0.83632872981874495</v>
      </c>
      <c r="P1014" t="s">
        <v>36</v>
      </c>
    </row>
    <row r="1015" spans="1:16">
      <c r="A1015">
        <v>1014</v>
      </c>
      <c r="B1015" t="s">
        <v>1073</v>
      </c>
      <c r="C1015">
        <v>118</v>
      </c>
      <c r="D1015">
        <v>91</v>
      </c>
      <c r="E1015">
        <v>80.951232689683707</v>
      </c>
      <c r="F1015">
        <v>1.2967477302811801</v>
      </c>
      <c r="G1015">
        <v>5146.7943334593601</v>
      </c>
      <c r="H1015">
        <v>645.66255772279703</v>
      </c>
      <c r="I1015">
        <v>0.62830760152380505</v>
      </c>
      <c r="J1015">
        <v>0.155144174801325</v>
      </c>
      <c r="K1015">
        <v>0.61257053901537295</v>
      </c>
      <c r="L1015" t="s">
        <v>38</v>
      </c>
      <c r="M1015" t="s">
        <v>34</v>
      </c>
      <c r="N1015" t="s">
        <v>35</v>
      </c>
      <c r="O1015">
        <v>0.73889457730831498</v>
      </c>
      <c r="P1015" t="s">
        <v>36</v>
      </c>
    </row>
    <row r="1016" spans="1:16">
      <c r="A1016">
        <v>1015</v>
      </c>
      <c r="B1016" t="s">
        <v>1074</v>
      </c>
      <c r="C1016">
        <v>93</v>
      </c>
      <c r="D1016">
        <v>83</v>
      </c>
      <c r="E1016">
        <v>81.107709981539301</v>
      </c>
      <c r="F1016">
        <v>1.1291361930888999</v>
      </c>
      <c r="G1016">
        <v>5166.7108877126702</v>
      </c>
      <c r="H1016">
        <v>429.909183356244</v>
      </c>
      <c r="I1016">
        <v>0.68054112845673598</v>
      </c>
      <c r="J1016">
        <v>0.35129387690340202</v>
      </c>
      <c r="K1016">
        <v>0.85627016774638498</v>
      </c>
      <c r="L1016" t="s">
        <v>38</v>
      </c>
      <c r="M1016" t="s">
        <v>34</v>
      </c>
      <c r="N1016" t="s">
        <v>35</v>
      </c>
      <c r="O1016">
        <v>0.88937236581457801</v>
      </c>
      <c r="P1016" t="s">
        <v>36</v>
      </c>
    </row>
    <row r="1017" spans="1:16">
      <c r="A1017">
        <v>1016</v>
      </c>
      <c r="B1017" t="s">
        <v>1075</v>
      </c>
      <c r="C1017">
        <v>69</v>
      </c>
      <c r="D1017">
        <v>173</v>
      </c>
      <c r="E1017">
        <v>81.107709981539301</v>
      </c>
      <c r="F1017">
        <v>0.39917063194896701</v>
      </c>
      <c r="G1017">
        <v>5166.7108877126702</v>
      </c>
      <c r="H1017">
        <v>829.58515305892297</v>
      </c>
      <c r="I1017">
        <v>0.78758194287885996</v>
      </c>
      <c r="J1017">
        <v>9.4341349138719804E-2</v>
      </c>
      <c r="K1017">
        <v>0.520171185730532</v>
      </c>
      <c r="L1017" t="s">
        <v>43</v>
      </c>
      <c r="M1017" t="s">
        <v>34</v>
      </c>
      <c r="N1017" t="s">
        <v>35</v>
      </c>
      <c r="O1017">
        <v>0.707079036970374</v>
      </c>
      <c r="P1017" t="s">
        <v>36</v>
      </c>
    </row>
    <row r="1018" spans="1:16">
      <c r="A1018">
        <v>1017</v>
      </c>
      <c r="B1018" t="s">
        <v>1076</v>
      </c>
      <c r="C1018">
        <v>67</v>
      </c>
      <c r="D1018">
        <v>134</v>
      </c>
      <c r="E1018">
        <v>81.241759880034806</v>
      </c>
      <c r="F1018">
        <v>0.498807471794115</v>
      </c>
      <c r="G1018">
        <v>5183.8034529300603</v>
      </c>
      <c r="H1018">
        <v>368.03617276015501</v>
      </c>
      <c r="I1018">
        <v>0.73557839425261096</v>
      </c>
      <c r="J1018">
        <v>0.48092502815133598</v>
      </c>
      <c r="K1018">
        <v>0.81738498675853699</v>
      </c>
      <c r="L1018" t="s">
        <v>41</v>
      </c>
      <c r="M1018" t="s">
        <v>34</v>
      </c>
      <c r="N1018" t="s">
        <v>35</v>
      </c>
      <c r="O1018">
        <v>0.70900990274737596</v>
      </c>
      <c r="P1018" t="s">
        <v>36</v>
      </c>
    </row>
    <row r="1019" spans="1:16">
      <c r="A1019">
        <v>1018</v>
      </c>
      <c r="B1019" t="s">
        <v>1077</v>
      </c>
      <c r="C1019">
        <v>135</v>
      </c>
      <c r="D1019">
        <v>101</v>
      </c>
      <c r="E1019">
        <v>81.302301182700901</v>
      </c>
      <c r="F1019">
        <v>1.33976665904957</v>
      </c>
      <c r="G1019">
        <v>5191.5322650283597</v>
      </c>
      <c r="H1019">
        <v>587.98851088471997</v>
      </c>
      <c r="I1019">
        <v>0.56084991999804201</v>
      </c>
      <c r="J1019">
        <v>0.18869819291957199</v>
      </c>
      <c r="K1019">
        <v>0.52190479036547799</v>
      </c>
      <c r="L1019" t="s">
        <v>38</v>
      </c>
      <c r="M1019" t="s">
        <v>34</v>
      </c>
      <c r="N1019" t="s">
        <v>35</v>
      </c>
      <c r="O1019">
        <v>0.77961606407303197</v>
      </c>
      <c r="P1019" t="s">
        <v>36</v>
      </c>
    </row>
    <row r="1020" spans="1:16">
      <c r="A1020">
        <v>1019</v>
      </c>
      <c r="B1020" t="s">
        <v>1078</v>
      </c>
      <c r="C1020">
        <v>91</v>
      </c>
      <c r="D1020">
        <v>140</v>
      </c>
      <c r="E1020">
        <v>81.316265851505904</v>
      </c>
      <c r="F1020">
        <v>0.64805206139457405</v>
      </c>
      <c r="G1020">
        <v>5193.31583705104</v>
      </c>
      <c r="H1020">
        <v>932.18393801326295</v>
      </c>
      <c r="I1020">
        <v>0.69560187126297901</v>
      </c>
      <c r="J1020">
        <v>7.5101976789498995E-2</v>
      </c>
      <c r="K1020">
        <v>0.55383664347192096</v>
      </c>
      <c r="L1020" t="s">
        <v>49</v>
      </c>
      <c r="M1020" t="s">
        <v>34</v>
      </c>
      <c r="N1020" t="s">
        <v>35</v>
      </c>
      <c r="O1020">
        <v>0.75157344485350397</v>
      </c>
      <c r="P1020" t="s">
        <v>36</v>
      </c>
    </row>
    <row r="1021" spans="1:16">
      <c r="A1021">
        <v>1020</v>
      </c>
      <c r="B1021" t="s">
        <v>1079</v>
      </c>
      <c r="C1021">
        <v>92</v>
      </c>
      <c r="D1021">
        <v>135</v>
      </c>
      <c r="E1021">
        <v>81.390703619395794</v>
      </c>
      <c r="F1021">
        <v>0.68455708102318702</v>
      </c>
      <c r="G1021">
        <v>5202.8282211720198</v>
      </c>
      <c r="H1021">
        <v>691.71372334552905</v>
      </c>
      <c r="I1021">
        <v>0.72955848721995498</v>
      </c>
      <c r="J1021">
        <v>0.13664588800507499</v>
      </c>
      <c r="K1021">
        <v>0.60302503057761503</v>
      </c>
      <c r="L1021" t="s">
        <v>43</v>
      </c>
      <c r="M1021" t="s">
        <v>34</v>
      </c>
      <c r="N1021" t="s">
        <v>35</v>
      </c>
      <c r="O1021">
        <v>0.74742213848860295</v>
      </c>
      <c r="P1021" t="s">
        <v>36</v>
      </c>
    </row>
    <row r="1022" spans="1:16">
      <c r="A1022">
        <v>1021</v>
      </c>
      <c r="B1022" t="s">
        <v>1080</v>
      </c>
      <c r="C1022">
        <v>150</v>
      </c>
      <c r="D1022">
        <v>76</v>
      </c>
      <c r="E1022">
        <v>81.409302426486903</v>
      </c>
      <c r="F1022">
        <v>1.98687953634951</v>
      </c>
      <c r="G1022">
        <v>5205.2063172022699</v>
      </c>
      <c r="H1022">
        <v>681.33854305091097</v>
      </c>
      <c r="I1022">
        <v>0.70458601105511298</v>
      </c>
      <c r="J1022">
        <v>0.14090353770751499</v>
      </c>
      <c r="K1022">
        <v>0.64497771556963401</v>
      </c>
      <c r="L1022" t="s">
        <v>38</v>
      </c>
      <c r="M1022" t="s">
        <v>34</v>
      </c>
      <c r="N1022" t="s">
        <v>35</v>
      </c>
      <c r="O1022">
        <v>0.72812962211918797</v>
      </c>
      <c r="P1022" t="s">
        <v>36</v>
      </c>
    </row>
    <row r="1023" spans="1:16">
      <c r="A1023">
        <v>1022</v>
      </c>
      <c r="B1023" t="s">
        <v>1081</v>
      </c>
      <c r="C1023">
        <v>96</v>
      </c>
      <c r="D1023">
        <v>139</v>
      </c>
      <c r="E1023">
        <v>81.467396331454196</v>
      </c>
      <c r="F1023">
        <v>0.69354902530691198</v>
      </c>
      <c r="G1023">
        <v>5212.6378672967903</v>
      </c>
      <c r="H1023">
        <v>1124.2554491164401</v>
      </c>
      <c r="I1023">
        <v>0.69353014111356603</v>
      </c>
      <c r="J1023">
        <v>5.1824773923755799E-2</v>
      </c>
      <c r="K1023">
        <v>0.49264633581030798</v>
      </c>
      <c r="L1023" t="s">
        <v>101</v>
      </c>
      <c r="M1023" t="s">
        <v>34</v>
      </c>
      <c r="N1023" t="s">
        <v>35</v>
      </c>
      <c r="O1023">
        <v>0.75840201607203905</v>
      </c>
      <c r="P1023" t="s">
        <v>36</v>
      </c>
    </row>
    <row r="1024" spans="1:16">
      <c r="A1024">
        <v>1023</v>
      </c>
      <c r="B1024" t="s">
        <v>1082</v>
      </c>
      <c r="C1024">
        <v>84</v>
      </c>
      <c r="D1024">
        <v>148</v>
      </c>
      <c r="E1024">
        <v>81.597376590025505</v>
      </c>
      <c r="F1024">
        <v>0.56617647058823495</v>
      </c>
      <c r="G1024">
        <v>5229.2845395085096</v>
      </c>
      <c r="H1024">
        <v>788.95178485549002</v>
      </c>
      <c r="I1024">
        <v>0.73623535158898001</v>
      </c>
      <c r="J1024">
        <v>0.10557259860884501</v>
      </c>
      <c r="K1024">
        <v>0.52347864901056396</v>
      </c>
      <c r="L1024" t="s">
        <v>33</v>
      </c>
      <c r="M1024" t="s">
        <v>34</v>
      </c>
      <c r="N1024" t="s">
        <v>35</v>
      </c>
      <c r="O1024">
        <v>0.69387623107103102</v>
      </c>
      <c r="P1024" t="s">
        <v>36</v>
      </c>
    </row>
    <row r="1025" spans="1:16">
      <c r="A1025">
        <v>1024</v>
      </c>
      <c r="B1025" t="s">
        <v>1083</v>
      </c>
      <c r="C1025">
        <v>181</v>
      </c>
      <c r="D1025">
        <v>67</v>
      </c>
      <c r="E1025">
        <v>81.621724844720305</v>
      </c>
      <c r="F1025">
        <v>2.6991869918699201</v>
      </c>
      <c r="G1025">
        <v>5232.4057905482096</v>
      </c>
      <c r="H1025">
        <v>982.89807979998398</v>
      </c>
      <c r="I1025">
        <v>0.84976515453118195</v>
      </c>
      <c r="J1025">
        <v>6.8060370413182095E-2</v>
      </c>
      <c r="K1025">
        <v>0.48280212847660298</v>
      </c>
      <c r="L1025" t="s">
        <v>38</v>
      </c>
      <c r="M1025" t="s">
        <v>34</v>
      </c>
      <c r="N1025" t="s">
        <v>35</v>
      </c>
      <c r="O1025">
        <v>0.88883421527555095</v>
      </c>
      <c r="P1025" t="s">
        <v>36</v>
      </c>
    </row>
    <row r="1026" spans="1:16">
      <c r="A1026">
        <v>1025</v>
      </c>
      <c r="B1026" t="s">
        <v>1084</v>
      </c>
      <c r="C1026">
        <v>72</v>
      </c>
      <c r="D1026">
        <v>135</v>
      </c>
      <c r="E1026">
        <v>81.657654237504403</v>
      </c>
      <c r="F1026">
        <v>0.53559735020066501</v>
      </c>
      <c r="G1026">
        <v>5237.0133516068099</v>
      </c>
      <c r="H1026">
        <v>564.84911039549399</v>
      </c>
      <c r="I1026">
        <v>0.88858863100295604</v>
      </c>
      <c r="J1026">
        <v>0.20626647508800999</v>
      </c>
      <c r="K1026">
        <v>0.71102815053980395</v>
      </c>
      <c r="L1026" t="s">
        <v>49</v>
      </c>
      <c r="M1026" t="s">
        <v>34</v>
      </c>
      <c r="N1026" t="s">
        <v>35</v>
      </c>
      <c r="O1026">
        <v>0.79330403729531396</v>
      </c>
      <c r="P1026" t="s">
        <v>36</v>
      </c>
    </row>
    <row r="1027" spans="1:16">
      <c r="A1027">
        <v>1026</v>
      </c>
      <c r="B1027" t="s">
        <v>1085</v>
      </c>
      <c r="C1027">
        <v>143</v>
      </c>
      <c r="D1027">
        <v>73</v>
      </c>
      <c r="E1027">
        <v>81.817406531365407</v>
      </c>
      <c r="F1027">
        <v>1.9583720261180799</v>
      </c>
      <c r="G1027">
        <v>5257.5244298676798</v>
      </c>
      <c r="H1027">
        <v>603.76268412164995</v>
      </c>
      <c r="I1027">
        <v>0.51790264047377099</v>
      </c>
      <c r="J1027">
        <v>0.18124190902947801</v>
      </c>
      <c r="K1027">
        <v>0.65304803751430796</v>
      </c>
      <c r="L1027" t="s">
        <v>1072</v>
      </c>
      <c r="M1027" t="s">
        <v>34</v>
      </c>
      <c r="N1027" t="s">
        <v>35</v>
      </c>
      <c r="O1027">
        <v>0.69329530800438399</v>
      </c>
      <c r="P1027" t="s">
        <v>36</v>
      </c>
    </row>
    <row r="1028" spans="1:16">
      <c r="A1028">
        <v>1027</v>
      </c>
      <c r="B1028" t="s">
        <v>1086</v>
      </c>
      <c r="C1028">
        <v>59</v>
      </c>
      <c r="D1028">
        <v>137</v>
      </c>
      <c r="E1028">
        <v>81.999929175879302</v>
      </c>
      <c r="F1028">
        <v>0.432539682539683</v>
      </c>
      <c r="G1028">
        <v>5281.0081281663497</v>
      </c>
      <c r="H1028">
        <v>457.51602437340699</v>
      </c>
      <c r="I1028">
        <v>0.74245056457892999</v>
      </c>
      <c r="J1028">
        <v>0.31704001547122701</v>
      </c>
      <c r="K1028">
        <v>0.75681605180199396</v>
      </c>
      <c r="L1028" t="s">
        <v>41</v>
      </c>
      <c r="M1028" t="s">
        <v>34</v>
      </c>
      <c r="N1028" t="s">
        <v>35</v>
      </c>
      <c r="O1028">
        <v>0.69695896827944004</v>
      </c>
      <c r="P1028" t="s">
        <v>36</v>
      </c>
    </row>
    <row r="1029" spans="1:16">
      <c r="A1029">
        <v>1028</v>
      </c>
      <c r="B1029" t="s">
        <v>1087</v>
      </c>
      <c r="C1029">
        <v>80</v>
      </c>
      <c r="D1029">
        <v>112</v>
      </c>
      <c r="E1029">
        <v>82.041459812339497</v>
      </c>
      <c r="F1029">
        <v>0.71732220372635402</v>
      </c>
      <c r="G1029">
        <v>5286.3588442344098</v>
      </c>
      <c r="H1029">
        <v>367.84908367644198</v>
      </c>
      <c r="I1029">
        <v>0.712132858989591</v>
      </c>
      <c r="J1029">
        <v>0.49093856309761702</v>
      </c>
      <c r="K1029">
        <v>0.81830940548499898</v>
      </c>
      <c r="L1029" t="s">
        <v>144</v>
      </c>
      <c r="M1029" t="s">
        <v>34</v>
      </c>
      <c r="N1029" t="s">
        <v>35</v>
      </c>
      <c r="O1029">
        <v>0.74201332970257405</v>
      </c>
      <c r="P1029" t="s">
        <v>36</v>
      </c>
    </row>
    <row r="1030" spans="1:16">
      <c r="A1030">
        <v>1029</v>
      </c>
      <c r="B1030" t="s">
        <v>1088</v>
      </c>
      <c r="C1030">
        <v>93</v>
      </c>
      <c r="D1030">
        <v>107</v>
      </c>
      <c r="E1030">
        <v>82.177440862459406</v>
      </c>
      <c r="F1030">
        <v>0.86294416243654803</v>
      </c>
      <c r="G1030">
        <v>5303.8973024574698</v>
      </c>
      <c r="H1030">
        <v>706.79272121833696</v>
      </c>
      <c r="I1030">
        <v>0.58368770490046396</v>
      </c>
      <c r="J1030">
        <v>0.133419968475639</v>
      </c>
      <c r="K1030">
        <v>0.68943199381761999</v>
      </c>
      <c r="L1030" t="s">
        <v>33</v>
      </c>
      <c r="M1030" t="s">
        <v>34</v>
      </c>
      <c r="N1030" t="s">
        <v>35</v>
      </c>
      <c r="O1030">
        <v>0.72213273264052202</v>
      </c>
      <c r="P1030" t="s">
        <v>36</v>
      </c>
    </row>
    <row r="1031" spans="1:16">
      <c r="A1031">
        <v>1030</v>
      </c>
      <c r="B1031" t="s">
        <v>1089</v>
      </c>
      <c r="C1031">
        <v>92</v>
      </c>
      <c r="D1031">
        <v>139</v>
      </c>
      <c r="E1031">
        <v>82.321243584815704</v>
      </c>
      <c r="F1031">
        <v>0.66484628821212</v>
      </c>
      <c r="G1031">
        <v>5322.4761776937603</v>
      </c>
      <c r="H1031">
        <v>868.29283322438005</v>
      </c>
      <c r="I1031">
        <v>0.66565036348419604</v>
      </c>
      <c r="J1031">
        <v>8.8713794912237701E-2</v>
      </c>
      <c r="K1031">
        <v>0.513427100807203</v>
      </c>
      <c r="L1031" t="s">
        <v>38</v>
      </c>
      <c r="M1031" t="s">
        <v>34</v>
      </c>
      <c r="N1031" t="s">
        <v>35</v>
      </c>
      <c r="O1031">
        <v>0.71941512170550204</v>
      </c>
      <c r="P1031" t="s">
        <v>36</v>
      </c>
    </row>
    <row r="1032" spans="1:16">
      <c r="A1032">
        <v>1031</v>
      </c>
      <c r="B1032" t="s">
        <v>1090</v>
      </c>
      <c r="C1032">
        <v>107</v>
      </c>
      <c r="D1032">
        <v>91</v>
      </c>
      <c r="E1032">
        <v>82.329289110466704</v>
      </c>
      <c r="F1032">
        <v>1.18033219136219</v>
      </c>
      <c r="G1032">
        <v>5323.516594707</v>
      </c>
      <c r="H1032">
        <v>758.04315600094606</v>
      </c>
      <c r="I1032">
        <v>0.74045703750099501</v>
      </c>
      <c r="J1032">
        <v>0.116418128679132</v>
      </c>
      <c r="K1032">
        <v>0.68218958916633299</v>
      </c>
      <c r="L1032" t="s">
        <v>33</v>
      </c>
      <c r="M1032" t="s">
        <v>34</v>
      </c>
      <c r="N1032" t="s">
        <v>35</v>
      </c>
      <c r="O1032">
        <v>0.718761578949494</v>
      </c>
      <c r="P1032" t="s">
        <v>36</v>
      </c>
    </row>
    <row r="1033" spans="1:16">
      <c r="A1033">
        <v>1032</v>
      </c>
      <c r="B1033" t="s">
        <v>1091</v>
      </c>
      <c r="C1033">
        <v>112</v>
      </c>
      <c r="D1033">
        <v>88</v>
      </c>
      <c r="E1033">
        <v>82.354569931223494</v>
      </c>
      <c r="F1033">
        <v>1.2732919254658399</v>
      </c>
      <c r="G1033">
        <v>5326.7864767485798</v>
      </c>
      <c r="H1033">
        <v>944.81748255512002</v>
      </c>
      <c r="I1033">
        <v>0.64052201372756801</v>
      </c>
      <c r="J1033">
        <v>7.4985848681286493E-2</v>
      </c>
      <c r="K1033">
        <v>0.62160052726515902</v>
      </c>
      <c r="L1033" t="s">
        <v>43</v>
      </c>
      <c r="M1033" t="s">
        <v>34</v>
      </c>
      <c r="N1033" t="s">
        <v>35</v>
      </c>
      <c r="O1033">
        <v>0.648429237008041</v>
      </c>
      <c r="P1033" t="s">
        <v>36</v>
      </c>
    </row>
    <row r="1034" spans="1:16">
      <c r="A1034">
        <v>1033</v>
      </c>
      <c r="B1034" t="s">
        <v>1092</v>
      </c>
      <c r="C1034">
        <v>154</v>
      </c>
      <c r="D1034">
        <v>64</v>
      </c>
      <c r="E1034">
        <v>82.387882796944197</v>
      </c>
      <c r="F1034">
        <v>2.4036555428285702</v>
      </c>
      <c r="G1034">
        <v>5331.0967758034003</v>
      </c>
      <c r="H1034">
        <v>590.30167233280497</v>
      </c>
      <c r="I1034">
        <v>0.51316037029448802</v>
      </c>
      <c r="J1034">
        <v>0.19225533637652301</v>
      </c>
      <c r="K1034">
        <v>0.63797090107075505</v>
      </c>
      <c r="L1034" t="s">
        <v>33</v>
      </c>
      <c r="M1034" t="s">
        <v>34</v>
      </c>
      <c r="N1034" t="s">
        <v>35</v>
      </c>
      <c r="O1034">
        <v>0.69401701804304095</v>
      </c>
      <c r="P1034" t="s">
        <v>36</v>
      </c>
    </row>
    <row r="1035" spans="1:16">
      <c r="A1035">
        <v>1034</v>
      </c>
      <c r="B1035" t="s">
        <v>1093</v>
      </c>
      <c r="C1035">
        <v>112</v>
      </c>
      <c r="D1035">
        <v>107</v>
      </c>
      <c r="E1035">
        <v>82.415441882109405</v>
      </c>
      <c r="F1035">
        <v>1.0456852862649999</v>
      </c>
      <c r="G1035">
        <v>5334.6639198487701</v>
      </c>
      <c r="H1035">
        <v>1109.7283162562701</v>
      </c>
      <c r="I1035">
        <v>0.58457307457180596</v>
      </c>
      <c r="J1035">
        <v>5.4435672526317702E-2</v>
      </c>
      <c r="K1035">
        <v>0.58182171862082399</v>
      </c>
      <c r="L1035" t="s">
        <v>38</v>
      </c>
      <c r="M1035" t="s">
        <v>34</v>
      </c>
      <c r="N1035" t="s">
        <v>35</v>
      </c>
      <c r="O1035">
        <v>0.79429048907062005</v>
      </c>
      <c r="P1035" t="s">
        <v>36</v>
      </c>
    </row>
    <row r="1036" spans="1:16">
      <c r="A1036">
        <v>1035</v>
      </c>
      <c r="B1036" t="s">
        <v>1094</v>
      </c>
      <c r="C1036">
        <v>79</v>
      </c>
      <c r="D1036">
        <v>113</v>
      </c>
      <c r="E1036">
        <v>82.529025831353493</v>
      </c>
      <c r="F1036">
        <v>0.700293676201861</v>
      </c>
      <c r="G1036">
        <v>5349.37838903592</v>
      </c>
      <c r="H1036">
        <v>512.08866770049804</v>
      </c>
      <c r="I1036">
        <v>0.79430289065466098</v>
      </c>
      <c r="J1036">
        <v>0.25634382039872</v>
      </c>
      <c r="K1036">
        <v>0.703567588701007</v>
      </c>
      <c r="L1036" t="s">
        <v>38</v>
      </c>
      <c r="M1036" t="s">
        <v>34</v>
      </c>
      <c r="N1036" t="s">
        <v>35</v>
      </c>
      <c r="O1036">
        <v>0.74736208800415704</v>
      </c>
      <c r="P1036" t="s">
        <v>36</v>
      </c>
    </row>
    <row r="1037" spans="1:16">
      <c r="A1037">
        <v>1036</v>
      </c>
      <c r="B1037" t="s">
        <v>1095</v>
      </c>
      <c r="C1037">
        <v>95</v>
      </c>
      <c r="D1037">
        <v>95</v>
      </c>
      <c r="E1037">
        <v>82.606952611608193</v>
      </c>
      <c r="F1037">
        <v>0.99352135192174895</v>
      </c>
      <c r="G1037">
        <v>5359.4852971644596</v>
      </c>
      <c r="H1037">
        <v>435.31434607682002</v>
      </c>
      <c r="I1037">
        <v>0.68713103338830195</v>
      </c>
      <c r="J1037">
        <v>0.35540782723445902</v>
      </c>
      <c r="K1037">
        <v>0.74708904819127298</v>
      </c>
      <c r="L1037" t="s">
        <v>58</v>
      </c>
      <c r="M1037" t="s">
        <v>34</v>
      </c>
      <c r="N1037" t="s">
        <v>35</v>
      </c>
      <c r="O1037">
        <v>0.70371186651014295</v>
      </c>
      <c r="P1037" t="s">
        <v>36</v>
      </c>
    </row>
    <row r="1038" spans="1:16">
      <c r="A1038">
        <v>1037</v>
      </c>
      <c r="B1038" t="s">
        <v>1096</v>
      </c>
      <c r="C1038">
        <v>148</v>
      </c>
      <c r="D1038">
        <v>120</v>
      </c>
      <c r="E1038">
        <v>82.696248787792996</v>
      </c>
      <c r="F1038">
        <v>1.2307692307692299</v>
      </c>
      <c r="G1038">
        <v>5371.0785153119105</v>
      </c>
      <c r="H1038">
        <v>1149.22262225452</v>
      </c>
      <c r="I1038">
        <v>0.67094007211518103</v>
      </c>
      <c r="J1038">
        <v>5.1104957587234601E-2</v>
      </c>
      <c r="K1038">
        <v>0.48424790619765501</v>
      </c>
      <c r="L1038" t="s">
        <v>33</v>
      </c>
      <c r="M1038" t="s">
        <v>34</v>
      </c>
      <c r="N1038" t="s">
        <v>35</v>
      </c>
      <c r="O1038">
        <v>0.801660053991057</v>
      </c>
      <c r="P1038" t="s">
        <v>36</v>
      </c>
    </row>
    <row r="1039" spans="1:16">
      <c r="A1039">
        <v>1038</v>
      </c>
      <c r="B1039" t="s">
        <v>1097</v>
      </c>
      <c r="C1039">
        <v>89</v>
      </c>
      <c r="D1039">
        <v>93</v>
      </c>
      <c r="E1039">
        <v>82.951013998623196</v>
      </c>
      <c r="F1039">
        <v>0.95671712030678602</v>
      </c>
      <c r="G1039">
        <v>5404.22322873346</v>
      </c>
      <c r="H1039">
        <v>453.78915417194401</v>
      </c>
      <c r="I1039">
        <v>0.77624866642963097</v>
      </c>
      <c r="J1039">
        <v>0.329788054208631</v>
      </c>
      <c r="K1039">
        <v>0.79959536428210098</v>
      </c>
      <c r="L1039" t="s">
        <v>67</v>
      </c>
      <c r="M1039" t="s">
        <v>34</v>
      </c>
      <c r="N1039" t="s">
        <v>35</v>
      </c>
      <c r="O1039">
        <v>0.65143307401841899</v>
      </c>
      <c r="P1039" t="s">
        <v>36</v>
      </c>
    </row>
    <row r="1040" spans="1:16">
      <c r="A1040">
        <v>1039</v>
      </c>
      <c r="B1040" t="s">
        <v>1098</v>
      </c>
      <c r="C1040">
        <v>104</v>
      </c>
      <c r="D1040">
        <v>97</v>
      </c>
      <c r="E1040">
        <v>83.129909502303093</v>
      </c>
      <c r="F1040">
        <v>1.0674157418953101</v>
      </c>
      <c r="G1040">
        <v>5427.5582960302499</v>
      </c>
      <c r="H1040">
        <v>614.64271823644594</v>
      </c>
      <c r="I1040">
        <v>0.58008468399032098</v>
      </c>
      <c r="J1040">
        <v>0.18053810480365301</v>
      </c>
      <c r="K1040">
        <v>0.599523887703169</v>
      </c>
      <c r="L1040" t="s">
        <v>38</v>
      </c>
      <c r="M1040" t="s">
        <v>34</v>
      </c>
      <c r="N1040" t="s">
        <v>35</v>
      </c>
      <c r="O1040">
        <v>0.78163413897746903</v>
      </c>
      <c r="P1040" t="s">
        <v>36</v>
      </c>
    </row>
    <row r="1041" spans="1:16">
      <c r="A1041">
        <v>1040</v>
      </c>
      <c r="B1041" t="s">
        <v>1099</v>
      </c>
      <c r="C1041">
        <v>108</v>
      </c>
      <c r="D1041">
        <v>82</v>
      </c>
      <c r="E1041">
        <v>83.176564076051505</v>
      </c>
      <c r="F1041">
        <v>1.3207961839952</v>
      </c>
      <c r="G1041">
        <v>5433.6521671077498</v>
      </c>
      <c r="H1041">
        <v>386.22208337825299</v>
      </c>
      <c r="I1041">
        <v>0.60681662652866397</v>
      </c>
      <c r="J1041">
        <v>0.45774909399991698</v>
      </c>
      <c r="K1041">
        <v>0.79923919459565795</v>
      </c>
      <c r="L1041" t="s">
        <v>33</v>
      </c>
      <c r="M1041" t="s">
        <v>34</v>
      </c>
      <c r="N1041" t="s">
        <v>35</v>
      </c>
      <c r="O1041">
        <v>0.72736109138770799</v>
      </c>
      <c r="P1041" t="s">
        <v>36</v>
      </c>
    </row>
    <row r="1042" spans="1:16">
      <c r="A1042">
        <v>1041</v>
      </c>
      <c r="B1042" t="s">
        <v>1100</v>
      </c>
      <c r="C1042">
        <v>129</v>
      </c>
      <c r="D1042">
        <v>69</v>
      </c>
      <c r="E1042">
        <v>83.193626285522697</v>
      </c>
      <c r="F1042">
        <v>1.85901391168444</v>
      </c>
      <c r="G1042">
        <v>5435.8816321361101</v>
      </c>
      <c r="H1042">
        <v>407.11803109303798</v>
      </c>
      <c r="I1042">
        <v>0.78131593325651905</v>
      </c>
      <c r="J1042">
        <v>0.41213469849225298</v>
      </c>
      <c r="K1042">
        <v>0.76984444397667695</v>
      </c>
      <c r="L1042" t="s">
        <v>33</v>
      </c>
      <c r="M1042" t="s">
        <v>34</v>
      </c>
      <c r="N1042" t="s">
        <v>35</v>
      </c>
      <c r="O1042">
        <v>0.70110013596229903</v>
      </c>
      <c r="P1042" t="s">
        <v>36</v>
      </c>
    </row>
    <row r="1043" spans="1:16">
      <c r="A1043">
        <v>1042</v>
      </c>
      <c r="B1043" t="s">
        <v>1101</v>
      </c>
      <c r="C1043">
        <v>112</v>
      </c>
      <c r="D1043">
        <v>91</v>
      </c>
      <c r="E1043">
        <v>83.234561318155002</v>
      </c>
      <c r="F1043">
        <v>1.24096389972069</v>
      </c>
      <c r="G1043">
        <v>5441.2323482041602</v>
      </c>
      <c r="H1043">
        <v>598.737869346764</v>
      </c>
      <c r="I1043">
        <v>0.58939974210659096</v>
      </c>
      <c r="J1043">
        <v>0.19073644339582799</v>
      </c>
      <c r="K1043">
        <v>0.66085998989096695</v>
      </c>
      <c r="L1043" t="s">
        <v>211</v>
      </c>
      <c r="M1043" t="s">
        <v>34</v>
      </c>
      <c r="N1043" t="s">
        <v>35</v>
      </c>
      <c r="O1043">
        <v>0.73849410649663105</v>
      </c>
      <c r="P1043" t="s">
        <v>36</v>
      </c>
    </row>
    <row r="1044" spans="1:16">
      <c r="A1044">
        <v>1043</v>
      </c>
      <c r="B1044" t="s">
        <v>1102</v>
      </c>
      <c r="C1044">
        <v>131</v>
      </c>
      <c r="D1044">
        <v>78</v>
      </c>
      <c r="E1044">
        <v>83.284565701393007</v>
      </c>
      <c r="F1044">
        <v>1.67431391722147</v>
      </c>
      <c r="G1044">
        <v>5447.77211228734</v>
      </c>
      <c r="H1044">
        <v>429.67508308006398</v>
      </c>
      <c r="I1044">
        <v>0.664305147280432</v>
      </c>
      <c r="J1044">
        <v>0.37080745499708501</v>
      </c>
      <c r="K1044">
        <v>0.74428379969946801</v>
      </c>
      <c r="L1044" t="s">
        <v>33</v>
      </c>
      <c r="M1044" t="s">
        <v>34</v>
      </c>
      <c r="N1044" t="s">
        <v>35</v>
      </c>
      <c r="O1044">
        <v>0.70420630153525099</v>
      </c>
      <c r="P1044" t="s">
        <v>36</v>
      </c>
    </row>
    <row r="1045" spans="1:16">
      <c r="A1045">
        <v>1044</v>
      </c>
      <c r="B1045" t="s">
        <v>1103</v>
      </c>
      <c r="C1045">
        <v>103</v>
      </c>
      <c r="D1045">
        <v>115</v>
      </c>
      <c r="E1045">
        <v>83.302741671427199</v>
      </c>
      <c r="F1045">
        <v>0.89388074926608696</v>
      </c>
      <c r="G1045">
        <v>5450.1502083175801</v>
      </c>
      <c r="H1045">
        <v>769.21208759276794</v>
      </c>
      <c r="I1045">
        <v>0.66450694765546103</v>
      </c>
      <c r="J1045">
        <v>0.11575136877974999</v>
      </c>
      <c r="K1045">
        <v>0.63522502858330698</v>
      </c>
      <c r="L1045" t="s">
        <v>33</v>
      </c>
      <c r="M1045" t="s">
        <v>34</v>
      </c>
      <c r="N1045" t="s">
        <v>35</v>
      </c>
      <c r="O1045">
        <v>0.81049388537394795</v>
      </c>
      <c r="P1045" t="s">
        <v>36</v>
      </c>
    </row>
    <row r="1046" spans="1:16">
      <c r="A1046">
        <v>1045</v>
      </c>
      <c r="B1046" t="s">
        <v>1104</v>
      </c>
      <c r="C1046">
        <v>181</v>
      </c>
      <c r="D1046">
        <v>94</v>
      </c>
      <c r="E1046">
        <v>83.413983067326399</v>
      </c>
      <c r="F1046">
        <v>1.9350676022439299</v>
      </c>
      <c r="G1046">
        <v>5464.7160465028401</v>
      </c>
      <c r="H1046">
        <v>1145.3579509358799</v>
      </c>
      <c r="I1046">
        <v>0.78784739822143202</v>
      </c>
      <c r="J1046">
        <v>5.2347385353829497E-2</v>
      </c>
      <c r="K1046">
        <v>0.42854478699224902</v>
      </c>
      <c r="L1046" t="s">
        <v>49</v>
      </c>
      <c r="M1046" t="s">
        <v>34</v>
      </c>
      <c r="N1046" t="s">
        <v>35</v>
      </c>
      <c r="O1046">
        <v>0.69352110348055995</v>
      </c>
      <c r="P1046" t="s">
        <v>36</v>
      </c>
    </row>
    <row r="1047" spans="1:16">
      <c r="A1047">
        <v>1046</v>
      </c>
      <c r="B1047" t="s">
        <v>1105</v>
      </c>
      <c r="C1047">
        <v>120</v>
      </c>
      <c r="D1047">
        <v>93</v>
      </c>
      <c r="E1047">
        <v>83.570378048104502</v>
      </c>
      <c r="F1047">
        <v>1.2917024849093299</v>
      </c>
      <c r="G1047">
        <v>5485.22712476371</v>
      </c>
      <c r="H1047">
        <v>669.34376044221597</v>
      </c>
      <c r="I1047">
        <v>0.61642621034204204</v>
      </c>
      <c r="J1047">
        <v>0.153853025279935</v>
      </c>
      <c r="K1047">
        <v>0.66305539086221499</v>
      </c>
      <c r="L1047" t="s">
        <v>41</v>
      </c>
      <c r="M1047" t="s">
        <v>34</v>
      </c>
      <c r="N1047" t="s">
        <v>35</v>
      </c>
      <c r="O1047">
        <v>0.76981193190850605</v>
      </c>
      <c r="P1047" t="s">
        <v>36</v>
      </c>
    </row>
    <row r="1048" spans="1:16">
      <c r="A1048">
        <v>1047</v>
      </c>
      <c r="B1048" t="s">
        <v>1106</v>
      </c>
      <c r="C1048">
        <v>136</v>
      </c>
      <c r="D1048">
        <v>101</v>
      </c>
      <c r="E1048">
        <v>83.591887773979195</v>
      </c>
      <c r="F1048">
        <v>1.34951667635489</v>
      </c>
      <c r="G1048">
        <v>5488.05111379962</v>
      </c>
      <c r="H1048">
        <v>705.33978728087095</v>
      </c>
      <c r="I1048">
        <v>0.75477269713797701</v>
      </c>
      <c r="J1048">
        <v>0.13862170830908899</v>
      </c>
      <c r="K1048">
        <v>0.53745160257343305</v>
      </c>
      <c r="L1048" t="s">
        <v>38</v>
      </c>
      <c r="M1048" t="s">
        <v>34</v>
      </c>
      <c r="N1048" t="s">
        <v>35</v>
      </c>
      <c r="O1048">
        <v>0.71275317067711597</v>
      </c>
      <c r="P1048" t="s">
        <v>36</v>
      </c>
    </row>
    <row r="1049" spans="1:16">
      <c r="A1049">
        <v>1048</v>
      </c>
      <c r="B1049" t="s">
        <v>1107</v>
      </c>
      <c r="C1049">
        <v>89</v>
      </c>
      <c r="D1049">
        <v>116</v>
      </c>
      <c r="E1049">
        <v>83.606601766349101</v>
      </c>
      <c r="F1049">
        <v>0.76921512424161997</v>
      </c>
      <c r="G1049">
        <v>5489.9833168242003</v>
      </c>
      <c r="H1049">
        <v>447.72870181529402</v>
      </c>
      <c r="I1049">
        <v>0.66055175481631401</v>
      </c>
      <c r="J1049">
        <v>0.34415256992469401</v>
      </c>
      <c r="K1049">
        <v>0.67590762699458395</v>
      </c>
      <c r="L1049" t="s">
        <v>74</v>
      </c>
      <c r="M1049" t="s">
        <v>34</v>
      </c>
      <c r="N1049" t="s">
        <v>35</v>
      </c>
      <c r="O1049">
        <v>0.65253903118053402</v>
      </c>
      <c r="P1049" t="s">
        <v>36</v>
      </c>
    </row>
    <row r="1050" spans="1:16">
      <c r="A1050">
        <v>1049</v>
      </c>
      <c r="B1050" t="s">
        <v>1108</v>
      </c>
      <c r="C1050">
        <v>163</v>
      </c>
      <c r="D1050">
        <v>66</v>
      </c>
      <c r="E1050">
        <v>83.780709359438205</v>
      </c>
      <c r="F1050">
        <v>2.45160464595399</v>
      </c>
      <c r="G1050">
        <v>5512.8724911153104</v>
      </c>
      <c r="H1050">
        <v>511.87726490549397</v>
      </c>
      <c r="I1050">
        <v>0.779253285847891</v>
      </c>
      <c r="J1050">
        <v>0.264396760825785</v>
      </c>
      <c r="K1050">
        <v>0.68176972281449899</v>
      </c>
      <c r="L1050" t="s">
        <v>38</v>
      </c>
      <c r="M1050" t="s">
        <v>34</v>
      </c>
      <c r="N1050" t="s">
        <v>35</v>
      </c>
      <c r="O1050">
        <v>0.69958177277951406</v>
      </c>
      <c r="P1050" t="s">
        <v>36</v>
      </c>
    </row>
    <row r="1051" spans="1:16">
      <c r="A1051">
        <v>1050</v>
      </c>
      <c r="B1051" t="s">
        <v>1109</v>
      </c>
      <c r="C1051">
        <v>100</v>
      </c>
      <c r="D1051">
        <v>143</v>
      </c>
      <c r="E1051">
        <v>83.854087838741606</v>
      </c>
      <c r="F1051">
        <v>0.70229007633587803</v>
      </c>
      <c r="G1051">
        <v>5522.5335062381901</v>
      </c>
      <c r="H1051">
        <v>586.268716407444</v>
      </c>
      <c r="I1051">
        <v>0.61740886116209603</v>
      </c>
      <c r="J1051">
        <v>0.20190858362705699</v>
      </c>
      <c r="K1051">
        <v>0.57319161408759201</v>
      </c>
      <c r="L1051" t="s">
        <v>33</v>
      </c>
      <c r="M1051" t="s">
        <v>34</v>
      </c>
      <c r="N1051" t="s">
        <v>35</v>
      </c>
      <c r="O1051">
        <v>0.70880917811727495</v>
      </c>
      <c r="P1051" t="s">
        <v>36</v>
      </c>
    </row>
    <row r="1052" spans="1:16">
      <c r="A1052">
        <v>1051</v>
      </c>
      <c r="B1052" t="s">
        <v>1110</v>
      </c>
      <c r="C1052">
        <v>58</v>
      </c>
      <c r="D1052">
        <v>152</v>
      </c>
      <c r="E1052">
        <v>83.945438945013606</v>
      </c>
      <c r="F1052">
        <v>0.38129496402877699</v>
      </c>
      <c r="G1052">
        <v>5534.5726173913099</v>
      </c>
      <c r="H1052">
        <v>652.56766557330695</v>
      </c>
      <c r="I1052">
        <v>0.81370389967536505</v>
      </c>
      <c r="J1052">
        <v>0.16332130908065201</v>
      </c>
      <c r="K1052">
        <v>0.77661216317677495</v>
      </c>
      <c r="L1052" t="s">
        <v>41</v>
      </c>
      <c r="M1052" t="s">
        <v>34</v>
      </c>
      <c r="N1052" t="s">
        <v>35</v>
      </c>
      <c r="O1052">
        <v>0.78978661376921999</v>
      </c>
      <c r="P1052" t="s">
        <v>36</v>
      </c>
    </row>
    <row r="1053" spans="1:16">
      <c r="A1053">
        <v>1052</v>
      </c>
      <c r="B1053" t="s">
        <v>1111</v>
      </c>
      <c r="C1053">
        <v>103</v>
      </c>
      <c r="D1053">
        <v>95</v>
      </c>
      <c r="E1053">
        <v>84.015294902536596</v>
      </c>
      <c r="F1053">
        <v>1.0804597842266499</v>
      </c>
      <c r="G1053">
        <v>5543.7877395085097</v>
      </c>
      <c r="H1053">
        <v>468.994934693316</v>
      </c>
      <c r="I1053">
        <v>0.64165886680031103</v>
      </c>
      <c r="J1053">
        <v>0.31672340173198799</v>
      </c>
      <c r="K1053">
        <v>0.739560613871595</v>
      </c>
      <c r="L1053" t="s">
        <v>43</v>
      </c>
      <c r="M1053" t="s">
        <v>34</v>
      </c>
      <c r="N1053" t="s">
        <v>35</v>
      </c>
      <c r="O1053">
        <v>0.79207601071517897</v>
      </c>
      <c r="P1053" t="s">
        <v>36</v>
      </c>
    </row>
    <row r="1054" spans="1:16">
      <c r="A1054">
        <v>1053</v>
      </c>
      <c r="B1054" t="s">
        <v>1112</v>
      </c>
      <c r="C1054">
        <v>88</v>
      </c>
      <c r="D1054">
        <v>132</v>
      </c>
      <c r="E1054">
        <v>84.050201109246501</v>
      </c>
      <c r="F1054">
        <v>0.665289256198347</v>
      </c>
      <c r="G1054">
        <v>5548.3953005671101</v>
      </c>
      <c r="H1054">
        <v>584.53951969167497</v>
      </c>
      <c r="I1054">
        <v>0.668143538709426</v>
      </c>
      <c r="J1054">
        <v>0.20405606264249099</v>
      </c>
      <c r="K1054">
        <v>0.62643687805205495</v>
      </c>
      <c r="L1054" t="s">
        <v>33</v>
      </c>
      <c r="M1054" t="s">
        <v>34</v>
      </c>
      <c r="N1054" t="s">
        <v>35</v>
      </c>
      <c r="O1054">
        <v>0.67187320445347098</v>
      </c>
      <c r="P1054" t="s">
        <v>36</v>
      </c>
    </row>
    <row r="1055" spans="1:16">
      <c r="A1055">
        <v>1054</v>
      </c>
      <c r="B1055" t="s">
        <v>1113</v>
      </c>
      <c r="C1055">
        <v>176</v>
      </c>
      <c r="D1055">
        <v>60</v>
      </c>
      <c r="E1055">
        <v>84.197548196888803</v>
      </c>
      <c r="F1055">
        <v>2.9155464941448299</v>
      </c>
      <c r="G1055">
        <v>5567.8659618147503</v>
      </c>
      <c r="H1055">
        <v>504.32171610925502</v>
      </c>
      <c r="I1055">
        <v>0.54721809164694002</v>
      </c>
      <c r="J1055">
        <v>0.27509538020520602</v>
      </c>
      <c r="K1055">
        <v>0.70689134619013505</v>
      </c>
      <c r="L1055" t="s">
        <v>38</v>
      </c>
      <c r="M1055" t="s">
        <v>34</v>
      </c>
      <c r="N1055" t="s">
        <v>35</v>
      </c>
      <c r="O1055">
        <v>0.74897037213183104</v>
      </c>
      <c r="P1055" t="s">
        <v>36</v>
      </c>
    </row>
    <row r="1056" spans="1:16">
      <c r="A1056">
        <v>1055</v>
      </c>
      <c r="B1056" t="s">
        <v>1114</v>
      </c>
      <c r="C1056">
        <v>93</v>
      </c>
      <c r="D1056">
        <v>116</v>
      </c>
      <c r="E1056">
        <v>84.271686536661406</v>
      </c>
      <c r="F1056">
        <v>0.79921782110607698</v>
      </c>
      <c r="G1056">
        <v>5577.67560793951</v>
      </c>
      <c r="H1056">
        <v>555.35296208848104</v>
      </c>
      <c r="I1056">
        <v>0.65844021836233702</v>
      </c>
      <c r="J1056">
        <v>0.22726100941671501</v>
      </c>
      <c r="K1056">
        <v>0.68301694483373698</v>
      </c>
      <c r="L1056" t="s">
        <v>43</v>
      </c>
      <c r="M1056" t="s">
        <v>34</v>
      </c>
      <c r="N1056" t="s">
        <v>35</v>
      </c>
      <c r="O1056">
        <v>0.74174649880423105</v>
      </c>
      <c r="P1056" t="s">
        <v>36</v>
      </c>
    </row>
    <row r="1057" spans="1:16">
      <c r="A1057">
        <v>1056</v>
      </c>
      <c r="B1057" t="s">
        <v>1115</v>
      </c>
      <c r="C1057">
        <v>86</v>
      </c>
      <c r="D1057">
        <v>138</v>
      </c>
      <c r="E1057">
        <v>84.318831539810304</v>
      </c>
      <c r="F1057">
        <v>0.62408620607677201</v>
      </c>
      <c r="G1057">
        <v>5583.9181100188998</v>
      </c>
      <c r="H1057">
        <v>539.99608520725496</v>
      </c>
      <c r="I1057">
        <v>0.690548810994011</v>
      </c>
      <c r="J1057">
        <v>0.240639924097754</v>
      </c>
      <c r="K1057">
        <v>0.60127716782433305</v>
      </c>
      <c r="L1057" t="s">
        <v>74</v>
      </c>
      <c r="M1057" t="s">
        <v>34</v>
      </c>
      <c r="N1057" t="s">
        <v>35</v>
      </c>
      <c r="O1057">
        <v>0.69905895196773404</v>
      </c>
      <c r="P1057" t="s">
        <v>36</v>
      </c>
    </row>
    <row r="1058" spans="1:16">
      <c r="A1058">
        <v>1057</v>
      </c>
      <c r="B1058" t="s">
        <v>1116</v>
      </c>
      <c r="C1058">
        <v>153</v>
      </c>
      <c r="D1058">
        <v>77</v>
      </c>
      <c r="E1058">
        <v>84.331174685283997</v>
      </c>
      <c r="F1058">
        <v>1.9991720051214401</v>
      </c>
      <c r="G1058">
        <v>5585.5530510397002</v>
      </c>
      <c r="H1058">
        <v>617.23375869294898</v>
      </c>
      <c r="I1058">
        <v>0.70492765181470596</v>
      </c>
      <c r="J1058">
        <v>0.18423693618221201</v>
      </c>
      <c r="K1058">
        <v>0.558287403621886</v>
      </c>
      <c r="L1058" t="s">
        <v>49</v>
      </c>
      <c r="M1058" t="s">
        <v>34</v>
      </c>
      <c r="N1058" t="s">
        <v>35</v>
      </c>
      <c r="O1058">
        <v>0.70573506260582897</v>
      </c>
      <c r="P1058" t="s">
        <v>36</v>
      </c>
    </row>
    <row r="1059" spans="1:16">
      <c r="A1059">
        <v>1058</v>
      </c>
      <c r="B1059" t="s">
        <v>1117</v>
      </c>
      <c r="C1059">
        <v>104</v>
      </c>
      <c r="D1059">
        <v>101</v>
      </c>
      <c r="E1059">
        <v>84.430975590460505</v>
      </c>
      <c r="F1059">
        <v>1.0256551470623401</v>
      </c>
      <c r="G1059">
        <v>5598.7812102079397</v>
      </c>
      <c r="H1059">
        <v>477.62211379517697</v>
      </c>
      <c r="I1059">
        <v>0.61533998051055105</v>
      </c>
      <c r="J1059">
        <v>0.30841430096865502</v>
      </c>
      <c r="K1059">
        <v>0.69596304849884505</v>
      </c>
      <c r="L1059" t="s">
        <v>49</v>
      </c>
      <c r="M1059" t="s">
        <v>34</v>
      </c>
      <c r="N1059" t="s">
        <v>35</v>
      </c>
      <c r="O1059">
        <v>0.80646618343292997</v>
      </c>
      <c r="P1059" t="s">
        <v>36</v>
      </c>
    </row>
    <row r="1060" spans="1:16">
      <c r="A1060">
        <v>1059</v>
      </c>
      <c r="B1060" t="s">
        <v>1118</v>
      </c>
      <c r="C1060">
        <v>123</v>
      </c>
      <c r="D1060">
        <v>87</v>
      </c>
      <c r="E1060">
        <v>84.627988184363105</v>
      </c>
      <c r="F1060">
        <v>1.41186898888723</v>
      </c>
      <c r="G1060">
        <v>5624.9402665406396</v>
      </c>
      <c r="H1060">
        <v>487.62311592236802</v>
      </c>
      <c r="I1060">
        <v>0.64257919228761995</v>
      </c>
      <c r="J1060">
        <v>0.29727556163965402</v>
      </c>
      <c r="K1060">
        <v>0.70218569096036798</v>
      </c>
      <c r="L1060" t="s">
        <v>38</v>
      </c>
      <c r="M1060" t="s">
        <v>34</v>
      </c>
      <c r="N1060" t="s">
        <v>35</v>
      </c>
      <c r="O1060">
        <v>0.73505845479270404</v>
      </c>
      <c r="P1060" t="s">
        <v>36</v>
      </c>
    </row>
    <row r="1061" spans="1:16">
      <c r="A1061">
        <v>1060</v>
      </c>
      <c r="B1061" t="s">
        <v>1119</v>
      </c>
      <c r="C1061">
        <v>112</v>
      </c>
      <c r="D1061">
        <v>116</v>
      </c>
      <c r="E1061">
        <v>84.839043408137201</v>
      </c>
      <c r="F1061">
        <v>0.96244131455399096</v>
      </c>
      <c r="G1061">
        <v>5653.0315258979199</v>
      </c>
      <c r="H1061">
        <v>693.51879851320496</v>
      </c>
      <c r="I1061">
        <v>0.54031426232979896</v>
      </c>
      <c r="J1061">
        <v>0.147698061848163</v>
      </c>
      <c r="K1061">
        <v>0.54554843151598598</v>
      </c>
      <c r="L1061" t="s">
        <v>33</v>
      </c>
      <c r="M1061" t="s">
        <v>34</v>
      </c>
      <c r="N1061" t="s">
        <v>35</v>
      </c>
      <c r="O1061">
        <v>0.67090300623801802</v>
      </c>
      <c r="P1061" t="s">
        <v>36</v>
      </c>
    </row>
    <row r="1062" spans="1:16">
      <c r="A1062">
        <v>1061</v>
      </c>
      <c r="B1062" t="s">
        <v>1120</v>
      </c>
      <c r="C1062">
        <v>98</v>
      </c>
      <c r="D1062">
        <v>102</v>
      </c>
      <c r="E1062">
        <v>84.905935355301395</v>
      </c>
      <c r="F1062">
        <v>0.957219251336898</v>
      </c>
      <c r="G1062">
        <v>5661.9493860113398</v>
      </c>
      <c r="H1062">
        <v>908.81043724785695</v>
      </c>
      <c r="I1062">
        <v>0.64360607682177395</v>
      </c>
      <c r="J1062">
        <v>8.6144833245798705E-2</v>
      </c>
      <c r="K1062">
        <v>0.68912245156388496</v>
      </c>
      <c r="L1062" t="s">
        <v>38</v>
      </c>
      <c r="M1062" t="s">
        <v>34</v>
      </c>
      <c r="N1062" t="s">
        <v>35</v>
      </c>
      <c r="O1062">
        <v>0.76569779699093798</v>
      </c>
      <c r="P1062" t="s">
        <v>36</v>
      </c>
    </row>
    <row r="1063" spans="1:16">
      <c r="A1063">
        <v>1062</v>
      </c>
      <c r="B1063" t="s">
        <v>1121</v>
      </c>
      <c r="C1063">
        <v>142</v>
      </c>
      <c r="D1063">
        <v>76</v>
      </c>
      <c r="E1063">
        <v>85.5697674084048</v>
      </c>
      <c r="F1063">
        <v>1.874168421309</v>
      </c>
      <c r="G1063">
        <v>5750.83072514178</v>
      </c>
      <c r="H1063">
        <v>531.52778847362697</v>
      </c>
      <c r="I1063">
        <v>0.66094784194829803</v>
      </c>
      <c r="J1063">
        <v>0.25579290805542698</v>
      </c>
      <c r="K1063">
        <v>0.67359551539840901</v>
      </c>
      <c r="L1063" t="s">
        <v>47</v>
      </c>
      <c r="M1063" t="s">
        <v>34</v>
      </c>
      <c r="N1063" t="s">
        <v>35</v>
      </c>
      <c r="O1063">
        <v>0.92634697618573103</v>
      </c>
      <c r="P1063" t="s">
        <v>36</v>
      </c>
    </row>
    <row r="1064" spans="1:16">
      <c r="A1064">
        <v>1063</v>
      </c>
      <c r="B1064" t="s">
        <v>1122</v>
      </c>
      <c r="C1064">
        <v>119</v>
      </c>
      <c r="D1064">
        <v>83</v>
      </c>
      <c r="E1064">
        <v>85.630563773301304</v>
      </c>
      <c r="F1064">
        <v>1.42943255200462</v>
      </c>
      <c r="G1064">
        <v>5759.0054302457502</v>
      </c>
      <c r="H1064">
        <v>451.903351862016</v>
      </c>
      <c r="I1064">
        <v>0.62119344367603402</v>
      </c>
      <c r="J1064">
        <v>0.35437757085148502</v>
      </c>
      <c r="K1064">
        <v>0.74419006645411601</v>
      </c>
      <c r="L1064" t="s">
        <v>288</v>
      </c>
      <c r="M1064" t="s">
        <v>34</v>
      </c>
      <c r="N1064" t="s">
        <v>35</v>
      </c>
      <c r="O1064">
        <v>0.66025985104061302</v>
      </c>
      <c r="P1064" t="s">
        <v>36</v>
      </c>
    </row>
    <row r="1065" spans="1:16">
      <c r="A1065">
        <v>1064</v>
      </c>
      <c r="B1065" t="s">
        <v>1123</v>
      </c>
      <c r="C1065">
        <v>120</v>
      </c>
      <c r="D1065">
        <v>113</v>
      </c>
      <c r="E1065">
        <v>85.673647780583394</v>
      </c>
      <c r="F1065">
        <v>1.0583571360031201</v>
      </c>
      <c r="G1065">
        <v>5764.8020393194702</v>
      </c>
      <c r="H1065">
        <v>673.38839538014497</v>
      </c>
      <c r="I1065">
        <v>0.58009570066305505</v>
      </c>
      <c r="J1065">
        <v>0.15975814410918601</v>
      </c>
      <c r="K1065">
        <v>0.53314089347078997</v>
      </c>
      <c r="L1065" t="s">
        <v>74</v>
      </c>
      <c r="M1065" t="s">
        <v>34</v>
      </c>
      <c r="N1065" t="s">
        <v>35</v>
      </c>
      <c r="O1065">
        <v>0.723865151317299</v>
      </c>
      <c r="P1065" t="s">
        <v>36</v>
      </c>
    </row>
    <row r="1066" spans="1:16">
      <c r="A1066">
        <v>1065</v>
      </c>
      <c r="B1066" t="s">
        <v>1124</v>
      </c>
      <c r="C1066">
        <v>120</v>
      </c>
      <c r="D1066">
        <v>98</v>
      </c>
      <c r="E1066">
        <v>85.838051652745094</v>
      </c>
      <c r="F1066">
        <v>1.22279373994157</v>
      </c>
      <c r="G1066">
        <v>5786.9480586011396</v>
      </c>
      <c r="H1066">
        <v>776.54844758562399</v>
      </c>
      <c r="I1066">
        <v>0.63423352681529899</v>
      </c>
      <c r="J1066">
        <v>0.12059306592449499</v>
      </c>
      <c r="K1066">
        <v>0.62753852104957797</v>
      </c>
      <c r="L1066" t="s">
        <v>74</v>
      </c>
      <c r="M1066" t="s">
        <v>34</v>
      </c>
      <c r="N1066" t="s">
        <v>35</v>
      </c>
      <c r="O1066">
        <v>0.686708787201466</v>
      </c>
      <c r="P1066" t="s">
        <v>36</v>
      </c>
    </row>
    <row r="1067" spans="1:16">
      <c r="A1067">
        <v>1066</v>
      </c>
      <c r="B1067" t="s">
        <v>1125</v>
      </c>
      <c r="C1067">
        <v>70</v>
      </c>
      <c r="D1067">
        <v>131</v>
      </c>
      <c r="E1067">
        <v>85.904165694628404</v>
      </c>
      <c r="F1067">
        <v>0.53687310076105099</v>
      </c>
      <c r="G1067">
        <v>5795.8659187145604</v>
      </c>
      <c r="H1067">
        <v>497.74700769393303</v>
      </c>
      <c r="I1067">
        <v>0.72838516617280002</v>
      </c>
      <c r="J1067">
        <v>0.29397532439413299</v>
      </c>
      <c r="K1067">
        <v>0.73949404536145003</v>
      </c>
      <c r="L1067" t="s">
        <v>38</v>
      </c>
      <c r="M1067" t="s">
        <v>34</v>
      </c>
      <c r="N1067" t="s">
        <v>35</v>
      </c>
      <c r="O1067">
        <v>0.84878670348401397</v>
      </c>
      <c r="P1067" t="s">
        <v>36</v>
      </c>
    </row>
    <row r="1068" spans="1:16">
      <c r="A1068">
        <v>1067</v>
      </c>
      <c r="B1068" t="s">
        <v>1126</v>
      </c>
      <c r="C1068">
        <v>118</v>
      </c>
      <c r="D1068">
        <v>113</v>
      </c>
      <c r="E1068">
        <v>85.933900418624305</v>
      </c>
      <c r="F1068">
        <v>1.0422005066689599</v>
      </c>
      <c r="G1068">
        <v>5799.8789557656</v>
      </c>
      <c r="H1068">
        <v>590.11458324909199</v>
      </c>
      <c r="I1068">
        <v>0.56841789287426103</v>
      </c>
      <c r="J1068">
        <v>0.20929367279752301</v>
      </c>
      <c r="K1068">
        <v>0.58718550619959098</v>
      </c>
      <c r="L1068" t="s">
        <v>33</v>
      </c>
      <c r="M1068" t="s">
        <v>34</v>
      </c>
      <c r="N1068" t="s">
        <v>35</v>
      </c>
      <c r="O1068">
        <v>0.72657675379049003</v>
      </c>
      <c r="P1068" t="s">
        <v>36</v>
      </c>
    </row>
    <row r="1069" spans="1:16">
      <c r="A1069">
        <v>1068</v>
      </c>
      <c r="B1069" t="s">
        <v>1127</v>
      </c>
      <c r="C1069">
        <v>161</v>
      </c>
      <c r="D1069">
        <v>78</v>
      </c>
      <c r="E1069">
        <v>86.020842984844606</v>
      </c>
      <c r="F1069">
        <v>2.06993006993007</v>
      </c>
      <c r="G1069">
        <v>5811.62080491493</v>
      </c>
      <c r="H1069">
        <v>751.59912323837705</v>
      </c>
      <c r="I1069">
        <v>0.72289074549766696</v>
      </c>
      <c r="J1069">
        <v>0.12928097066897401</v>
      </c>
      <c r="K1069">
        <v>0.52992437589786701</v>
      </c>
      <c r="L1069" t="s">
        <v>47</v>
      </c>
      <c r="M1069" t="s">
        <v>34</v>
      </c>
      <c r="N1069" t="s">
        <v>35</v>
      </c>
      <c r="O1069">
        <v>0.92897483574010697</v>
      </c>
      <c r="P1069" t="s">
        <v>36</v>
      </c>
    </row>
    <row r="1070" spans="1:16">
      <c r="A1070">
        <v>1069</v>
      </c>
      <c r="B1070" t="s">
        <v>1128</v>
      </c>
      <c r="C1070">
        <v>139</v>
      </c>
      <c r="D1070">
        <v>66</v>
      </c>
      <c r="E1070">
        <v>86.039540657765897</v>
      </c>
      <c r="F1070">
        <v>2.0893978107709099</v>
      </c>
      <c r="G1070">
        <v>5814.1475319470701</v>
      </c>
      <c r="H1070">
        <v>422.43891525040499</v>
      </c>
      <c r="I1070">
        <v>0.60270714257906299</v>
      </c>
      <c r="J1070">
        <v>0.4094190763153</v>
      </c>
      <c r="K1070">
        <v>0.79409674996447499</v>
      </c>
      <c r="L1070" t="s">
        <v>38</v>
      </c>
      <c r="M1070" t="s">
        <v>34</v>
      </c>
      <c r="N1070" t="s">
        <v>35</v>
      </c>
      <c r="O1070">
        <v>0.70556485064808006</v>
      </c>
      <c r="P1070" t="s">
        <v>36</v>
      </c>
    </row>
    <row r="1071" spans="1:16">
      <c r="A1071">
        <v>1070</v>
      </c>
      <c r="B1071" t="s">
        <v>1129</v>
      </c>
      <c r="C1071">
        <v>101</v>
      </c>
      <c r="D1071">
        <v>103</v>
      </c>
      <c r="E1071">
        <v>86.097807339478294</v>
      </c>
      <c r="F1071">
        <v>0.9850463457859</v>
      </c>
      <c r="G1071">
        <v>5822.0249750472603</v>
      </c>
      <c r="H1071">
        <v>551.67537985356</v>
      </c>
      <c r="I1071">
        <v>0.68904960204682897</v>
      </c>
      <c r="J1071">
        <v>0.24039018003563301</v>
      </c>
      <c r="K1071">
        <v>0.70522468673484096</v>
      </c>
      <c r="L1071" t="s">
        <v>38</v>
      </c>
      <c r="M1071" t="s">
        <v>34</v>
      </c>
      <c r="N1071" t="s">
        <v>35</v>
      </c>
      <c r="O1071">
        <v>0.81370051885341699</v>
      </c>
      <c r="P1071" t="s">
        <v>36</v>
      </c>
    </row>
    <row r="1072" spans="1:16">
      <c r="A1072">
        <v>1071</v>
      </c>
      <c r="B1072" t="s">
        <v>1130</v>
      </c>
      <c r="C1072">
        <v>125</v>
      </c>
      <c r="D1072">
        <v>93</v>
      </c>
      <c r="E1072">
        <v>86.109895483776498</v>
      </c>
      <c r="F1072">
        <v>1.3391812865497099</v>
      </c>
      <c r="G1072">
        <v>5823.6599160680498</v>
      </c>
      <c r="H1072">
        <v>562.99540780523603</v>
      </c>
      <c r="I1072">
        <v>0.60458737139680396</v>
      </c>
      <c r="J1072">
        <v>0.230885237030826</v>
      </c>
      <c r="K1072">
        <v>0.69733750978856701</v>
      </c>
      <c r="L1072" t="s">
        <v>893</v>
      </c>
      <c r="M1072" t="s">
        <v>34</v>
      </c>
      <c r="N1072" t="s">
        <v>35</v>
      </c>
      <c r="O1072">
        <v>0.65381425642123403</v>
      </c>
      <c r="P1072" t="s">
        <v>36</v>
      </c>
    </row>
    <row r="1073" spans="1:16">
      <c r="A1073">
        <v>1072</v>
      </c>
      <c r="B1073" t="s">
        <v>1131</v>
      </c>
      <c r="C1073">
        <v>117</v>
      </c>
      <c r="D1073">
        <v>93</v>
      </c>
      <c r="E1073">
        <v>86.300882727028295</v>
      </c>
      <c r="F1073">
        <v>1.25882352941176</v>
      </c>
      <c r="G1073">
        <v>5849.5217103969799</v>
      </c>
      <c r="H1073">
        <v>771.52524904085203</v>
      </c>
      <c r="I1073">
        <v>0.74480812329629198</v>
      </c>
      <c r="J1073">
        <v>0.123489472186046</v>
      </c>
      <c r="K1073">
        <v>0.65387363139444099</v>
      </c>
      <c r="L1073" t="s">
        <v>38</v>
      </c>
      <c r="M1073" t="s">
        <v>34</v>
      </c>
      <c r="N1073" t="s">
        <v>35</v>
      </c>
      <c r="O1073">
        <v>0.70811790426836396</v>
      </c>
      <c r="P1073" t="s">
        <v>36</v>
      </c>
    </row>
    <row r="1074" spans="1:16">
      <c r="A1074">
        <v>1073</v>
      </c>
      <c r="B1074" t="s">
        <v>1132</v>
      </c>
      <c r="C1074">
        <v>96</v>
      </c>
      <c r="D1074">
        <v>117</v>
      </c>
      <c r="E1074">
        <v>86.581109567702399</v>
      </c>
      <c r="F1074">
        <v>0.82045442072918595</v>
      </c>
      <c r="G1074">
        <v>5887.5712468809097</v>
      </c>
      <c r="H1074">
        <v>490.497544621592</v>
      </c>
      <c r="I1074">
        <v>0.69848013091914396</v>
      </c>
      <c r="J1074">
        <v>0.30751929072218998</v>
      </c>
      <c r="K1074">
        <v>0.64130294003367405</v>
      </c>
      <c r="L1074" t="s">
        <v>41</v>
      </c>
      <c r="M1074" t="s">
        <v>34</v>
      </c>
      <c r="N1074" t="s">
        <v>35</v>
      </c>
      <c r="O1074">
        <v>0.74506043286383505</v>
      </c>
      <c r="P1074" t="s">
        <v>36</v>
      </c>
    </row>
    <row r="1075" spans="1:16">
      <c r="A1075">
        <v>1074</v>
      </c>
      <c r="B1075" t="s">
        <v>1133</v>
      </c>
      <c r="C1075">
        <v>122</v>
      </c>
      <c r="D1075">
        <v>95</v>
      </c>
      <c r="E1075">
        <v>86.602964102610798</v>
      </c>
      <c r="F1075">
        <v>1.2780735641851599</v>
      </c>
      <c r="G1075">
        <v>5890.5438669187197</v>
      </c>
      <c r="H1075">
        <v>625.47346438470095</v>
      </c>
      <c r="I1075">
        <v>0.68330528036000204</v>
      </c>
      <c r="J1075">
        <v>0.189211478569559</v>
      </c>
      <c r="K1075">
        <v>0.62062701619217597</v>
      </c>
      <c r="L1075" t="s">
        <v>33</v>
      </c>
      <c r="M1075" t="s">
        <v>34</v>
      </c>
      <c r="N1075" t="s">
        <v>35</v>
      </c>
      <c r="O1075">
        <v>0.64469449016689495</v>
      </c>
      <c r="P1075" t="s">
        <v>36</v>
      </c>
    </row>
    <row r="1076" spans="1:16">
      <c r="A1076">
        <v>1075</v>
      </c>
      <c r="B1076" t="s">
        <v>1134</v>
      </c>
      <c r="C1076">
        <v>132</v>
      </c>
      <c r="D1076">
        <v>94</v>
      </c>
      <c r="E1076">
        <v>86.728520806674894</v>
      </c>
      <c r="F1076">
        <v>1.40462427745665</v>
      </c>
      <c r="G1076">
        <v>5907.6364321361098</v>
      </c>
      <c r="H1076">
        <v>696.65781097816398</v>
      </c>
      <c r="I1076">
        <v>0.63307275075291503</v>
      </c>
      <c r="J1076">
        <v>0.15296236948885</v>
      </c>
      <c r="K1076">
        <v>0.60154370034052196</v>
      </c>
      <c r="L1076" t="s">
        <v>144</v>
      </c>
      <c r="M1076" t="s">
        <v>34</v>
      </c>
      <c r="N1076" t="s">
        <v>35</v>
      </c>
      <c r="O1076">
        <v>0.73290424640442298</v>
      </c>
      <c r="P1076" t="s">
        <v>36</v>
      </c>
    </row>
    <row r="1077" spans="1:16">
      <c r="A1077">
        <v>1076</v>
      </c>
      <c r="B1077" t="s">
        <v>1135</v>
      </c>
      <c r="C1077">
        <v>142</v>
      </c>
      <c r="D1077">
        <v>142</v>
      </c>
      <c r="E1077">
        <v>86.775421431927299</v>
      </c>
      <c r="F1077">
        <v>1</v>
      </c>
      <c r="G1077">
        <v>5914.0275652173896</v>
      </c>
      <c r="H1077">
        <v>997.99037291547495</v>
      </c>
      <c r="I1077">
        <v>0.62202074844371702</v>
      </c>
      <c r="J1077">
        <v>7.4617467424909503E-2</v>
      </c>
      <c r="K1077">
        <v>0.43223220396058998</v>
      </c>
      <c r="L1077" t="s">
        <v>33</v>
      </c>
      <c r="M1077" t="s">
        <v>34</v>
      </c>
      <c r="N1077" t="s">
        <v>35</v>
      </c>
      <c r="O1077">
        <v>0.70659359427476398</v>
      </c>
      <c r="P1077" t="s">
        <v>36</v>
      </c>
    </row>
    <row r="1078" spans="1:16">
      <c r="A1078">
        <v>1077</v>
      </c>
      <c r="B1078" t="s">
        <v>1136</v>
      </c>
      <c r="C1078">
        <v>88</v>
      </c>
      <c r="D1078">
        <v>98</v>
      </c>
      <c r="E1078">
        <v>86.954066007485693</v>
      </c>
      <c r="F1078">
        <v>0.89544716951347603</v>
      </c>
      <c r="G1078">
        <v>5938.4030495274101</v>
      </c>
      <c r="H1078">
        <v>367.233019224457</v>
      </c>
      <c r="I1078">
        <v>0.64551298277108904</v>
      </c>
      <c r="J1078">
        <v>0.55334512494870902</v>
      </c>
      <c r="K1078">
        <v>0.89031999286924002</v>
      </c>
      <c r="L1078" t="s">
        <v>288</v>
      </c>
      <c r="M1078" t="s">
        <v>34</v>
      </c>
      <c r="N1078" t="s">
        <v>35</v>
      </c>
      <c r="O1078">
        <v>0.76254405405968995</v>
      </c>
      <c r="P1078" t="s">
        <v>36</v>
      </c>
    </row>
    <row r="1079" spans="1:16">
      <c r="A1079">
        <v>1078</v>
      </c>
      <c r="B1079" t="s">
        <v>1137</v>
      </c>
      <c r="C1079">
        <v>152</v>
      </c>
      <c r="D1079">
        <v>72</v>
      </c>
      <c r="E1079">
        <v>87.108450122004797</v>
      </c>
      <c r="F1079">
        <v>2.10606063058116</v>
      </c>
      <c r="G1079">
        <v>5959.5086517958398</v>
      </c>
      <c r="H1079">
        <v>696.94509222507497</v>
      </c>
      <c r="I1079">
        <v>0.67394372004358605</v>
      </c>
      <c r="J1079">
        <v>0.15417827780104801</v>
      </c>
      <c r="K1079">
        <v>0.62911475821382601</v>
      </c>
      <c r="L1079" t="s">
        <v>33</v>
      </c>
      <c r="M1079" t="s">
        <v>34</v>
      </c>
      <c r="N1079" t="s">
        <v>35</v>
      </c>
      <c r="O1079">
        <v>0.75170494646687502</v>
      </c>
      <c r="P1079" t="s">
        <v>36</v>
      </c>
    </row>
    <row r="1080" spans="1:16">
      <c r="A1080">
        <v>1079</v>
      </c>
      <c r="B1080" t="s">
        <v>1138</v>
      </c>
      <c r="C1080">
        <v>89</v>
      </c>
      <c r="D1080">
        <v>128</v>
      </c>
      <c r="E1080">
        <v>87.186624944648401</v>
      </c>
      <c r="F1080">
        <v>0.69215268039324596</v>
      </c>
      <c r="G1080">
        <v>5970.2100839319501</v>
      </c>
      <c r="H1080">
        <v>496.027213216657</v>
      </c>
      <c r="I1080">
        <v>0.64260319510514696</v>
      </c>
      <c r="J1080">
        <v>0.30492179701628502</v>
      </c>
      <c r="K1080">
        <v>0.67055072366993296</v>
      </c>
      <c r="L1080" t="s">
        <v>38</v>
      </c>
      <c r="M1080" t="s">
        <v>34</v>
      </c>
      <c r="N1080" t="s">
        <v>35</v>
      </c>
      <c r="O1080">
        <v>0.73359279313473702</v>
      </c>
      <c r="P1080" t="s">
        <v>36</v>
      </c>
    </row>
    <row r="1081" spans="1:16">
      <c r="A1081">
        <v>1080</v>
      </c>
      <c r="B1081" t="s">
        <v>1139</v>
      </c>
      <c r="C1081">
        <v>98</v>
      </c>
      <c r="D1081">
        <v>112</v>
      </c>
      <c r="E1081">
        <v>87.392583863752805</v>
      </c>
      <c r="F1081">
        <v>0.86893203883495096</v>
      </c>
      <c r="G1081">
        <v>5998.4499742911203</v>
      </c>
      <c r="H1081">
        <v>1116.1613305502401</v>
      </c>
      <c r="I1081">
        <v>0.60452673599279005</v>
      </c>
      <c r="J1081">
        <v>6.0505514844205403E-2</v>
      </c>
      <c r="K1081">
        <v>0.65549221198980001</v>
      </c>
      <c r="L1081" t="s">
        <v>101</v>
      </c>
      <c r="M1081" t="s">
        <v>34</v>
      </c>
      <c r="N1081" t="s">
        <v>35</v>
      </c>
      <c r="O1081">
        <v>0.73604143392594801</v>
      </c>
      <c r="P1081" t="s">
        <v>36</v>
      </c>
    </row>
    <row r="1082" spans="1:16">
      <c r="A1082">
        <v>1081</v>
      </c>
      <c r="B1082" t="s">
        <v>1140</v>
      </c>
      <c r="C1082">
        <v>100</v>
      </c>
      <c r="D1082">
        <v>161</v>
      </c>
      <c r="E1082">
        <v>87.433717428758101</v>
      </c>
      <c r="F1082">
        <v>0.61824324324324298</v>
      </c>
      <c r="G1082">
        <v>6004.0979523629503</v>
      </c>
      <c r="H1082">
        <v>677.89182863194003</v>
      </c>
      <c r="I1082">
        <v>0.68784982287947605</v>
      </c>
      <c r="J1082">
        <v>0.16418626938665501</v>
      </c>
      <c r="K1082">
        <v>0.48466088375385402</v>
      </c>
      <c r="L1082" t="s">
        <v>43</v>
      </c>
      <c r="M1082" t="s">
        <v>34</v>
      </c>
      <c r="N1082" t="s">
        <v>35</v>
      </c>
      <c r="O1082">
        <v>0.68462264117432603</v>
      </c>
      <c r="P1082" t="s">
        <v>36</v>
      </c>
    </row>
    <row r="1083" spans="1:16">
      <c r="A1083">
        <v>1082</v>
      </c>
      <c r="B1083" t="s">
        <v>1141</v>
      </c>
      <c r="C1083">
        <v>82</v>
      </c>
      <c r="D1083">
        <v>132</v>
      </c>
      <c r="E1083">
        <v>87.496462956078304</v>
      </c>
      <c r="F1083">
        <v>0.618887489028209</v>
      </c>
      <c r="G1083">
        <v>6012.7185504725903</v>
      </c>
      <c r="H1083">
        <v>563.04080276758805</v>
      </c>
      <c r="I1083">
        <v>0.57915219476976598</v>
      </c>
      <c r="J1083">
        <v>0.23834223199336499</v>
      </c>
      <c r="K1083">
        <v>0.68826241557071599</v>
      </c>
      <c r="L1083" t="s">
        <v>74</v>
      </c>
      <c r="M1083" t="s">
        <v>34</v>
      </c>
      <c r="N1083" t="s">
        <v>35</v>
      </c>
      <c r="O1083">
        <v>0.6943879412949</v>
      </c>
      <c r="P1083" t="s">
        <v>36</v>
      </c>
    </row>
    <row r="1084" spans="1:16">
      <c r="A1084">
        <v>1083</v>
      </c>
      <c r="B1084" t="s">
        <v>1142</v>
      </c>
      <c r="C1084">
        <v>137</v>
      </c>
      <c r="D1084">
        <v>134</v>
      </c>
      <c r="E1084">
        <v>87.520251216197707</v>
      </c>
      <c r="F1084">
        <v>1.0244897959183701</v>
      </c>
      <c r="G1084">
        <v>6015.9884325141802</v>
      </c>
      <c r="H1084">
        <v>1238.9388509180201</v>
      </c>
      <c r="I1084">
        <v>0.54620168540891401</v>
      </c>
      <c r="J1084">
        <v>4.9251233605118502E-2</v>
      </c>
      <c r="K1084">
        <v>0.43309294014423599</v>
      </c>
      <c r="L1084" t="s">
        <v>74</v>
      </c>
      <c r="M1084" t="s">
        <v>34</v>
      </c>
      <c r="N1084" t="s">
        <v>35</v>
      </c>
      <c r="O1084">
        <v>0.70478823583461903</v>
      </c>
      <c r="P1084" t="s">
        <v>36</v>
      </c>
    </row>
    <row r="1085" spans="1:16">
      <c r="A1085">
        <v>1084</v>
      </c>
      <c r="B1085" t="s">
        <v>1143</v>
      </c>
      <c r="C1085">
        <v>97</v>
      </c>
      <c r="D1085">
        <v>112</v>
      </c>
      <c r="E1085">
        <v>87.550517835609696</v>
      </c>
      <c r="F1085">
        <v>0.86979816337966198</v>
      </c>
      <c r="G1085">
        <v>6020.1501005671098</v>
      </c>
      <c r="H1085">
        <v>572.53695107459998</v>
      </c>
      <c r="I1085">
        <v>0.62816701060782698</v>
      </c>
      <c r="J1085">
        <v>0.23078636232566799</v>
      </c>
      <c r="K1085">
        <v>0.72090415591349999</v>
      </c>
      <c r="L1085" t="s">
        <v>33</v>
      </c>
      <c r="M1085" t="s">
        <v>34</v>
      </c>
      <c r="N1085" t="s">
        <v>35</v>
      </c>
      <c r="O1085">
        <v>0.74652620301342798</v>
      </c>
      <c r="P1085" t="s">
        <v>36</v>
      </c>
    </row>
    <row r="1086" spans="1:16">
      <c r="A1086">
        <v>1085</v>
      </c>
      <c r="B1086" t="s">
        <v>1144</v>
      </c>
      <c r="C1086">
        <v>93</v>
      </c>
      <c r="D1086">
        <v>98</v>
      </c>
      <c r="E1086">
        <v>87.588336402198706</v>
      </c>
      <c r="F1086">
        <v>0.94972067039106101</v>
      </c>
      <c r="G1086">
        <v>6025.35218563327</v>
      </c>
      <c r="H1086">
        <v>669.827533011333</v>
      </c>
      <c r="I1086">
        <v>0.56629523329047504</v>
      </c>
      <c r="J1086">
        <v>0.168758754172317</v>
      </c>
      <c r="K1086">
        <v>0.79032635395952699</v>
      </c>
      <c r="L1086" t="s">
        <v>38</v>
      </c>
      <c r="M1086" t="s">
        <v>34</v>
      </c>
      <c r="N1086" t="s">
        <v>35</v>
      </c>
      <c r="O1086">
        <v>0.85541661573664496</v>
      </c>
      <c r="P1086" t="s">
        <v>36</v>
      </c>
    </row>
    <row r="1087" spans="1:16">
      <c r="A1087">
        <v>1086</v>
      </c>
      <c r="B1087" t="s">
        <v>1145</v>
      </c>
      <c r="C1087">
        <v>95</v>
      </c>
      <c r="D1087">
        <v>95</v>
      </c>
      <c r="E1087">
        <v>87.659607020968494</v>
      </c>
      <c r="F1087">
        <v>0.99296377981801398</v>
      </c>
      <c r="G1087">
        <v>6035.1618317580396</v>
      </c>
      <c r="H1087">
        <v>354.950955368851</v>
      </c>
      <c r="I1087">
        <v>0.62396980676277602</v>
      </c>
      <c r="J1087">
        <v>0.60195230980501901</v>
      </c>
      <c r="K1087">
        <v>0.88456343673753901</v>
      </c>
      <c r="L1087" t="s">
        <v>43</v>
      </c>
      <c r="M1087" t="s">
        <v>34</v>
      </c>
      <c r="N1087" t="s">
        <v>35</v>
      </c>
      <c r="O1087">
        <v>0.74209227038854897</v>
      </c>
      <c r="P1087" t="s">
        <v>36</v>
      </c>
    </row>
    <row r="1088" spans="1:16">
      <c r="A1088">
        <v>1087</v>
      </c>
      <c r="B1088" t="s">
        <v>1146</v>
      </c>
      <c r="C1088">
        <v>115</v>
      </c>
      <c r="D1088">
        <v>76</v>
      </c>
      <c r="E1088">
        <v>87.663924590149094</v>
      </c>
      <c r="F1088">
        <v>1.5179857252350299</v>
      </c>
      <c r="G1088">
        <v>6035.7563557656003</v>
      </c>
      <c r="H1088">
        <v>378.37925333510299</v>
      </c>
      <c r="I1088">
        <v>0.710578293917837</v>
      </c>
      <c r="J1088">
        <v>0.52976947715846501</v>
      </c>
      <c r="K1088">
        <v>0.83468305516731101</v>
      </c>
      <c r="L1088" t="s">
        <v>38</v>
      </c>
      <c r="M1088" t="s">
        <v>34</v>
      </c>
      <c r="N1088" t="s">
        <v>35</v>
      </c>
      <c r="O1088">
        <v>0.89649836883396805</v>
      </c>
      <c r="P1088" t="s">
        <v>36</v>
      </c>
    </row>
    <row r="1089" spans="1:16">
      <c r="A1089">
        <v>1088</v>
      </c>
      <c r="B1089" t="s">
        <v>1147</v>
      </c>
      <c r="C1089">
        <v>158</v>
      </c>
      <c r="D1089">
        <v>156</v>
      </c>
      <c r="E1089">
        <v>87.6984574913443</v>
      </c>
      <c r="F1089">
        <v>1.0069686425969799</v>
      </c>
      <c r="G1089">
        <v>6040.5125478260898</v>
      </c>
      <c r="H1089">
        <v>1368.2528102031999</v>
      </c>
      <c r="I1089">
        <v>0.64973806125640698</v>
      </c>
      <c r="J1089">
        <v>4.0546274593371297E-2</v>
      </c>
      <c r="K1089">
        <v>0.33471421512106703</v>
      </c>
      <c r="L1089" t="s">
        <v>43</v>
      </c>
      <c r="M1089" t="s">
        <v>34</v>
      </c>
      <c r="N1089" t="s">
        <v>35</v>
      </c>
      <c r="O1089">
        <v>0.79526114568198902</v>
      </c>
      <c r="P1089" t="s">
        <v>36</v>
      </c>
    </row>
    <row r="1090" spans="1:16">
      <c r="A1090">
        <v>1089</v>
      </c>
      <c r="B1090" t="s">
        <v>1148</v>
      </c>
      <c r="C1090">
        <v>146</v>
      </c>
      <c r="D1090">
        <v>62</v>
      </c>
      <c r="E1090">
        <v>87.763170057330697</v>
      </c>
      <c r="F1090">
        <v>2.3371446232592299</v>
      </c>
      <c r="G1090">
        <v>6049.4304079395097</v>
      </c>
      <c r="H1090">
        <v>398.116673823751</v>
      </c>
      <c r="I1090">
        <v>0.58494189714213796</v>
      </c>
      <c r="J1090">
        <v>0.47962699105154399</v>
      </c>
      <c r="K1090">
        <v>0.86311391975570495</v>
      </c>
      <c r="L1090" t="s">
        <v>33</v>
      </c>
      <c r="M1090" t="s">
        <v>34</v>
      </c>
      <c r="N1090" t="s">
        <v>35</v>
      </c>
      <c r="O1090">
        <v>0.66297967639298705</v>
      </c>
      <c r="P1090" t="s">
        <v>36</v>
      </c>
    </row>
    <row r="1091" spans="1:16">
      <c r="A1091">
        <v>1090</v>
      </c>
      <c r="B1091" t="s">
        <v>1149</v>
      </c>
      <c r="C1091">
        <v>118</v>
      </c>
      <c r="D1091">
        <v>107</v>
      </c>
      <c r="E1091">
        <v>87.772872827170104</v>
      </c>
      <c r="F1091">
        <v>1.09644670050761</v>
      </c>
      <c r="G1091">
        <v>6050.7680869565202</v>
      </c>
      <c r="H1091">
        <v>990.07717365472195</v>
      </c>
      <c r="I1091">
        <v>0.57031762408118103</v>
      </c>
      <c r="J1091">
        <v>7.7567943210851198E-2</v>
      </c>
      <c r="K1091">
        <v>0.59660589718037405</v>
      </c>
      <c r="L1091" t="s">
        <v>33</v>
      </c>
      <c r="M1091" t="s">
        <v>34</v>
      </c>
      <c r="N1091" t="s">
        <v>35</v>
      </c>
      <c r="O1091">
        <v>0.71774808333169005</v>
      </c>
      <c r="P1091" t="s">
        <v>36</v>
      </c>
    </row>
    <row r="1092" spans="1:16">
      <c r="A1092">
        <v>1091</v>
      </c>
      <c r="B1092" t="s">
        <v>1150</v>
      </c>
      <c r="C1092">
        <v>99</v>
      </c>
      <c r="D1092">
        <v>122</v>
      </c>
      <c r="E1092">
        <v>87.861226485904297</v>
      </c>
      <c r="F1092">
        <v>0.80880522848752001</v>
      </c>
      <c r="G1092">
        <v>6062.95582911153</v>
      </c>
      <c r="H1092">
        <v>522.91390461444905</v>
      </c>
      <c r="I1092">
        <v>0.691199990055828</v>
      </c>
      <c r="J1092">
        <v>0.278633857796733</v>
      </c>
      <c r="K1092">
        <v>0.70507302739607602</v>
      </c>
      <c r="L1092" t="s">
        <v>33</v>
      </c>
      <c r="M1092" t="s">
        <v>34</v>
      </c>
      <c r="N1092" t="s">
        <v>35</v>
      </c>
      <c r="O1092">
        <v>0.77971848843123004</v>
      </c>
      <c r="P1092" t="s">
        <v>36</v>
      </c>
    </row>
    <row r="1093" spans="1:16">
      <c r="A1093">
        <v>1092</v>
      </c>
      <c r="B1093" t="s">
        <v>1151</v>
      </c>
      <c r="C1093">
        <v>137</v>
      </c>
      <c r="D1093">
        <v>102</v>
      </c>
      <c r="E1093">
        <v>88.016169496117897</v>
      </c>
      <c r="F1093">
        <v>1.34224598930481</v>
      </c>
      <c r="G1093">
        <v>6084.3586933837396</v>
      </c>
      <c r="H1093">
        <v>1067.37192111534</v>
      </c>
      <c r="I1093">
        <v>0.64918613692812699</v>
      </c>
      <c r="J1093">
        <v>6.7110909674699501E-2</v>
      </c>
      <c r="K1093">
        <v>0.48662656617769401</v>
      </c>
      <c r="L1093" t="s">
        <v>74</v>
      </c>
      <c r="M1093" t="s">
        <v>34</v>
      </c>
      <c r="N1093" t="s">
        <v>35</v>
      </c>
      <c r="O1093">
        <v>0.71553014344203203</v>
      </c>
      <c r="P1093" t="s">
        <v>36</v>
      </c>
    </row>
    <row r="1094" spans="1:16">
      <c r="A1094">
        <v>1093</v>
      </c>
      <c r="B1094" t="s">
        <v>1152</v>
      </c>
      <c r="C1094">
        <v>97</v>
      </c>
      <c r="D1094">
        <v>109</v>
      </c>
      <c r="E1094">
        <v>88.191227910976295</v>
      </c>
      <c r="F1094">
        <v>0.89662929653170698</v>
      </c>
      <c r="G1094">
        <v>6108.5855466918701</v>
      </c>
      <c r="H1094">
        <v>510.06278749932397</v>
      </c>
      <c r="I1094">
        <v>0.72603897639541504</v>
      </c>
      <c r="J1094">
        <v>0.29505518052123902</v>
      </c>
      <c r="K1094">
        <v>0.77030775574464905</v>
      </c>
      <c r="L1094" t="s">
        <v>38</v>
      </c>
      <c r="M1094" t="s">
        <v>34</v>
      </c>
      <c r="N1094" t="s">
        <v>35</v>
      </c>
      <c r="O1094">
        <v>0.70832894519302203</v>
      </c>
      <c r="P1094" t="s">
        <v>36</v>
      </c>
    </row>
    <row r="1095" spans="1:16">
      <c r="A1095">
        <v>1094</v>
      </c>
      <c r="B1095" t="s">
        <v>1153</v>
      </c>
      <c r="C1095">
        <v>83</v>
      </c>
      <c r="D1095">
        <v>124</v>
      </c>
      <c r="E1095">
        <v>88.221264334528797</v>
      </c>
      <c r="F1095">
        <v>0.67342504491576205</v>
      </c>
      <c r="G1095">
        <v>6112.7472147447997</v>
      </c>
      <c r="H1095">
        <v>425.31334394962897</v>
      </c>
      <c r="I1095">
        <v>0.68568947656870904</v>
      </c>
      <c r="J1095">
        <v>0.42464721792462701</v>
      </c>
      <c r="K1095">
        <v>0.77808048129859797</v>
      </c>
      <c r="L1095" t="s">
        <v>298</v>
      </c>
      <c r="M1095" t="s">
        <v>34</v>
      </c>
      <c r="N1095" t="s">
        <v>35</v>
      </c>
      <c r="O1095">
        <v>0.64506888256183303</v>
      </c>
      <c r="P1095" t="s">
        <v>36</v>
      </c>
    </row>
    <row r="1096" spans="1:16">
      <c r="A1096">
        <v>1095</v>
      </c>
      <c r="B1096" t="s">
        <v>1154</v>
      </c>
      <c r="C1096">
        <v>112</v>
      </c>
      <c r="D1096">
        <v>132</v>
      </c>
      <c r="E1096">
        <v>88.237351069830495</v>
      </c>
      <c r="F1096">
        <v>0.84710741873590401</v>
      </c>
      <c r="G1096">
        <v>6114.97667977316</v>
      </c>
      <c r="H1096">
        <v>787.15449569619204</v>
      </c>
      <c r="I1096">
        <v>0.664429517224573</v>
      </c>
      <c r="J1096">
        <v>0.12401799584392501</v>
      </c>
      <c r="K1096">
        <v>0.54098619329388598</v>
      </c>
      <c r="L1096" t="s">
        <v>74</v>
      </c>
      <c r="M1096" t="s">
        <v>34</v>
      </c>
      <c r="N1096" t="s">
        <v>35</v>
      </c>
      <c r="O1096">
        <v>0.71244801013960501</v>
      </c>
      <c r="P1096" t="s">
        <v>36</v>
      </c>
    </row>
    <row r="1097" spans="1:16">
      <c r="A1097">
        <v>1096</v>
      </c>
      <c r="B1097" t="s">
        <v>1155</v>
      </c>
      <c r="C1097">
        <v>117</v>
      </c>
      <c r="D1097">
        <v>74</v>
      </c>
      <c r="E1097">
        <v>88.317740794299297</v>
      </c>
      <c r="F1097">
        <v>1.5938999320801901</v>
      </c>
      <c r="G1097">
        <v>6126.1240049149301</v>
      </c>
      <c r="H1097">
        <v>372.02373372316401</v>
      </c>
      <c r="I1097">
        <v>0.68293225433072702</v>
      </c>
      <c r="J1097">
        <v>0.55622992914673997</v>
      </c>
      <c r="K1097">
        <v>0.86224425756244505</v>
      </c>
      <c r="L1097" t="s">
        <v>38</v>
      </c>
      <c r="M1097" t="s">
        <v>34</v>
      </c>
      <c r="N1097" t="s">
        <v>35</v>
      </c>
      <c r="O1097">
        <v>0.72385381292850204</v>
      </c>
      <c r="P1097" t="s">
        <v>36</v>
      </c>
    </row>
    <row r="1098" spans="1:16">
      <c r="A1098">
        <v>1097</v>
      </c>
      <c r="B1098" t="s">
        <v>1156</v>
      </c>
      <c r="C1098">
        <v>103</v>
      </c>
      <c r="D1098">
        <v>137</v>
      </c>
      <c r="E1098">
        <v>88.352018147990293</v>
      </c>
      <c r="F1098">
        <v>0.74900398406374502</v>
      </c>
      <c r="G1098">
        <v>6130.8801969754304</v>
      </c>
      <c r="H1098">
        <v>1015.71131544144</v>
      </c>
      <c r="I1098">
        <v>0.59013536993666904</v>
      </c>
      <c r="J1098">
        <v>7.4677902677278002E-2</v>
      </c>
      <c r="K1098">
        <v>0.514403651419165</v>
      </c>
      <c r="L1098" t="s">
        <v>43</v>
      </c>
      <c r="M1098" t="s">
        <v>34</v>
      </c>
      <c r="N1098" t="s">
        <v>35</v>
      </c>
      <c r="O1098">
        <v>0.82171612191148802</v>
      </c>
      <c r="P1098" t="s">
        <v>36</v>
      </c>
    </row>
    <row r="1099" spans="1:16">
      <c r="A1099">
        <v>1098</v>
      </c>
      <c r="B1099" t="s">
        <v>1157</v>
      </c>
      <c r="C1099">
        <v>147</v>
      </c>
      <c r="D1099">
        <v>137</v>
      </c>
      <c r="E1099">
        <v>88.4280235815244</v>
      </c>
      <c r="F1099">
        <v>1.0795902123986501</v>
      </c>
      <c r="G1099">
        <v>6141.4329981096398</v>
      </c>
      <c r="H1099">
        <v>1071.12148879798</v>
      </c>
      <c r="I1099">
        <v>0.61138721469216195</v>
      </c>
      <c r="J1099">
        <v>6.7267009058801702E-2</v>
      </c>
      <c r="K1099">
        <v>0.36984327309506498</v>
      </c>
      <c r="L1099" t="s">
        <v>211</v>
      </c>
      <c r="M1099" t="s">
        <v>34</v>
      </c>
      <c r="N1099" t="s">
        <v>35</v>
      </c>
      <c r="O1099">
        <v>0.67174360162023405</v>
      </c>
      <c r="P1099" t="s">
        <v>36</v>
      </c>
    </row>
    <row r="1100" spans="1:16">
      <c r="A1100">
        <v>1099</v>
      </c>
      <c r="B1100" t="s">
        <v>1158</v>
      </c>
      <c r="C1100">
        <v>93</v>
      </c>
      <c r="D1100">
        <v>127</v>
      </c>
      <c r="E1100">
        <v>88.437653408247201</v>
      </c>
      <c r="F1100">
        <v>0.72961373390557904</v>
      </c>
      <c r="G1100">
        <v>6142.7706771266503</v>
      </c>
      <c r="H1100">
        <v>1093.16200795225</v>
      </c>
      <c r="I1100">
        <v>0.68700742363022305</v>
      </c>
      <c r="J1100">
        <v>6.4595922841027498E-2</v>
      </c>
      <c r="K1100">
        <v>0.63062087065321903</v>
      </c>
      <c r="L1100" t="s">
        <v>33</v>
      </c>
      <c r="M1100" t="s">
        <v>34</v>
      </c>
      <c r="N1100" t="s">
        <v>35</v>
      </c>
      <c r="O1100">
        <v>0.86355073476733901</v>
      </c>
      <c r="P1100" t="s">
        <v>36</v>
      </c>
    </row>
    <row r="1101" spans="1:16">
      <c r="A1101">
        <v>1100</v>
      </c>
      <c r="B1101" t="s">
        <v>1159</v>
      </c>
      <c r="C1101">
        <v>109</v>
      </c>
      <c r="D1101">
        <v>119</v>
      </c>
      <c r="E1101">
        <v>88.543512378977297</v>
      </c>
      <c r="F1101">
        <v>0.91860464626968696</v>
      </c>
      <c r="G1101">
        <v>6157.4851463138002</v>
      </c>
      <c r="H1101">
        <v>598.38638866051394</v>
      </c>
      <c r="I1101">
        <v>0.64725357537699701</v>
      </c>
      <c r="J1101">
        <v>0.216097540748523</v>
      </c>
      <c r="K1101">
        <v>0.60463826495614204</v>
      </c>
      <c r="L1101" t="s">
        <v>38</v>
      </c>
      <c r="M1101" t="s">
        <v>34</v>
      </c>
      <c r="N1101" t="s">
        <v>35</v>
      </c>
      <c r="O1101">
        <v>0.67968758141740704</v>
      </c>
      <c r="P1101" t="s">
        <v>36</v>
      </c>
    </row>
    <row r="1102" spans="1:16">
      <c r="A1102">
        <v>1101</v>
      </c>
      <c r="B1102" t="s">
        <v>1160</v>
      </c>
      <c r="C1102">
        <v>82</v>
      </c>
      <c r="D1102">
        <v>127</v>
      </c>
      <c r="E1102">
        <v>88.555266675489705</v>
      </c>
      <c r="F1102">
        <v>0.64234388095234796</v>
      </c>
      <c r="G1102">
        <v>6159.1200873345897</v>
      </c>
      <c r="H1102">
        <v>488.12018373416799</v>
      </c>
      <c r="I1102">
        <v>0.73959768370149603</v>
      </c>
      <c r="J1102">
        <v>0.32484411527644902</v>
      </c>
      <c r="K1102">
        <v>0.74553370634906402</v>
      </c>
      <c r="L1102" t="s">
        <v>33</v>
      </c>
      <c r="M1102" t="s">
        <v>34</v>
      </c>
      <c r="N1102" t="s">
        <v>35</v>
      </c>
      <c r="O1102">
        <v>0.72494430041101199</v>
      </c>
      <c r="P1102" t="s">
        <v>36</v>
      </c>
    </row>
    <row r="1103" spans="1:16">
      <c r="A1103">
        <v>1102</v>
      </c>
      <c r="B1103" t="s">
        <v>1161</v>
      </c>
      <c r="C1103">
        <v>104</v>
      </c>
      <c r="D1103">
        <v>132</v>
      </c>
      <c r="E1103">
        <v>88.610811333406005</v>
      </c>
      <c r="F1103">
        <v>0.78868792070277904</v>
      </c>
      <c r="G1103">
        <v>6166.84889943289</v>
      </c>
      <c r="H1103">
        <v>780.46079064068601</v>
      </c>
      <c r="I1103">
        <v>0.55700016000944996</v>
      </c>
      <c r="J1103">
        <v>0.12722457019952901</v>
      </c>
      <c r="K1103">
        <v>0.57618386335231198</v>
      </c>
      <c r="L1103" t="s">
        <v>38</v>
      </c>
      <c r="M1103" t="s">
        <v>34</v>
      </c>
      <c r="N1103" t="s">
        <v>35</v>
      </c>
      <c r="O1103">
        <v>0.80850268226622801</v>
      </c>
      <c r="P1103" t="s">
        <v>36</v>
      </c>
    </row>
    <row r="1104" spans="1:16">
      <c r="A1104">
        <v>1103</v>
      </c>
      <c r="B1104" t="s">
        <v>1162</v>
      </c>
      <c r="C1104">
        <v>147</v>
      </c>
      <c r="D1104">
        <v>71</v>
      </c>
      <c r="E1104">
        <v>88.894400770613601</v>
      </c>
      <c r="F1104">
        <v>2.07270540066368</v>
      </c>
      <c r="G1104">
        <v>6206.3847459357303</v>
      </c>
      <c r="H1104">
        <v>516.05191495221595</v>
      </c>
      <c r="I1104">
        <v>0.64775174627749799</v>
      </c>
      <c r="J1104">
        <v>0.29286115507865201</v>
      </c>
      <c r="K1104">
        <v>0.71937773489990697</v>
      </c>
      <c r="L1104" t="s">
        <v>33</v>
      </c>
      <c r="M1104" t="s">
        <v>34</v>
      </c>
      <c r="N1104" t="s">
        <v>35</v>
      </c>
      <c r="O1104">
        <v>0.82543155368463395</v>
      </c>
      <c r="P1104" t="s">
        <v>36</v>
      </c>
    </row>
    <row r="1105" spans="1:16">
      <c r="A1105">
        <v>1104</v>
      </c>
      <c r="B1105" t="s">
        <v>1163</v>
      </c>
      <c r="C1105">
        <v>126</v>
      </c>
      <c r="D1105">
        <v>150</v>
      </c>
      <c r="E1105">
        <v>88.9231356050513</v>
      </c>
      <c r="F1105">
        <v>0.83695659625434204</v>
      </c>
      <c r="G1105">
        <v>6210.3977829867699</v>
      </c>
      <c r="H1105">
        <v>1163.5438615539799</v>
      </c>
      <c r="I1105">
        <v>0.54536413845838705</v>
      </c>
      <c r="J1105">
        <v>5.7645281390661399E-2</v>
      </c>
      <c r="K1105">
        <v>0.44605760403100098</v>
      </c>
      <c r="L1105" t="s">
        <v>144</v>
      </c>
      <c r="M1105" t="s">
        <v>34</v>
      </c>
      <c r="N1105" t="s">
        <v>35</v>
      </c>
      <c r="O1105">
        <v>0.68348670835833603</v>
      </c>
      <c r="P1105" t="s">
        <v>36</v>
      </c>
    </row>
    <row r="1106" spans="1:16">
      <c r="A1106">
        <v>1105</v>
      </c>
      <c r="B1106" t="s">
        <v>1164</v>
      </c>
      <c r="C1106">
        <v>103</v>
      </c>
      <c r="D1106">
        <v>156</v>
      </c>
      <c r="E1106">
        <v>88.989084182968895</v>
      </c>
      <c r="F1106">
        <v>0.65853661908120997</v>
      </c>
      <c r="G1106">
        <v>6219.6129051039698</v>
      </c>
      <c r="H1106">
        <v>1070.19155261371</v>
      </c>
      <c r="I1106">
        <v>0.64313377509610203</v>
      </c>
      <c r="J1106">
        <v>6.8241754303899602E-2</v>
      </c>
      <c r="K1106">
        <v>0.48883229755618901</v>
      </c>
      <c r="L1106" t="s">
        <v>893</v>
      </c>
      <c r="M1106" t="s">
        <v>34</v>
      </c>
      <c r="N1106" t="s">
        <v>35</v>
      </c>
      <c r="O1106">
        <v>0.66160690105819298</v>
      </c>
      <c r="P1106" t="s">
        <v>36</v>
      </c>
    </row>
    <row r="1107" spans="1:16">
      <c r="A1107">
        <v>1106</v>
      </c>
      <c r="B1107" t="s">
        <v>1165</v>
      </c>
      <c r="C1107">
        <v>137</v>
      </c>
      <c r="D1107">
        <v>98</v>
      </c>
      <c r="E1107">
        <v>89.002905913362596</v>
      </c>
      <c r="F1107">
        <v>1.40223463687151</v>
      </c>
      <c r="G1107">
        <v>6221.5451081285501</v>
      </c>
      <c r="H1107">
        <v>851.97553666933698</v>
      </c>
      <c r="I1107">
        <v>0.76719835347435505</v>
      </c>
      <c r="J1107">
        <v>0.10770946500199</v>
      </c>
      <c r="K1107">
        <v>0.629146438609412</v>
      </c>
      <c r="L1107" t="s">
        <v>47</v>
      </c>
      <c r="M1107" t="s">
        <v>34</v>
      </c>
      <c r="N1107" t="s">
        <v>35</v>
      </c>
      <c r="O1107">
        <v>0.91204014242142895</v>
      </c>
      <c r="P1107" t="s">
        <v>36</v>
      </c>
    </row>
    <row r="1108" spans="1:16">
      <c r="A1108">
        <v>1107</v>
      </c>
      <c r="B1108" t="s">
        <v>1166</v>
      </c>
      <c r="C1108">
        <v>102</v>
      </c>
      <c r="D1108">
        <v>99</v>
      </c>
      <c r="E1108">
        <v>89.097474017953601</v>
      </c>
      <c r="F1108">
        <v>1.03318584014781</v>
      </c>
      <c r="G1108">
        <v>6234.7732672967904</v>
      </c>
      <c r="H1108">
        <v>651.20324478647001</v>
      </c>
      <c r="I1108">
        <v>0.58321410274240404</v>
      </c>
      <c r="J1108">
        <v>0.18475551748529501</v>
      </c>
      <c r="K1108">
        <v>0.759088688224969</v>
      </c>
      <c r="L1108" t="s">
        <v>38</v>
      </c>
      <c r="M1108" t="s">
        <v>34</v>
      </c>
      <c r="N1108" t="s">
        <v>35</v>
      </c>
      <c r="O1108">
        <v>0.66660484453183799</v>
      </c>
      <c r="P1108" t="s">
        <v>36</v>
      </c>
    </row>
    <row r="1109" spans="1:16">
      <c r="A1109">
        <v>1108</v>
      </c>
      <c r="B1109" t="s">
        <v>1167</v>
      </c>
      <c r="C1109">
        <v>141</v>
      </c>
      <c r="D1109">
        <v>90</v>
      </c>
      <c r="E1109">
        <v>89.184515425340095</v>
      </c>
      <c r="F1109">
        <v>1.5673009476683999</v>
      </c>
      <c r="G1109">
        <v>6246.9610094518002</v>
      </c>
      <c r="H1109">
        <v>635.00949841976205</v>
      </c>
      <c r="I1109">
        <v>0.51138309166255702</v>
      </c>
      <c r="J1109">
        <v>0.194678600865621</v>
      </c>
      <c r="K1109">
        <v>0.62192036223198799</v>
      </c>
      <c r="L1109" t="s">
        <v>33</v>
      </c>
      <c r="M1109" t="s">
        <v>34</v>
      </c>
      <c r="N1109" t="s">
        <v>35</v>
      </c>
      <c r="O1109">
        <v>0.75872529861938298</v>
      </c>
      <c r="P1109" t="s">
        <v>36</v>
      </c>
    </row>
    <row r="1110" spans="1:16">
      <c r="A1110">
        <v>1109</v>
      </c>
      <c r="B1110" t="s">
        <v>1168</v>
      </c>
      <c r="C1110">
        <v>153</v>
      </c>
      <c r="D1110">
        <v>85</v>
      </c>
      <c r="E1110">
        <v>89.282070627967201</v>
      </c>
      <c r="F1110">
        <v>1.7988510986256701</v>
      </c>
      <c r="G1110">
        <v>6260.6350616257096</v>
      </c>
      <c r="H1110">
        <v>476.59977145609702</v>
      </c>
      <c r="I1110">
        <v>0.74831221517888702</v>
      </c>
      <c r="J1110">
        <v>0.346354307826296</v>
      </c>
      <c r="K1110">
        <v>0.65463757304488401</v>
      </c>
      <c r="L1110" t="s">
        <v>38</v>
      </c>
      <c r="M1110" t="s">
        <v>34</v>
      </c>
      <c r="N1110" t="s">
        <v>35</v>
      </c>
      <c r="O1110">
        <v>0.89751109433218001</v>
      </c>
      <c r="P1110" t="s">
        <v>36</v>
      </c>
    </row>
    <row r="1111" spans="1:16">
      <c r="A1111">
        <v>1110</v>
      </c>
      <c r="B1111" t="s">
        <v>1169</v>
      </c>
      <c r="C1111">
        <v>78</v>
      </c>
      <c r="D1111">
        <v>142</v>
      </c>
      <c r="E1111">
        <v>89.289488942996996</v>
      </c>
      <c r="F1111">
        <v>0.54789272030651304</v>
      </c>
      <c r="G1111">
        <v>6261.6754786389401</v>
      </c>
      <c r="H1111">
        <v>959.74149106388495</v>
      </c>
      <c r="I1111">
        <v>0.68575175046689796</v>
      </c>
      <c r="J1111">
        <v>8.5426355574146601E-2</v>
      </c>
      <c r="K1111">
        <v>0.68158873968613498</v>
      </c>
      <c r="L1111" t="s">
        <v>33</v>
      </c>
      <c r="M1111" t="s">
        <v>34</v>
      </c>
      <c r="N1111" t="s">
        <v>35</v>
      </c>
      <c r="O1111">
        <v>0.75084516669936396</v>
      </c>
      <c r="P1111" t="s">
        <v>36</v>
      </c>
    </row>
    <row r="1112" spans="1:16">
      <c r="A1112">
        <v>1111</v>
      </c>
      <c r="B1112" t="s">
        <v>1170</v>
      </c>
      <c r="C1112">
        <v>85</v>
      </c>
      <c r="D1112">
        <v>145</v>
      </c>
      <c r="E1112">
        <v>89.426087725147895</v>
      </c>
      <c r="F1112">
        <v>0.58413867431238797</v>
      </c>
      <c r="G1112">
        <v>6280.8488778827996</v>
      </c>
      <c r="H1112">
        <v>481.33568875395702</v>
      </c>
      <c r="I1112">
        <v>0.79362880549859405</v>
      </c>
      <c r="J1112">
        <v>0.34066858026789898</v>
      </c>
      <c r="K1112">
        <v>0.71161780307495404</v>
      </c>
      <c r="L1112" t="s">
        <v>33</v>
      </c>
      <c r="M1112" t="s">
        <v>34</v>
      </c>
      <c r="N1112" t="s">
        <v>35</v>
      </c>
      <c r="O1112">
        <v>0.71757403643485296</v>
      </c>
      <c r="P1112" t="s">
        <v>36</v>
      </c>
    </row>
    <row r="1113" spans="1:16">
      <c r="A1113">
        <v>1112</v>
      </c>
      <c r="B1113" t="s">
        <v>1171</v>
      </c>
      <c r="C1113">
        <v>144</v>
      </c>
      <c r="D1113">
        <v>142</v>
      </c>
      <c r="E1113">
        <v>89.541345972497595</v>
      </c>
      <c r="F1113">
        <v>1.0192307737452</v>
      </c>
      <c r="G1113">
        <v>6297.0496570888499</v>
      </c>
      <c r="H1113">
        <v>746.12814484834701</v>
      </c>
      <c r="I1113">
        <v>0.56993608594616696</v>
      </c>
      <c r="J1113">
        <v>0.142141252268427</v>
      </c>
      <c r="K1113">
        <v>0.435184994966822</v>
      </c>
      <c r="L1113" t="s">
        <v>38</v>
      </c>
      <c r="M1113" t="s">
        <v>34</v>
      </c>
      <c r="N1113" t="s">
        <v>35</v>
      </c>
      <c r="O1113">
        <v>0.89738261737578195</v>
      </c>
      <c r="P1113" t="s">
        <v>36</v>
      </c>
    </row>
    <row r="1114" spans="1:16">
      <c r="A1114">
        <v>1113</v>
      </c>
      <c r="B1114" t="s">
        <v>1172</v>
      </c>
      <c r="C1114">
        <v>90</v>
      </c>
      <c r="D1114">
        <v>124</v>
      </c>
      <c r="E1114">
        <v>89.575155095485599</v>
      </c>
      <c r="F1114">
        <v>0.73170097639331599</v>
      </c>
      <c r="G1114">
        <v>6301.8058491493402</v>
      </c>
      <c r="H1114">
        <v>496.28239474389898</v>
      </c>
      <c r="I1114">
        <v>0.76841992824352001</v>
      </c>
      <c r="J1114">
        <v>0.32152677511979899</v>
      </c>
      <c r="K1114">
        <v>0.71692593845113295</v>
      </c>
      <c r="L1114" t="s">
        <v>298</v>
      </c>
      <c r="M1114" t="s">
        <v>34</v>
      </c>
      <c r="N1114" t="s">
        <v>35</v>
      </c>
      <c r="O1114">
        <v>0.68689397772321503</v>
      </c>
      <c r="P1114" t="s">
        <v>36</v>
      </c>
    </row>
    <row r="1115" spans="1:16">
      <c r="A1115">
        <v>1114</v>
      </c>
      <c r="B1115" t="s">
        <v>1173</v>
      </c>
      <c r="C1115">
        <v>102</v>
      </c>
      <c r="D1115">
        <v>139</v>
      </c>
      <c r="E1115">
        <v>89.636401627869702</v>
      </c>
      <c r="F1115">
        <v>0.73333333333333295</v>
      </c>
      <c r="G1115">
        <v>6310.4264472589803</v>
      </c>
      <c r="H1115">
        <v>641.54270487692099</v>
      </c>
      <c r="I1115">
        <v>0.64582416856529301</v>
      </c>
      <c r="J1115">
        <v>0.192671479076513</v>
      </c>
      <c r="K1115">
        <v>0.59912509701545202</v>
      </c>
      <c r="L1115" t="s">
        <v>298</v>
      </c>
      <c r="M1115" t="s">
        <v>34</v>
      </c>
      <c r="N1115" t="s">
        <v>35</v>
      </c>
      <c r="O1115">
        <v>0.77769294178910398</v>
      </c>
      <c r="P1115" t="s">
        <v>36</v>
      </c>
    </row>
    <row r="1116" spans="1:16">
      <c r="A1116">
        <v>1115</v>
      </c>
      <c r="B1116" t="s">
        <v>1174</v>
      </c>
      <c r="C1116">
        <v>84</v>
      </c>
      <c r="D1116">
        <v>139</v>
      </c>
      <c r="E1116">
        <v>89.657511420830602</v>
      </c>
      <c r="F1116">
        <v>0.60479404922535596</v>
      </c>
      <c r="G1116">
        <v>6313.3990672967902</v>
      </c>
      <c r="H1116">
        <v>467.995289835412</v>
      </c>
      <c r="I1116">
        <v>0.74678788618460501</v>
      </c>
      <c r="J1116">
        <v>0.362234775629661</v>
      </c>
      <c r="K1116">
        <v>0.71557082933239002</v>
      </c>
      <c r="L1116" t="s">
        <v>33</v>
      </c>
      <c r="M1116" t="s">
        <v>34</v>
      </c>
      <c r="N1116" t="s">
        <v>35</v>
      </c>
      <c r="O1116">
        <v>0.80448264954305004</v>
      </c>
      <c r="P1116" t="s">
        <v>36</v>
      </c>
    </row>
    <row r="1117" spans="1:16">
      <c r="A1117">
        <v>1116</v>
      </c>
      <c r="B1117" t="s">
        <v>1175</v>
      </c>
      <c r="C1117">
        <v>144</v>
      </c>
      <c r="D1117">
        <v>97</v>
      </c>
      <c r="E1117">
        <v>89.659622126767403</v>
      </c>
      <c r="F1117">
        <v>1.48314606741573</v>
      </c>
      <c r="G1117">
        <v>6313.6963293005701</v>
      </c>
      <c r="H1117">
        <v>681.59210834803798</v>
      </c>
      <c r="I1117">
        <v>0.625680483576321</v>
      </c>
      <c r="J1117">
        <v>0.17078292479853799</v>
      </c>
      <c r="K1117">
        <v>0.58255849035903295</v>
      </c>
      <c r="L1117" t="s">
        <v>47</v>
      </c>
      <c r="M1117" t="s">
        <v>34</v>
      </c>
      <c r="N1117" t="s">
        <v>35</v>
      </c>
      <c r="O1117">
        <v>0.92977733027815002</v>
      </c>
      <c r="P1117" t="s">
        <v>36</v>
      </c>
    </row>
    <row r="1118" spans="1:16">
      <c r="A1118">
        <v>1117</v>
      </c>
      <c r="B1118" t="s">
        <v>1176</v>
      </c>
      <c r="C1118">
        <v>173</v>
      </c>
      <c r="D1118">
        <v>84</v>
      </c>
      <c r="E1118">
        <v>89.693386666623795</v>
      </c>
      <c r="F1118">
        <v>2.0609394614274401</v>
      </c>
      <c r="G1118">
        <v>6318.4525213610596</v>
      </c>
      <c r="H1118">
        <v>774.13737074841595</v>
      </c>
      <c r="I1118">
        <v>0.69813804059274698</v>
      </c>
      <c r="J1118">
        <v>0.13249043445634501</v>
      </c>
      <c r="K1118">
        <v>0.50668653158522003</v>
      </c>
      <c r="L1118" t="s">
        <v>33</v>
      </c>
      <c r="M1118" t="s">
        <v>34</v>
      </c>
      <c r="N1118" t="s">
        <v>35</v>
      </c>
      <c r="O1118">
        <v>0.72034603248059204</v>
      </c>
      <c r="P1118" t="s">
        <v>36</v>
      </c>
    </row>
    <row r="1119" spans="1:16">
      <c r="A1119">
        <v>1118</v>
      </c>
      <c r="B1119" t="s">
        <v>1177</v>
      </c>
      <c r="C1119">
        <v>161</v>
      </c>
      <c r="D1119">
        <v>107</v>
      </c>
      <c r="E1119">
        <v>89.773526553133706</v>
      </c>
      <c r="F1119">
        <v>1.5102040816326501</v>
      </c>
      <c r="G1119">
        <v>6329.7484775047296</v>
      </c>
      <c r="H1119">
        <v>1107.0244489378499</v>
      </c>
      <c r="I1119">
        <v>0.65747254149176404</v>
      </c>
      <c r="J1119">
        <v>6.4905558608040204E-2</v>
      </c>
      <c r="K1119">
        <v>0.41813451153657299</v>
      </c>
      <c r="L1119" t="s">
        <v>33</v>
      </c>
      <c r="M1119" t="s">
        <v>34</v>
      </c>
      <c r="N1119" t="s">
        <v>35</v>
      </c>
      <c r="O1119">
        <v>0.70630489658754003</v>
      </c>
      <c r="P1119" t="s">
        <v>36</v>
      </c>
    </row>
    <row r="1120" spans="1:16">
      <c r="A1120">
        <v>1119</v>
      </c>
      <c r="B1120" t="s">
        <v>1178</v>
      </c>
      <c r="C1120">
        <v>95</v>
      </c>
      <c r="D1120">
        <v>128</v>
      </c>
      <c r="E1120">
        <v>89.8504357209044</v>
      </c>
      <c r="F1120">
        <v>0.74325872388637304</v>
      </c>
      <c r="G1120">
        <v>6340.5985406427199</v>
      </c>
      <c r="H1120">
        <v>641.487907676075</v>
      </c>
      <c r="I1120">
        <v>0.580765593457645</v>
      </c>
      <c r="J1120">
        <v>0.19362577636568501</v>
      </c>
      <c r="K1120">
        <v>0.65557143515743899</v>
      </c>
      <c r="L1120" t="s">
        <v>72</v>
      </c>
      <c r="M1120" t="s">
        <v>34</v>
      </c>
      <c r="N1120" t="s">
        <v>35</v>
      </c>
      <c r="O1120">
        <v>0.861810439818948</v>
      </c>
      <c r="P1120" t="s">
        <v>36</v>
      </c>
    </row>
    <row r="1121" spans="1:16">
      <c r="A1121">
        <v>1120</v>
      </c>
      <c r="B1121" t="s">
        <v>1179</v>
      </c>
      <c r="C1121">
        <v>92</v>
      </c>
      <c r="D1121">
        <v>131</v>
      </c>
      <c r="E1121">
        <v>89.878864905517403</v>
      </c>
      <c r="F1121">
        <v>0.70458921119226703</v>
      </c>
      <c r="G1121">
        <v>6344.6115776937604</v>
      </c>
      <c r="H1121">
        <v>482.88719862450699</v>
      </c>
      <c r="I1121">
        <v>0.67276855412232295</v>
      </c>
      <c r="J1121">
        <v>0.34191922359371502</v>
      </c>
      <c r="K1121">
        <v>0.72177133001927596</v>
      </c>
      <c r="L1121" t="s">
        <v>33</v>
      </c>
      <c r="M1121" t="s">
        <v>34</v>
      </c>
      <c r="N1121" t="s">
        <v>35</v>
      </c>
      <c r="O1121">
        <v>0.68959262423039303</v>
      </c>
      <c r="P1121" t="s">
        <v>36</v>
      </c>
    </row>
    <row r="1122" spans="1:16">
      <c r="A1122">
        <v>1121</v>
      </c>
      <c r="B1122" t="s">
        <v>1180</v>
      </c>
      <c r="C1122">
        <v>84</v>
      </c>
      <c r="D1122">
        <v>144</v>
      </c>
      <c r="E1122">
        <v>89.896760150076105</v>
      </c>
      <c r="F1122">
        <v>0.58613444746828902</v>
      </c>
      <c r="G1122">
        <v>6347.1383047258996</v>
      </c>
      <c r="H1122">
        <v>499.04722904143102</v>
      </c>
      <c r="I1122">
        <v>0.62144190565704804</v>
      </c>
      <c r="J1122">
        <v>0.32026134906350201</v>
      </c>
      <c r="K1122">
        <v>0.69904565470051905</v>
      </c>
      <c r="L1122" t="s">
        <v>72</v>
      </c>
      <c r="M1122" t="s">
        <v>34</v>
      </c>
      <c r="N1122" t="s">
        <v>35</v>
      </c>
      <c r="O1122">
        <v>0.68222980357832497</v>
      </c>
      <c r="P1122" t="s">
        <v>36</v>
      </c>
    </row>
    <row r="1123" spans="1:16">
      <c r="A1123">
        <v>1122</v>
      </c>
      <c r="B1123" t="s">
        <v>1181</v>
      </c>
      <c r="C1123">
        <v>121</v>
      </c>
      <c r="D1123">
        <v>95</v>
      </c>
      <c r="E1123">
        <v>90.079718831253601</v>
      </c>
      <c r="F1123">
        <v>1.2658887707195901</v>
      </c>
      <c r="G1123">
        <v>6373.0000990548197</v>
      </c>
      <c r="H1123">
        <v>548.53636738860098</v>
      </c>
      <c r="I1123">
        <v>0.62843155099836701</v>
      </c>
      <c r="J1123">
        <v>0.26616009138862101</v>
      </c>
      <c r="K1123">
        <v>0.70693947537632096</v>
      </c>
      <c r="L1123" t="s">
        <v>33</v>
      </c>
      <c r="M1123" t="s">
        <v>34</v>
      </c>
      <c r="N1123" t="s">
        <v>35</v>
      </c>
      <c r="O1123">
        <v>0.70036879228241899</v>
      </c>
      <c r="P1123" t="s">
        <v>36</v>
      </c>
    </row>
    <row r="1124" spans="1:16">
      <c r="A1124">
        <v>1123</v>
      </c>
      <c r="B1124" t="s">
        <v>1182</v>
      </c>
      <c r="C1124">
        <v>162</v>
      </c>
      <c r="D1124">
        <v>82</v>
      </c>
      <c r="E1124">
        <v>90.132224471477102</v>
      </c>
      <c r="F1124">
        <v>1.9784474270928301</v>
      </c>
      <c r="G1124">
        <v>6380.43164914934</v>
      </c>
      <c r="H1124">
        <v>555.517353691018</v>
      </c>
      <c r="I1124">
        <v>0.55098873597731302</v>
      </c>
      <c r="J1124">
        <v>0.259815265166986</v>
      </c>
      <c r="K1124">
        <v>0.63686670128328804</v>
      </c>
      <c r="L1124" t="s">
        <v>41</v>
      </c>
      <c r="M1124" t="s">
        <v>34</v>
      </c>
      <c r="N1124" t="s">
        <v>35</v>
      </c>
      <c r="O1124">
        <v>0.68017778454409294</v>
      </c>
      <c r="P1124" t="s">
        <v>36</v>
      </c>
    </row>
    <row r="1125" spans="1:16">
      <c r="A1125">
        <v>1124</v>
      </c>
      <c r="B1125" t="s">
        <v>1183</v>
      </c>
      <c r="C1125">
        <v>134</v>
      </c>
      <c r="D1125">
        <v>88</v>
      </c>
      <c r="E1125">
        <v>90.236095506319401</v>
      </c>
      <c r="F1125">
        <v>1.52751913569715</v>
      </c>
      <c r="G1125">
        <v>6395.14611833648</v>
      </c>
      <c r="H1125">
        <v>583.43968267057301</v>
      </c>
      <c r="I1125">
        <v>0.55614435179584698</v>
      </c>
      <c r="J1125">
        <v>0.236085006919283</v>
      </c>
      <c r="K1125">
        <v>0.659832231747151</v>
      </c>
      <c r="L1125" t="s">
        <v>38</v>
      </c>
      <c r="M1125" t="s">
        <v>34</v>
      </c>
      <c r="N1125" t="s">
        <v>35</v>
      </c>
      <c r="O1125">
        <v>0.81778047320292302</v>
      </c>
      <c r="P1125" t="s">
        <v>36</v>
      </c>
    </row>
    <row r="1126" spans="1:16">
      <c r="A1126">
        <v>1125</v>
      </c>
      <c r="B1126" t="s">
        <v>1184</v>
      </c>
      <c r="C1126">
        <v>101</v>
      </c>
      <c r="D1126">
        <v>118</v>
      </c>
      <c r="E1126">
        <v>90.300037360156097</v>
      </c>
      <c r="F1126">
        <v>0.84991888358391898</v>
      </c>
      <c r="G1126">
        <v>6404.2126094517998</v>
      </c>
      <c r="H1126">
        <v>782.36539742759999</v>
      </c>
      <c r="I1126">
        <v>0.67738562593893503</v>
      </c>
      <c r="J1126">
        <v>0.131478983281756</v>
      </c>
      <c r="K1126">
        <v>0.698222359060783</v>
      </c>
      <c r="L1126" t="s">
        <v>47</v>
      </c>
      <c r="M1126" t="s">
        <v>34</v>
      </c>
      <c r="N1126" t="s">
        <v>35</v>
      </c>
      <c r="O1126">
        <v>0.90764466546022105</v>
      </c>
      <c r="P1126" t="s">
        <v>36</v>
      </c>
    </row>
    <row r="1127" spans="1:16">
      <c r="A1127">
        <v>1126</v>
      </c>
      <c r="B1127" t="s">
        <v>1185</v>
      </c>
      <c r="C1127">
        <v>83</v>
      </c>
      <c r="D1127">
        <v>181</v>
      </c>
      <c r="E1127">
        <v>90.399528869445604</v>
      </c>
      <c r="F1127">
        <v>0.45783132530120502</v>
      </c>
      <c r="G1127">
        <v>6418.3325546313799</v>
      </c>
      <c r="H1127">
        <v>1081.2768197452499</v>
      </c>
      <c r="I1127">
        <v>0.72526186889834399</v>
      </c>
      <c r="J1127">
        <v>6.8985575881830893E-2</v>
      </c>
      <c r="K1127">
        <v>0.53946382170697604</v>
      </c>
      <c r="L1127" t="s">
        <v>38</v>
      </c>
      <c r="M1127" t="s">
        <v>34</v>
      </c>
      <c r="N1127" t="s">
        <v>35</v>
      </c>
      <c r="O1127">
        <v>0.67263119839159802</v>
      </c>
      <c r="P1127" t="s">
        <v>36</v>
      </c>
    </row>
    <row r="1128" spans="1:16">
      <c r="A1128">
        <v>1127</v>
      </c>
      <c r="B1128" t="s">
        <v>1186</v>
      </c>
      <c r="C1128">
        <v>161</v>
      </c>
      <c r="D1128">
        <v>99</v>
      </c>
      <c r="E1128">
        <v>90.421506955317497</v>
      </c>
      <c r="F1128">
        <v>1.6353591160220999</v>
      </c>
      <c r="G1128">
        <v>6421.4538056710799</v>
      </c>
      <c r="H1128">
        <v>908.45183109718801</v>
      </c>
      <c r="I1128">
        <v>0.67529996685070204</v>
      </c>
      <c r="J1128">
        <v>9.7777609990901002E-2</v>
      </c>
      <c r="K1128">
        <v>0.62575496429761202</v>
      </c>
      <c r="L1128" t="s">
        <v>38</v>
      </c>
      <c r="M1128" t="s">
        <v>34</v>
      </c>
      <c r="N1128" t="s">
        <v>35</v>
      </c>
      <c r="O1128">
        <v>0.87315479575455102</v>
      </c>
      <c r="P1128" t="s">
        <v>36</v>
      </c>
    </row>
    <row r="1129" spans="1:16">
      <c r="A1129">
        <v>1128</v>
      </c>
      <c r="B1129" t="s">
        <v>1187</v>
      </c>
      <c r="C1129">
        <v>128</v>
      </c>
      <c r="D1129">
        <v>122</v>
      </c>
      <c r="E1129">
        <v>90.481134849281204</v>
      </c>
      <c r="F1129">
        <v>1.0446428571428601</v>
      </c>
      <c r="G1129">
        <v>6429.9257727788299</v>
      </c>
      <c r="H1129">
        <v>1173.3571140535</v>
      </c>
      <c r="I1129">
        <v>0.65674637767600996</v>
      </c>
      <c r="J1129">
        <v>5.8688823271377602E-2</v>
      </c>
      <c r="K1129">
        <v>0.53767089236887899</v>
      </c>
      <c r="L1129" t="s">
        <v>38</v>
      </c>
      <c r="M1129" t="s">
        <v>34</v>
      </c>
      <c r="N1129" t="s">
        <v>35</v>
      </c>
      <c r="O1129">
        <v>0.71063541142383502</v>
      </c>
      <c r="P1129" t="s">
        <v>36</v>
      </c>
    </row>
    <row r="1130" spans="1:16">
      <c r="A1130">
        <v>1129</v>
      </c>
      <c r="B1130" t="s">
        <v>1188</v>
      </c>
      <c r="C1130">
        <v>122</v>
      </c>
      <c r="D1130">
        <v>101</v>
      </c>
      <c r="E1130">
        <v>90.554308370482502</v>
      </c>
      <c r="F1130">
        <v>1.20837023825212</v>
      </c>
      <c r="G1130">
        <v>6440.3299429111503</v>
      </c>
      <c r="H1130">
        <v>560.05677966667304</v>
      </c>
      <c r="I1130">
        <v>0.65012450874377903</v>
      </c>
      <c r="J1130">
        <v>0.258020292623028</v>
      </c>
      <c r="K1130">
        <v>0.71551709902739502</v>
      </c>
      <c r="L1130" t="s">
        <v>49</v>
      </c>
      <c r="M1130" t="s">
        <v>34</v>
      </c>
      <c r="N1130" t="s">
        <v>35</v>
      </c>
      <c r="O1130">
        <v>0.64216041891989895</v>
      </c>
      <c r="P1130" t="s">
        <v>36</v>
      </c>
    </row>
    <row r="1131" spans="1:16">
      <c r="A1131">
        <v>1130</v>
      </c>
      <c r="B1131" t="s">
        <v>1189</v>
      </c>
      <c r="C1131">
        <v>128</v>
      </c>
      <c r="D1131">
        <v>127</v>
      </c>
      <c r="E1131">
        <v>90.600272906323895</v>
      </c>
      <c r="F1131">
        <v>1.00858369098712</v>
      </c>
      <c r="G1131">
        <v>6446.86970699433</v>
      </c>
      <c r="H1131">
        <v>1056.2710819670399</v>
      </c>
      <c r="I1131">
        <v>0.60496061581285698</v>
      </c>
      <c r="J1131">
        <v>7.2611929443086795E-2</v>
      </c>
      <c r="K1131">
        <v>0.51046827741229395</v>
      </c>
      <c r="L1131" t="s">
        <v>49</v>
      </c>
      <c r="M1131" t="s">
        <v>34</v>
      </c>
      <c r="N1131" t="s">
        <v>35</v>
      </c>
      <c r="O1131">
        <v>0.71979193973391298</v>
      </c>
      <c r="P1131" t="s">
        <v>36</v>
      </c>
    </row>
    <row r="1132" spans="1:16">
      <c r="A1132">
        <v>1131</v>
      </c>
      <c r="B1132" t="s">
        <v>1190</v>
      </c>
      <c r="C1132">
        <v>130</v>
      </c>
      <c r="D1132">
        <v>101</v>
      </c>
      <c r="E1132">
        <v>90.760965467287505</v>
      </c>
      <c r="F1132">
        <v>1.28407050848931</v>
      </c>
      <c r="G1132">
        <v>6469.7588812854401</v>
      </c>
      <c r="H1132">
        <v>603.81586509238105</v>
      </c>
      <c r="I1132">
        <v>0.63982107123714704</v>
      </c>
      <c r="J1132">
        <v>0.22299181369271701</v>
      </c>
      <c r="K1132">
        <v>0.59207018498367803</v>
      </c>
      <c r="L1132" t="s">
        <v>38</v>
      </c>
      <c r="M1132" t="s">
        <v>34</v>
      </c>
      <c r="N1132" t="s">
        <v>35</v>
      </c>
      <c r="O1132">
        <v>0.83412424127005003</v>
      </c>
      <c r="P1132" t="s">
        <v>36</v>
      </c>
    </row>
    <row r="1133" spans="1:16">
      <c r="A1133">
        <v>1132</v>
      </c>
      <c r="B1133" t="s">
        <v>1191</v>
      </c>
      <c r="C1133">
        <v>84</v>
      </c>
      <c r="D1133">
        <v>170</v>
      </c>
      <c r="E1133">
        <v>90.799531048975297</v>
      </c>
      <c r="F1133">
        <v>0.49185517534309398</v>
      </c>
      <c r="G1133">
        <v>6475.2582283553902</v>
      </c>
      <c r="H1133">
        <v>693.687083119931</v>
      </c>
      <c r="I1133">
        <v>0.75800940786123205</v>
      </c>
      <c r="J1133">
        <v>0.16909849446664699</v>
      </c>
      <c r="K1133">
        <v>0.58728532528106503</v>
      </c>
      <c r="L1133" t="s">
        <v>33</v>
      </c>
      <c r="M1133" t="s">
        <v>34</v>
      </c>
      <c r="N1133" t="s">
        <v>35</v>
      </c>
      <c r="O1133">
        <v>0.78081888965992396</v>
      </c>
      <c r="P1133" t="s">
        <v>36</v>
      </c>
    </row>
    <row r="1134" spans="1:16">
      <c r="A1134">
        <v>1133</v>
      </c>
      <c r="B1134" t="s">
        <v>1192</v>
      </c>
      <c r="C1134">
        <v>145</v>
      </c>
      <c r="D1134">
        <v>122</v>
      </c>
      <c r="E1134">
        <v>90.879736683381296</v>
      </c>
      <c r="F1134">
        <v>1.19220988593903</v>
      </c>
      <c r="G1134">
        <v>6486.7028155009502</v>
      </c>
      <c r="H1134">
        <v>791.707216914529</v>
      </c>
      <c r="I1134">
        <v>0.620744550315104</v>
      </c>
      <c r="J1134">
        <v>0.130048293520383</v>
      </c>
      <c r="K1134">
        <v>0.54689790854751197</v>
      </c>
      <c r="L1134" t="s">
        <v>47</v>
      </c>
      <c r="M1134" t="s">
        <v>34</v>
      </c>
      <c r="N1134" t="s">
        <v>35</v>
      </c>
      <c r="O1134">
        <v>0.94267922182831898</v>
      </c>
      <c r="P1134" t="s">
        <v>36</v>
      </c>
    </row>
    <row r="1135" spans="1:16">
      <c r="A1135">
        <v>1134</v>
      </c>
      <c r="B1135" t="s">
        <v>1193</v>
      </c>
      <c r="C1135">
        <v>102</v>
      </c>
      <c r="D1135">
        <v>124</v>
      </c>
      <c r="E1135">
        <v>90.913048081419504</v>
      </c>
      <c r="F1135">
        <v>0.82545503417427601</v>
      </c>
      <c r="G1135">
        <v>6491.4590075614396</v>
      </c>
      <c r="H1135">
        <v>578.92295417609398</v>
      </c>
      <c r="I1135">
        <v>0.65282506404136897</v>
      </c>
      <c r="J1135">
        <v>0.24339443473740899</v>
      </c>
      <c r="K1135">
        <v>0.64364241924074495</v>
      </c>
      <c r="L1135" t="s">
        <v>38</v>
      </c>
      <c r="M1135" t="s">
        <v>34</v>
      </c>
      <c r="N1135" t="s">
        <v>35</v>
      </c>
      <c r="O1135">
        <v>0.72271900628543195</v>
      </c>
      <c r="P1135" t="s">
        <v>36</v>
      </c>
    </row>
    <row r="1136" spans="1:16">
      <c r="A1136">
        <v>1135</v>
      </c>
      <c r="B1136" t="s">
        <v>1194</v>
      </c>
      <c r="C1136">
        <v>100</v>
      </c>
      <c r="D1136">
        <v>95</v>
      </c>
      <c r="E1136">
        <v>90.972836829344601</v>
      </c>
      <c r="F1136">
        <v>1.0526315789473699</v>
      </c>
      <c r="G1136">
        <v>6500</v>
      </c>
      <c r="H1136">
        <v>389.70562458038302</v>
      </c>
      <c r="I1136">
        <v>0.72808303986580203</v>
      </c>
      <c r="J1136">
        <v>0.53783600546995802</v>
      </c>
      <c r="K1136">
        <v>0.84967320261437895</v>
      </c>
      <c r="L1136" t="s">
        <v>188</v>
      </c>
      <c r="M1136" t="s">
        <v>34</v>
      </c>
      <c r="N1136" t="s">
        <v>35</v>
      </c>
      <c r="O1136">
        <v>0.90024063001510102</v>
      </c>
      <c r="P1136" t="s">
        <v>36</v>
      </c>
    </row>
    <row r="1137" spans="1:16">
      <c r="A1137">
        <v>1136</v>
      </c>
      <c r="B1137" t="s">
        <v>1195</v>
      </c>
      <c r="C1137">
        <v>136</v>
      </c>
      <c r="D1137">
        <v>86</v>
      </c>
      <c r="E1137">
        <v>90.992113776481801</v>
      </c>
      <c r="F1137">
        <v>1.58227848101266</v>
      </c>
      <c r="G1137">
        <v>6502.7549637051097</v>
      </c>
      <c r="H1137">
        <v>512.73521564203804</v>
      </c>
      <c r="I1137">
        <v>0.62265129664158103</v>
      </c>
      <c r="J1137">
        <v>0.31082859117554901</v>
      </c>
      <c r="K1137">
        <v>0.67256460315752298</v>
      </c>
      <c r="L1137" t="s">
        <v>47</v>
      </c>
      <c r="M1137" t="s">
        <v>34</v>
      </c>
      <c r="N1137" t="s">
        <v>35</v>
      </c>
      <c r="O1137">
        <v>0.94830551012625497</v>
      </c>
      <c r="P1137" t="s">
        <v>36</v>
      </c>
    </row>
    <row r="1138" spans="1:16">
      <c r="A1138">
        <v>1137</v>
      </c>
      <c r="B1138" t="s">
        <v>1196</v>
      </c>
      <c r="C1138">
        <v>80</v>
      </c>
      <c r="D1138">
        <v>152</v>
      </c>
      <c r="E1138">
        <v>90.992113776481801</v>
      </c>
      <c r="F1138">
        <v>0.52585277248792595</v>
      </c>
      <c r="G1138">
        <v>6502.7549637051097</v>
      </c>
      <c r="H1138">
        <v>510.522246357151</v>
      </c>
      <c r="I1138">
        <v>0.68727784054559704</v>
      </c>
      <c r="J1138">
        <v>0.31352913931589599</v>
      </c>
      <c r="K1138">
        <v>0.71861962484806696</v>
      </c>
      <c r="L1138" t="s">
        <v>298</v>
      </c>
      <c r="M1138" t="s">
        <v>34</v>
      </c>
      <c r="N1138" t="s">
        <v>35</v>
      </c>
      <c r="O1138">
        <v>0.67474441512347705</v>
      </c>
      <c r="P1138" t="s">
        <v>36</v>
      </c>
    </row>
    <row r="1139" spans="1:16">
      <c r="A1139">
        <v>1138</v>
      </c>
      <c r="B1139" t="s">
        <v>1197</v>
      </c>
      <c r="C1139">
        <v>132</v>
      </c>
      <c r="D1139">
        <v>152</v>
      </c>
      <c r="E1139">
        <v>91.161457629793404</v>
      </c>
      <c r="F1139">
        <v>0.87050359712230196</v>
      </c>
      <c r="G1139">
        <v>6526.9818170132303</v>
      </c>
      <c r="H1139">
        <v>989.62777757934896</v>
      </c>
      <c r="I1139">
        <v>0.57091806807859902</v>
      </c>
      <c r="J1139">
        <v>8.3748784603176696E-2</v>
      </c>
      <c r="K1139">
        <v>0.43277816103281802</v>
      </c>
      <c r="L1139" t="s">
        <v>33</v>
      </c>
      <c r="M1139" t="s">
        <v>34</v>
      </c>
      <c r="N1139" t="s">
        <v>35</v>
      </c>
      <c r="O1139">
        <v>0.72748731874323003</v>
      </c>
      <c r="P1139" t="s">
        <v>36</v>
      </c>
    </row>
    <row r="1140" spans="1:16">
      <c r="A1140">
        <v>1139</v>
      </c>
      <c r="B1140" t="s">
        <v>1198</v>
      </c>
      <c r="C1140">
        <v>154</v>
      </c>
      <c r="D1140">
        <v>85</v>
      </c>
      <c r="E1140">
        <v>91.173912231618004</v>
      </c>
      <c r="F1140">
        <v>1.8085909869365999</v>
      </c>
      <c r="G1140">
        <v>6528.7653890359197</v>
      </c>
      <c r="H1140">
        <v>688.79617645802705</v>
      </c>
      <c r="I1140">
        <v>0.59928579729667197</v>
      </c>
      <c r="J1140">
        <v>0.17292567167188599</v>
      </c>
      <c r="K1140">
        <v>0.66015419528396901</v>
      </c>
      <c r="L1140" t="s">
        <v>33</v>
      </c>
      <c r="M1140" t="s">
        <v>34</v>
      </c>
      <c r="N1140" t="s">
        <v>35</v>
      </c>
      <c r="O1140">
        <v>0.75161108704131996</v>
      </c>
      <c r="P1140" t="s">
        <v>36</v>
      </c>
    </row>
    <row r="1141" spans="1:16">
      <c r="A1141">
        <v>1140</v>
      </c>
      <c r="B1141" t="s">
        <v>1199</v>
      </c>
      <c r="C1141">
        <v>186</v>
      </c>
      <c r="D1141">
        <v>76</v>
      </c>
      <c r="E1141">
        <v>91.222676382960103</v>
      </c>
      <c r="F1141">
        <v>2.44859670431988</v>
      </c>
      <c r="G1141">
        <v>6535.7510461247603</v>
      </c>
      <c r="H1141">
        <v>679.11455529741602</v>
      </c>
      <c r="I1141">
        <v>0.67258248962205802</v>
      </c>
      <c r="J1141">
        <v>0.178081697891736</v>
      </c>
      <c r="K1141">
        <v>0.57415749409168704</v>
      </c>
      <c r="L1141" t="s">
        <v>74</v>
      </c>
      <c r="M1141" t="s">
        <v>34</v>
      </c>
      <c r="N1141" t="s">
        <v>35</v>
      </c>
      <c r="O1141">
        <v>0.71172399500515604</v>
      </c>
      <c r="P1141" t="s">
        <v>36</v>
      </c>
    </row>
    <row r="1142" spans="1:16">
      <c r="A1142">
        <v>1141</v>
      </c>
      <c r="B1142" t="s">
        <v>1200</v>
      </c>
      <c r="C1142">
        <v>157</v>
      </c>
      <c r="D1142">
        <v>78</v>
      </c>
      <c r="E1142">
        <v>91.319090409968695</v>
      </c>
      <c r="F1142">
        <v>2.0032831448897599</v>
      </c>
      <c r="G1142">
        <v>6549.5737293005704</v>
      </c>
      <c r="H1142">
        <v>535.43785475461402</v>
      </c>
      <c r="I1142">
        <v>0.596591191118929</v>
      </c>
      <c r="J1142">
        <v>0.28708120167778201</v>
      </c>
      <c r="K1142">
        <v>0.67149213702304</v>
      </c>
      <c r="L1142" t="s">
        <v>188</v>
      </c>
      <c r="M1142" t="s">
        <v>34</v>
      </c>
      <c r="N1142" t="s">
        <v>35</v>
      </c>
      <c r="O1142">
        <v>0.70645109709020504</v>
      </c>
      <c r="P1142" t="s">
        <v>36</v>
      </c>
    </row>
    <row r="1143" spans="1:16">
      <c r="A1143">
        <v>1142</v>
      </c>
      <c r="B1143" t="s">
        <v>1201</v>
      </c>
      <c r="C1143">
        <v>125</v>
      </c>
      <c r="D1143">
        <v>95</v>
      </c>
      <c r="E1143">
        <v>91.409159892893101</v>
      </c>
      <c r="F1143">
        <v>1.31578947368421</v>
      </c>
      <c r="G1143">
        <v>6562.5</v>
      </c>
      <c r="H1143">
        <v>626.48231685161602</v>
      </c>
      <c r="I1143">
        <v>0.74758078657425298</v>
      </c>
      <c r="J1143">
        <v>0.21011717169528499</v>
      </c>
      <c r="K1143">
        <v>0.66624365482233505</v>
      </c>
      <c r="L1143" t="s">
        <v>298</v>
      </c>
      <c r="M1143" t="s">
        <v>34</v>
      </c>
      <c r="N1143" t="s">
        <v>35</v>
      </c>
      <c r="O1143">
        <v>0.64474823018730298</v>
      </c>
      <c r="P1143" t="s">
        <v>36</v>
      </c>
    </row>
    <row r="1144" spans="1:16">
      <c r="A1144">
        <v>1143</v>
      </c>
      <c r="B1144" t="s">
        <v>1202</v>
      </c>
      <c r="C1144">
        <v>182</v>
      </c>
      <c r="D1144">
        <v>101</v>
      </c>
      <c r="E1144">
        <v>91.442310637562699</v>
      </c>
      <c r="F1144">
        <v>1.79823549993236</v>
      </c>
      <c r="G1144">
        <v>6567.2608185255203</v>
      </c>
      <c r="H1144">
        <v>900.48611140966398</v>
      </c>
      <c r="I1144">
        <v>0.60169602980329195</v>
      </c>
      <c r="J1144">
        <v>0.101774760921528</v>
      </c>
      <c r="K1144">
        <v>0.44103848917990901</v>
      </c>
      <c r="L1144" t="s">
        <v>47</v>
      </c>
      <c r="M1144" t="s">
        <v>34</v>
      </c>
      <c r="N1144" t="s">
        <v>35</v>
      </c>
      <c r="O1144">
        <v>0.94085706424634097</v>
      </c>
      <c r="P1144" t="s">
        <v>36</v>
      </c>
    </row>
    <row r="1145" spans="1:16">
      <c r="A1145">
        <v>1144</v>
      </c>
      <c r="B1145" t="s">
        <v>1203</v>
      </c>
      <c r="C1145">
        <v>128</v>
      </c>
      <c r="D1145">
        <v>161</v>
      </c>
      <c r="E1145">
        <v>91.545728800717697</v>
      </c>
      <c r="F1145">
        <v>0.79391891891891897</v>
      </c>
      <c r="G1145">
        <v>6582.1239187145602</v>
      </c>
      <c r="H1145">
        <v>901.95072435969905</v>
      </c>
      <c r="I1145">
        <v>0.58072145368405204</v>
      </c>
      <c r="J1145">
        <v>0.101674090203796</v>
      </c>
      <c r="K1145">
        <v>0.480820385872339</v>
      </c>
      <c r="L1145" t="s">
        <v>33</v>
      </c>
      <c r="M1145" t="s">
        <v>34</v>
      </c>
      <c r="N1145" t="s">
        <v>35</v>
      </c>
      <c r="O1145">
        <v>0.69887784079297399</v>
      </c>
      <c r="P1145" t="s">
        <v>36</v>
      </c>
    </row>
    <row r="1146" spans="1:16">
      <c r="A1146">
        <v>1145</v>
      </c>
      <c r="B1146" t="s">
        <v>1204</v>
      </c>
      <c r="C1146">
        <v>112</v>
      </c>
      <c r="D1146">
        <v>132</v>
      </c>
      <c r="E1146">
        <v>91.639737902014801</v>
      </c>
      <c r="F1146">
        <v>0.85123965066195995</v>
      </c>
      <c r="G1146">
        <v>6595.6493398865796</v>
      </c>
      <c r="H1146">
        <v>705.73276992528304</v>
      </c>
      <c r="I1146">
        <v>0.56081556032966695</v>
      </c>
      <c r="J1146">
        <v>0.16641284845962601</v>
      </c>
      <c r="K1146">
        <v>0.59198783367351004</v>
      </c>
      <c r="L1146" t="s">
        <v>33</v>
      </c>
      <c r="M1146" t="s">
        <v>34</v>
      </c>
      <c r="N1146" t="s">
        <v>35</v>
      </c>
      <c r="O1146">
        <v>0.688958203113745</v>
      </c>
      <c r="P1146" t="s">
        <v>36</v>
      </c>
    </row>
    <row r="1147" spans="1:16">
      <c r="A1147">
        <v>1146</v>
      </c>
      <c r="B1147" t="s">
        <v>1205</v>
      </c>
      <c r="C1147">
        <v>83</v>
      </c>
      <c r="D1147">
        <v>177</v>
      </c>
      <c r="E1147">
        <v>91.820254110171902</v>
      </c>
      <c r="F1147">
        <v>0.46923035389400802</v>
      </c>
      <c r="G1147">
        <v>6621.6597652173896</v>
      </c>
      <c r="H1147">
        <v>630.52876264914198</v>
      </c>
      <c r="I1147">
        <v>0.75582485449522896</v>
      </c>
      <c r="J1147">
        <v>0.20929888809910899</v>
      </c>
      <c r="K1147">
        <v>0.62043561819346604</v>
      </c>
      <c r="L1147" t="s">
        <v>33</v>
      </c>
      <c r="M1147" t="s">
        <v>34</v>
      </c>
      <c r="N1147" t="s">
        <v>35</v>
      </c>
      <c r="O1147">
        <v>0.74690632424182501</v>
      </c>
      <c r="P1147" t="s">
        <v>36</v>
      </c>
    </row>
    <row r="1148" spans="1:16">
      <c r="A1148">
        <v>1147</v>
      </c>
      <c r="B1148" t="s">
        <v>1206</v>
      </c>
      <c r="C1148">
        <v>126</v>
      </c>
      <c r="D1148">
        <v>108</v>
      </c>
      <c r="E1148">
        <v>91.912952966830403</v>
      </c>
      <c r="F1148">
        <v>1.1692601313754001</v>
      </c>
      <c r="G1148">
        <v>6635.0365553875199</v>
      </c>
      <c r="H1148">
        <v>611.47322228193298</v>
      </c>
      <c r="I1148">
        <v>0.56497537366879702</v>
      </c>
      <c r="J1148">
        <v>0.22299662889411601</v>
      </c>
      <c r="K1148">
        <v>0.69615594541910297</v>
      </c>
      <c r="L1148" t="s">
        <v>33</v>
      </c>
      <c r="M1148" t="s">
        <v>34</v>
      </c>
      <c r="N1148" t="s">
        <v>35</v>
      </c>
      <c r="O1148">
        <v>0.69879686001209596</v>
      </c>
      <c r="P1148" t="s">
        <v>36</v>
      </c>
    </row>
    <row r="1149" spans="1:16">
      <c r="A1149">
        <v>1148</v>
      </c>
      <c r="B1149" t="s">
        <v>1207</v>
      </c>
      <c r="C1149">
        <v>82</v>
      </c>
      <c r="D1149">
        <v>157</v>
      </c>
      <c r="E1149">
        <v>92.043602534172294</v>
      </c>
      <c r="F1149">
        <v>0.52265517894181701</v>
      </c>
      <c r="G1149">
        <v>6653.9126926276003</v>
      </c>
      <c r="H1149">
        <v>482.86450114333098</v>
      </c>
      <c r="I1149">
        <v>0.68552345412051297</v>
      </c>
      <c r="J1149">
        <v>0.358621568113838</v>
      </c>
      <c r="K1149">
        <v>0.73226903951845101</v>
      </c>
      <c r="L1149" t="s">
        <v>38</v>
      </c>
      <c r="M1149" t="s">
        <v>34</v>
      </c>
      <c r="N1149" t="s">
        <v>35</v>
      </c>
      <c r="O1149">
        <v>0.86534576915350203</v>
      </c>
      <c r="P1149" t="s">
        <v>36</v>
      </c>
    </row>
    <row r="1150" spans="1:16">
      <c r="A1150">
        <v>1149</v>
      </c>
      <c r="B1150" t="s">
        <v>1208</v>
      </c>
      <c r="C1150">
        <v>87</v>
      </c>
      <c r="D1150">
        <v>125</v>
      </c>
      <c r="E1150">
        <v>92.078548126155994</v>
      </c>
      <c r="F1150">
        <v>0.69565217391304301</v>
      </c>
      <c r="G1150">
        <v>6658.9661466918697</v>
      </c>
      <c r="H1150">
        <v>482.78700646130898</v>
      </c>
      <c r="I1150">
        <v>0.62364761523889101</v>
      </c>
      <c r="J1150">
        <v>0.35900915596541499</v>
      </c>
      <c r="K1150">
        <v>0.81314772129154</v>
      </c>
      <c r="L1150" t="s">
        <v>38</v>
      </c>
      <c r="M1150" t="s">
        <v>34</v>
      </c>
      <c r="N1150" t="s">
        <v>35</v>
      </c>
      <c r="O1150">
        <v>0.87705094011922902</v>
      </c>
      <c r="P1150" t="s">
        <v>36</v>
      </c>
    </row>
    <row r="1151" spans="1:16">
      <c r="A1151">
        <v>1150</v>
      </c>
      <c r="B1151" t="s">
        <v>1209</v>
      </c>
      <c r="C1151">
        <v>160</v>
      </c>
      <c r="D1151">
        <v>87</v>
      </c>
      <c r="E1151">
        <v>92.299221242081003</v>
      </c>
      <c r="F1151">
        <v>1.8427672955974801</v>
      </c>
      <c r="G1151">
        <v>6690.9218120982996</v>
      </c>
      <c r="H1151">
        <v>794.10727528312896</v>
      </c>
      <c r="I1151">
        <v>0.71962304598162596</v>
      </c>
      <c r="J1151">
        <v>0.13333294421819</v>
      </c>
      <c r="K1151">
        <v>0.628895936072421</v>
      </c>
      <c r="L1151" t="s">
        <v>188</v>
      </c>
      <c r="M1151" t="s">
        <v>34</v>
      </c>
      <c r="N1151" t="s">
        <v>35</v>
      </c>
      <c r="O1151">
        <v>0.72794105836151601</v>
      </c>
      <c r="P1151" t="s">
        <v>36</v>
      </c>
    </row>
    <row r="1152" spans="1:16">
      <c r="A1152">
        <v>1151</v>
      </c>
      <c r="B1152" t="s">
        <v>1210</v>
      </c>
      <c r="C1152">
        <v>142</v>
      </c>
      <c r="D1152">
        <v>116</v>
      </c>
      <c r="E1152">
        <v>92.463101294318903</v>
      </c>
      <c r="F1152">
        <v>1.2206572769953099</v>
      </c>
      <c r="G1152">
        <v>6714.7027724007603</v>
      </c>
      <c r="H1152">
        <v>914.53336470489899</v>
      </c>
      <c r="I1152">
        <v>0.62954831910946896</v>
      </c>
      <c r="J1152">
        <v>0.100887543737398</v>
      </c>
      <c r="K1152">
        <v>0.52486842563870195</v>
      </c>
      <c r="L1152" t="s">
        <v>41</v>
      </c>
      <c r="M1152" t="s">
        <v>34</v>
      </c>
      <c r="N1152" t="s">
        <v>35</v>
      </c>
      <c r="O1152">
        <v>0.70252805870663504</v>
      </c>
      <c r="P1152" t="s">
        <v>36</v>
      </c>
    </row>
    <row r="1153" spans="1:16">
      <c r="A1153">
        <v>1152</v>
      </c>
      <c r="B1153" t="s">
        <v>1211</v>
      </c>
      <c r="C1153">
        <v>117</v>
      </c>
      <c r="D1153">
        <v>133</v>
      </c>
      <c r="E1153">
        <v>92.486635180195805</v>
      </c>
      <c r="F1153">
        <v>0.88114754098360704</v>
      </c>
      <c r="G1153">
        <v>6718.1212854442401</v>
      </c>
      <c r="H1153">
        <v>1616.2591086462301</v>
      </c>
      <c r="I1153">
        <v>0.58986700174732798</v>
      </c>
      <c r="J1153">
        <v>3.2317349372148703E-2</v>
      </c>
      <c r="K1153">
        <v>0.501169765714222</v>
      </c>
      <c r="L1153" t="s">
        <v>33</v>
      </c>
      <c r="M1153" t="s">
        <v>34</v>
      </c>
      <c r="N1153" t="s">
        <v>35</v>
      </c>
      <c r="O1153">
        <v>0.69980751997777402</v>
      </c>
      <c r="P1153" t="s">
        <v>36</v>
      </c>
    </row>
    <row r="1154" spans="1:16">
      <c r="A1154">
        <v>1153</v>
      </c>
      <c r="B1154" t="s">
        <v>1212</v>
      </c>
      <c r="C1154">
        <v>97</v>
      </c>
      <c r="D1154">
        <v>126</v>
      </c>
      <c r="E1154">
        <v>92.553111635705406</v>
      </c>
      <c r="F1154">
        <v>0.77224294994362797</v>
      </c>
      <c r="G1154">
        <v>6727.7823005671098</v>
      </c>
      <c r="H1154">
        <v>498.38576962709402</v>
      </c>
      <c r="I1154">
        <v>0.67162281208837005</v>
      </c>
      <c r="J1154">
        <v>0.34036941413545502</v>
      </c>
      <c r="K1154">
        <v>0.75614319362544502</v>
      </c>
      <c r="L1154" t="s">
        <v>49</v>
      </c>
      <c r="M1154" t="s">
        <v>34</v>
      </c>
      <c r="N1154" t="s">
        <v>35</v>
      </c>
      <c r="O1154">
        <v>0.68531351300139798</v>
      </c>
      <c r="P1154" t="s">
        <v>36</v>
      </c>
    </row>
    <row r="1155" spans="1:16">
      <c r="A1155">
        <v>1154</v>
      </c>
      <c r="B1155" t="s">
        <v>1213</v>
      </c>
      <c r="C1155">
        <v>147</v>
      </c>
      <c r="D1155">
        <v>102</v>
      </c>
      <c r="E1155">
        <v>92.645077212324594</v>
      </c>
      <c r="F1155">
        <v>1.4385026737967901</v>
      </c>
      <c r="G1155">
        <v>6741.1590907372401</v>
      </c>
      <c r="H1155">
        <v>957.57619351542496</v>
      </c>
      <c r="I1155">
        <v>0.660830258732933</v>
      </c>
      <c r="J1155">
        <v>9.2384212186661194E-2</v>
      </c>
      <c r="K1155">
        <v>0.49882867921208102</v>
      </c>
      <c r="L1155" t="s">
        <v>33</v>
      </c>
      <c r="M1155" t="s">
        <v>34</v>
      </c>
      <c r="N1155" t="s">
        <v>35</v>
      </c>
      <c r="O1155">
        <v>0.70926752035609097</v>
      </c>
      <c r="P1155" t="s">
        <v>36</v>
      </c>
    </row>
    <row r="1156" spans="1:16">
      <c r="A1156">
        <v>1155</v>
      </c>
      <c r="B1156" t="s">
        <v>1214</v>
      </c>
      <c r="C1156">
        <v>104</v>
      </c>
      <c r="D1156">
        <v>137</v>
      </c>
      <c r="E1156">
        <v>92.933664856475204</v>
      </c>
      <c r="F1156">
        <v>0.76095617529880499</v>
      </c>
      <c r="G1156">
        <v>6783.2216642722096</v>
      </c>
      <c r="H1156">
        <v>717.67664833732294</v>
      </c>
      <c r="I1156">
        <v>0.58052492269714895</v>
      </c>
      <c r="J1156">
        <v>0.16549628236929101</v>
      </c>
      <c r="K1156">
        <v>0.59654397155704297</v>
      </c>
      <c r="L1156" t="s">
        <v>38</v>
      </c>
      <c r="M1156" t="s">
        <v>34</v>
      </c>
      <c r="N1156" t="s">
        <v>35</v>
      </c>
      <c r="O1156">
        <v>0.86273807960326698</v>
      </c>
      <c r="P1156" t="s">
        <v>36</v>
      </c>
    </row>
    <row r="1157" spans="1:16">
      <c r="A1157">
        <v>1156</v>
      </c>
      <c r="B1157" t="s">
        <v>1215</v>
      </c>
      <c r="C1157">
        <v>150</v>
      </c>
      <c r="D1157">
        <v>95</v>
      </c>
      <c r="E1157">
        <v>92.987611732543201</v>
      </c>
      <c r="F1157">
        <v>1.58249247217001</v>
      </c>
      <c r="G1157">
        <v>6791.0991073723999</v>
      </c>
      <c r="H1157">
        <v>579.465416950247</v>
      </c>
      <c r="I1157">
        <v>0.63710348330438804</v>
      </c>
      <c r="J1157">
        <v>0.25415279408571001</v>
      </c>
      <c r="K1157">
        <v>0.63620540811495696</v>
      </c>
      <c r="L1157" t="s">
        <v>144</v>
      </c>
      <c r="M1157" t="s">
        <v>34</v>
      </c>
      <c r="N1157" t="s">
        <v>35</v>
      </c>
      <c r="O1157">
        <v>0.64774128104835205</v>
      </c>
      <c r="P1157" t="s">
        <v>36</v>
      </c>
    </row>
    <row r="1158" spans="1:16">
      <c r="A1158">
        <v>1157</v>
      </c>
      <c r="B1158" t="s">
        <v>1216</v>
      </c>
      <c r="C1158">
        <v>100</v>
      </c>
      <c r="D1158">
        <v>108</v>
      </c>
      <c r="E1158">
        <v>93.174656552366201</v>
      </c>
      <c r="F1158">
        <v>0.92913164389147496</v>
      </c>
      <c r="G1158">
        <v>6818.4472117202304</v>
      </c>
      <c r="H1158">
        <v>510.25766259141602</v>
      </c>
      <c r="I1158">
        <v>0.57163936203889198</v>
      </c>
      <c r="J1158">
        <v>0.32909120509796003</v>
      </c>
      <c r="K1158">
        <v>0.77355658977471997</v>
      </c>
      <c r="L1158" t="s">
        <v>33</v>
      </c>
      <c r="M1158" t="s">
        <v>34</v>
      </c>
      <c r="N1158" t="s">
        <v>35</v>
      </c>
      <c r="O1158">
        <v>0.74578728728295995</v>
      </c>
      <c r="P1158" t="s">
        <v>36</v>
      </c>
    </row>
    <row r="1159" spans="1:16">
      <c r="A1159">
        <v>1158</v>
      </c>
      <c r="B1159" t="s">
        <v>1217</v>
      </c>
      <c r="C1159">
        <v>106</v>
      </c>
      <c r="D1159">
        <v>152</v>
      </c>
      <c r="E1159">
        <v>93.271081778992695</v>
      </c>
      <c r="F1159">
        <v>0.69784177005504799</v>
      </c>
      <c r="G1159">
        <v>6832.5671568998096</v>
      </c>
      <c r="H1159">
        <v>746.73091405764899</v>
      </c>
      <c r="I1159">
        <v>0.61411003861378</v>
      </c>
      <c r="J1159">
        <v>0.15398042386267299</v>
      </c>
      <c r="K1159">
        <v>0.56375164023889202</v>
      </c>
      <c r="L1159" t="s">
        <v>211</v>
      </c>
      <c r="M1159" t="s">
        <v>34</v>
      </c>
      <c r="N1159" t="s">
        <v>35</v>
      </c>
      <c r="O1159">
        <v>0.65454826331649696</v>
      </c>
      <c r="P1159" t="s">
        <v>36</v>
      </c>
    </row>
    <row r="1160" spans="1:16">
      <c r="A1160">
        <v>1159</v>
      </c>
      <c r="B1160" t="s">
        <v>1218</v>
      </c>
      <c r="C1160">
        <v>119</v>
      </c>
      <c r="D1160">
        <v>98</v>
      </c>
      <c r="E1160">
        <v>93.303539418594994</v>
      </c>
      <c r="F1160">
        <v>1.20885042213641</v>
      </c>
      <c r="G1160">
        <v>6837.3233489602999</v>
      </c>
      <c r="H1160">
        <v>605.24999455286104</v>
      </c>
      <c r="I1160">
        <v>0.66820501795031395</v>
      </c>
      <c r="J1160">
        <v>0.23454511632545</v>
      </c>
      <c r="K1160">
        <v>0.72653473790609202</v>
      </c>
      <c r="L1160" t="s">
        <v>49</v>
      </c>
      <c r="M1160" t="s">
        <v>34</v>
      </c>
      <c r="N1160" t="s">
        <v>35</v>
      </c>
      <c r="O1160">
        <v>0.72727764162662201</v>
      </c>
      <c r="P1160" t="s">
        <v>36</v>
      </c>
    </row>
    <row r="1161" spans="1:16">
      <c r="A1161">
        <v>1160</v>
      </c>
      <c r="B1161" t="s">
        <v>1219</v>
      </c>
      <c r="C1161">
        <v>157</v>
      </c>
      <c r="D1161">
        <v>105</v>
      </c>
      <c r="E1161">
        <v>93.3623401294643</v>
      </c>
      <c r="F1161">
        <v>1.4887134683483401</v>
      </c>
      <c r="G1161">
        <v>6845.9439470699399</v>
      </c>
      <c r="H1161">
        <v>691.95788640416197</v>
      </c>
      <c r="I1161">
        <v>0.54801724729051804</v>
      </c>
      <c r="J1161">
        <v>0.17967343719837101</v>
      </c>
      <c r="K1161">
        <v>0.57716405192722198</v>
      </c>
      <c r="L1161" t="s">
        <v>38</v>
      </c>
      <c r="M1161" t="s">
        <v>34</v>
      </c>
      <c r="N1161" t="s">
        <v>35</v>
      </c>
      <c r="O1161">
        <v>0.73985527713847399</v>
      </c>
      <c r="P1161" t="s">
        <v>36</v>
      </c>
    </row>
    <row r="1162" spans="1:16">
      <c r="A1162">
        <v>1161</v>
      </c>
      <c r="B1162" t="s">
        <v>1220</v>
      </c>
      <c r="C1162">
        <v>122</v>
      </c>
      <c r="D1162">
        <v>357</v>
      </c>
      <c r="E1162">
        <v>93.373487811106003</v>
      </c>
      <c r="F1162">
        <v>0.34237177762536503</v>
      </c>
      <c r="G1162">
        <v>6847.5788880907403</v>
      </c>
      <c r="H1162">
        <v>1200.4762894973501</v>
      </c>
      <c r="I1162">
        <v>0.52665486212713897</v>
      </c>
      <c r="J1162">
        <v>5.9708991344849902E-2</v>
      </c>
      <c r="K1162">
        <v>0.22012049747012599</v>
      </c>
      <c r="L1162" t="s">
        <v>33</v>
      </c>
      <c r="M1162" t="s">
        <v>34</v>
      </c>
      <c r="N1162" t="s">
        <v>35</v>
      </c>
      <c r="O1162">
        <v>0.70214859869412105</v>
      </c>
      <c r="P1162" t="s">
        <v>36</v>
      </c>
    </row>
    <row r="1163" spans="1:16">
      <c r="A1163">
        <v>1162</v>
      </c>
      <c r="B1163" t="s">
        <v>1221</v>
      </c>
      <c r="C1163">
        <v>100</v>
      </c>
      <c r="D1163">
        <v>133</v>
      </c>
      <c r="E1163">
        <v>93.630528754154696</v>
      </c>
      <c r="F1163">
        <v>0.75409836065573799</v>
      </c>
      <c r="G1163">
        <v>6885.3311625708902</v>
      </c>
      <c r="H1163">
        <v>1012.71789010203</v>
      </c>
      <c r="I1163">
        <v>0.62560517381247205</v>
      </c>
      <c r="J1163">
        <v>8.4364110762785494E-2</v>
      </c>
      <c r="K1163">
        <v>0.61304025619987801</v>
      </c>
      <c r="L1163" t="s">
        <v>74</v>
      </c>
      <c r="M1163" t="s">
        <v>34</v>
      </c>
      <c r="N1163" t="s">
        <v>35</v>
      </c>
      <c r="O1163">
        <v>0.75438662719431604</v>
      </c>
      <c r="P1163" t="s">
        <v>36</v>
      </c>
    </row>
    <row r="1164" spans="1:16">
      <c r="A1164">
        <v>1163</v>
      </c>
      <c r="B1164" t="s">
        <v>1222</v>
      </c>
      <c r="C1164">
        <v>133</v>
      </c>
      <c r="D1164">
        <v>75</v>
      </c>
      <c r="E1164">
        <v>93.671953499534695</v>
      </c>
      <c r="F1164">
        <v>1.77469439122635</v>
      </c>
      <c r="G1164">
        <v>6891.4250336483901</v>
      </c>
      <c r="H1164">
        <v>402.54650539771399</v>
      </c>
      <c r="I1164">
        <v>0.57440031330738195</v>
      </c>
      <c r="J1164">
        <v>0.53442501564914502</v>
      </c>
      <c r="K1164">
        <v>0.88844178738407298</v>
      </c>
      <c r="L1164" t="s">
        <v>38</v>
      </c>
      <c r="M1164" t="s">
        <v>34</v>
      </c>
      <c r="N1164" t="s">
        <v>35</v>
      </c>
      <c r="O1164">
        <v>0.70870511359321597</v>
      </c>
      <c r="P1164" t="s">
        <v>36</v>
      </c>
    </row>
    <row r="1165" spans="1:16">
      <c r="A1165">
        <v>1164</v>
      </c>
      <c r="B1165" t="s">
        <v>1223</v>
      </c>
      <c r="C1165">
        <v>158</v>
      </c>
      <c r="D1165">
        <v>103</v>
      </c>
      <c r="E1165">
        <v>93.963429384054095</v>
      </c>
      <c r="F1165">
        <v>1.5326469828429099</v>
      </c>
      <c r="G1165">
        <v>6934.3793931947102</v>
      </c>
      <c r="H1165">
        <v>1119.7066209022901</v>
      </c>
      <c r="I1165">
        <v>0.72839002499719097</v>
      </c>
      <c r="J1165">
        <v>6.9503867388896898E-2</v>
      </c>
      <c r="K1165">
        <v>0.60661023780733603</v>
      </c>
      <c r="L1165" t="s">
        <v>144</v>
      </c>
      <c r="M1165" t="s">
        <v>34</v>
      </c>
      <c r="N1165" t="s">
        <v>35</v>
      </c>
      <c r="O1165">
        <v>0.98720041065152697</v>
      </c>
      <c r="P1165" t="s">
        <v>36</v>
      </c>
    </row>
    <row r="1166" spans="1:16">
      <c r="A1166">
        <v>1165</v>
      </c>
      <c r="B1166" t="s">
        <v>1224</v>
      </c>
      <c r="C1166">
        <v>132</v>
      </c>
      <c r="D1166">
        <v>76</v>
      </c>
      <c r="E1166">
        <v>93.985580834158199</v>
      </c>
      <c r="F1166">
        <v>1.7320144406947899</v>
      </c>
      <c r="G1166">
        <v>6937.6492752363001</v>
      </c>
      <c r="H1166">
        <v>431.48177447785503</v>
      </c>
      <c r="I1166">
        <v>0.72590209603191702</v>
      </c>
      <c r="J1166">
        <v>0.46827103216843702</v>
      </c>
      <c r="K1166">
        <v>0.83298236847740703</v>
      </c>
      <c r="L1166" t="s">
        <v>72</v>
      </c>
      <c r="M1166" t="s">
        <v>34</v>
      </c>
      <c r="N1166" t="s">
        <v>35</v>
      </c>
      <c r="O1166">
        <v>0.91347092633105298</v>
      </c>
      <c r="P1166" t="s">
        <v>36</v>
      </c>
    </row>
    <row r="1167" spans="1:16">
      <c r="A1167">
        <v>1166</v>
      </c>
      <c r="B1167" t="s">
        <v>1225</v>
      </c>
      <c r="C1167">
        <v>143</v>
      </c>
      <c r="D1167">
        <v>85</v>
      </c>
      <c r="E1167">
        <v>93.986587594205602</v>
      </c>
      <c r="F1167">
        <v>1.69059979420127</v>
      </c>
      <c r="G1167">
        <v>6937.7979062381901</v>
      </c>
      <c r="H1167">
        <v>621.82798186944899</v>
      </c>
      <c r="I1167">
        <v>0.62023981107228698</v>
      </c>
      <c r="J1167">
        <v>0.225471153531073</v>
      </c>
      <c r="K1167">
        <v>0.664890889408011</v>
      </c>
      <c r="L1167" t="s">
        <v>211</v>
      </c>
      <c r="M1167" t="s">
        <v>34</v>
      </c>
      <c r="N1167" t="s">
        <v>35</v>
      </c>
      <c r="O1167">
        <v>0.74901885277436098</v>
      </c>
      <c r="P1167" t="s">
        <v>36</v>
      </c>
    </row>
    <row r="1168" spans="1:16">
      <c r="A1168">
        <v>1167</v>
      </c>
      <c r="B1168" t="s">
        <v>1226</v>
      </c>
      <c r="C1168">
        <v>147</v>
      </c>
      <c r="D1168">
        <v>142</v>
      </c>
      <c r="E1168">
        <v>93.989607809644696</v>
      </c>
      <c r="F1168">
        <v>1.0346153846153801</v>
      </c>
      <c r="G1168">
        <v>6938.2437992438599</v>
      </c>
      <c r="H1168">
        <v>1087.05454440314</v>
      </c>
      <c r="I1168">
        <v>0.54033140430958604</v>
      </c>
      <c r="J1168">
        <v>7.37830745492523E-2</v>
      </c>
      <c r="K1168">
        <v>0.45321359223301</v>
      </c>
      <c r="L1168" t="s">
        <v>33</v>
      </c>
      <c r="M1168" t="s">
        <v>34</v>
      </c>
      <c r="N1168" t="s">
        <v>35</v>
      </c>
      <c r="O1168">
        <v>0.70198329174608698</v>
      </c>
      <c r="P1168" t="s">
        <v>36</v>
      </c>
    </row>
    <row r="1169" spans="1:16">
      <c r="A1169">
        <v>1168</v>
      </c>
      <c r="B1169" t="s">
        <v>1227</v>
      </c>
      <c r="C1169">
        <v>110</v>
      </c>
      <c r="D1169">
        <v>133</v>
      </c>
      <c r="E1169">
        <v>94.082180672938307</v>
      </c>
      <c r="F1169">
        <v>0.82786885245901598</v>
      </c>
      <c r="G1169">
        <v>6951.9178514177702</v>
      </c>
      <c r="H1169">
        <v>739.88221963809895</v>
      </c>
      <c r="I1169">
        <v>0.59696359548003797</v>
      </c>
      <c r="J1169">
        <v>0.159583988057552</v>
      </c>
      <c r="K1169">
        <v>0.638155919993451</v>
      </c>
      <c r="L1169" t="s">
        <v>74</v>
      </c>
      <c r="M1169" t="s">
        <v>34</v>
      </c>
      <c r="N1169" t="s">
        <v>35</v>
      </c>
      <c r="O1169">
        <v>0.66279101684511199</v>
      </c>
      <c r="P1169" t="s">
        <v>36</v>
      </c>
    </row>
    <row r="1170" spans="1:16">
      <c r="A1170">
        <v>1169</v>
      </c>
      <c r="B1170" t="s">
        <v>1228</v>
      </c>
      <c r="C1170">
        <v>147</v>
      </c>
      <c r="D1170">
        <v>152</v>
      </c>
      <c r="E1170">
        <v>94.088214869825705</v>
      </c>
      <c r="F1170">
        <v>0.96762589928057596</v>
      </c>
      <c r="G1170">
        <v>6952.8096374291099</v>
      </c>
      <c r="H1170">
        <v>1163.8366520351899</v>
      </c>
      <c r="I1170">
        <v>0.58593996628555001</v>
      </c>
      <c r="J1170">
        <v>6.4503925145197094E-2</v>
      </c>
      <c r="K1170">
        <v>0.39216491734012898</v>
      </c>
      <c r="L1170" t="s">
        <v>74</v>
      </c>
      <c r="M1170" t="s">
        <v>34</v>
      </c>
      <c r="N1170" t="s">
        <v>35</v>
      </c>
      <c r="O1170">
        <v>0.78073800321733</v>
      </c>
      <c r="P1170" t="s">
        <v>36</v>
      </c>
    </row>
    <row r="1171" spans="1:16">
      <c r="A1171">
        <v>1170</v>
      </c>
      <c r="B1171" t="s">
        <v>1229</v>
      </c>
      <c r="C1171">
        <v>70</v>
      </c>
      <c r="D1171">
        <v>206</v>
      </c>
      <c r="E1171">
        <v>94.162604837110607</v>
      </c>
      <c r="F1171">
        <v>0.34217959729831399</v>
      </c>
      <c r="G1171">
        <v>6963.8083315690001</v>
      </c>
      <c r="H1171">
        <v>819.31016492750302</v>
      </c>
      <c r="I1171">
        <v>0.70431971813514804</v>
      </c>
      <c r="J1171">
        <v>0.13036469329363501</v>
      </c>
      <c r="K1171">
        <v>0.60765978418759103</v>
      </c>
      <c r="L1171" t="s">
        <v>33</v>
      </c>
      <c r="M1171" t="s">
        <v>34</v>
      </c>
      <c r="N1171" t="s">
        <v>35</v>
      </c>
      <c r="O1171">
        <v>0.73293761313758798</v>
      </c>
      <c r="P1171" t="s">
        <v>36</v>
      </c>
    </row>
    <row r="1172" spans="1:16">
      <c r="A1172">
        <v>1171</v>
      </c>
      <c r="B1172" t="s">
        <v>1230</v>
      </c>
      <c r="C1172">
        <v>165</v>
      </c>
      <c r="D1172">
        <v>123</v>
      </c>
      <c r="E1172">
        <v>94.210826381210097</v>
      </c>
      <c r="F1172">
        <v>1.34025825635642</v>
      </c>
      <c r="G1172">
        <v>6970.9426196597396</v>
      </c>
      <c r="H1172">
        <v>866.65053342912495</v>
      </c>
      <c r="I1172">
        <v>0.67657735381342898</v>
      </c>
      <c r="J1172">
        <v>0.116630826865339</v>
      </c>
      <c r="K1172">
        <v>0.50010663027020097</v>
      </c>
      <c r="L1172" t="s">
        <v>38</v>
      </c>
      <c r="M1172" t="s">
        <v>34</v>
      </c>
      <c r="N1172" t="s">
        <v>35</v>
      </c>
      <c r="O1172">
        <v>0.82384618995457604</v>
      </c>
      <c r="P1172" t="s">
        <v>36</v>
      </c>
    </row>
    <row r="1173" spans="1:16">
      <c r="A1173">
        <v>1172</v>
      </c>
      <c r="B1173" t="s">
        <v>1231</v>
      </c>
      <c r="C1173">
        <v>166</v>
      </c>
      <c r="D1173">
        <v>124</v>
      </c>
      <c r="E1173">
        <v>94.259023255872805</v>
      </c>
      <c r="F1173">
        <v>1.3436123348017599</v>
      </c>
      <c r="G1173">
        <v>6978.0769077504701</v>
      </c>
      <c r="H1173">
        <v>1586.7084356580599</v>
      </c>
      <c r="I1173">
        <v>0.70983548505188199</v>
      </c>
      <c r="J1173">
        <v>3.4829829971117499E-2</v>
      </c>
      <c r="K1173">
        <v>0.39636802647575298</v>
      </c>
      <c r="L1173" t="s">
        <v>49</v>
      </c>
      <c r="M1173" t="s">
        <v>34</v>
      </c>
      <c r="N1173" t="s">
        <v>35</v>
      </c>
      <c r="O1173">
        <v>0.68652057810161804</v>
      </c>
      <c r="P1173" t="s">
        <v>36</v>
      </c>
    </row>
    <row r="1174" spans="1:16">
      <c r="A1174">
        <v>1173</v>
      </c>
      <c r="B1174" t="s">
        <v>1232</v>
      </c>
      <c r="C1174">
        <v>119</v>
      </c>
      <c r="D1174">
        <v>106</v>
      </c>
      <c r="E1174">
        <v>94.266049907882703</v>
      </c>
      <c r="F1174">
        <v>1.12307692307692</v>
      </c>
      <c r="G1174">
        <v>6979.1173247637098</v>
      </c>
      <c r="H1174">
        <v>590.26957261313601</v>
      </c>
      <c r="I1174">
        <v>0.54203118865796596</v>
      </c>
      <c r="J1174">
        <v>0.25171527443209202</v>
      </c>
      <c r="K1174">
        <v>0.67304026258833005</v>
      </c>
      <c r="L1174" t="s">
        <v>33</v>
      </c>
      <c r="M1174" t="s">
        <v>34</v>
      </c>
      <c r="N1174" t="s">
        <v>35</v>
      </c>
      <c r="O1174">
        <v>0.68724100116101094</v>
      </c>
      <c r="P1174" t="s">
        <v>36</v>
      </c>
    </row>
    <row r="1175" spans="1:16">
      <c r="A1175">
        <v>1174</v>
      </c>
      <c r="B1175" t="s">
        <v>1233</v>
      </c>
      <c r="C1175">
        <v>108</v>
      </c>
      <c r="D1175">
        <v>150</v>
      </c>
      <c r="E1175">
        <v>94.283112453988807</v>
      </c>
      <c r="F1175">
        <v>0.72516713000968702</v>
      </c>
      <c r="G1175">
        <v>6981.6440517958399</v>
      </c>
      <c r="H1175">
        <v>763.31051760435105</v>
      </c>
      <c r="I1175">
        <v>0.610841709732317</v>
      </c>
      <c r="J1175">
        <v>0.15057923074799201</v>
      </c>
      <c r="K1175">
        <v>0.57721988743886599</v>
      </c>
      <c r="L1175" t="s">
        <v>33</v>
      </c>
      <c r="M1175" t="s">
        <v>34</v>
      </c>
      <c r="N1175" t="s">
        <v>35</v>
      </c>
      <c r="O1175">
        <v>0.75723955063883597</v>
      </c>
      <c r="P1175" t="s">
        <v>36</v>
      </c>
    </row>
    <row r="1176" spans="1:16">
      <c r="A1176">
        <v>1175</v>
      </c>
      <c r="B1176" t="s">
        <v>1234</v>
      </c>
      <c r="C1176">
        <v>117</v>
      </c>
      <c r="D1176">
        <v>152</v>
      </c>
      <c r="E1176">
        <v>94.337290659352902</v>
      </c>
      <c r="F1176">
        <v>0.76702514802122401</v>
      </c>
      <c r="G1176">
        <v>6989.6701258979201</v>
      </c>
      <c r="H1176">
        <v>689.03806274258602</v>
      </c>
      <c r="I1176">
        <v>0.61410679443702698</v>
      </c>
      <c r="J1176">
        <v>0.18500357364370501</v>
      </c>
      <c r="K1176">
        <v>0.48111923883574598</v>
      </c>
      <c r="L1176" t="s">
        <v>43</v>
      </c>
      <c r="M1176" t="s">
        <v>34</v>
      </c>
      <c r="N1176" t="s">
        <v>35</v>
      </c>
      <c r="O1176">
        <v>0.68660126886742101</v>
      </c>
      <c r="P1176" t="s">
        <v>36</v>
      </c>
    </row>
    <row r="1177" spans="1:16">
      <c r="A1177">
        <v>1176</v>
      </c>
      <c r="B1177" t="s">
        <v>1235</v>
      </c>
      <c r="C1177">
        <v>107</v>
      </c>
      <c r="D1177">
        <v>132</v>
      </c>
      <c r="E1177">
        <v>94.396449817929494</v>
      </c>
      <c r="F1177">
        <v>0.81404958677685901</v>
      </c>
      <c r="G1177">
        <v>6998.4393550094501</v>
      </c>
      <c r="H1177">
        <v>1225.43729285717</v>
      </c>
      <c r="I1177">
        <v>0.58252075440888296</v>
      </c>
      <c r="J1177">
        <v>5.85637505434706E-2</v>
      </c>
      <c r="K1177">
        <v>0.57959846871576504</v>
      </c>
      <c r="L1177" t="s">
        <v>33</v>
      </c>
      <c r="M1177" t="s">
        <v>34</v>
      </c>
      <c r="N1177" t="s">
        <v>35</v>
      </c>
      <c r="O1177">
        <v>0.71101612929340496</v>
      </c>
      <c r="P1177" t="s">
        <v>36</v>
      </c>
    </row>
    <row r="1178" spans="1:16">
      <c r="A1178">
        <v>1177</v>
      </c>
      <c r="B1178" t="s">
        <v>1236</v>
      </c>
      <c r="C1178">
        <v>110</v>
      </c>
      <c r="D1178">
        <v>224</v>
      </c>
      <c r="E1178">
        <v>94.457575414833101</v>
      </c>
      <c r="F1178">
        <v>0.48927203050928603</v>
      </c>
      <c r="G1178">
        <v>7007.50584612476</v>
      </c>
      <c r="H1178">
        <v>965.022147909973</v>
      </c>
      <c r="I1178">
        <v>0.63794214408234795</v>
      </c>
      <c r="J1178">
        <v>9.4558107404676905E-2</v>
      </c>
      <c r="K1178">
        <v>0.40965331479711498</v>
      </c>
      <c r="L1178" t="s">
        <v>43</v>
      </c>
      <c r="M1178" t="s">
        <v>34</v>
      </c>
      <c r="N1178" t="s">
        <v>35</v>
      </c>
      <c r="O1178">
        <v>0.73316640189875504</v>
      </c>
      <c r="P1178" t="s">
        <v>36</v>
      </c>
    </row>
    <row r="1179" spans="1:16">
      <c r="A1179">
        <v>1178</v>
      </c>
      <c r="B1179" t="s">
        <v>1237</v>
      </c>
      <c r="C1179">
        <v>111</v>
      </c>
      <c r="D1179">
        <v>163</v>
      </c>
      <c r="E1179">
        <v>94.643714672007903</v>
      </c>
      <c r="F1179">
        <v>0.68031590383853102</v>
      </c>
      <c r="G1179">
        <v>7035.1512124763703</v>
      </c>
      <c r="H1179">
        <v>728.37120959852098</v>
      </c>
      <c r="I1179">
        <v>0.58954533602777304</v>
      </c>
      <c r="J1179">
        <v>0.166639425019219</v>
      </c>
      <c r="K1179">
        <v>0.57392812105926905</v>
      </c>
      <c r="L1179" t="s">
        <v>47</v>
      </c>
      <c r="M1179" t="s">
        <v>34</v>
      </c>
      <c r="N1179" t="s">
        <v>35</v>
      </c>
      <c r="O1179">
        <v>0.95458584675890701</v>
      </c>
      <c r="P1179" t="s">
        <v>36</v>
      </c>
    </row>
    <row r="1180" spans="1:16">
      <c r="A1180">
        <v>1179</v>
      </c>
      <c r="B1180" t="s">
        <v>1238</v>
      </c>
      <c r="C1180">
        <v>215</v>
      </c>
      <c r="D1180">
        <v>74</v>
      </c>
      <c r="E1180">
        <v>94.666706464879198</v>
      </c>
      <c r="F1180">
        <v>2.8850112877418099</v>
      </c>
      <c r="G1180">
        <v>7038.5697255198502</v>
      </c>
      <c r="H1180">
        <v>1007.83638567862</v>
      </c>
      <c r="I1180">
        <v>0.762749509621924</v>
      </c>
      <c r="J1180">
        <v>8.7079156615525996E-2</v>
      </c>
      <c r="K1180">
        <v>0.58736124031007797</v>
      </c>
      <c r="L1180" t="s">
        <v>47</v>
      </c>
      <c r="M1180" t="s">
        <v>34</v>
      </c>
      <c r="N1180" t="s">
        <v>35</v>
      </c>
      <c r="O1180">
        <v>0.95858931572433004</v>
      </c>
      <c r="P1180" t="s">
        <v>36</v>
      </c>
    </row>
    <row r="1181" spans="1:16">
      <c r="A1181">
        <v>1180</v>
      </c>
      <c r="B1181" t="s">
        <v>1239</v>
      </c>
      <c r="C1181">
        <v>155</v>
      </c>
      <c r="D1181">
        <v>70</v>
      </c>
      <c r="E1181">
        <v>95.006932017080302</v>
      </c>
      <c r="F1181">
        <v>2.2067273615759002</v>
      </c>
      <c r="G1181">
        <v>7089.2528971644597</v>
      </c>
      <c r="H1181">
        <v>418.50615148824198</v>
      </c>
      <c r="I1181">
        <v>0.58663650626992603</v>
      </c>
      <c r="J1181">
        <v>0.50863546862820497</v>
      </c>
      <c r="K1181">
        <v>0.87331551193789403</v>
      </c>
      <c r="L1181" t="s">
        <v>49</v>
      </c>
      <c r="M1181" t="s">
        <v>34</v>
      </c>
      <c r="N1181" t="s">
        <v>35</v>
      </c>
      <c r="O1181">
        <v>0.74851935122689595</v>
      </c>
      <c r="P1181" t="s">
        <v>36</v>
      </c>
    </row>
    <row r="1182" spans="1:16">
      <c r="A1182">
        <v>1181</v>
      </c>
      <c r="B1182" t="s">
        <v>1240</v>
      </c>
      <c r="C1182">
        <v>113</v>
      </c>
      <c r="D1182">
        <v>137</v>
      </c>
      <c r="E1182">
        <v>95.064679128005196</v>
      </c>
      <c r="F1182">
        <v>0.82500926885299297</v>
      </c>
      <c r="G1182">
        <v>7097.8734952740997</v>
      </c>
      <c r="H1182">
        <v>772.56316339669002</v>
      </c>
      <c r="I1182">
        <v>0.76649008953837705</v>
      </c>
      <c r="J1182">
        <v>0.14944112397874401</v>
      </c>
      <c r="K1182">
        <v>0.63941033125351499</v>
      </c>
      <c r="L1182" t="s">
        <v>43</v>
      </c>
      <c r="M1182" t="s">
        <v>34</v>
      </c>
      <c r="N1182" t="s">
        <v>35</v>
      </c>
      <c r="O1182">
        <v>0.79466051783936198</v>
      </c>
      <c r="P1182" t="s">
        <v>36</v>
      </c>
    </row>
    <row r="1183" spans="1:16">
      <c r="A1183">
        <v>1182</v>
      </c>
      <c r="B1183" t="s">
        <v>1241</v>
      </c>
      <c r="C1183">
        <v>156</v>
      </c>
      <c r="D1183">
        <v>137</v>
      </c>
      <c r="E1183">
        <v>95.089559308265194</v>
      </c>
      <c r="F1183">
        <v>1.1434262948207199</v>
      </c>
      <c r="G1183">
        <v>7101.5892703213603</v>
      </c>
      <c r="H1183">
        <v>1536.7449269802701</v>
      </c>
      <c r="I1183">
        <v>0.59824495700493296</v>
      </c>
      <c r="J1183">
        <v>3.7788690152087599E-2</v>
      </c>
      <c r="K1183">
        <v>0.40298230521397399</v>
      </c>
      <c r="L1183" t="s">
        <v>873</v>
      </c>
      <c r="M1183" t="s">
        <v>34</v>
      </c>
      <c r="N1183" t="s">
        <v>35</v>
      </c>
      <c r="O1183">
        <v>0.70492121113769501</v>
      </c>
      <c r="P1183" t="s">
        <v>36</v>
      </c>
    </row>
    <row r="1184" spans="1:16">
      <c r="A1184">
        <v>1183</v>
      </c>
      <c r="B1184" t="s">
        <v>1242</v>
      </c>
      <c r="C1184">
        <v>142</v>
      </c>
      <c r="D1184">
        <v>161</v>
      </c>
      <c r="E1184">
        <v>95.180068241914498</v>
      </c>
      <c r="F1184">
        <v>0.87837837837837796</v>
      </c>
      <c r="G1184">
        <v>7115.1146914933797</v>
      </c>
      <c r="H1184">
        <v>1346.99208655948</v>
      </c>
      <c r="I1184">
        <v>0.57299040146295899</v>
      </c>
      <c r="J1184">
        <v>4.9278976649129599E-2</v>
      </c>
      <c r="K1184">
        <v>0.390687994776789</v>
      </c>
      <c r="L1184" t="s">
        <v>38</v>
      </c>
      <c r="M1184" t="s">
        <v>34</v>
      </c>
      <c r="N1184" t="s">
        <v>35</v>
      </c>
      <c r="O1184">
        <v>0.87914078445793897</v>
      </c>
      <c r="P1184" t="s">
        <v>36</v>
      </c>
    </row>
    <row r="1185" spans="1:16">
      <c r="A1185">
        <v>1184</v>
      </c>
      <c r="B1185" t="s">
        <v>1243</v>
      </c>
      <c r="C1185">
        <v>147</v>
      </c>
      <c r="D1185">
        <v>142</v>
      </c>
      <c r="E1185">
        <v>95.249631975027299</v>
      </c>
      <c r="F1185">
        <v>1.03846154749041</v>
      </c>
      <c r="G1185">
        <v>7125.5188616257101</v>
      </c>
      <c r="H1185">
        <v>1221.88877004489</v>
      </c>
      <c r="I1185">
        <v>0.58652547656971699</v>
      </c>
      <c r="J1185">
        <v>5.9973999443683298E-2</v>
      </c>
      <c r="K1185">
        <v>0.44425602105399697</v>
      </c>
      <c r="L1185" t="s">
        <v>74</v>
      </c>
      <c r="M1185" t="s">
        <v>34</v>
      </c>
      <c r="N1185" t="s">
        <v>35</v>
      </c>
      <c r="O1185">
        <v>0.70771180612947304</v>
      </c>
      <c r="P1185" t="s">
        <v>36</v>
      </c>
    </row>
    <row r="1186" spans="1:16">
      <c r="A1186">
        <v>1185</v>
      </c>
      <c r="B1186" t="s">
        <v>1244</v>
      </c>
      <c r="C1186">
        <v>137</v>
      </c>
      <c r="D1186">
        <v>152</v>
      </c>
      <c r="E1186">
        <v>95.2943247024252</v>
      </c>
      <c r="F1186">
        <v>0.902877697841727</v>
      </c>
      <c r="G1186">
        <v>7132.2072567107798</v>
      </c>
      <c r="H1186">
        <v>1144.48281195247</v>
      </c>
      <c r="I1186">
        <v>0.56585277255956601</v>
      </c>
      <c r="J1186">
        <v>6.8425073012471499E-2</v>
      </c>
      <c r="K1186">
        <v>0.39888611803823798</v>
      </c>
      <c r="L1186" t="s">
        <v>41</v>
      </c>
      <c r="M1186" t="s">
        <v>34</v>
      </c>
      <c r="N1186" t="s">
        <v>35</v>
      </c>
      <c r="O1186">
        <v>0.69165286171708296</v>
      </c>
      <c r="P1186" t="s">
        <v>36</v>
      </c>
    </row>
    <row r="1187" spans="1:16">
      <c r="A1187">
        <v>1186</v>
      </c>
      <c r="B1187" t="s">
        <v>1245</v>
      </c>
      <c r="C1187">
        <v>166</v>
      </c>
      <c r="D1187">
        <v>89</v>
      </c>
      <c r="E1187">
        <v>95.623412159675397</v>
      </c>
      <c r="F1187">
        <v>1.8597560975609799</v>
      </c>
      <c r="G1187">
        <v>7181.5527493383797</v>
      </c>
      <c r="H1187">
        <v>808.66650786296202</v>
      </c>
      <c r="I1187">
        <v>0.89112914376865604</v>
      </c>
      <c r="J1187">
        <v>0.138003247301277</v>
      </c>
      <c r="K1187">
        <v>0.776854189108799</v>
      </c>
      <c r="L1187" t="s">
        <v>33</v>
      </c>
      <c r="M1187" t="s">
        <v>34</v>
      </c>
      <c r="N1187" t="s">
        <v>35</v>
      </c>
      <c r="O1187">
        <v>0.78271240250392204</v>
      </c>
      <c r="P1187" t="s">
        <v>36</v>
      </c>
    </row>
    <row r="1188" spans="1:16">
      <c r="A1188">
        <v>1187</v>
      </c>
      <c r="B1188" t="s">
        <v>1246</v>
      </c>
      <c r="C1188">
        <v>157</v>
      </c>
      <c r="D1188">
        <v>98</v>
      </c>
      <c r="E1188">
        <v>95.688698300400404</v>
      </c>
      <c r="F1188">
        <v>1.6088975550076801</v>
      </c>
      <c r="G1188">
        <v>7191.3623954631403</v>
      </c>
      <c r="H1188">
        <v>659.74741997200499</v>
      </c>
      <c r="I1188">
        <v>0.62487801681932398</v>
      </c>
      <c r="J1188">
        <v>0.207618303376675</v>
      </c>
      <c r="K1188">
        <v>0.61587026806853196</v>
      </c>
      <c r="L1188" t="s">
        <v>38</v>
      </c>
      <c r="M1188" t="s">
        <v>34</v>
      </c>
      <c r="N1188" t="s">
        <v>35</v>
      </c>
      <c r="O1188">
        <v>0.85855813335250897</v>
      </c>
      <c r="P1188" t="s">
        <v>36</v>
      </c>
    </row>
    <row r="1189" spans="1:16">
      <c r="A1189">
        <v>1188</v>
      </c>
      <c r="B1189" t="s">
        <v>1247</v>
      </c>
      <c r="C1189">
        <v>166</v>
      </c>
      <c r="D1189">
        <v>107</v>
      </c>
      <c r="E1189">
        <v>95.878368849848997</v>
      </c>
      <c r="F1189">
        <v>1.55612244897959</v>
      </c>
      <c r="G1189">
        <v>7219.8995478260904</v>
      </c>
      <c r="H1189">
        <v>877.45468909201395</v>
      </c>
      <c r="I1189">
        <v>0.65628731360178005</v>
      </c>
      <c r="J1189">
        <v>0.11783969800649</v>
      </c>
      <c r="K1189">
        <v>0.63455735392091595</v>
      </c>
      <c r="L1189" t="s">
        <v>38</v>
      </c>
      <c r="M1189" t="s">
        <v>34</v>
      </c>
      <c r="N1189" t="s">
        <v>35</v>
      </c>
      <c r="O1189">
        <v>0.74787993006901299</v>
      </c>
      <c r="P1189" t="s">
        <v>36</v>
      </c>
    </row>
    <row r="1190" spans="1:16">
      <c r="A1190">
        <v>1189</v>
      </c>
      <c r="B1190" t="s">
        <v>1248</v>
      </c>
      <c r="C1190">
        <v>101</v>
      </c>
      <c r="D1190">
        <v>153</v>
      </c>
      <c r="E1190">
        <v>95.912229203118599</v>
      </c>
      <c r="F1190">
        <v>0.66189106498588601</v>
      </c>
      <c r="G1190">
        <v>7225</v>
      </c>
      <c r="H1190">
        <v>797.69551992416405</v>
      </c>
      <c r="I1190">
        <v>0.69011406887044602</v>
      </c>
      <c r="J1190">
        <v>0.142683386852724</v>
      </c>
      <c r="K1190">
        <v>0.61228813559322004</v>
      </c>
      <c r="L1190" t="s">
        <v>33</v>
      </c>
      <c r="M1190" t="s">
        <v>34</v>
      </c>
      <c r="N1190" t="s">
        <v>35</v>
      </c>
      <c r="O1190">
        <v>0.70909437689122001</v>
      </c>
      <c r="P1190" t="s">
        <v>36</v>
      </c>
    </row>
    <row r="1191" spans="1:16">
      <c r="A1191">
        <v>1190</v>
      </c>
      <c r="B1191" t="s">
        <v>1249</v>
      </c>
      <c r="C1191">
        <v>191</v>
      </c>
      <c r="D1191">
        <v>90</v>
      </c>
      <c r="E1191">
        <v>96.135602157389002</v>
      </c>
      <c r="F1191">
        <v>2.1212121212121202</v>
      </c>
      <c r="G1191">
        <v>7258.69223931947</v>
      </c>
      <c r="H1191">
        <v>976.98483079899904</v>
      </c>
      <c r="I1191">
        <v>0.77369076029237105</v>
      </c>
      <c r="J1191">
        <v>9.5563622894416694E-2</v>
      </c>
      <c r="K1191">
        <v>0.49187708360611199</v>
      </c>
      <c r="L1191" t="s">
        <v>144</v>
      </c>
      <c r="M1191" t="s">
        <v>34</v>
      </c>
      <c r="N1191" t="s">
        <v>35</v>
      </c>
      <c r="O1191">
        <v>0.74897523193926097</v>
      </c>
      <c r="P1191" t="s">
        <v>36</v>
      </c>
    </row>
    <row r="1192" spans="1:16">
      <c r="A1192">
        <v>1191</v>
      </c>
      <c r="B1192" t="s">
        <v>1250</v>
      </c>
      <c r="C1192">
        <v>172</v>
      </c>
      <c r="D1192">
        <v>97</v>
      </c>
      <c r="E1192">
        <v>96.1641411617138</v>
      </c>
      <c r="F1192">
        <v>1.7752808988763999</v>
      </c>
      <c r="G1192">
        <v>7263.0025383742905</v>
      </c>
      <c r="H1192">
        <v>992.52262698567404</v>
      </c>
      <c r="I1192">
        <v>0.64410867670776994</v>
      </c>
      <c r="J1192">
        <v>9.2649958101476498E-2</v>
      </c>
      <c r="K1192">
        <v>0.589172896069448</v>
      </c>
      <c r="L1192" t="s">
        <v>33</v>
      </c>
      <c r="M1192" t="s">
        <v>34</v>
      </c>
      <c r="N1192" t="s">
        <v>35</v>
      </c>
      <c r="O1192">
        <v>0.66449276141909397</v>
      </c>
      <c r="P1192" t="s">
        <v>36</v>
      </c>
    </row>
    <row r="1193" spans="1:16">
      <c r="A1193">
        <v>1192</v>
      </c>
      <c r="B1193" t="s">
        <v>1251</v>
      </c>
      <c r="C1193">
        <v>146</v>
      </c>
      <c r="D1193">
        <v>90</v>
      </c>
      <c r="E1193">
        <v>96.194639010261994</v>
      </c>
      <c r="F1193">
        <v>1.6124624144823301</v>
      </c>
      <c r="G1193">
        <v>7267.6100994328899</v>
      </c>
      <c r="H1193">
        <v>550.05577753948103</v>
      </c>
      <c r="I1193">
        <v>0.61248344850871494</v>
      </c>
      <c r="J1193">
        <v>0.30184780525746102</v>
      </c>
      <c r="K1193">
        <v>0.74859916102758794</v>
      </c>
      <c r="L1193" t="s">
        <v>38</v>
      </c>
      <c r="M1193" t="s">
        <v>34</v>
      </c>
      <c r="N1193" t="s">
        <v>35</v>
      </c>
      <c r="O1193">
        <v>0.80422036029571997</v>
      </c>
      <c r="P1193" t="s">
        <v>36</v>
      </c>
    </row>
    <row r="1194" spans="1:16">
      <c r="A1194">
        <v>1193</v>
      </c>
      <c r="B1194" t="s">
        <v>1252</v>
      </c>
      <c r="C1194">
        <v>147</v>
      </c>
      <c r="D1194">
        <v>137</v>
      </c>
      <c r="E1194">
        <v>96.476532264428897</v>
      </c>
      <c r="F1194">
        <v>1.0717131474103601</v>
      </c>
      <c r="G1194">
        <v>7310.2671969754301</v>
      </c>
      <c r="H1194">
        <v>1231.8991744105699</v>
      </c>
      <c r="I1194">
        <v>0.70871156273077096</v>
      </c>
      <c r="J1194">
        <v>6.0533082071970001E-2</v>
      </c>
      <c r="K1194">
        <v>0.45641744230287401</v>
      </c>
      <c r="L1194" t="s">
        <v>58</v>
      </c>
      <c r="M1194" t="s">
        <v>34</v>
      </c>
      <c r="N1194" t="s">
        <v>35</v>
      </c>
      <c r="O1194">
        <v>0.66353510027238505</v>
      </c>
      <c r="P1194" t="s">
        <v>36</v>
      </c>
    </row>
    <row r="1195" spans="1:16">
      <c r="A1195">
        <v>1194</v>
      </c>
      <c r="B1195" t="s">
        <v>1253</v>
      </c>
      <c r="C1195">
        <v>125</v>
      </c>
      <c r="D1195">
        <v>125</v>
      </c>
      <c r="E1195">
        <v>96.528499158724898</v>
      </c>
      <c r="F1195">
        <v>0.99565217333615197</v>
      </c>
      <c r="G1195">
        <v>7318.1446400756104</v>
      </c>
      <c r="H1195">
        <v>722.57695723772099</v>
      </c>
      <c r="I1195">
        <v>0.52575693038419502</v>
      </c>
      <c r="J1195">
        <v>0.17613377248435699</v>
      </c>
      <c r="K1195">
        <v>0.63147027137946998</v>
      </c>
      <c r="L1195" t="s">
        <v>38</v>
      </c>
      <c r="M1195" t="s">
        <v>34</v>
      </c>
      <c r="N1195" t="s">
        <v>35</v>
      </c>
      <c r="O1195">
        <v>0.78205946872496201</v>
      </c>
      <c r="P1195" t="s">
        <v>36</v>
      </c>
    </row>
    <row r="1196" spans="1:16">
      <c r="A1196">
        <v>1195</v>
      </c>
      <c r="B1196" t="s">
        <v>1254</v>
      </c>
      <c r="C1196">
        <v>124</v>
      </c>
      <c r="D1196">
        <v>112</v>
      </c>
      <c r="E1196">
        <v>96.673466341466494</v>
      </c>
      <c r="F1196">
        <v>1.1067817897414001</v>
      </c>
      <c r="G1196">
        <v>7340.1420283553898</v>
      </c>
      <c r="H1196">
        <v>633.05171066211597</v>
      </c>
      <c r="I1196">
        <v>0.66123460154297597</v>
      </c>
      <c r="J1196">
        <v>0.23016323552174101</v>
      </c>
      <c r="K1196">
        <v>0.66479552001723097</v>
      </c>
      <c r="L1196" t="s">
        <v>49</v>
      </c>
      <c r="M1196" t="s">
        <v>34</v>
      </c>
      <c r="N1196" t="s">
        <v>35</v>
      </c>
      <c r="O1196">
        <v>0.78791157980438098</v>
      </c>
      <c r="P1196" t="s">
        <v>36</v>
      </c>
    </row>
    <row r="1197" spans="1:16">
      <c r="A1197">
        <v>1196</v>
      </c>
      <c r="B1197" t="s">
        <v>1255</v>
      </c>
      <c r="C1197">
        <v>110</v>
      </c>
      <c r="D1197">
        <v>118</v>
      </c>
      <c r="E1197">
        <v>96.772271980469</v>
      </c>
      <c r="F1197">
        <v>0.93087556631562096</v>
      </c>
      <c r="G1197">
        <v>7355.1537595463196</v>
      </c>
      <c r="H1197">
        <v>691.428718872692</v>
      </c>
      <c r="I1197">
        <v>0.51307926594444098</v>
      </c>
      <c r="J1197">
        <v>0.193333356830861</v>
      </c>
      <c r="K1197">
        <v>0.67914636656831096</v>
      </c>
      <c r="L1197" t="s">
        <v>38</v>
      </c>
      <c r="M1197" t="s">
        <v>34</v>
      </c>
      <c r="N1197" t="s">
        <v>35</v>
      </c>
      <c r="O1197">
        <v>0.84027415556847496</v>
      </c>
      <c r="P1197" t="s">
        <v>36</v>
      </c>
    </row>
    <row r="1198" spans="1:16">
      <c r="A1198">
        <v>1197</v>
      </c>
      <c r="B1198" t="s">
        <v>1256</v>
      </c>
      <c r="C1198">
        <v>117</v>
      </c>
      <c r="D1198">
        <v>147</v>
      </c>
      <c r="E1198">
        <v>96.812352424152294</v>
      </c>
      <c r="F1198">
        <v>0.79925657347647505</v>
      </c>
      <c r="G1198">
        <v>7361.2476306238204</v>
      </c>
      <c r="H1198">
        <v>843.51891894827702</v>
      </c>
      <c r="I1198">
        <v>0.43635265112160598</v>
      </c>
      <c r="J1198">
        <v>0.13000846668278801</v>
      </c>
      <c r="K1198">
        <v>0.58602125091700796</v>
      </c>
      <c r="L1198" t="s">
        <v>38</v>
      </c>
      <c r="M1198" t="s">
        <v>34</v>
      </c>
      <c r="N1198" t="s">
        <v>35</v>
      </c>
      <c r="O1198">
        <v>0.89614061751992502</v>
      </c>
      <c r="P1198" t="s">
        <v>36</v>
      </c>
    </row>
    <row r="1199" spans="1:16">
      <c r="A1199">
        <v>1198</v>
      </c>
      <c r="B1199" t="s">
        <v>1257</v>
      </c>
      <c r="C1199">
        <v>139</v>
      </c>
      <c r="D1199">
        <v>124</v>
      </c>
      <c r="E1199">
        <v>96.833852164520593</v>
      </c>
      <c r="F1199">
        <v>1.12285851651303</v>
      </c>
      <c r="G1199">
        <v>7364.5175126654103</v>
      </c>
      <c r="H1199">
        <v>631.35461366601601</v>
      </c>
      <c r="I1199">
        <v>0.60362460790929195</v>
      </c>
      <c r="J1199">
        <v>0.23217071902130401</v>
      </c>
      <c r="K1199">
        <v>0.61187468355993502</v>
      </c>
      <c r="L1199" t="s">
        <v>74</v>
      </c>
      <c r="M1199" t="s">
        <v>34</v>
      </c>
      <c r="N1199" t="s">
        <v>35</v>
      </c>
      <c r="O1199">
        <v>0.65474177827659497</v>
      </c>
      <c r="P1199" t="s">
        <v>36</v>
      </c>
    </row>
    <row r="1200" spans="1:16">
      <c r="A1200">
        <v>1199</v>
      </c>
      <c r="B1200" t="s">
        <v>1258</v>
      </c>
      <c r="C1200">
        <v>196</v>
      </c>
      <c r="D1200">
        <v>130</v>
      </c>
      <c r="E1200">
        <v>96.876837331036796</v>
      </c>
      <c r="F1200">
        <v>1.50534866250713</v>
      </c>
      <c r="G1200">
        <v>7371.0572767485801</v>
      </c>
      <c r="H1200">
        <v>1146.8413683629001</v>
      </c>
      <c r="I1200">
        <v>0.60538930887758002</v>
      </c>
      <c r="J1200">
        <v>7.0425988171933102E-2</v>
      </c>
      <c r="K1200">
        <v>0.37914847745812302</v>
      </c>
      <c r="L1200" t="s">
        <v>38</v>
      </c>
      <c r="M1200" t="s">
        <v>34</v>
      </c>
      <c r="N1200" t="s">
        <v>35</v>
      </c>
      <c r="O1200">
        <v>0.75960378572790199</v>
      </c>
      <c r="P1200" t="s">
        <v>36</v>
      </c>
    </row>
    <row r="1201" spans="1:16">
      <c r="A1201">
        <v>1200</v>
      </c>
      <c r="B1201" t="s">
        <v>1259</v>
      </c>
      <c r="C1201">
        <v>104</v>
      </c>
      <c r="D1201">
        <v>132</v>
      </c>
      <c r="E1201">
        <v>96.902743214120704</v>
      </c>
      <c r="F1201">
        <v>0.79145739776491197</v>
      </c>
      <c r="G1201">
        <v>7375</v>
      </c>
      <c r="H1201">
        <v>667.69551992416405</v>
      </c>
      <c r="I1201">
        <v>0.85076955116979303</v>
      </c>
      <c r="J1201">
        <v>0.20788107989034099</v>
      </c>
      <c r="K1201">
        <v>0.64060803474484296</v>
      </c>
      <c r="L1201" t="s">
        <v>298</v>
      </c>
      <c r="M1201" t="s">
        <v>34</v>
      </c>
      <c r="N1201" t="s">
        <v>35</v>
      </c>
      <c r="O1201">
        <v>0.86460101101588005</v>
      </c>
      <c r="P1201" t="s">
        <v>36</v>
      </c>
    </row>
    <row r="1202" spans="1:16">
      <c r="A1202">
        <v>1201</v>
      </c>
      <c r="B1202" t="s">
        <v>1260</v>
      </c>
      <c r="C1202">
        <v>136</v>
      </c>
      <c r="D1202">
        <v>196</v>
      </c>
      <c r="E1202">
        <v>96.9442075073989</v>
      </c>
      <c r="F1202">
        <v>0.69326770436239105</v>
      </c>
      <c r="G1202">
        <v>7381.3128158790196</v>
      </c>
      <c r="H1202">
        <v>1288.7246727505999</v>
      </c>
      <c r="I1202">
        <v>0.55471566829139796</v>
      </c>
      <c r="J1202">
        <v>5.58500014188456E-2</v>
      </c>
      <c r="K1202">
        <v>0.36791299645140502</v>
      </c>
      <c r="L1202" t="s">
        <v>33</v>
      </c>
      <c r="M1202" t="s">
        <v>34</v>
      </c>
      <c r="N1202" t="s">
        <v>35</v>
      </c>
      <c r="O1202">
        <v>0.69852431951780802</v>
      </c>
      <c r="P1202" t="s">
        <v>36</v>
      </c>
    </row>
    <row r="1203" spans="1:16">
      <c r="A1203">
        <v>1202</v>
      </c>
      <c r="B1203" t="s">
        <v>1261</v>
      </c>
      <c r="C1203">
        <v>177</v>
      </c>
      <c r="D1203">
        <v>103</v>
      </c>
      <c r="E1203">
        <v>97.057362121904802</v>
      </c>
      <c r="F1203">
        <v>1.7248605354253901</v>
      </c>
      <c r="G1203">
        <v>7398.5540120982996</v>
      </c>
      <c r="H1203">
        <v>568.02800858850105</v>
      </c>
      <c r="I1203">
        <v>0.60182122245632996</v>
      </c>
      <c r="J1203">
        <v>0.288149062821137</v>
      </c>
      <c r="K1203">
        <v>0.58819080929704903</v>
      </c>
      <c r="L1203" t="s">
        <v>288</v>
      </c>
      <c r="M1203" t="s">
        <v>34</v>
      </c>
      <c r="N1203" t="s">
        <v>35</v>
      </c>
      <c r="O1203">
        <v>0.73288186073561401</v>
      </c>
      <c r="P1203" t="s">
        <v>36</v>
      </c>
    </row>
    <row r="1204" spans="1:16">
      <c r="A1204">
        <v>1203</v>
      </c>
      <c r="B1204" t="s">
        <v>1262</v>
      </c>
      <c r="C1204">
        <v>156</v>
      </c>
      <c r="D1204">
        <v>107</v>
      </c>
      <c r="E1204">
        <v>97.201540557242495</v>
      </c>
      <c r="F1204">
        <v>1.46428563087395</v>
      </c>
      <c r="G1204">
        <v>7420.55140037807</v>
      </c>
      <c r="H1204">
        <v>920.21412965981904</v>
      </c>
      <c r="I1204">
        <v>0.55936388499482403</v>
      </c>
      <c r="J1204">
        <v>0.11012051829357</v>
      </c>
      <c r="K1204">
        <v>0.51953755059991502</v>
      </c>
      <c r="L1204" t="s">
        <v>41</v>
      </c>
      <c r="M1204" t="s">
        <v>34</v>
      </c>
      <c r="N1204" t="s">
        <v>35</v>
      </c>
      <c r="O1204">
        <v>0.70807476257802304</v>
      </c>
      <c r="P1204" t="s">
        <v>36</v>
      </c>
    </row>
    <row r="1205" spans="1:16">
      <c r="A1205">
        <v>1204</v>
      </c>
      <c r="B1205" t="s">
        <v>1263</v>
      </c>
      <c r="C1205">
        <v>86</v>
      </c>
      <c r="D1205">
        <v>159</v>
      </c>
      <c r="E1205">
        <v>97.394222663754306</v>
      </c>
      <c r="F1205">
        <v>0.53789733191311595</v>
      </c>
      <c r="G1205">
        <v>7450</v>
      </c>
      <c r="H1205">
        <v>552.84270763397205</v>
      </c>
      <c r="I1205">
        <v>0.80175579231038696</v>
      </c>
      <c r="J1205">
        <v>0.30631126306531897</v>
      </c>
      <c r="K1205">
        <v>0.70035252643948298</v>
      </c>
      <c r="L1205" t="s">
        <v>38</v>
      </c>
      <c r="M1205" t="s">
        <v>34</v>
      </c>
      <c r="N1205" t="s">
        <v>35</v>
      </c>
      <c r="O1205">
        <v>0.70145602989047295</v>
      </c>
      <c r="P1205" t="s">
        <v>36</v>
      </c>
    </row>
    <row r="1206" spans="1:16">
      <c r="A1206">
        <v>1205</v>
      </c>
      <c r="B1206" t="s">
        <v>1264</v>
      </c>
      <c r="C1206">
        <v>102</v>
      </c>
      <c r="D1206">
        <v>168</v>
      </c>
      <c r="E1206">
        <v>97.410608783515201</v>
      </c>
      <c r="F1206">
        <v>0.61008389040760302</v>
      </c>
      <c r="G1206">
        <v>7452.5070657844999</v>
      </c>
      <c r="H1206">
        <v>886.32375447843401</v>
      </c>
      <c r="I1206">
        <v>0.67186531621883305</v>
      </c>
      <c r="J1206">
        <v>0.119214061007287</v>
      </c>
      <c r="K1206">
        <v>0.48940489785560198</v>
      </c>
      <c r="L1206" t="s">
        <v>38</v>
      </c>
      <c r="M1206" t="s">
        <v>34</v>
      </c>
      <c r="N1206" t="s">
        <v>35</v>
      </c>
      <c r="O1206">
        <v>0.76592794320024704</v>
      </c>
      <c r="P1206" t="s">
        <v>36</v>
      </c>
    </row>
    <row r="1207" spans="1:16">
      <c r="A1207">
        <v>1206</v>
      </c>
      <c r="B1207" t="s">
        <v>1265</v>
      </c>
      <c r="C1207">
        <v>134</v>
      </c>
      <c r="D1207">
        <v>113</v>
      </c>
      <c r="E1207">
        <v>97.444600691861595</v>
      </c>
      <c r="F1207">
        <v>1.1835749062911201</v>
      </c>
      <c r="G1207">
        <v>7457.7091508506601</v>
      </c>
      <c r="H1207">
        <v>728.64519560274903</v>
      </c>
      <c r="I1207">
        <v>0.64334249709660196</v>
      </c>
      <c r="J1207">
        <v>0.176515600550638</v>
      </c>
      <c r="K1207">
        <v>0.71183747588241997</v>
      </c>
      <c r="L1207" t="s">
        <v>38</v>
      </c>
      <c r="M1207" t="s">
        <v>34</v>
      </c>
      <c r="N1207" t="s">
        <v>35</v>
      </c>
      <c r="O1207">
        <v>0.84879606092944804</v>
      </c>
      <c r="P1207" t="s">
        <v>36</v>
      </c>
    </row>
    <row r="1208" spans="1:16">
      <c r="A1208">
        <v>1207</v>
      </c>
      <c r="B1208" t="s">
        <v>1266</v>
      </c>
      <c r="C1208">
        <v>119</v>
      </c>
      <c r="D1208">
        <v>108</v>
      </c>
      <c r="E1208">
        <v>97.447513732285103</v>
      </c>
      <c r="F1208">
        <v>1.0982320458397199</v>
      </c>
      <c r="G1208">
        <v>7458.1550438563299</v>
      </c>
      <c r="H1208">
        <v>535.41515727343801</v>
      </c>
      <c r="I1208">
        <v>0.61421131035099596</v>
      </c>
      <c r="J1208">
        <v>0.32693389472737699</v>
      </c>
      <c r="K1208">
        <v>0.71293191634462405</v>
      </c>
      <c r="L1208" t="s">
        <v>47</v>
      </c>
      <c r="M1208" t="s">
        <v>34</v>
      </c>
      <c r="N1208" t="s">
        <v>35</v>
      </c>
      <c r="O1208">
        <v>0.92419425463103999</v>
      </c>
      <c r="P1208" t="s">
        <v>36</v>
      </c>
    </row>
    <row r="1209" spans="1:16">
      <c r="A1209">
        <v>1208</v>
      </c>
      <c r="B1209" t="s">
        <v>1267</v>
      </c>
      <c r="C1209">
        <v>142</v>
      </c>
      <c r="D1209">
        <v>152</v>
      </c>
      <c r="E1209">
        <v>97.461106769687504</v>
      </c>
      <c r="F1209">
        <v>0.93525178434562095</v>
      </c>
      <c r="G1209">
        <v>7460.2358778828002</v>
      </c>
      <c r="H1209">
        <v>1411.97979590924</v>
      </c>
      <c r="I1209">
        <v>0.54273917912043401</v>
      </c>
      <c r="J1209">
        <v>4.7022472204836803E-2</v>
      </c>
      <c r="K1209">
        <v>0.41062707080623401</v>
      </c>
      <c r="L1209" t="s">
        <v>49</v>
      </c>
      <c r="M1209" t="s">
        <v>34</v>
      </c>
      <c r="N1209" t="s">
        <v>35</v>
      </c>
      <c r="O1209">
        <v>0.85101126330756105</v>
      </c>
      <c r="P1209" t="s">
        <v>36</v>
      </c>
    </row>
    <row r="1210" spans="1:16">
      <c r="A1210">
        <v>1209</v>
      </c>
      <c r="B1210" t="s">
        <v>1268</v>
      </c>
      <c r="C1210">
        <v>136</v>
      </c>
      <c r="D1210">
        <v>134</v>
      </c>
      <c r="E1210">
        <v>97.626014056362493</v>
      </c>
      <c r="F1210">
        <v>1.0200729625921801</v>
      </c>
      <c r="G1210">
        <v>7485.5031482041604</v>
      </c>
      <c r="H1210">
        <v>724.10026039279001</v>
      </c>
      <c r="I1210">
        <v>0.60962503163717996</v>
      </c>
      <c r="J1210">
        <v>0.17940455032038</v>
      </c>
      <c r="K1210">
        <v>0.59962376921336802</v>
      </c>
      <c r="L1210" t="s">
        <v>211</v>
      </c>
      <c r="M1210" t="s">
        <v>34</v>
      </c>
      <c r="N1210" t="s">
        <v>35</v>
      </c>
      <c r="O1210">
        <v>0.70395018501563</v>
      </c>
      <c r="P1210" t="s">
        <v>36</v>
      </c>
    </row>
    <row r="1211" spans="1:16">
      <c r="A1211">
        <v>1210</v>
      </c>
      <c r="B1211" t="s">
        <v>1269</v>
      </c>
      <c r="C1211">
        <v>124</v>
      </c>
      <c r="D1211">
        <v>95</v>
      </c>
      <c r="E1211">
        <v>97.645396603816906</v>
      </c>
      <c r="F1211">
        <v>1.30259919529335</v>
      </c>
      <c r="G1211">
        <v>7488.4757682419704</v>
      </c>
      <c r="H1211">
        <v>579.47643541885498</v>
      </c>
      <c r="I1211">
        <v>0.67569994882405104</v>
      </c>
      <c r="J1211">
        <v>0.280241038012771</v>
      </c>
      <c r="K1211">
        <v>0.79253444912854698</v>
      </c>
      <c r="L1211" t="s">
        <v>33</v>
      </c>
      <c r="M1211" t="s">
        <v>34</v>
      </c>
      <c r="N1211" t="s">
        <v>35</v>
      </c>
      <c r="O1211">
        <v>0.67726647034081</v>
      </c>
      <c r="P1211" t="s">
        <v>36</v>
      </c>
    </row>
    <row r="1212" spans="1:16">
      <c r="A1212">
        <v>1211</v>
      </c>
      <c r="B1212" t="s">
        <v>1270</v>
      </c>
      <c r="C1212">
        <v>149</v>
      </c>
      <c r="D1212">
        <v>81</v>
      </c>
      <c r="E1212">
        <v>97.665744138717798</v>
      </c>
      <c r="F1212">
        <v>1.84564835515975</v>
      </c>
      <c r="G1212">
        <v>7491.5970192816603</v>
      </c>
      <c r="H1212">
        <v>557.775717938257</v>
      </c>
      <c r="I1212">
        <v>0.61419978857635105</v>
      </c>
      <c r="J1212">
        <v>0.30259731103915699</v>
      </c>
      <c r="K1212">
        <v>0.74861131739194997</v>
      </c>
      <c r="L1212" t="s">
        <v>38</v>
      </c>
      <c r="M1212" t="s">
        <v>34</v>
      </c>
      <c r="N1212" t="s">
        <v>35</v>
      </c>
      <c r="O1212">
        <v>0.69301041105410599</v>
      </c>
      <c r="P1212" t="s">
        <v>36</v>
      </c>
    </row>
    <row r="1213" spans="1:16">
      <c r="A1213">
        <v>1212</v>
      </c>
      <c r="B1213" t="s">
        <v>1271</v>
      </c>
      <c r="C1213">
        <v>166</v>
      </c>
      <c r="D1213">
        <v>147</v>
      </c>
      <c r="E1213">
        <v>97.756771672720703</v>
      </c>
      <c r="F1213">
        <v>1.1338289962825301</v>
      </c>
      <c r="G1213">
        <v>7505.5683334593596</v>
      </c>
      <c r="H1213">
        <v>1477.35108566492</v>
      </c>
      <c r="I1213">
        <v>0.61461940976774798</v>
      </c>
      <c r="J1213">
        <v>4.3214154072210201E-2</v>
      </c>
      <c r="K1213">
        <v>0.41957890888545502</v>
      </c>
      <c r="L1213" t="s">
        <v>38</v>
      </c>
      <c r="M1213" t="s">
        <v>34</v>
      </c>
      <c r="N1213" t="s">
        <v>35</v>
      </c>
      <c r="O1213">
        <v>0.73604027666427096</v>
      </c>
      <c r="P1213" t="s">
        <v>36</v>
      </c>
    </row>
    <row r="1214" spans="1:16">
      <c r="A1214">
        <v>1213</v>
      </c>
      <c r="B1214" t="s">
        <v>1272</v>
      </c>
      <c r="C1214">
        <v>97</v>
      </c>
      <c r="D1214">
        <v>146</v>
      </c>
      <c r="E1214">
        <v>97.820634005501901</v>
      </c>
      <c r="F1214">
        <v>0.665079532260474</v>
      </c>
      <c r="G1214">
        <v>7515.3779795841201</v>
      </c>
      <c r="H1214">
        <v>607.826123536566</v>
      </c>
      <c r="I1214">
        <v>0.62022439110815397</v>
      </c>
      <c r="J1214">
        <v>0.25562420160264698</v>
      </c>
      <c r="K1214">
        <v>0.69196556867789705</v>
      </c>
      <c r="L1214" t="s">
        <v>43</v>
      </c>
      <c r="M1214" t="s">
        <v>34</v>
      </c>
      <c r="N1214" t="s">
        <v>35</v>
      </c>
      <c r="O1214">
        <v>0.689139557995881</v>
      </c>
      <c r="P1214" t="s">
        <v>36</v>
      </c>
    </row>
    <row r="1215" spans="1:16">
      <c r="A1215">
        <v>1214</v>
      </c>
      <c r="B1215" t="s">
        <v>1273</v>
      </c>
      <c r="C1215">
        <v>124</v>
      </c>
      <c r="D1215">
        <v>153</v>
      </c>
      <c r="E1215">
        <v>97.854483482667604</v>
      </c>
      <c r="F1215">
        <v>0.80950512776198902</v>
      </c>
      <c r="G1215">
        <v>7520.5800646502803</v>
      </c>
      <c r="H1215">
        <v>725.92575626756798</v>
      </c>
      <c r="I1215">
        <v>0.55283425113769802</v>
      </c>
      <c r="J1215">
        <v>0.17933984570504699</v>
      </c>
      <c r="K1215">
        <v>0.577739464039004</v>
      </c>
      <c r="L1215" t="s">
        <v>38</v>
      </c>
      <c r="M1215" t="s">
        <v>34</v>
      </c>
      <c r="N1215" t="s">
        <v>35</v>
      </c>
      <c r="O1215">
        <v>0.69245761366070402</v>
      </c>
      <c r="P1215" t="s">
        <v>36</v>
      </c>
    </row>
    <row r="1216" spans="1:16">
      <c r="A1216">
        <v>1215</v>
      </c>
      <c r="B1216" t="s">
        <v>1274</v>
      </c>
      <c r="C1216">
        <v>162</v>
      </c>
      <c r="D1216">
        <v>147</v>
      </c>
      <c r="E1216">
        <v>97.912483932389804</v>
      </c>
      <c r="F1216">
        <v>1.10408921933085</v>
      </c>
      <c r="G1216">
        <v>7529.4979247637102</v>
      </c>
      <c r="H1216">
        <v>1125.4522458405099</v>
      </c>
      <c r="I1216">
        <v>0.65389766912988601</v>
      </c>
      <c r="J1216">
        <v>7.47001953706911E-2</v>
      </c>
      <c r="K1216">
        <v>0.39972698723310202</v>
      </c>
      <c r="L1216" t="s">
        <v>38</v>
      </c>
      <c r="M1216" t="s">
        <v>34</v>
      </c>
      <c r="N1216" t="s">
        <v>35</v>
      </c>
      <c r="O1216">
        <v>0.84574241895634805</v>
      </c>
      <c r="P1216" t="s">
        <v>36</v>
      </c>
    </row>
    <row r="1217" spans="1:16">
      <c r="A1217">
        <v>1216</v>
      </c>
      <c r="B1217" t="s">
        <v>1275</v>
      </c>
      <c r="C1217">
        <v>121</v>
      </c>
      <c r="D1217">
        <v>166</v>
      </c>
      <c r="E1217">
        <v>98.104606623631099</v>
      </c>
      <c r="F1217">
        <v>0.72966276111056905</v>
      </c>
      <c r="G1217">
        <v>7559.07549413989</v>
      </c>
      <c r="H1217">
        <v>699.60422512510604</v>
      </c>
      <c r="I1217">
        <v>0.69704116738882305</v>
      </c>
      <c r="J1217">
        <v>0.19407683426580599</v>
      </c>
      <c r="K1217">
        <v>0.50323563752943701</v>
      </c>
      <c r="L1217" t="s">
        <v>298</v>
      </c>
      <c r="M1217" t="s">
        <v>34</v>
      </c>
      <c r="N1217" t="s">
        <v>35</v>
      </c>
      <c r="O1217">
        <v>0.66528219848515802</v>
      </c>
      <c r="P1217" t="s">
        <v>36</v>
      </c>
    </row>
    <row r="1218" spans="1:16">
      <c r="A1218">
        <v>1217</v>
      </c>
      <c r="B1218" t="s">
        <v>1276</v>
      </c>
      <c r="C1218">
        <v>147</v>
      </c>
      <c r="D1218">
        <v>147</v>
      </c>
      <c r="E1218">
        <v>98.2250945503487</v>
      </c>
      <c r="F1218">
        <v>1</v>
      </c>
      <c r="G1218">
        <v>7577.6543693761796</v>
      </c>
      <c r="H1218">
        <v>1274.82300658091</v>
      </c>
      <c r="I1218">
        <v>0.65941831437246001</v>
      </c>
      <c r="J1218">
        <v>5.8592883520055199E-2</v>
      </c>
      <c r="K1218">
        <v>0.38202676577697198</v>
      </c>
      <c r="L1218" t="s">
        <v>49</v>
      </c>
      <c r="M1218" t="s">
        <v>34</v>
      </c>
      <c r="N1218" t="s">
        <v>35</v>
      </c>
      <c r="O1218">
        <v>0.75026471069108003</v>
      </c>
      <c r="P1218" t="s">
        <v>36</v>
      </c>
    </row>
    <row r="1219" spans="1:16">
      <c r="A1219">
        <v>1218</v>
      </c>
      <c r="B1219" t="s">
        <v>1277</v>
      </c>
      <c r="C1219">
        <v>121</v>
      </c>
      <c r="D1219">
        <v>132</v>
      </c>
      <c r="E1219">
        <v>98.242432640230305</v>
      </c>
      <c r="F1219">
        <v>0.91735536147886698</v>
      </c>
      <c r="G1219">
        <v>7580.3297274102097</v>
      </c>
      <c r="H1219">
        <v>577.74172946878105</v>
      </c>
      <c r="I1219">
        <v>0.50999812602578098</v>
      </c>
      <c r="J1219">
        <v>0.28538456892242298</v>
      </c>
      <c r="K1219">
        <v>0.66970874806313496</v>
      </c>
      <c r="L1219" t="s">
        <v>33</v>
      </c>
      <c r="M1219" t="s">
        <v>34</v>
      </c>
      <c r="N1219" t="s">
        <v>35</v>
      </c>
      <c r="O1219">
        <v>0.75604831523059801</v>
      </c>
      <c r="P1219" t="s">
        <v>36</v>
      </c>
    </row>
    <row r="1220" spans="1:16">
      <c r="A1220">
        <v>1219</v>
      </c>
      <c r="B1220" t="s">
        <v>1278</v>
      </c>
      <c r="C1220">
        <v>147</v>
      </c>
      <c r="D1220">
        <v>182</v>
      </c>
      <c r="E1220">
        <v>98.336775278884701</v>
      </c>
      <c r="F1220">
        <v>0.81081081081081097</v>
      </c>
      <c r="G1220">
        <v>7594.8955655954596</v>
      </c>
      <c r="H1220">
        <v>1254.07264599168</v>
      </c>
      <c r="I1220">
        <v>0.58836066113552499</v>
      </c>
      <c r="J1220">
        <v>6.0685688053928398E-2</v>
      </c>
      <c r="K1220">
        <v>0.42829483354008102</v>
      </c>
      <c r="L1220" t="s">
        <v>38</v>
      </c>
      <c r="M1220" t="s">
        <v>34</v>
      </c>
      <c r="N1220" t="s">
        <v>35</v>
      </c>
      <c r="O1220">
        <v>0.68975106540466802</v>
      </c>
      <c r="P1220" t="s">
        <v>36</v>
      </c>
    </row>
    <row r="1221" spans="1:16">
      <c r="A1221">
        <v>1220</v>
      </c>
      <c r="B1221" t="s">
        <v>1279</v>
      </c>
      <c r="C1221">
        <v>103</v>
      </c>
      <c r="D1221">
        <v>166</v>
      </c>
      <c r="E1221">
        <v>98.388721341348997</v>
      </c>
      <c r="F1221">
        <v>0.61639344262295104</v>
      </c>
      <c r="G1221">
        <v>7602.9216396975398</v>
      </c>
      <c r="H1221">
        <v>1244.83880467633</v>
      </c>
      <c r="I1221">
        <v>0.701099053579607</v>
      </c>
      <c r="J1221">
        <v>6.16544095073066E-2</v>
      </c>
      <c r="K1221">
        <v>0.51127947305820098</v>
      </c>
      <c r="L1221" t="s">
        <v>49</v>
      </c>
      <c r="M1221" t="s">
        <v>34</v>
      </c>
      <c r="N1221" t="s">
        <v>35</v>
      </c>
      <c r="O1221">
        <v>0.804212346101704</v>
      </c>
      <c r="P1221" t="s">
        <v>36</v>
      </c>
    </row>
    <row r="1222" spans="1:16">
      <c r="A1222">
        <v>1221</v>
      </c>
      <c r="B1222" t="s">
        <v>1280</v>
      </c>
      <c r="C1222">
        <v>92</v>
      </c>
      <c r="D1222">
        <v>171</v>
      </c>
      <c r="E1222">
        <v>98.404107501122695</v>
      </c>
      <c r="F1222">
        <v>0.53935921534840403</v>
      </c>
      <c r="G1222">
        <v>7605.29973572779</v>
      </c>
      <c r="H1222">
        <v>626.91537985356001</v>
      </c>
      <c r="I1222">
        <v>0.67116395141095397</v>
      </c>
      <c r="J1222">
        <v>0.243169079190521</v>
      </c>
      <c r="K1222">
        <v>0.637159436170743</v>
      </c>
      <c r="L1222" t="s">
        <v>211</v>
      </c>
      <c r="M1222" t="s">
        <v>34</v>
      </c>
      <c r="N1222" t="s">
        <v>35</v>
      </c>
      <c r="O1222">
        <v>0.66288980803400499</v>
      </c>
      <c r="P1222" t="s">
        <v>36</v>
      </c>
    </row>
    <row r="1223" spans="1:16">
      <c r="A1223">
        <v>1222</v>
      </c>
      <c r="B1223" t="s">
        <v>1281</v>
      </c>
      <c r="C1223">
        <v>169</v>
      </c>
      <c r="D1223">
        <v>82</v>
      </c>
      <c r="E1223">
        <v>98.413722629439803</v>
      </c>
      <c r="F1223">
        <v>2.0599557164301099</v>
      </c>
      <c r="G1223">
        <v>7606.7860457466904</v>
      </c>
      <c r="H1223">
        <v>478.89963766149901</v>
      </c>
      <c r="I1223">
        <v>0.595312726342064</v>
      </c>
      <c r="J1223">
        <v>0.41679456607172299</v>
      </c>
      <c r="K1223">
        <v>0.80370294759653904</v>
      </c>
      <c r="L1223" t="s">
        <v>38</v>
      </c>
      <c r="M1223" t="s">
        <v>34</v>
      </c>
      <c r="N1223" t="s">
        <v>35</v>
      </c>
      <c r="O1223">
        <v>0.87596569174688399</v>
      </c>
      <c r="P1223" t="s">
        <v>36</v>
      </c>
    </row>
    <row r="1224" spans="1:16">
      <c r="A1224">
        <v>1223</v>
      </c>
      <c r="B1224" t="s">
        <v>1282</v>
      </c>
      <c r="C1224">
        <v>113</v>
      </c>
      <c r="D1224">
        <v>119</v>
      </c>
      <c r="E1224">
        <v>98.517506219228807</v>
      </c>
      <c r="F1224">
        <v>0.95412844036697297</v>
      </c>
      <c r="G1224">
        <v>7622.8381939508499</v>
      </c>
      <c r="H1224">
        <v>540.30606393534197</v>
      </c>
      <c r="I1224">
        <v>0.58587165475778002</v>
      </c>
      <c r="J1224">
        <v>0.328130712775553</v>
      </c>
      <c r="K1224">
        <v>0.75808907217713895</v>
      </c>
      <c r="L1224" t="s">
        <v>33</v>
      </c>
      <c r="M1224" t="s">
        <v>34</v>
      </c>
      <c r="N1224" t="s">
        <v>35</v>
      </c>
      <c r="O1224">
        <v>0.67516614121893703</v>
      </c>
      <c r="P1224" t="s">
        <v>36</v>
      </c>
    </row>
    <row r="1225" spans="1:16">
      <c r="A1225">
        <v>1224</v>
      </c>
      <c r="B1225" t="s">
        <v>1283</v>
      </c>
      <c r="C1225">
        <v>108</v>
      </c>
      <c r="D1225">
        <v>201</v>
      </c>
      <c r="E1225">
        <v>98.530951643756694</v>
      </c>
      <c r="F1225">
        <v>0.537246071161529</v>
      </c>
      <c r="G1225">
        <v>7624.9190279773202</v>
      </c>
      <c r="H1225">
        <v>1014.26323019432</v>
      </c>
      <c r="I1225">
        <v>0.73903330869231498</v>
      </c>
      <c r="J1225">
        <v>9.3141609278074397E-2</v>
      </c>
      <c r="K1225">
        <v>0.51148067278836296</v>
      </c>
      <c r="L1225" t="s">
        <v>873</v>
      </c>
      <c r="M1225" t="s">
        <v>34</v>
      </c>
      <c r="N1225" t="s">
        <v>35</v>
      </c>
      <c r="O1225">
        <v>0.68317174524398605</v>
      </c>
      <c r="P1225" t="s">
        <v>36</v>
      </c>
    </row>
    <row r="1226" spans="1:16">
      <c r="A1226">
        <v>1225</v>
      </c>
      <c r="B1226" t="s">
        <v>1284</v>
      </c>
      <c r="C1226">
        <v>166</v>
      </c>
      <c r="D1226">
        <v>147</v>
      </c>
      <c r="E1226">
        <v>98.643245321301293</v>
      </c>
      <c r="F1226">
        <v>1.1338289962825301</v>
      </c>
      <c r="G1226">
        <v>7642.3088551984902</v>
      </c>
      <c r="H1226">
        <v>1189.3722178888299</v>
      </c>
      <c r="I1226">
        <v>0.59907516198661703</v>
      </c>
      <c r="J1226">
        <v>6.7888915296188498E-2</v>
      </c>
      <c r="K1226">
        <v>0.41957094713135201</v>
      </c>
      <c r="L1226" t="s">
        <v>72</v>
      </c>
      <c r="M1226" t="s">
        <v>34</v>
      </c>
      <c r="N1226" t="s">
        <v>35</v>
      </c>
      <c r="O1226">
        <v>0.70640647440141802</v>
      </c>
      <c r="P1226" t="s">
        <v>36</v>
      </c>
    </row>
    <row r="1227" spans="1:16">
      <c r="A1227">
        <v>1226</v>
      </c>
      <c r="B1227" t="s">
        <v>1285</v>
      </c>
      <c r="C1227">
        <v>105</v>
      </c>
      <c r="D1227">
        <v>148</v>
      </c>
      <c r="E1227">
        <v>98.900941245915106</v>
      </c>
      <c r="F1227">
        <v>0.70874485367778395</v>
      </c>
      <c r="G1227">
        <v>7682.2905947070003</v>
      </c>
      <c r="H1227">
        <v>780.099907715943</v>
      </c>
      <c r="I1227">
        <v>0.71090972347075299</v>
      </c>
      <c r="J1227">
        <v>0.15863541240989601</v>
      </c>
      <c r="K1227">
        <v>0.63227234917062203</v>
      </c>
      <c r="L1227" t="s">
        <v>47</v>
      </c>
      <c r="M1227" t="s">
        <v>34</v>
      </c>
      <c r="N1227" t="s">
        <v>35</v>
      </c>
      <c r="O1227">
        <v>0.86060522487951696</v>
      </c>
      <c r="P1227" t="s">
        <v>36</v>
      </c>
    </row>
    <row r="1228" spans="1:16">
      <c r="A1228">
        <v>1227</v>
      </c>
      <c r="B1228" t="s">
        <v>1286</v>
      </c>
      <c r="C1228">
        <v>131</v>
      </c>
      <c r="D1228">
        <v>118</v>
      </c>
      <c r="E1228">
        <v>98.936333899572205</v>
      </c>
      <c r="F1228">
        <v>1.11574074074074</v>
      </c>
      <c r="G1228">
        <v>7687.7899417769404</v>
      </c>
      <c r="H1228">
        <v>1055.0969827241499</v>
      </c>
      <c r="I1228">
        <v>0.57427722568083595</v>
      </c>
      <c r="J1228">
        <v>8.6781391624996707E-2</v>
      </c>
      <c r="K1228">
        <v>0.62959807191372297</v>
      </c>
      <c r="L1228" t="s">
        <v>38</v>
      </c>
      <c r="M1228" t="s">
        <v>34</v>
      </c>
      <c r="N1228" t="s">
        <v>35</v>
      </c>
      <c r="O1228">
        <v>0.78403905367485205</v>
      </c>
      <c r="P1228" t="s">
        <v>36</v>
      </c>
    </row>
    <row r="1229" spans="1:16">
      <c r="A1229">
        <v>1228</v>
      </c>
      <c r="B1229" t="s">
        <v>1287</v>
      </c>
      <c r="C1229">
        <v>147</v>
      </c>
      <c r="D1229">
        <v>137</v>
      </c>
      <c r="E1229">
        <v>98.985097624924506</v>
      </c>
      <c r="F1229">
        <v>1.0674603174603201</v>
      </c>
      <c r="G1229">
        <v>7695.3701228733498</v>
      </c>
      <c r="H1229">
        <v>929.39868300862895</v>
      </c>
      <c r="I1229">
        <v>0.58471429351600401</v>
      </c>
      <c r="J1229">
        <v>0.11195288027880899</v>
      </c>
      <c r="K1229">
        <v>0.51829939736120301</v>
      </c>
      <c r="L1229" t="s">
        <v>38</v>
      </c>
      <c r="M1229" t="s">
        <v>34</v>
      </c>
      <c r="N1229" t="s">
        <v>35</v>
      </c>
      <c r="O1229">
        <v>0.71884472579199499</v>
      </c>
      <c r="P1229" t="s">
        <v>36</v>
      </c>
    </row>
    <row r="1230" spans="1:16">
      <c r="A1230">
        <v>1229</v>
      </c>
      <c r="B1230" t="s">
        <v>1288</v>
      </c>
      <c r="C1230">
        <v>132</v>
      </c>
      <c r="D1230">
        <v>160</v>
      </c>
      <c r="E1230">
        <v>99.019504619576495</v>
      </c>
      <c r="F1230">
        <v>0.82312925170067996</v>
      </c>
      <c r="G1230">
        <v>7700.7208389414</v>
      </c>
      <c r="H1230">
        <v>1527.5337831460899</v>
      </c>
      <c r="I1230">
        <v>0.52865286603541795</v>
      </c>
      <c r="J1230">
        <v>4.14724408196138E-2</v>
      </c>
      <c r="K1230">
        <v>0.40413566091012598</v>
      </c>
      <c r="L1230" t="s">
        <v>38</v>
      </c>
      <c r="M1230" t="s">
        <v>34</v>
      </c>
      <c r="N1230" t="s">
        <v>35</v>
      </c>
      <c r="O1230">
        <v>0.76397547046722603</v>
      </c>
      <c r="P1230" t="s">
        <v>36</v>
      </c>
    </row>
    <row r="1231" spans="1:16">
      <c r="A1231">
        <v>1230</v>
      </c>
      <c r="B1231" t="s">
        <v>1289</v>
      </c>
      <c r="C1231">
        <v>148</v>
      </c>
      <c r="D1231">
        <v>141</v>
      </c>
      <c r="E1231">
        <v>99.030970961293207</v>
      </c>
      <c r="F1231">
        <v>1.0542635787286301</v>
      </c>
      <c r="G1231">
        <v>7702.5044109640803</v>
      </c>
      <c r="H1231">
        <v>966.08048297291202</v>
      </c>
      <c r="I1231">
        <v>0.56808192723563899</v>
      </c>
      <c r="J1231">
        <v>0.103708702968244</v>
      </c>
      <c r="K1231">
        <v>0.54804936600429399</v>
      </c>
      <c r="L1231" t="s">
        <v>38</v>
      </c>
      <c r="M1231" t="s">
        <v>34</v>
      </c>
      <c r="N1231" t="s">
        <v>35</v>
      </c>
      <c r="O1231">
        <v>0.76981752821328098</v>
      </c>
      <c r="P1231" t="s">
        <v>36</v>
      </c>
    </row>
    <row r="1232" spans="1:16">
      <c r="A1232">
        <v>1231</v>
      </c>
      <c r="B1232" t="s">
        <v>1290</v>
      </c>
      <c r="C1232">
        <v>142</v>
      </c>
      <c r="D1232">
        <v>142</v>
      </c>
      <c r="E1232">
        <v>99.056765377254095</v>
      </c>
      <c r="F1232">
        <v>1</v>
      </c>
      <c r="G1232">
        <v>7706.51744801512</v>
      </c>
      <c r="H1232">
        <v>677.97483254826602</v>
      </c>
      <c r="I1232">
        <v>0.62346522400692395</v>
      </c>
      <c r="J1232">
        <v>0.21068852612939501</v>
      </c>
      <c r="K1232">
        <v>0.56860551826994798</v>
      </c>
      <c r="L1232" t="s">
        <v>33</v>
      </c>
      <c r="M1232" t="s">
        <v>34</v>
      </c>
      <c r="N1232" t="s">
        <v>35</v>
      </c>
      <c r="O1232">
        <v>0.73598274631476901</v>
      </c>
      <c r="P1232" t="s">
        <v>36</v>
      </c>
    </row>
    <row r="1233" spans="1:16">
      <c r="A1233">
        <v>1232</v>
      </c>
      <c r="B1233" t="s">
        <v>1291</v>
      </c>
      <c r="C1233">
        <v>171</v>
      </c>
      <c r="D1233">
        <v>134</v>
      </c>
      <c r="E1233">
        <v>99.080643108196895</v>
      </c>
      <c r="F1233">
        <v>1.27642276422764</v>
      </c>
      <c r="G1233">
        <v>7710.2332230623797</v>
      </c>
      <c r="H1233">
        <v>1186.9682665160401</v>
      </c>
      <c r="I1233">
        <v>0.63773188609259301</v>
      </c>
      <c r="J1233">
        <v>6.8770021870245807E-2</v>
      </c>
      <c r="K1233">
        <v>0.48365141669075201</v>
      </c>
      <c r="L1233" t="s">
        <v>41</v>
      </c>
      <c r="M1233" t="s">
        <v>34</v>
      </c>
      <c r="N1233" t="s">
        <v>35</v>
      </c>
      <c r="O1233">
        <v>0.71245749560733596</v>
      </c>
      <c r="P1233" t="s">
        <v>36</v>
      </c>
    </row>
    <row r="1234" spans="1:16">
      <c r="A1234">
        <v>1233</v>
      </c>
      <c r="B1234" t="s">
        <v>1292</v>
      </c>
      <c r="C1234">
        <v>98</v>
      </c>
      <c r="D1234">
        <v>142</v>
      </c>
      <c r="E1234">
        <v>99.082553078088594</v>
      </c>
      <c r="F1234">
        <v>0.68848687589823598</v>
      </c>
      <c r="G1234">
        <v>7710.5304850661596</v>
      </c>
      <c r="H1234">
        <v>688.754674499864</v>
      </c>
      <c r="I1234">
        <v>0.64459482144451896</v>
      </c>
      <c r="J1234">
        <v>0.20425138205327301</v>
      </c>
      <c r="K1234">
        <v>0.68791439028271395</v>
      </c>
      <c r="L1234" t="s">
        <v>288</v>
      </c>
      <c r="M1234" t="s">
        <v>34</v>
      </c>
      <c r="N1234" t="s">
        <v>35</v>
      </c>
      <c r="O1234">
        <v>0.73017536750371304</v>
      </c>
      <c r="P1234" t="s">
        <v>36</v>
      </c>
    </row>
    <row r="1235" spans="1:16">
      <c r="A1235">
        <v>1234</v>
      </c>
      <c r="B1235" t="s">
        <v>1293</v>
      </c>
      <c r="C1235">
        <v>181</v>
      </c>
      <c r="D1235">
        <v>83</v>
      </c>
      <c r="E1235">
        <v>99.130290365413799</v>
      </c>
      <c r="F1235">
        <v>2.1842105263157898</v>
      </c>
      <c r="G1235">
        <v>7717.96203516068</v>
      </c>
      <c r="H1235">
        <v>829.70414969910803</v>
      </c>
      <c r="I1235">
        <v>0.77736389524559102</v>
      </c>
      <c r="J1235">
        <v>0.140885396179741</v>
      </c>
      <c r="K1235">
        <v>0.58052723370002701</v>
      </c>
      <c r="L1235" t="s">
        <v>38</v>
      </c>
      <c r="M1235" t="s">
        <v>34</v>
      </c>
      <c r="N1235" t="s">
        <v>35</v>
      </c>
      <c r="O1235">
        <v>0.88301294304107503</v>
      </c>
      <c r="P1235" t="s">
        <v>36</v>
      </c>
    </row>
    <row r="1236" spans="1:16">
      <c r="A1236">
        <v>1235</v>
      </c>
      <c r="B1236" t="s">
        <v>1294</v>
      </c>
      <c r="C1236">
        <v>82</v>
      </c>
      <c r="D1236">
        <v>169</v>
      </c>
      <c r="E1236">
        <v>99.158921706554807</v>
      </c>
      <c r="F1236">
        <v>0.48754943601214401</v>
      </c>
      <c r="G1236">
        <v>7722.4209652173904</v>
      </c>
      <c r="H1236">
        <v>601.21542239738596</v>
      </c>
      <c r="I1236">
        <v>0.63471850379560102</v>
      </c>
      <c r="J1236">
        <v>0.26847454254999598</v>
      </c>
      <c r="K1236">
        <v>0.70010645035236396</v>
      </c>
      <c r="L1236" t="s">
        <v>33</v>
      </c>
      <c r="M1236" t="s">
        <v>34</v>
      </c>
      <c r="N1236" t="s">
        <v>35</v>
      </c>
      <c r="O1236">
        <v>0.74364820899842499</v>
      </c>
      <c r="P1236" t="s">
        <v>36</v>
      </c>
    </row>
    <row r="1237" spans="1:16">
      <c r="A1237">
        <v>1236</v>
      </c>
      <c r="B1237" t="s">
        <v>1295</v>
      </c>
      <c r="C1237">
        <v>130</v>
      </c>
      <c r="D1237">
        <v>135</v>
      </c>
      <c r="E1237">
        <v>99.2018532242205</v>
      </c>
      <c r="F1237">
        <v>0.96761133203067295</v>
      </c>
      <c r="G1237">
        <v>7729.1093603024601</v>
      </c>
      <c r="H1237">
        <v>684.04696391748303</v>
      </c>
      <c r="I1237">
        <v>0.63944253145373797</v>
      </c>
      <c r="J1237">
        <v>0.20757138204699399</v>
      </c>
      <c r="K1237">
        <v>0.60763487222631196</v>
      </c>
      <c r="L1237" t="s">
        <v>33</v>
      </c>
      <c r="M1237" t="s">
        <v>34</v>
      </c>
      <c r="N1237" t="s">
        <v>35</v>
      </c>
      <c r="O1237">
        <v>0.68519117538899099</v>
      </c>
      <c r="P1237" t="s">
        <v>36</v>
      </c>
    </row>
    <row r="1238" spans="1:16">
      <c r="A1238">
        <v>1237</v>
      </c>
      <c r="B1238" t="s">
        <v>1296</v>
      </c>
      <c r="C1238">
        <v>139</v>
      </c>
      <c r="D1238">
        <v>131</v>
      </c>
      <c r="E1238">
        <v>99.341014399995601</v>
      </c>
      <c r="F1238">
        <v>1.06168777677214</v>
      </c>
      <c r="G1238">
        <v>7750.8094865784497</v>
      </c>
      <c r="H1238">
        <v>869.61575205305405</v>
      </c>
      <c r="I1238">
        <v>0.63196382881243296</v>
      </c>
      <c r="J1238">
        <v>0.12879592734352299</v>
      </c>
      <c r="K1238">
        <v>0.55240940244277104</v>
      </c>
      <c r="L1238" t="s">
        <v>41</v>
      </c>
      <c r="M1238" t="s">
        <v>34</v>
      </c>
      <c r="N1238" t="s">
        <v>35</v>
      </c>
      <c r="O1238">
        <v>0.69985446030210097</v>
      </c>
      <c r="P1238" t="s">
        <v>36</v>
      </c>
    </row>
    <row r="1239" spans="1:16">
      <c r="A1239">
        <v>1238</v>
      </c>
      <c r="B1239" t="s">
        <v>1297</v>
      </c>
      <c r="C1239">
        <v>152</v>
      </c>
      <c r="D1239">
        <v>156</v>
      </c>
      <c r="E1239">
        <v>99.369585025275896</v>
      </c>
      <c r="F1239">
        <v>0.96864110831360695</v>
      </c>
      <c r="G1239">
        <v>7755.2684166351601</v>
      </c>
      <c r="H1239">
        <v>1044.4915951575399</v>
      </c>
      <c r="I1239">
        <v>0.563726713634501</v>
      </c>
      <c r="J1239">
        <v>8.9329889848866306E-2</v>
      </c>
      <c r="K1239">
        <v>0.40248690594651299</v>
      </c>
      <c r="L1239" t="s">
        <v>873</v>
      </c>
      <c r="M1239" t="s">
        <v>34</v>
      </c>
      <c r="N1239" t="s">
        <v>35</v>
      </c>
      <c r="O1239">
        <v>0.71292873153563696</v>
      </c>
      <c r="P1239" t="s">
        <v>36</v>
      </c>
    </row>
    <row r="1240" spans="1:16">
      <c r="A1240">
        <v>1239</v>
      </c>
      <c r="B1240" t="s">
        <v>1298</v>
      </c>
      <c r="C1240">
        <v>111</v>
      </c>
      <c r="D1240">
        <v>111</v>
      </c>
      <c r="E1240">
        <v>99.396243532804505</v>
      </c>
      <c r="F1240">
        <v>0.99509803848237299</v>
      </c>
      <c r="G1240">
        <v>7759.4300846880897</v>
      </c>
      <c r="H1240">
        <v>449.90567837632199</v>
      </c>
      <c r="I1240">
        <v>0.58251348961002802</v>
      </c>
      <c r="J1240">
        <v>0.48172228671675998</v>
      </c>
      <c r="K1240">
        <v>0.82172763331864296</v>
      </c>
      <c r="L1240" t="s">
        <v>49</v>
      </c>
      <c r="M1240" t="s">
        <v>34</v>
      </c>
      <c r="N1240" t="s">
        <v>35</v>
      </c>
      <c r="O1240">
        <v>0.72674738222744195</v>
      </c>
      <c r="P1240" t="s">
        <v>36</v>
      </c>
    </row>
    <row r="1241" spans="1:16">
      <c r="A1241">
        <v>1240</v>
      </c>
      <c r="B1241" t="s">
        <v>1299</v>
      </c>
      <c r="C1241">
        <v>117</v>
      </c>
      <c r="D1241">
        <v>138</v>
      </c>
      <c r="E1241">
        <v>99.424798287489693</v>
      </c>
      <c r="F1241">
        <v>0.84980235342423505</v>
      </c>
      <c r="G1241">
        <v>7763.8890147448001</v>
      </c>
      <c r="H1241">
        <v>971.48336891941403</v>
      </c>
      <c r="I1241">
        <v>0.58814101659234197</v>
      </c>
      <c r="J1241">
        <v>0.10337569494488601</v>
      </c>
      <c r="K1241">
        <v>0.55602154429140105</v>
      </c>
      <c r="L1241" t="s">
        <v>49</v>
      </c>
      <c r="M1241" t="s">
        <v>34</v>
      </c>
      <c r="N1241" t="s">
        <v>35</v>
      </c>
      <c r="O1241">
        <v>0.76817359076801195</v>
      </c>
      <c r="P1241" t="s">
        <v>36</v>
      </c>
    </row>
    <row r="1242" spans="1:16">
      <c r="A1242">
        <v>1241</v>
      </c>
      <c r="B1242" t="s">
        <v>1300</v>
      </c>
      <c r="C1242">
        <v>101</v>
      </c>
      <c r="D1242">
        <v>156</v>
      </c>
      <c r="E1242">
        <v>99.495916802228095</v>
      </c>
      <c r="F1242">
        <v>0.64705880918755299</v>
      </c>
      <c r="G1242">
        <v>7775</v>
      </c>
      <c r="H1242">
        <v>556.984843015671</v>
      </c>
      <c r="I1242">
        <v>0.71660009234490696</v>
      </c>
      <c r="J1242">
        <v>0.31493687046767999</v>
      </c>
      <c r="K1242">
        <v>0.65199161425576502</v>
      </c>
      <c r="L1242" t="s">
        <v>41</v>
      </c>
      <c r="M1242" t="s">
        <v>34</v>
      </c>
      <c r="N1242" t="s">
        <v>35</v>
      </c>
      <c r="O1242">
        <v>0.76753435492099797</v>
      </c>
      <c r="P1242" t="s">
        <v>36</v>
      </c>
    </row>
    <row r="1243" spans="1:16">
      <c r="A1243">
        <v>1242</v>
      </c>
      <c r="B1243" t="s">
        <v>1301</v>
      </c>
      <c r="C1243">
        <v>169</v>
      </c>
      <c r="D1243">
        <v>85</v>
      </c>
      <c r="E1243">
        <v>99.6064049272006</v>
      </c>
      <c r="F1243">
        <v>1.9915876762747799</v>
      </c>
      <c r="G1243">
        <v>7792.2775361058602</v>
      </c>
      <c r="H1243">
        <v>874.048816087246</v>
      </c>
      <c r="I1243">
        <v>0.61621508833223704</v>
      </c>
      <c r="J1243">
        <v>0.12817487382050299</v>
      </c>
      <c r="K1243">
        <v>0.680657976734524</v>
      </c>
      <c r="L1243" t="s">
        <v>33</v>
      </c>
      <c r="M1243" t="s">
        <v>34</v>
      </c>
      <c r="N1243" t="s">
        <v>35</v>
      </c>
      <c r="O1243">
        <v>0.69794484513687505</v>
      </c>
      <c r="P1243" t="s">
        <v>36</v>
      </c>
    </row>
    <row r="1244" spans="1:16">
      <c r="A1244">
        <v>1243</v>
      </c>
      <c r="B1244" t="s">
        <v>1302</v>
      </c>
      <c r="C1244">
        <v>149</v>
      </c>
      <c r="D1244">
        <v>99</v>
      </c>
      <c r="E1244">
        <v>99.668132765785202</v>
      </c>
      <c r="F1244">
        <v>1.50656795483881</v>
      </c>
      <c r="G1244">
        <v>7801.9385512287299</v>
      </c>
      <c r="H1244">
        <v>532.07025124777897</v>
      </c>
      <c r="I1244">
        <v>0.70650256390694099</v>
      </c>
      <c r="J1244">
        <v>0.34631749720379701</v>
      </c>
      <c r="K1244">
        <v>0.75063635063635104</v>
      </c>
      <c r="L1244" t="s">
        <v>38</v>
      </c>
      <c r="M1244" t="s">
        <v>34</v>
      </c>
      <c r="N1244" t="s">
        <v>35</v>
      </c>
      <c r="O1244">
        <v>0.83249540736778505</v>
      </c>
      <c r="P1244" t="s">
        <v>36</v>
      </c>
    </row>
    <row r="1245" spans="1:16">
      <c r="A1245">
        <v>1244</v>
      </c>
      <c r="B1245" t="s">
        <v>1303</v>
      </c>
      <c r="C1245">
        <v>156</v>
      </c>
      <c r="D1245">
        <v>147</v>
      </c>
      <c r="E1245">
        <v>99.675727396250494</v>
      </c>
      <c r="F1245">
        <v>1.0669145133239299</v>
      </c>
      <c r="G1245">
        <v>7803.1275992438595</v>
      </c>
      <c r="H1245">
        <v>1088.8706380394201</v>
      </c>
      <c r="I1245">
        <v>0.53498589015902698</v>
      </c>
      <c r="J1245">
        <v>8.2703901720680095E-2</v>
      </c>
      <c r="K1245">
        <v>0.41249587504125002</v>
      </c>
      <c r="L1245" t="s">
        <v>144</v>
      </c>
      <c r="M1245" t="s">
        <v>34</v>
      </c>
      <c r="N1245" t="s">
        <v>35</v>
      </c>
      <c r="O1245">
        <v>0.70375349086139405</v>
      </c>
      <c r="P1245" t="s">
        <v>36</v>
      </c>
    </row>
    <row r="1246" spans="1:16">
      <c r="A1246">
        <v>1245</v>
      </c>
      <c r="B1246" t="s">
        <v>1304</v>
      </c>
      <c r="C1246">
        <v>201</v>
      </c>
      <c r="D1246">
        <v>73</v>
      </c>
      <c r="E1246">
        <v>99.8474015249936</v>
      </c>
      <c r="F1246">
        <v>2.7591437803758199</v>
      </c>
      <c r="G1246">
        <v>7830.0298105860102</v>
      </c>
      <c r="H1246">
        <v>557.08215880425098</v>
      </c>
      <c r="I1246">
        <v>0.56538978853017297</v>
      </c>
      <c r="J1246">
        <v>0.31705512649484002</v>
      </c>
      <c r="K1246">
        <v>0.74573560013023199</v>
      </c>
      <c r="L1246" t="s">
        <v>33</v>
      </c>
      <c r="M1246" t="s">
        <v>34</v>
      </c>
      <c r="N1246" t="s">
        <v>35</v>
      </c>
      <c r="O1246">
        <v>0.73869563013249895</v>
      </c>
      <c r="P1246" t="s">
        <v>36</v>
      </c>
    </row>
    <row r="1247" spans="1:16">
      <c r="A1247">
        <v>1246</v>
      </c>
      <c r="B1247" t="s">
        <v>1305</v>
      </c>
      <c r="C1247">
        <v>108</v>
      </c>
      <c r="D1247">
        <v>152</v>
      </c>
      <c r="E1247">
        <v>100.01215851350599</v>
      </c>
      <c r="F1247">
        <v>0.71223021582733803</v>
      </c>
      <c r="G1247">
        <v>7855.8916049149302</v>
      </c>
      <c r="H1247">
        <v>1066.0263048054901</v>
      </c>
      <c r="I1247">
        <v>0.60564693127219404</v>
      </c>
      <c r="J1247">
        <v>8.6869936469862394E-2</v>
      </c>
      <c r="K1247">
        <v>0.51662121611979395</v>
      </c>
      <c r="L1247" t="s">
        <v>41</v>
      </c>
      <c r="M1247" t="s">
        <v>34</v>
      </c>
      <c r="N1247" t="s">
        <v>35</v>
      </c>
      <c r="O1247">
        <v>0.771192108499684</v>
      </c>
      <c r="P1247" t="s">
        <v>36</v>
      </c>
    </row>
    <row r="1248" spans="1:16">
      <c r="A1248">
        <v>1247</v>
      </c>
      <c r="B1248" t="s">
        <v>1306</v>
      </c>
      <c r="C1248">
        <v>154</v>
      </c>
      <c r="D1248">
        <v>92</v>
      </c>
      <c r="E1248">
        <v>100.04715806403701</v>
      </c>
      <c r="F1248">
        <v>1.6708949885042099</v>
      </c>
      <c r="G1248">
        <v>7861.3909519848803</v>
      </c>
      <c r="H1248">
        <v>552.46523814657496</v>
      </c>
      <c r="I1248">
        <v>0.59834106433447098</v>
      </c>
      <c r="J1248">
        <v>0.32366768749181102</v>
      </c>
      <c r="K1248">
        <v>0.70599855842387704</v>
      </c>
      <c r="L1248" t="s">
        <v>33</v>
      </c>
      <c r="M1248" t="s">
        <v>34</v>
      </c>
      <c r="N1248" t="s">
        <v>35</v>
      </c>
      <c r="O1248">
        <v>0.69344537249378202</v>
      </c>
      <c r="P1248" t="s">
        <v>36</v>
      </c>
    </row>
    <row r="1249" spans="1:16">
      <c r="A1249">
        <v>1248</v>
      </c>
      <c r="B1249" t="s">
        <v>1307</v>
      </c>
      <c r="C1249">
        <v>138</v>
      </c>
      <c r="D1249">
        <v>147</v>
      </c>
      <c r="E1249">
        <v>100.19458929644099</v>
      </c>
      <c r="F1249">
        <v>0.94423791821561298</v>
      </c>
      <c r="G1249">
        <v>7884.5773882797703</v>
      </c>
      <c r="H1249">
        <v>1261.9796754741701</v>
      </c>
      <c r="I1249">
        <v>0.63618124685978905</v>
      </c>
      <c r="J1249">
        <v>6.22133465243358E-2</v>
      </c>
      <c r="K1249">
        <v>0.43666655691284501</v>
      </c>
      <c r="L1249" t="s">
        <v>33</v>
      </c>
      <c r="M1249" t="s">
        <v>34</v>
      </c>
      <c r="N1249" t="s">
        <v>35</v>
      </c>
      <c r="O1249">
        <v>0.65613370030705698</v>
      </c>
      <c r="P1249" t="s">
        <v>36</v>
      </c>
    </row>
    <row r="1250" spans="1:16">
      <c r="A1250">
        <v>1249</v>
      </c>
      <c r="B1250" t="s">
        <v>1308</v>
      </c>
      <c r="C1250">
        <v>91</v>
      </c>
      <c r="D1250">
        <v>146</v>
      </c>
      <c r="E1250">
        <v>100.21253084718001</v>
      </c>
      <c r="F1250">
        <v>0.62507708243648896</v>
      </c>
      <c r="G1250">
        <v>7887.4013773156903</v>
      </c>
      <c r="H1250">
        <v>471.873256396729</v>
      </c>
      <c r="I1250">
        <v>0.62803855143580101</v>
      </c>
      <c r="J1250">
        <v>0.44513636755602298</v>
      </c>
      <c r="K1250">
        <v>0.82009952401557795</v>
      </c>
      <c r="L1250" t="s">
        <v>38</v>
      </c>
      <c r="M1250" t="s">
        <v>34</v>
      </c>
      <c r="N1250" t="s">
        <v>35</v>
      </c>
      <c r="O1250">
        <v>0.68811606171936501</v>
      </c>
      <c r="P1250" t="s">
        <v>36</v>
      </c>
    </row>
    <row r="1251" spans="1:16">
      <c r="A1251">
        <v>1250</v>
      </c>
      <c r="B1251" t="s">
        <v>1309</v>
      </c>
      <c r="C1251">
        <v>120</v>
      </c>
      <c r="D1251">
        <v>125</v>
      </c>
      <c r="E1251">
        <v>100.23141322051001</v>
      </c>
      <c r="F1251">
        <v>0.95652173913043503</v>
      </c>
      <c r="G1251">
        <v>7890.3739973535003</v>
      </c>
      <c r="H1251">
        <v>645.29778179386403</v>
      </c>
      <c r="I1251">
        <v>0.59966893769811103</v>
      </c>
      <c r="J1251">
        <v>0.23811519405131201</v>
      </c>
      <c r="K1251">
        <v>0.68883323817927</v>
      </c>
      <c r="L1251" t="s">
        <v>38</v>
      </c>
      <c r="M1251" t="s">
        <v>34</v>
      </c>
      <c r="N1251" t="s">
        <v>35</v>
      </c>
      <c r="O1251">
        <v>0.82724292486156903</v>
      </c>
      <c r="P1251" t="s">
        <v>36</v>
      </c>
    </row>
    <row r="1252" spans="1:16">
      <c r="A1252">
        <v>1251</v>
      </c>
      <c r="B1252" t="s">
        <v>1310</v>
      </c>
      <c r="C1252">
        <v>102</v>
      </c>
      <c r="D1252">
        <v>137</v>
      </c>
      <c r="E1252">
        <v>100.399309892522</v>
      </c>
      <c r="F1252">
        <v>0.74501992031872499</v>
      </c>
      <c r="G1252">
        <v>7916.8303156899801</v>
      </c>
      <c r="H1252">
        <v>892.25970096059496</v>
      </c>
      <c r="I1252">
        <v>0.61968975615261002</v>
      </c>
      <c r="J1252">
        <v>0.124962194608782</v>
      </c>
      <c r="K1252">
        <v>0.60136836281936901</v>
      </c>
      <c r="L1252" t="s">
        <v>43</v>
      </c>
      <c r="M1252" t="s">
        <v>34</v>
      </c>
      <c r="N1252" t="s">
        <v>35</v>
      </c>
      <c r="O1252">
        <v>0.762984267439065</v>
      </c>
      <c r="P1252" t="s">
        <v>36</v>
      </c>
    </row>
    <row r="1253" spans="1:16">
      <c r="A1253">
        <v>1252</v>
      </c>
      <c r="B1253" t="s">
        <v>1311</v>
      </c>
      <c r="C1253">
        <v>152</v>
      </c>
      <c r="D1253">
        <v>133</v>
      </c>
      <c r="E1253">
        <v>100.464317968461</v>
      </c>
      <c r="F1253">
        <v>1.13934426229508</v>
      </c>
      <c r="G1253">
        <v>7927.0858548204196</v>
      </c>
      <c r="H1253">
        <v>814.58364986813604</v>
      </c>
      <c r="I1253">
        <v>0.55072049948683399</v>
      </c>
      <c r="J1253">
        <v>0.150124663977313</v>
      </c>
      <c r="K1253">
        <v>0.53454807865776699</v>
      </c>
      <c r="L1253" t="s">
        <v>38</v>
      </c>
      <c r="M1253" t="s">
        <v>34</v>
      </c>
      <c r="N1253" t="s">
        <v>35</v>
      </c>
      <c r="O1253">
        <v>0.82320016513049799</v>
      </c>
      <c r="P1253" t="s">
        <v>36</v>
      </c>
    </row>
    <row r="1254" spans="1:16">
      <c r="A1254">
        <v>1253</v>
      </c>
      <c r="B1254" t="s">
        <v>1312</v>
      </c>
      <c r="C1254">
        <v>123</v>
      </c>
      <c r="D1254">
        <v>112</v>
      </c>
      <c r="E1254">
        <v>100.734263725521</v>
      </c>
      <c r="F1254">
        <v>1.09223302337247</v>
      </c>
      <c r="G1254">
        <v>7969.7429523629498</v>
      </c>
      <c r="H1254">
        <v>674.05536402878602</v>
      </c>
      <c r="I1254">
        <v>0.66135362453431501</v>
      </c>
      <c r="J1254">
        <v>0.220426111895664</v>
      </c>
      <c r="K1254">
        <v>0.71584385763490199</v>
      </c>
      <c r="L1254" t="s">
        <v>74</v>
      </c>
      <c r="M1254" t="s">
        <v>34</v>
      </c>
      <c r="N1254" t="s">
        <v>35</v>
      </c>
      <c r="O1254">
        <v>0.65314222577790304</v>
      </c>
      <c r="P1254" t="s">
        <v>36</v>
      </c>
    </row>
    <row r="1255" spans="1:16">
      <c r="A1255">
        <v>1254</v>
      </c>
      <c r="B1255" t="s">
        <v>1313</v>
      </c>
      <c r="C1255">
        <v>120</v>
      </c>
      <c r="D1255">
        <v>166</v>
      </c>
      <c r="E1255">
        <v>100.741777983498</v>
      </c>
      <c r="F1255">
        <v>0.72270935256771696</v>
      </c>
      <c r="G1255">
        <v>7970.9320003780704</v>
      </c>
      <c r="H1255">
        <v>790.07431935776799</v>
      </c>
      <c r="I1255">
        <v>0.61375320236113795</v>
      </c>
      <c r="J1255">
        <v>0.16046601845317399</v>
      </c>
      <c r="K1255">
        <v>0.54543697812312497</v>
      </c>
      <c r="L1255" t="s">
        <v>33</v>
      </c>
      <c r="M1255" t="s">
        <v>34</v>
      </c>
      <c r="N1255" t="s">
        <v>35</v>
      </c>
      <c r="O1255">
        <v>0.69889785761052103</v>
      </c>
      <c r="P1255" t="s">
        <v>36</v>
      </c>
    </row>
    <row r="1256" spans="1:16">
      <c r="A1256">
        <v>1255</v>
      </c>
      <c r="B1256" t="s">
        <v>1314</v>
      </c>
      <c r="C1256">
        <v>122</v>
      </c>
      <c r="D1256">
        <v>132</v>
      </c>
      <c r="E1256">
        <v>100.97912792839401</v>
      </c>
      <c r="F1256">
        <v>0.92148760330578505</v>
      </c>
      <c r="G1256">
        <v>8008.5356438563304</v>
      </c>
      <c r="H1256">
        <v>1047.01454317051</v>
      </c>
      <c r="I1256">
        <v>0.57464496799438403</v>
      </c>
      <c r="J1256">
        <v>9.1803142687068406E-2</v>
      </c>
      <c r="K1256">
        <v>0.53949436795994998</v>
      </c>
      <c r="L1256" t="s">
        <v>47</v>
      </c>
      <c r="M1256" t="s">
        <v>34</v>
      </c>
      <c r="N1256" t="s">
        <v>35</v>
      </c>
      <c r="O1256">
        <v>0.93838401839969399</v>
      </c>
      <c r="P1256" t="s">
        <v>36</v>
      </c>
    </row>
    <row r="1257" spans="1:16">
      <c r="A1257">
        <v>1256</v>
      </c>
      <c r="B1257" t="s">
        <v>1315</v>
      </c>
      <c r="C1257">
        <v>149</v>
      </c>
      <c r="D1257">
        <v>161</v>
      </c>
      <c r="E1257">
        <v>101.027842233596</v>
      </c>
      <c r="F1257">
        <v>0.92229728127500799</v>
      </c>
      <c r="G1257">
        <v>8016.2644559546297</v>
      </c>
      <c r="H1257">
        <v>1383.3545055571799</v>
      </c>
      <c r="I1257">
        <v>0.56739736887848102</v>
      </c>
      <c r="J1257">
        <v>5.26398838449137E-2</v>
      </c>
      <c r="K1257">
        <v>0.435418634503136</v>
      </c>
      <c r="L1257" t="s">
        <v>41</v>
      </c>
      <c r="M1257" t="s">
        <v>34</v>
      </c>
      <c r="N1257" t="s">
        <v>35</v>
      </c>
      <c r="O1257">
        <v>0.75200656919224196</v>
      </c>
      <c r="P1257" t="s">
        <v>36</v>
      </c>
    </row>
    <row r="1258" spans="1:16">
      <c r="A1258">
        <v>1257</v>
      </c>
      <c r="B1258" t="s">
        <v>1316</v>
      </c>
      <c r="C1258">
        <v>142</v>
      </c>
      <c r="D1258">
        <v>164</v>
      </c>
      <c r="E1258">
        <v>101.250504735736</v>
      </c>
      <c r="F1258">
        <v>0.86378734779481603</v>
      </c>
      <c r="G1258">
        <v>8051.6386344045404</v>
      </c>
      <c r="H1258">
        <v>1464.95002516912</v>
      </c>
      <c r="I1258">
        <v>0.59919676695967306</v>
      </c>
      <c r="J1258">
        <v>4.7146398204090202E-2</v>
      </c>
      <c r="K1258">
        <v>0.45003073753468398</v>
      </c>
      <c r="L1258" t="s">
        <v>74</v>
      </c>
      <c r="M1258" t="s">
        <v>34</v>
      </c>
      <c r="N1258" t="s">
        <v>35</v>
      </c>
      <c r="O1258">
        <v>0.73245822038543995</v>
      </c>
      <c r="P1258" t="s">
        <v>36</v>
      </c>
    </row>
    <row r="1259" spans="1:16">
      <c r="A1259">
        <v>1258</v>
      </c>
      <c r="B1259" t="s">
        <v>1317</v>
      </c>
      <c r="C1259">
        <v>122</v>
      </c>
      <c r="D1259">
        <v>119</v>
      </c>
      <c r="E1259">
        <v>101.31963620918</v>
      </c>
      <c r="F1259">
        <v>1.0246729455707799</v>
      </c>
      <c r="G1259">
        <v>8062.6373285444197</v>
      </c>
      <c r="H1259">
        <v>623.51178362286601</v>
      </c>
      <c r="I1259">
        <v>0.54341055341574795</v>
      </c>
      <c r="J1259">
        <v>0.26061394951612399</v>
      </c>
      <c r="K1259">
        <v>0.71124572237737504</v>
      </c>
      <c r="L1259" t="s">
        <v>43</v>
      </c>
      <c r="M1259" t="s">
        <v>34</v>
      </c>
      <c r="N1259" t="s">
        <v>35</v>
      </c>
      <c r="O1259">
        <v>0.77474658803748597</v>
      </c>
      <c r="P1259" t="s">
        <v>36</v>
      </c>
    </row>
    <row r="1260" spans="1:16">
      <c r="A1260">
        <v>1259</v>
      </c>
      <c r="B1260" t="s">
        <v>1318</v>
      </c>
      <c r="C1260">
        <v>147</v>
      </c>
      <c r="D1260">
        <v>142</v>
      </c>
      <c r="E1260">
        <v>101.330842274161</v>
      </c>
      <c r="F1260">
        <v>1.0346153927413699</v>
      </c>
      <c r="G1260">
        <v>8064.42090056711</v>
      </c>
      <c r="H1260">
        <v>1032.0717301847601</v>
      </c>
      <c r="I1260">
        <v>0.57495394020502899</v>
      </c>
      <c r="J1260">
        <v>9.5140030413313703E-2</v>
      </c>
      <c r="K1260">
        <v>0.56086996971231895</v>
      </c>
      <c r="L1260" t="s">
        <v>47</v>
      </c>
      <c r="M1260" t="s">
        <v>34</v>
      </c>
      <c r="N1260" t="s">
        <v>35</v>
      </c>
      <c r="O1260">
        <v>0.92211046747634096</v>
      </c>
      <c r="P1260" t="s">
        <v>36</v>
      </c>
    </row>
    <row r="1261" spans="1:16">
      <c r="A1261">
        <v>1260</v>
      </c>
      <c r="B1261" t="s">
        <v>1319</v>
      </c>
      <c r="C1261">
        <v>145</v>
      </c>
      <c r="D1261">
        <v>122</v>
      </c>
      <c r="E1261">
        <v>101.42884253137601</v>
      </c>
      <c r="F1261">
        <v>1.1883097119573101</v>
      </c>
      <c r="G1261">
        <v>8080.0271557655997</v>
      </c>
      <c r="H1261">
        <v>984.85035832332505</v>
      </c>
      <c r="I1261">
        <v>0.60865791934901703</v>
      </c>
      <c r="J1261">
        <v>0.104684453429698</v>
      </c>
      <c r="K1261">
        <v>0.59195740232588501</v>
      </c>
      <c r="L1261" t="s">
        <v>144</v>
      </c>
      <c r="M1261" t="s">
        <v>34</v>
      </c>
      <c r="N1261" t="s">
        <v>35</v>
      </c>
      <c r="O1261">
        <v>0.69549068626531396</v>
      </c>
      <c r="P1261" t="s">
        <v>36</v>
      </c>
    </row>
    <row r="1262" spans="1:16">
      <c r="A1262">
        <v>1261</v>
      </c>
      <c r="B1262" t="s">
        <v>1320</v>
      </c>
      <c r="C1262">
        <v>142</v>
      </c>
      <c r="D1262">
        <v>171</v>
      </c>
      <c r="E1262">
        <v>101.495055746408</v>
      </c>
      <c r="F1262">
        <v>0.82802547770700596</v>
      </c>
      <c r="G1262">
        <v>8090.57995689981</v>
      </c>
      <c r="H1262">
        <v>1061.87435223994</v>
      </c>
      <c r="I1262">
        <v>0.56951654062220802</v>
      </c>
      <c r="J1262">
        <v>9.0166093850101298E-2</v>
      </c>
      <c r="K1262">
        <v>0.47403988504746097</v>
      </c>
      <c r="L1262" t="s">
        <v>38</v>
      </c>
      <c r="M1262" t="s">
        <v>34</v>
      </c>
      <c r="N1262" t="s">
        <v>35</v>
      </c>
      <c r="O1262">
        <v>0.709839640544488</v>
      </c>
      <c r="P1262" t="s">
        <v>36</v>
      </c>
    </row>
    <row r="1263" spans="1:16">
      <c r="A1263">
        <v>1262</v>
      </c>
      <c r="B1263" t="s">
        <v>1321</v>
      </c>
      <c r="C1263">
        <v>186</v>
      </c>
      <c r="D1263">
        <v>78</v>
      </c>
      <c r="E1263">
        <v>101.496920281873</v>
      </c>
      <c r="F1263">
        <v>2.3648658490239001</v>
      </c>
      <c r="G1263">
        <v>8090.8772189035899</v>
      </c>
      <c r="H1263">
        <v>619.33713357614397</v>
      </c>
      <c r="I1263">
        <v>0.462724156855572</v>
      </c>
      <c r="J1263">
        <v>0.26506429765225997</v>
      </c>
      <c r="K1263">
        <v>0.71654600500197496</v>
      </c>
      <c r="L1263" t="s">
        <v>38</v>
      </c>
      <c r="M1263" t="s">
        <v>34</v>
      </c>
      <c r="N1263" t="s">
        <v>35</v>
      </c>
      <c r="O1263">
        <v>0.70940523840871805</v>
      </c>
      <c r="P1263" t="s">
        <v>36</v>
      </c>
    </row>
    <row r="1264" spans="1:16">
      <c r="A1264">
        <v>1263</v>
      </c>
      <c r="B1264" t="s">
        <v>1322</v>
      </c>
      <c r="C1264">
        <v>152</v>
      </c>
      <c r="D1264">
        <v>121</v>
      </c>
      <c r="E1264">
        <v>101.502513682765</v>
      </c>
      <c r="F1264">
        <v>1.26201217295472</v>
      </c>
      <c r="G1264">
        <v>8091.7690049149396</v>
      </c>
      <c r="H1264">
        <v>618.44708311993099</v>
      </c>
      <c r="I1264">
        <v>0.67607923857598096</v>
      </c>
      <c r="J1264">
        <v>0.26585709165098598</v>
      </c>
      <c r="K1264">
        <v>0.62742160399211699</v>
      </c>
      <c r="L1264" t="s">
        <v>33</v>
      </c>
      <c r="M1264" t="s">
        <v>34</v>
      </c>
      <c r="N1264" t="s">
        <v>35</v>
      </c>
      <c r="O1264">
        <v>0.64983917573676897</v>
      </c>
      <c r="P1264" t="s">
        <v>36</v>
      </c>
    </row>
    <row r="1265" spans="1:16">
      <c r="A1265">
        <v>1264</v>
      </c>
      <c r="B1265" t="s">
        <v>1323</v>
      </c>
      <c r="C1265">
        <v>162</v>
      </c>
      <c r="D1265">
        <v>121</v>
      </c>
      <c r="E1265">
        <v>101.61338585714201</v>
      </c>
      <c r="F1265">
        <v>1.3321652969881199</v>
      </c>
      <c r="G1265">
        <v>8109.4560941398904</v>
      </c>
      <c r="H1265">
        <v>897.570180752277</v>
      </c>
      <c r="I1265">
        <v>0.60338362918629496</v>
      </c>
      <c r="J1265">
        <v>0.126492495016998</v>
      </c>
      <c r="K1265">
        <v>0.55648936712733998</v>
      </c>
      <c r="L1265" t="s">
        <v>74</v>
      </c>
      <c r="M1265" t="s">
        <v>34</v>
      </c>
      <c r="N1265" t="s">
        <v>35</v>
      </c>
      <c r="O1265">
        <v>0.71430158112793196</v>
      </c>
      <c r="P1265" t="s">
        <v>36</v>
      </c>
    </row>
    <row r="1266" spans="1:16">
      <c r="A1266">
        <v>1265</v>
      </c>
      <c r="B1266" t="s">
        <v>1324</v>
      </c>
      <c r="C1266">
        <v>94</v>
      </c>
      <c r="D1266">
        <v>174</v>
      </c>
      <c r="E1266">
        <v>101.71390472901901</v>
      </c>
      <c r="F1266">
        <v>0.54070897992415401</v>
      </c>
      <c r="G1266">
        <v>8125.5082423440499</v>
      </c>
      <c r="H1266">
        <v>810.68298582564205</v>
      </c>
      <c r="I1266">
        <v>0.70265332903225397</v>
      </c>
      <c r="J1266">
        <v>0.15536682201362501</v>
      </c>
      <c r="K1266">
        <v>0.62853825105199002</v>
      </c>
      <c r="L1266" t="s">
        <v>33</v>
      </c>
      <c r="M1266" t="s">
        <v>34</v>
      </c>
      <c r="N1266" t="s">
        <v>35</v>
      </c>
      <c r="O1266">
        <v>0.77198948643128396</v>
      </c>
      <c r="P1266" t="s">
        <v>36</v>
      </c>
    </row>
    <row r="1267" spans="1:16">
      <c r="A1267">
        <v>1266</v>
      </c>
      <c r="B1267" t="s">
        <v>1325</v>
      </c>
      <c r="C1267">
        <v>134</v>
      </c>
      <c r="D1267">
        <v>126</v>
      </c>
      <c r="E1267">
        <v>101.749248863335</v>
      </c>
      <c r="F1267">
        <v>1.0697730617721699</v>
      </c>
      <c r="G1267">
        <v>8131.1562204158799</v>
      </c>
      <c r="H1267">
        <v>679.921601837303</v>
      </c>
      <c r="I1267">
        <v>0.65146914251947197</v>
      </c>
      <c r="J1267">
        <v>0.22102657313052701</v>
      </c>
      <c r="K1267">
        <v>0.634012075979</v>
      </c>
      <c r="L1267" t="s">
        <v>830</v>
      </c>
      <c r="M1267" t="s">
        <v>34</v>
      </c>
      <c r="N1267" t="s">
        <v>35</v>
      </c>
      <c r="O1267">
        <v>0.64474036093319498</v>
      </c>
      <c r="P1267" t="s">
        <v>36</v>
      </c>
    </row>
    <row r="1268" spans="1:16">
      <c r="A1268">
        <v>1267</v>
      </c>
      <c r="B1268" t="s">
        <v>1326</v>
      </c>
      <c r="C1268">
        <v>166</v>
      </c>
      <c r="D1268">
        <v>117</v>
      </c>
      <c r="E1268">
        <v>101.753898493368</v>
      </c>
      <c r="F1268">
        <v>1.42523364485981</v>
      </c>
      <c r="G1268">
        <v>8131.8993754253297</v>
      </c>
      <c r="H1268">
        <v>1464.0466794702299</v>
      </c>
      <c r="I1268">
        <v>0.65436922549837995</v>
      </c>
      <c r="J1268">
        <v>4.7675143856679598E-2</v>
      </c>
      <c r="K1268">
        <v>0.47466273370060302</v>
      </c>
      <c r="L1268" t="s">
        <v>41</v>
      </c>
      <c r="M1268" t="s">
        <v>34</v>
      </c>
      <c r="N1268" t="s">
        <v>35</v>
      </c>
      <c r="O1268">
        <v>0.72368934943988705</v>
      </c>
      <c r="P1268" t="s">
        <v>36</v>
      </c>
    </row>
    <row r="1269" spans="1:16">
      <c r="A1269">
        <v>1268</v>
      </c>
      <c r="B1269" t="s">
        <v>1327</v>
      </c>
      <c r="C1269">
        <v>129</v>
      </c>
      <c r="D1269">
        <v>152</v>
      </c>
      <c r="E1269">
        <v>101.79201744849701</v>
      </c>
      <c r="F1269">
        <v>0.85131261119750001</v>
      </c>
      <c r="G1269">
        <v>8137.9932465028396</v>
      </c>
      <c r="H1269">
        <v>766.09804938306002</v>
      </c>
      <c r="I1269">
        <v>0.56558814826961501</v>
      </c>
      <c r="J1269">
        <v>0.17424425825930501</v>
      </c>
      <c r="K1269">
        <v>0.53451457021525794</v>
      </c>
      <c r="L1269" t="s">
        <v>49</v>
      </c>
      <c r="M1269" t="s">
        <v>34</v>
      </c>
      <c r="N1269" t="s">
        <v>35</v>
      </c>
      <c r="O1269">
        <v>0.81968298606716605</v>
      </c>
      <c r="P1269" t="s">
        <v>36</v>
      </c>
    </row>
    <row r="1270" spans="1:16">
      <c r="A1270">
        <v>1269</v>
      </c>
      <c r="B1270" t="s">
        <v>1328</v>
      </c>
      <c r="C1270">
        <v>124</v>
      </c>
      <c r="D1270">
        <v>137</v>
      </c>
      <c r="E1270">
        <v>101.94806333745299</v>
      </c>
      <c r="F1270">
        <v>0.904382470119522</v>
      </c>
      <c r="G1270">
        <v>8162.9632548204199</v>
      </c>
      <c r="H1270">
        <v>756.61291954465503</v>
      </c>
      <c r="I1270">
        <v>0.57295736367405903</v>
      </c>
      <c r="J1270">
        <v>0.17918852721801901</v>
      </c>
      <c r="K1270">
        <v>0.63671354208933795</v>
      </c>
      <c r="L1270" t="s">
        <v>49</v>
      </c>
      <c r="M1270" t="s">
        <v>34</v>
      </c>
      <c r="N1270" t="s">
        <v>35</v>
      </c>
      <c r="O1270">
        <v>0.69905406751721599</v>
      </c>
      <c r="P1270" t="s">
        <v>36</v>
      </c>
    </row>
    <row r="1271" spans="1:16">
      <c r="A1271">
        <v>1270</v>
      </c>
      <c r="B1271" t="s">
        <v>1329</v>
      </c>
      <c r="C1271">
        <v>86</v>
      </c>
      <c r="D1271">
        <v>180</v>
      </c>
      <c r="E1271">
        <v>101.949919587981</v>
      </c>
      <c r="F1271">
        <v>0.47691408862075602</v>
      </c>
      <c r="G1271">
        <v>8163.2605168241998</v>
      </c>
      <c r="H1271">
        <v>510.11596847005501</v>
      </c>
      <c r="I1271">
        <v>0.69822788447400497</v>
      </c>
      <c r="J1271">
        <v>0.39421730357999502</v>
      </c>
      <c r="K1271">
        <v>0.73315712893623297</v>
      </c>
      <c r="L1271" t="s">
        <v>33</v>
      </c>
      <c r="M1271" t="s">
        <v>34</v>
      </c>
      <c r="N1271" t="s">
        <v>35</v>
      </c>
      <c r="O1271">
        <v>0.76150413984433896</v>
      </c>
      <c r="P1271" t="s">
        <v>36</v>
      </c>
    </row>
    <row r="1272" spans="1:16">
      <c r="A1272">
        <v>1271</v>
      </c>
      <c r="B1272" t="s">
        <v>1330</v>
      </c>
      <c r="C1272">
        <v>110</v>
      </c>
      <c r="D1272">
        <v>225</v>
      </c>
      <c r="E1272">
        <v>101.95270390040299</v>
      </c>
      <c r="F1272">
        <v>0.48910411461251302</v>
      </c>
      <c r="G1272">
        <v>8163.7064098298697</v>
      </c>
      <c r="H1272">
        <v>1760.42024230211</v>
      </c>
      <c r="I1272">
        <v>0.771024457749792</v>
      </c>
      <c r="J1272">
        <v>3.3102785090300499E-2</v>
      </c>
      <c r="K1272">
        <v>0.42110831697742901</v>
      </c>
      <c r="L1272" t="s">
        <v>188</v>
      </c>
      <c r="M1272" t="s">
        <v>34</v>
      </c>
      <c r="N1272" t="s">
        <v>35</v>
      </c>
      <c r="O1272">
        <v>0.64929154537723299</v>
      </c>
      <c r="P1272" t="s">
        <v>36</v>
      </c>
    </row>
    <row r="1273" spans="1:16">
      <c r="A1273">
        <v>1272</v>
      </c>
      <c r="B1273" t="s">
        <v>1331</v>
      </c>
      <c r="C1273">
        <v>99</v>
      </c>
      <c r="D1273">
        <v>115</v>
      </c>
      <c r="E1273">
        <v>102.06679531322899</v>
      </c>
      <c r="F1273">
        <v>0.863915567531368</v>
      </c>
      <c r="G1273">
        <v>8181.9880230623803</v>
      </c>
      <c r="H1273">
        <v>487.13934335325098</v>
      </c>
      <c r="I1273">
        <v>0.679370245408488</v>
      </c>
      <c r="J1273">
        <v>0.43327366292064501</v>
      </c>
      <c r="K1273">
        <v>0.80203097454725603</v>
      </c>
      <c r="L1273" t="s">
        <v>38</v>
      </c>
      <c r="M1273" t="s">
        <v>34</v>
      </c>
      <c r="N1273" t="s">
        <v>35</v>
      </c>
      <c r="O1273">
        <v>0.78588181156940595</v>
      </c>
      <c r="P1273" t="s">
        <v>36</v>
      </c>
    </row>
    <row r="1274" spans="1:16">
      <c r="A1274">
        <v>1273</v>
      </c>
      <c r="B1274" t="s">
        <v>1332</v>
      </c>
      <c r="C1274">
        <v>180</v>
      </c>
      <c r="D1274">
        <v>95</v>
      </c>
      <c r="E1274">
        <v>102.208536162578</v>
      </c>
      <c r="F1274">
        <v>1.8886664096822201</v>
      </c>
      <c r="G1274">
        <v>8204.7285663516104</v>
      </c>
      <c r="H1274">
        <v>658.46989610568301</v>
      </c>
      <c r="I1274">
        <v>0.57018640490851202</v>
      </c>
      <c r="J1274">
        <v>0.23779473388785199</v>
      </c>
      <c r="K1274">
        <v>0.67616364527192596</v>
      </c>
      <c r="L1274" t="s">
        <v>33</v>
      </c>
      <c r="M1274" t="s">
        <v>34</v>
      </c>
      <c r="N1274" t="s">
        <v>35</v>
      </c>
      <c r="O1274">
        <v>0.72060706430401</v>
      </c>
      <c r="P1274" t="s">
        <v>36</v>
      </c>
    </row>
    <row r="1275" spans="1:16">
      <c r="A1275">
        <v>1274</v>
      </c>
      <c r="B1275" t="s">
        <v>1333</v>
      </c>
      <c r="C1275">
        <v>117</v>
      </c>
      <c r="D1275">
        <v>140</v>
      </c>
      <c r="E1275">
        <v>102.28627114871399</v>
      </c>
      <c r="F1275">
        <v>0.84112216647262406</v>
      </c>
      <c r="G1275">
        <v>8217.2135705103992</v>
      </c>
      <c r="H1275">
        <v>749.23278081956096</v>
      </c>
      <c r="I1275">
        <v>0.77652763127747304</v>
      </c>
      <c r="J1275">
        <v>0.183950468191381</v>
      </c>
      <c r="K1275">
        <v>0.71388358039357502</v>
      </c>
      <c r="L1275" t="s">
        <v>33</v>
      </c>
      <c r="M1275" t="s">
        <v>34</v>
      </c>
      <c r="N1275" t="s">
        <v>35</v>
      </c>
      <c r="O1275">
        <v>0.73315066657266703</v>
      </c>
      <c r="P1275" t="s">
        <v>36</v>
      </c>
    </row>
    <row r="1276" spans="1:16">
      <c r="A1276">
        <v>1275</v>
      </c>
      <c r="B1276" t="s">
        <v>1334</v>
      </c>
      <c r="C1276">
        <v>183</v>
      </c>
      <c r="D1276">
        <v>95</v>
      </c>
      <c r="E1276">
        <v>102.314944140398</v>
      </c>
      <c r="F1276">
        <v>1.9327037756918</v>
      </c>
      <c r="G1276">
        <v>8221.8211315690005</v>
      </c>
      <c r="H1276">
        <v>681.90208707612499</v>
      </c>
      <c r="I1276">
        <v>0.68544818343743996</v>
      </c>
      <c r="J1276">
        <v>0.22219477851938499</v>
      </c>
      <c r="K1276">
        <v>0.67204052871999198</v>
      </c>
      <c r="L1276" t="s">
        <v>38</v>
      </c>
      <c r="M1276" t="s">
        <v>34</v>
      </c>
      <c r="N1276" t="s">
        <v>35</v>
      </c>
      <c r="O1276">
        <v>0.65430056163478401</v>
      </c>
      <c r="P1276" t="s">
        <v>36</v>
      </c>
    </row>
    <row r="1277" spans="1:16">
      <c r="A1277">
        <v>1276</v>
      </c>
      <c r="B1277" t="s">
        <v>1335</v>
      </c>
      <c r="C1277">
        <v>137</v>
      </c>
      <c r="D1277">
        <v>101</v>
      </c>
      <c r="E1277">
        <v>102.327890599882</v>
      </c>
      <c r="F1277">
        <v>1.357640696989</v>
      </c>
      <c r="G1277">
        <v>8223.9019655954598</v>
      </c>
      <c r="H1277">
        <v>561.67638198075099</v>
      </c>
      <c r="I1277">
        <v>0.58326044746056704</v>
      </c>
      <c r="J1277">
        <v>0.32757855552853599</v>
      </c>
      <c r="K1277">
        <v>0.75424964898649105</v>
      </c>
      <c r="L1277" t="s">
        <v>47</v>
      </c>
      <c r="M1277" t="s">
        <v>34</v>
      </c>
      <c r="N1277" t="s">
        <v>35</v>
      </c>
      <c r="O1277">
        <v>0.94716967278596798</v>
      </c>
      <c r="P1277" t="s">
        <v>36</v>
      </c>
    </row>
    <row r="1278" spans="1:16">
      <c r="A1278">
        <v>1277</v>
      </c>
      <c r="B1278" t="s">
        <v>1336</v>
      </c>
      <c r="C1278">
        <v>195</v>
      </c>
      <c r="D1278">
        <v>145</v>
      </c>
      <c r="E1278">
        <v>102.387053567572</v>
      </c>
      <c r="F1278">
        <v>1.3392759806111401</v>
      </c>
      <c r="G1278">
        <v>8233.4143497164496</v>
      </c>
      <c r="H1278">
        <v>1462.0755964698999</v>
      </c>
      <c r="I1278">
        <v>0.59681479008596705</v>
      </c>
      <c r="J1278">
        <v>4.8400536908318602E-2</v>
      </c>
      <c r="K1278">
        <v>0.38827635996607501</v>
      </c>
      <c r="L1278" t="s">
        <v>33</v>
      </c>
      <c r="M1278" t="s">
        <v>34</v>
      </c>
      <c r="N1278" t="s">
        <v>35</v>
      </c>
      <c r="O1278">
        <v>0.73985744815500998</v>
      </c>
      <c r="P1278" t="s">
        <v>36</v>
      </c>
    </row>
    <row r="1279" spans="1:16">
      <c r="A1279">
        <v>1278</v>
      </c>
      <c r="B1279" t="s">
        <v>1337</v>
      </c>
      <c r="C1279">
        <v>84</v>
      </c>
      <c r="D1279">
        <v>187</v>
      </c>
      <c r="E1279">
        <v>102.399990910241</v>
      </c>
      <c r="F1279">
        <v>0.44887029426153202</v>
      </c>
      <c r="G1279">
        <v>8235.4951837429107</v>
      </c>
      <c r="H1279">
        <v>586.865976382442</v>
      </c>
      <c r="I1279">
        <v>0.76021915267142204</v>
      </c>
      <c r="J1279">
        <v>0.300484253042405</v>
      </c>
      <c r="K1279">
        <v>0.75194061448268401</v>
      </c>
      <c r="L1279" t="s">
        <v>47</v>
      </c>
      <c r="M1279" t="s">
        <v>34</v>
      </c>
      <c r="N1279" t="s">
        <v>35</v>
      </c>
      <c r="O1279">
        <v>0.88908775395893702</v>
      </c>
      <c r="P1279" t="s">
        <v>36</v>
      </c>
    </row>
    <row r="1280" spans="1:16">
      <c r="A1280">
        <v>1279</v>
      </c>
      <c r="B1280" t="s">
        <v>1338</v>
      </c>
      <c r="C1280">
        <v>162</v>
      </c>
      <c r="D1280">
        <v>119</v>
      </c>
      <c r="E1280">
        <v>102.493276209733</v>
      </c>
      <c r="F1280">
        <v>1.36009080405107</v>
      </c>
      <c r="G1280">
        <v>8250.5069149338397</v>
      </c>
      <c r="H1280">
        <v>766.97642082670495</v>
      </c>
      <c r="I1280">
        <v>0.63384740908677395</v>
      </c>
      <c r="J1280">
        <v>0.176248922816124</v>
      </c>
      <c r="K1280">
        <v>0.63800197687515803</v>
      </c>
      <c r="L1280" t="s">
        <v>38</v>
      </c>
      <c r="M1280" t="s">
        <v>34</v>
      </c>
      <c r="N1280" t="s">
        <v>35</v>
      </c>
      <c r="O1280">
        <v>0.70665828610300196</v>
      </c>
      <c r="P1280" t="s">
        <v>36</v>
      </c>
    </row>
    <row r="1281" spans="1:16">
      <c r="A1281">
        <v>1280</v>
      </c>
      <c r="B1281" t="s">
        <v>1339</v>
      </c>
      <c r="C1281">
        <v>135</v>
      </c>
      <c r="D1281">
        <v>129</v>
      </c>
      <c r="E1281">
        <v>102.533888809742</v>
      </c>
      <c r="F1281">
        <v>1.0477086185622699</v>
      </c>
      <c r="G1281">
        <v>8257.0466790170103</v>
      </c>
      <c r="H1281">
        <v>739.93701683894506</v>
      </c>
      <c r="I1281">
        <v>0.51308071015106205</v>
      </c>
      <c r="J1281">
        <v>0.18951565689118699</v>
      </c>
      <c r="K1281">
        <v>0.588389802683839</v>
      </c>
      <c r="L1281" t="s">
        <v>38</v>
      </c>
      <c r="M1281" t="s">
        <v>34</v>
      </c>
      <c r="N1281" t="s">
        <v>35</v>
      </c>
      <c r="O1281">
        <v>0.74178413944504795</v>
      </c>
      <c r="P1281" t="s">
        <v>36</v>
      </c>
    </row>
    <row r="1282" spans="1:16">
      <c r="A1282">
        <v>1281</v>
      </c>
      <c r="B1282" t="s">
        <v>1340</v>
      </c>
      <c r="C1282">
        <v>111</v>
      </c>
      <c r="D1282">
        <v>110</v>
      </c>
      <c r="E1282">
        <v>102.669455322497</v>
      </c>
      <c r="F1282">
        <v>1.00936311067375</v>
      </c>
      <c r="G1282">
        <v>8278.8954362949007</v>
      </c>
      <c r="H1282">
        <v>550.11997697881998</v>
      </c>
      <c r="I1282">
        <v>0.61134843386319204</v>
      </c>
      <c r="J1282">
        <v>0.34376956860809499</v>
      </c>
      <c r="K1282">
        <v>0.79021961184882505</v>
      </c>
      <c r="L1282" t="s">
        <v>49</v>
      </c>
      <c r="M1282" t="s">
        <v>34</v>
      </c>
      <c r="N1282" t="s">
        <v>35</v>
      </c>
      <c r="O1282">
        <v>0.79242347393193002</v>
      </c>
      <c r="P1282" t="s">
        <v>36</v>
      </c>
    </row>
    <row r="1283" spans="1:16">
      <c r="A1283">
        <v>1282</v>
      </c>
      <c r="B1283" t="s">
        <v>1341</v>
      </c>
      <c r="C1283">
        <v>189</v>
      </c>
      <c r="D1283">
        <v>108</v>
      </c>
      <c r="E1283">
        <v>102.907876080191</v>
      </c>
      <c r="F1283">
        <v>1.75617645575348</v>
      </c>
      <c r="G1283">
        <v>8317.3908657845004</v>
      </c>
      <c r="H1283">
        <v>739.62703811085703</v>
      </c>
      <c r="I1283">
        <v>0.63398476838404105</v>
      </c>
      <c r="J1283">
        <v>0.191060723104928</v>
      </c>
      <c r="K1283">
        <v>0.62227559825638301</v>
      </c>
      <c r="L1283" t="s">
        <v>38</v>
      </c>
      <c r="M1283" t="s">
        <v>34</v>
      </c>
      <c r="N1283" t="s">
        <v>35</v>
      </c>
      <c r="O1283">
        <v>0.809086664435965</v>
      </c>
      <c r="P1283" t="s">
        <v>36</v>
      </c>
    </row>
    <row r="1284" spans="1:16">
      <c r="A1284">
        <v>1283</v>
      </c>
      <c r="B1284" t="s">
        <v>1342</v>
      </c>
      <c r="C1284">
        <v>112</v>
      </c>
      <c r="D1284">
        <v>119</v>
      </c>
      <c r="E1284">
        <v>103.025501923509</v>
      </c>
      <c r="F1284">
        <v>0.94036697247706402</v>
      </c>
      <c r="G1284">
        <v>8336.4156340264708</v>
      </c>
      <c r="H1284">
        <v>550.768141150475</v>
      </c>
      <c r="I1284">
        <v>0.57537094387944898</v>
      </c>
      <c r="J1284">
        <v>0.34534375095806602</v>
      </c>
      <c r="K1284">
        <v>0.774182862190813</v>
      </c>
      <c r="L1284" t="s">
        <v>74</v>
      </c>
      <c r="M1284" t="s">
        <v>34</v>
      </c>
      <c r="N1284" t="s">
        <v>35</v>
      </c>
      <c r="O1284">
        <v>0.71857460743156498</v>
      </c>
      <c r="P1284" t="s">
        <v>36</v>
      </c>
    </row>
    <row r="1285" spans="1:16">
      <c r="A1285">
        <v>1284</v>
      </c>
      <c r="B1285" t="s">
        <v>1343</v>
      </c>
      <c r="C1285">
        <v>129</v>
      </c>
      <c r="D1285">
        <v>114</v>
      </c>
      <c r="E1285">
        <v>103.105374138353</v>
      </c>
      <c r="F1285">
        <v>1.13221877159399</v>
      </c>
      <c r="G1285">
        <v>8349.3465311909295</v>
      </c>
      <c r="H1285">
        <v>541.06771551287704</v>
      </c>
      <c r="I1285">
        <v>0.58153675359766499</v>
      </c>
      <c r="J1285">
        <v>0.358392661209675</v>
      </c>
      <c r="K1285">
        <v>0.76131296840906904</v>
      </c>
      <c r="L1285" t="s">
        <v>33</v>
      </c>
      <c r="M1285" t="s">
        <v>34</v>
      </c>
      <c r="N1285" t="s">
        <v>35</v>
      </c>
      <c r="O1285">
        <v>0.70796746474094496</v>
      </c>
      <c r="P1285" t="s">
        <v>36</v>
      </c>
    </row>
    <row r="1286" spans="1:16">
      <c r="A1286">
        <v>1285</v>
      </c>
      <c r="B1286" t="s">
        <v>1344</v>
      </c>
      <c r="C1286">
        <v>123</v>
      </c>
      <c r="D1286">
        <v>156</v>
      </c>
      <c r="E1286">
        <v>103.12280926509</v>
      </c>
      <c r="F1286">
        <v>0.78392390690309699</v>
      </c>
      <c r="G1286">
        <v>8352.1705202268404</v>
      </c>
      <c r="H1286">
        <v>655.33477664491397</v>
      </c>
      <c r="I1286">
        <v>0.59684693572719205</v>
      </c>
      <c r="J1286">
        <v>0.24438963677304701</v>
      </c>
      <c r="K1286">
        <v>0.61723838710031698</v>
      </c>
      <c r="L1286" t="s">
        <v>211</v>
      </c>
      <c r="M1286" t="s">
        <v>34</v>
      </c>
      <c r="N1286" t="s">
        <v>35</v>
      </c>
      <c r="O1286">
        <v>0.70218221201500997</v>
      </c>
      <c r="P1286" t="s">
        <v>36</v>
      </c>
    </row>
    <row r="1287" spans="1:16">
      <c r="A1287">
        <v>1286</v>
      </c>
      <c r="B1287" t="s">
        <v>1345</v>
      </c>
      <c r="C1287">
        <v>147</v>
      </c>
      <c r="D1287">
        <v>147</v>
      </c>
      <c r="E1287">
        <v>103.377576429109</v>
      </c>
      <c r="F1287">
        <v>1</v>
      </c>
      <c r="G1287">
        <v>8393.4899387523601</v>
      </c>
      <c r="H1287">
        <v>1153.3612795773799</v>
      </c>
      <c r="I1287">
        <v>0.52294269481579203</v>
      </c>
      <c r="J1287">
        <v>7.9290599899202494E-2</v>
      </c>
      <c r="K1287">
        <v>0.486563331983492</v>
      </c>
      <c r="L1287" t="s">
        <v>33</v>
      </c>
      <c r="M1287" t="s">
        <v>34</v>
      </c>
      <c r="N1287" t="s">
        <v>35</v>
      </c>
      <c r="O1287">
        <v>0.81966999985226996</v>
      </c>
      <c r="P1287" t="s">
        <v>36</v>
      </c>
    </row>
    <row r="1288" spans="1:16">
      <c r="A1288">
        <v>1287</v>
      </c>
      <c r="B1288" t="s">
        <v>1346</v>
      </c>
      <c r="C1288">
        <v>101</v>
      </c>
      <c r="D1288">
        <v>158</v>
      </c>
      <c r="E1288">
        <v>103.525748744761</v>
      </c>
      <c r="F1288">
        <v>0.63889766527190495</v>
      </c>
      <c r="G1288">
        <v>8417.5681610585998</v>
      </c>
      <c r="H1288">
        <v>527.39853338925695</v>
      </c>
      <c r="I1288">
        <v>0.67482200307503204</v>
      </c>
      <c r="J1288">
        <v>0.38029329666107298</v>
      </c>
      <c r="K1288">
        <v>0.74280917592434703</v>
      </c>
      <c r="L1288" t="s">
        <v>74</v>
      </c>
      <c r="M1288" t="s">
        <v>34</v>
      </c>
      <c r="N1288" t="s">
        <v>35</v>
      </c>
      <c r="O1288">
        <v>0.70920934152100101</v>
      </c>
      <c r="P1288" t="s">
        <v>36</v>
      </c>
    </row>
    <row r="1289" spans="1:16">
      <c r="A1289">
        <v>1288</v>
      </c>
      <c r="B1289" t="s">
        <v>1347</v>
      </c>
      <c r="C1289">
        <v>154</v>
      </c>
      <c r="D1289">
        <v>114</v>
      </c>
      <c r="E1289">
        <v>103.83148373368699</v>
      </c>
      <c r="F1289">
        <v>1.3513625757430301</v>
      </c>
      <c r="G1289">
        <v>8467.3595466918705</v>
      </c>
      <c r="H1289">
        <v>743.38600803198995</v>
      </c>
      <c r="I1289">
        <v>0.58942106522431803</v>
      </c>
      <c r="J1289">
        <v>0.192543605656744</v>
      </c>
      <c r="K1289">
        <v>0.61883812379152303</v>
      </c>
      <c r="L1289" t="s">
        <v>74</v>
      </c>
      <c r="M1289" t="s">
        <v>34</v>
      </c>
      <c r="N1289" t="s">
        <v>35</v>
      </c>
      <c r="O1289">
        <v>0.72878072847489805</v>
      </c>
      <c r="P1289" t="s">
        <v>36</v>
      </c>
    </row>
    <row r="1290" spans="1:16">
      <c r="A1290">
        <v>1289</v>
      </c>
      <c r="B1290" t="s">
        <v>1348</v>
      </c>
      <c r="C1290">
        <v>169</v>
      </c>
      <c r="D1290">
        <v>129</v>
      </c>
      <c r="E1290">
        <v>103.955346397131</v>
      </c>
      <c r="F1290">
        <v>1.30701709375682</v>
      </c>
      <c r="G1290">
        <v>8487.5733629489605</v>
      </c>
      <c r="H1290">
        <v>1107.1152388625601</v>
      </c>
      <c r="I1290">
        <v>0.70129565142630701</v>
      </c>
      <c r="J1290">
        <v>8.7017729613426201E-2</v>
      </c>
      <c r="K1290">
        <v>0.57085590899094296</v>
      </c>
      <c r="L1290" t="s">
        <v>288</v>
      </c>
      <c r="M1290" t="s">
        <v>34</v>
      </c>
      <c r="N1290" t="s">
        <v>35</v>
      </c>
      <c r="O1290">
        <v>0.68699985601360603</v>
      </c>
      <c r="P1290" t="s">
        <v>36</v>
      </c>
    </row>
    <row r="1291" spans="1:16">
      <c r="A1291">
        <v>1290</v>
      </c>
      <c r="B1291" t="s">
        <v>1349</v>
      </c>
      <c r="C1291">
        <v>105</v>
      </c>
      <c r="D1291">
        <v>164</v>
      </c>
      <c r="E1291">
        <v>104.17356830382001</v>
      </c>
      <c r="F1291">
        <v>0.641660157543397</v>
      </c>
      <c r="G1291">
        <v>8523.2448034026493</v>
      </c>
      <c r="H1291">
        <v>600.97742911701596</v>
      </c>
      <c r="I1291">
        <v>0.69899498066363697</v>
      </c>
      <c r="J1291">
        <v>0.29655039259928201</v>
      </c>
      <c r="K1291">
        <v>0.64479676167987898</v>
      </c>
      <c r="L1291" t="s">
        <v>74</v>
      </c>
      <c r="M1291" t="s">
        <v>34</v>
      </c>
      <c r="N1291" t="s">
        <v>35</v>
      </c>
      <c r="O1291">
        <v>0.74029257412461402</v>
      </c>
      <c r="P1291" t="s">
        <v>36</v>
      </c>
    </row>
    <row r="1292" spans="1:16">
      <c r="A1292">
        <v>1291</v>
      </c>
      <c r="B1292" t="s">
        <v>1350</v>
      </c>
      <c r="C1292">
        <v>99</v>
      </c>
      <c r="D1292">
        <v>173</v>
      </c>
      <c r="E1292">
        <v>104.227144556648</v>
      </c>
      <c r="F1292">
        <v>0.57033862537242197</v>
      </c>
      <c r="G1292">
        <v>8532.0140325141801</v>
      </c>
      <c r="H1292">
        <v>654.19894689995294</v>
      </c>
      <c r="I1292">
        <v>0.66301887625905198</v>
      </c>
      <c r="J1292">
        <v>0.25051961967967601</v>
      </c>
      <c r="K1292">
        <v>0.72744322789943205</v>
      </c>
      <c r="L1292" t="s">
        <v>188</v>
      </c>
      <c r="M1292" t="s">
        <v>34</v>
      </c>
      <c r="N1292" t="s">
        <v>35</v>
      </c>
      <c r="O1292">
        <v>0.86919882647050595</v>
      </c>
      <c r="P1292" t="s">
        <v>36</v>
      </c>
    </row>
    <row r="1293" spans="1:16">
      <c r="A1293">
        <v>1292</v>
      </c>
      <c r="B1293" t="s">
        <v>1351</v>
      </c>
      <c r="C1293">
        <v>152</v>
      </c>
      <c r="D1293">
        <v>132</v>
      </c>
      <c r="E1293">
        <v>104.58241184420601</v>
      </c>
      <c r="F1293">
        <v>1.14403281431257</v>
      </c>
      <c r="G1293">
        <v>8590.2773852552</v>
      </c>
      <c r="H1293">
        <v>1114.3702111692</v>
      </c>
      <c r="I1293">
        <v>0.60363777644410099</v>
      </c>
      <c r="J1293">
        <v>8.6927674862017301E-2</v>
      </c>
      <c r="K1293">
        <v>0.51222149352145596</v>
      </c>
      <c r="L1293" t="s">
        <v>43</v>
      </c>
      <c r="M1293" t="s">
        <v>34</v>
      </c>
      <c r="N1293" t="s">
        <v>35</v>
      </c>
      <c r="O1293">
        <v>0.76594766886392496</v>
      </c>
      <c r="P1293" t="s">
        <v>36</v>
      </c>
    </row>
    <row r="1294" spans="1:16">
      <c r="A1294">
        <v>1293</v>
      </c>
      <c r="B1294" t="s">
        <v>1352</v>
      </c>
      <c r="C1294">
        <v>171</v>
      </c>
      <c r="D1294">
        <v>132</v>
      </c>
      <c r="E1294">
        <v>104.59145900045</v>
      </c>
      <c r="F1294">
        <v>1.29752057257037</v>
      </c>
      <c r="G1294">
        <v>8591.7636952740995</v>
      </c>
      <c r="H1294">
        <v>1288.7567724702701</v>
      </c>
      <c r="I1294">
        <v>0.485521248510209</v>
      </c>
      <c r="J1294">
        <v>6.5005524505169596E-2</v>
      </c>
      <c r="K1294">
        <v>0.48312982139424498</v>
      </c>
      <c r="L1294" t="s">
        <v>38</v>
      </c>
      <c r="M1294" t="s">
        <v>34</v>
      </c>
      <c r="N1294" t="s">
        <v>35</v>
      </c>
      <c r="O1294">
        <v>0.81855364830396504</v>
      </c>
      <c r="P1294" t="s">
        <v>36</v>
      </c>
    </row>
    <row r="1295" spans="1:16">
      <c r="A1295">
        <v>1294</v>
      </c>
      <c r="B1295" t="s">
        <v>1353</v>
      </c>
      <c r="C1295">
        <v>152</v>
      </c>
      <c r="D1295">
        <v>137</v>
      </c>
      <c r="E1295">
        <v>104.60502826767301</v>
      </c>
      <c r="F1295">
        <v>1.1075696126103001</v>
      </c>
      <c r="G1295">
        <v>8593.9931603024597</v>
      </c>
      <c r="H1295">
        <v>1033.46825069127</v>
      </c>
      <c r="I1295">
        <v>0.62596215633482599</v>
      </c>
      <c r="J1295">
        <v>0.101113836628965</v>
      </c>
      <c r="K1295">
        <v>0.504339407049465</v>
      </c>
      <c r="L1295" t="s">
        <v>38</v>
      </c>
      <c r="M1295" t="s">
        <v>34</v>
      </c>
      <c r="N1295" t="s">
        <v>35</v>
      </c>
      <c r="O1295">
        <v>0.68575465359839105</v>
      </c>
      <c r="P1295" t="s">
        <v>36</v>
      </c>
    </row>
    <row r="1296" spans="1:16">
      <c r="A1296">
        <v>1295</v>
      </c>
      <c r="B1296" t="s">
        <v>1354</v>
      </c>
      <c r="C1296">
        <v>134</v>
      </c>
      <c r="D1296">
        <v>138</v>
      </c>
      <c r="E1296">
        <v>104.69906015469</v>
      </c>
      <c r="F1296">
        <v>0.97233201581027695</v>
      </c>
      <c r="G1296">
        <v>8609.4507844990603</v>
      </c>
      <c r="H1296">
        <v>1073.4080597607001</v>
      </c>
      <c r="I1296">
        <v>0.55190941534276305</v>
      </c>
      <c r="J1296">
        <v>9.3897841296222001E-2</v>
      </c>
      <c r="K1296">
        <v>0.62244119448533797</v>
      </c>
      <c r="L1296" t="s">
        <v>144</v>
      </c>
      <c r="M1296" t="s">
        <v>34</v>
      </c>
      <c r="N1296" t="s">
        <v>35</v>
      </c>
      <c r="O1296">
        <v>0.73373467142587601</v>
      </c>
      <c r="P1296" t="s">
        <v>36</v>
      </c>
    </row>
    <row r="1297" spans="1:16">
      <c r="A1297">
        <v>1296</v>
      </c>
      <c r="B1297" t="s">
        <v>1355</v>
      </c>
      <c r="C1297">
        <v>139</v>
      </c>
      <c r="D1297">
        <v>138</v>
      </c>
      <c r="E1297">
        <v>104.73972086266301</v>
      </c>
      <c r="F1297">
        <v>1.0062171655754999</v>
      </c>
      <c r="G1297">
        <v>8616.1391795841191</v>
      </c>
      <c r="H1297">
        <v>718.36080523283601</v>
      </c>
      <c r="I1297">
        <v>0.61639681752021003</v>
      </c>
      <c r="J1297">
        <v>0.20981537641735001</v>
      </c>
      <c r="K1297">
        <v>0.66571733713065195</v>
      </c>
      <c r="L1297" t="s">
        <v>331</v>
      </c>
      <c r="M1297" t="s">
        <v>34</v>
      </c>
      <c r="N1297" t="s">
        <v>35</v>
      </c>
      <c r="O1297">
        <v>0.677106004758534</v>
      </c>
      <c r="P1297" t="s">
        <v>36</v>
      </c>
    </row>
    <row r="1298" spans="1:16">
      <c r="A1298">
        <v>1297</v>
      </c>
      <c r="B1298" t="s">
        <v>1356</v>
      </c>
      <c r="C1298">
        <v>93</v>
      </c>
      <c r="D1298">
        <v>155</v>
      </c>
      <c r="E1298">
        <v>104.86947395524599</v>
      </c>
      <c r="F1298">
        <v>0.60204081130231901</v>
      </c>
      <c r="G1298">
        <v>8637.5</v>
      </c>
      <c r="H1298">
        <v>616.48231685161602</v>
      </c>
      <c r="I1298">
        <v>0.80519302075209198</v>
      </c>
      <c r="J1298">
        <v>0.28559899624107798</v>
      </c>
      <c r="K1298">
        <v>0.73824786324786296</v>
      </c>
      <c r="L1298" t="s">
        <v>144</v>
      </c>
      <c r="M1298" t="s">
        <v>34</v>
      </c>
      <c r="N1298" t="s">
        <v>35</v>
      </c>
      <c r="O1298">
        <v>0.79019769366912596</v>
      </c>
      <c r="P1298" t="s">
        <v>36</v>
      </c>
    </row>
    <row r="1299" spans="1:16">
      <c r="A1299">
        <v>1298</v>
      </c>
      <c r="B1299" t="s">
        <v>1357</v>
      </c>
      <c r="C1299">
        <v>166</v>
      </c>
      <c r="D1299">
        <v>99</v>
      </c>
      <c r="E1299">
        <v>104.981551785677</v>
      </c>
      <c r="F1299">
        <v>1.6814217045748701</v>
      </c>
      <c r="G1299">
        <v>8655.9722880907393</v>
      </c>
      <c r="H1299">
        <v>692.11287576820496</v>
      </c>
      <c r="I1299">
        <v>0.56859131847119004</v>
      </c>
      <c r="J1299">
        <v>0.227076328619812</v>
      </c>
      <c r="K1299">
        <v>0.68513682031011003</v>
      </c>
      <c r="L1299" t="s">
        <v>38</v>
      </c>
      <c r="M1299" t="s">
        <v>34</v>
      </c>
      <c r="N1299" t="s">
        <v>35</v>
      </c>
      <c r="O1299">
        <v>0.70761036162859603</v>
      </c>
      <c r="P1299" t="s">
        <v>36</v>
      </c>
    </row>
    <row r="1300" spans="1:16">
      <c r="A1300">
        <v>1299</v>
      </c>
      <c r="B1300" t="s">
        <v>1358</v>
      </c>
      <c r="C1300">
        <v>143</v>
      </c>
      <c r="D1300">
        <v>99</v>
      </c>
      <c r="E1300">
        <v>104.996873020604</v>
      </c>
      <c r="F1300">
        <v>1.4461537350206799</v>
      </c>
      <c r="G1300">
        <v>8658.4990151228703</v>
      </c>
      <c r="H1300">
        <v>552.85432778679797</v>
      </c>
      <c r="I1300">
        <v>0.57273718186530598</v>
      </c>
      <c r="J1300">
        <v>0.35598446718690202</v>
      </c>
      <c r="K1300">
        <v>0.84389622053859903</v>
      </c>
      <c r="L1300" t="s">
        <v>74</v>
      </c>
      <c r="M1300" t="s">
        <v>34</v>
      </c>
      <c r="N1300" t="s">
        <v>35</v>
      </c>
      <c r="O1300">
        <v>0.71613843522644305</v>
      </c>
      <c r="P1300" t="s">
        <v>36</v>
      </c>
    </row>
    <row r="1301" spans="1:16">
      <c r="A1301">
        <v>1300</v>
      </c>
      <c r="B1301" t="s">
        <v>1359</v>
      </c>
      <c r="C1301">
        <v>124</v>
      </c>
      <c r="D1301">
        <v>132</v>
      </c>
      <c r="E1301">
        <v>104.996873020604</v>
      </c>
      <c r="F1301">
        <v>0.94214876033057804</v>
      </c>
      <c r="G1301">
        <v>8658.4990151228703</v>
      </c>
      <c r="H1301">
        <v>615.87484714041602</v>
      </c>
      <c r="I1301">
        <v>0.56002992953577302</v>
      </c>
      <c r="J1301">
        <v>0.286858379647351</v>
      </c>
      <c r="K1301">
        <v>0.69365228677232305</v>
      </c>
      <c r="L1301" t="s">
        <v>38</v>
      </c>
      <c r="M1301" t="s">
        <v>34</v>
      </c>
      <c r="N1301" t="s">
        <v>35</v>
      </c>
      <c r="O1301">
        <v>0.81580548706189104</v>
      </c>
      <c r="P1301" t="s">
        <v>36</v>
      </c>
    </row>
    <row r="1302" spans="1:16">
      <c r="A1302">
        <v>1301</v>
      </c>
      <c r="B1302" t="s">
        <v>1360</v>
      </c>
      <c r="C1302">
        <v>170</v>
      </c>
      <c r="D1302">
        <v>92</v>
      </c>
      <c r="E1302">
        <v>105.05543360817499</v>
      </c>
      <c r="F1302">
        <v>1.85727034979315</v>
      </c>
      <c r="G1302">
        <v>8668.16003024575</v>
      </c>
      <c r="H1302">
        <v>598.72846710827002</v>
      </c>
      <c r="I1302">
        <v>0.51898282480327795</v>
      </c>
      <c r="J1302">
        <v>0.30386240402971099</v>
      </c>
      <c r="K1302">
        <v>0.71220095985931797</v>
      </c>
      <c r="L1302" t="s">
        <v>33</v>
      </c>
      <c r="M1302" t="s">
        <v>34</v>
      </c>
      <c r="N1302" t="s">
        <v>35</v>
      </c>
      <c r="O1302">
        <v>0.68577531855551499</v>
      </c>
      <c r="P1302" t="s">
        <v>36</v>
      </c>
    </row>
    <row r="1303" spans="1:16">
      <c r="A1303">
        <v>1302</v>
      </c>
      <c r="B1303" t="s">
        <v>1361</v>
      </c>
      <c r="C1303">
        <v>110</v>
      </c>
      <c r="D1303">
        <v>133</v>
      </c>
      <c r="E1303">
        <v>105.29743806195501</v>
      </c>
      <c r="F1303">
        <v>0.82556949563426396</v>
      </c>
      <c r="G1303">
        <v>8708.1417697542493</v>
      </c>
      <c r="H1303">
        <v>490.17816365501199</v>
      </c>
      <c r="I1303">
        <v>0.64969504799227795</v>
      </c>
      <c r="J1303">
        <v>0.45543608109469003</v>
      </c>
      <c r="K1303">
        <v>0.81032598923972698</v>
      </c>
      <c r="L1303" t="s">
        <v>33</v>
      </c>
      <c r="M1303" t="s">
        <v>34</v>
      </c>
      <c r="N1303" t="s">
        <v>35</v>
      </c>
      <c r="O1303">
        <v>0.72676876448204297</v>
      </c>
      <c r="P1303" t="s">
        <v>36</v>
      </c>
    </row>
    <row r="1304" spans="1:16">
      <c r="A1304">
        <v>1303</v>
      </c>
      <c r="B1304" t="s">
        <v>1362</v>
      </c>
      <c r="C1304">
        <v>123</v>
      </c>
      <c r="D1304">
        <v>144</v>
      </c>
      <c r="E1304">
        <v>105.345951879258</v>
      </c>
      <c r="F1304">
        <v>0.85750226536669405</v>
      </c>
      <c r="G1304">
        <v>8716.1678438563304</v>
      </c>
      <c r="H1304">
        <v>755.94205789182502</v>
      </c>
      <c r="I1304">
        <v>0.65324915648942505</v>
      </c>
      <c r="J1304">
        <v>0.19167189275944099</v>
      </c>
      <c r="K1304">
        <v>0.65103912251876195</v>
      </c>
      <c r="L1304" t="s">
        <v>38</v>
      </c>
      <c r="M1304" t="s">
        <v>34</v>
      </c>
      <c r="N1304" t="s">
        <v>35</v>
      </c>
      <c r="O1304">
        <v>0.865265652658877</v>
      </c>
      <c r="P1304" t="s">
        <v>36</v>
      </c>
    </row>
    <row r="1305" spans="1:16">
      <c r="A1305">
        <v>1304</v>
      </c>
      <c r="B1305" t="s">
        <v>1363</v>
      </c>
      <c r="C1305">
        <v>112</v>
      </c>
      <c r="D1305">
        <v>138</v>
      </c>
      <c r="E1305">
        <v>105.363914291044</v>
      </c>
      <c r="F1305">
        <v>0.814229249011858</v>
      </c>
      <c r="G1305">
        <v>8719.1404638941403</v>
      </c>
      <c r="H1305">
        <v>618.346890956734</v>
      </c>
      <c r="I1305">
        <v>0.67021189163602002</v>
      </c>
      <c r="J1305">
        <v>0.28656237977950699</v>
      </c>
      <c r="K1305">
        <v>0.71664345574042898</v>
      </c>
      <c r="L1305" t="s">
        <v>47</v>
      </c>
      <c r="M1305" t="s">
        <v>34</v>
      </c>
      <c r="N1305" t="s">
        <v>35</v>
      </c>
      <c r="O1305">
        <v>0.91124848313872697</v>
      </c>
      <c r="P1305" t="s">
        <v>36</v>
      </c>
    </row>
    <row r="1306" spans="1:16">
      <c r="A1306">
        <v>1305</v>
      </c>
      <c r="B1306" t="s">
        <v>1364</v>
      </c>
      <c r="C1306">
        <v>77</v>
      </c>
      <c r="D1306">
        <v>177</v>
      </c>
      <c r="E1306">
        <v>105.48418354995501</v>
      </c>
      <c r="F1306">
        <v>0.43374353699085799</v>
      </c>
      <c r="G1306">
        <v>8739.0570181474504</v>
      </c>
      <c r="H1306">
        <v>644.084457366881</v>
      </c>
      <c r="I1306">
        <v>0.84036527849833398</v>
      </c>
      <c r="J1306">
        <v>0.26472124618183202</v>
      </c>
      <c r="K1306">
        <v>0.71161270801815402</v>
      </c>
      <c r="L1306" t="s">
        <v>41</v>
      </c>
      <c r="M1306" t="s">
        <v>34</v>
      </c>
      <c r="N1306" t="s">
        <v>35</v>
      </c>
      <c r="O1306">
        <v>0.70290591089358301</v>
      </c>
      <c r="P1306" t="s">
        <v>36</v>
      </c>
    </row>
    <row r="1307" spans="1:16">
      <c r="A1307">
        <v>1306</v>
      </c>
      <c r="B1307" t="s">
        <v>1365</v>
      </c>
      <c r="C1307">
        <v>91</v>
      </c>
      <c r="D1307">
        <v>170</v>
      </c>
      <c r="E1307">
        <v>105.49494724218199</v>
      </c>
      <c r="F1307">
        <v>0.53407872157872205</v>
      </c>
      <c r="G1307">
        <v>8740.8405901701299</v>
      </c>
      <c r="H1307">
        <v>518.91694141294602</v>
      </c>
      <c r="I1307">
        <v>0.67109185958391204</v>
      </c>
      <c r="J1307">
        <v>0.40791282944260698</v>
      </c>
      <c r="K1307">
        <v>0.78461168999239495</v>
      </c>
      <c r="L1307" t="s">
        <v>38</v>
      </c>
      <c r="M1307" t="s">
        <v>34</v>
      </c>
      <c r="N1307" t="s">
        <v>35</v>
      </c>
      <c r="O1307">
        <v>0.721682426467259</v>
      </c>
      <c r="P1307" t="s">
        <v>36</v>
      </c>
    </row>
    <row r="1308" spans="1:16">
      <c r="A1308">
        <v>1307</v>
      </c>
      <c r="B1308" t="s">
        <v>1366</v>
      </c>
      <c r="C1308">
        <v>145</v>
      </c>
      <c r="D1308">
        <v>109</v>
      </c>
      <c r="E1308">
        <v>105.514677826134</v>
      </c>
      <c r="F1308">
        <v>1.33</v>
      </c>
      <c r="G1308">
        <v>8744.1104722117198</v>
      </c>
      <c r="H1308">
        <v>691.59311047522897</v>
      </c>
      <c r="I1308">
        <v>0.667092972087584</v>
      </c>
      <c r="J1308">
        <v>0.22973342286502901</v>
      </c>
      <c r="K1308">
        <v>0.66769946657587098</v>
      </c>
      <c r="L1308" t="s">
        <v>1038</v>
      </c>
      <c r="M1308" t="s">
        <v>34</v>
      </c>
      <c r="N1308" t="s">
        <v>35</v>
      </c>
      <c r="O1308">
        <v>0.71376968953593201</v>
      </c>
      <c r="P1308" t="s">
        <v>36</v>
      </c>
    </row>
    <row r="1309" spans="1:16">
      <c r="A1309">
        <v>1308</v>
      </c>
      <c r="B1309" t="s">
        <v>1367</v>
      </c>
      <c r="C1309">
        <v>144</v>
      </c>
      <c r="D1309">
        <v>100</v>
      </c>
      <c r="E1309">
        <v>105.64283679949899</v>
      </c>
      <c r="F1309">
        <v>1.4321638133521799</v>
      </c>
      <c r="G1309">
        <v>8765.3647054820394</v>
      </c>
      <c r="H1309">
        <v>506.55738287531801</v>
      </c>
      <c r="I1309">
        <v>0.55078374043464495</v>
      </c>
      <c r="J1309">
        <v>0.42926210997089098</v>
      </c>
      <c r="K1309">
        <v>0.79169295619605096</v>
      </c>
      <c r="L1309" t="s">
        <v>49</v>
      </c>
      <c r="M1309" t="s">
        <v>34</v>
      </c>
      <c r="N1309" t="s">
        <v>35</v>
      </c>
      <c r="O1309">
        <v>0.63985597976641795</v>
      </c>
      <c r="P1309" t="s">
        <v>36</v>
      </c>
    </row>
    <row r="1310" spans="1:16">
      <c r="A1310">
        <v>1309</v>
      </c>
      <c r="B1310" t="s">
        <v>1368</v>
      </c>
      <c r="C1310">
        <v>118</v>
      </c>
      <c r="D1310">
        <v>139</v>
      </c>
      <c r="E1310">
        <v>105.81198358088101</v>
      </c>
      <c r="F1310">
        <v>0.852703052352075</v>
      </c>
      <c r="G1310">
        <v>8793.4559648393206</v>
      </c>
      <c r="H1310">
        <v>574.48372036363799</v>
      </c>
      <c r="I1310">
        <v>0.63186496399188996</v>
      </c>
      <c r="J1310">
        <v>0.334822014203697</v>
      </c>
      <c r="K1310">
        <v>0.75229836094757296</v>
      </c>
      <c r="L1310" t="s">
        <v>33</v>
      </c>
      <c r="M1310" t="s">
        <v>34</v>
      </c>
      <c r="N1310" t="s">
        <v>35</v>
      </c>
      <c r="O1310">
        <v>0.70222598798076197</v>
      </c>
      <c r="P1310" t="s">
        <v>36</v>
      </c>
    </row>
    <row r="1311" spans="1:16">
      <c r="A1311">
        <v>1310</v>
      </c>
      <c r="B1311" t="s">
        <v>1369</v>
      </c>
      <c r="C1311">
        <v>95</v>
      </c>
      <c r="D1311">
        <v>142</v>
      </c>
      <c r="E1311">
        <v>106.076644350191</v>
      </c>
      <c r="F1311">
        <v>0.67080746427613902</v>
      </c>
      <c r="G1311">
        <v>8837.5</v>
      </c>
      <c r="H1311">
        <v>553.34523379802704</v>
      </c>
      <c r="I1311">
        <v>0.82558772571123196</v>
      </c>
      <c r="J1311">
        <v>0.36269948904208199</v>
      </c>
      <c r="K1311">
        <v>0.74421052631578899</v>
      </c>
      <c r="L1311" t="s">
        <v>38</v>
      </c>
      <c r="M1311" t="s">
        <v>34</v>
      </c>
      <c r="N1311" t="s">
        <v>35</v>
      </c>
      <c r="O1311">
        <v>0.74249134718365695</v>
      </c>
      <c r="P1311" t="s">
        <v>36</v>
      </c>
    </row>
    <row r="1312" spans="1:16">
      <c r="A1312">
        <v>1311</v>
      </c>
      <c r="B1312" t="s">
        <v>1370</v>
      </c>
      <c r="C1312">
        <v>98</v>
      </c>
      <c r="D1312">
        <v>164</v>
      </c>
      <c r="E1312">
        <v>106.199375113722</v>
      </c>
      <c r="F1312">
        <v>0.59648907662030703</v>
      </c>
      <c r="G1312">
        <v>8857.9618196597403</v>
      </c>
      <c r="H1312">
        <v>590.73064770107703</v>
      </c>
      <c r="I1312">
        <v>0.59951072871975197</v>
      </c>
      <c r="J1312">
        <v>0.31898088738171299</v>
      </c>
      <c r="K1312">
        <v>0.69766924598761504</v>
      </c>
      <c r="L1312" t="s">
        <v>47</v>
      </c>
      <c r="M1312" t="s">
        <v>34</v>
      </c>
      <c r="N1312" t="s">
        <v>35</v>
      </c>
      <c r="O1312">
        <v>0.91620255837007503</v>
      </c>
      <c r="P1312" t="s">
        <v>36</v>
      </c>
    </row>
    <row r="1313" spans="1:16">
      <c r="A1313">
        <v>1312</v>
      </c>
      <c r="B1313" t="s">
        <v>1371</v>
      </c>
      <c r="C1313">
        <v>156</v>
      </c>
      <c r="D1313">
        <v>455</v>
      </c>
      <c r="E1313">
        <v>106.30146264056999</v>
      </c>
      <c r="F1313">
        <v>0.34181376652606099</v>
      </c>
      <c r="G1313">
        <v>8875</v>
      </c>
      <c r="H1313">
        <v>1245.68541526794</v>
      </c>
      <c r="I1313">
        <v>0.720120207419501</v>
      </c>
      <c r="J1313">
        <v>7.1872287320020295E-2</v>
      </c>
      <c r="K1313">
        <v>0.21826006762988001</v>
      </c>
      <c r="L1313" t="s">
        <v>33</v>
      </c>
      <c r="M1313" t="s">
        <v>34</v>
      </c>
      <c r="N1313" t="s">
        <v>35</v>
      </c>
      <c r="O1313">
        <v>0.86160422824167604</v>
      </c>
      <c r="P1313" t="s">
        <v>36</v>
      </c>
    </row>
    <row r="1314" spans="1:16">
      <c r="A1314">
        <v>1313</v>
      </c>
      <c r="B1314" t="s">
        <v>1372</v>
      </c>
      <c r="C1314">
        <v>152</v>
      </c>
      <c r="D1314">
        <v>161</v>
      </c>
      <c r="E1314">
        <v>106.44055661303599</v>
      </c>
      <c r="F1314">
        <v>0.93918918918918903</v>
      </c>
      <c r="G1314">
        <v>8898.2408211720194</v>
      </c>
      <c r="H1314">
        <v>1270.1927906805499</v>
      </c>
      <c r="I1314">
        <v>0.54843174969430497</v>
      </c>
      <c r="J1314">
        <v>6.9306622081178895E-2</v>
      </c>
      <c r="K1314">
        <v>0.50833382863644505</v>
      </c>
      <c r="L1314" t="s">
        <v>47</v>
      </c>
      <c r="M1314" t="s">
        <v>34</v>
      </c>
      <c r="N1314" t="s">
        <v>35</v>
      </c>
      <c r="O1314">
        <v>0.94163830951206995</v>
      </c>
      <c r="P1314" t="s">
        <v>36</v>
      </c>
    </row>
    <row r="1315" spans="1:16">
      <c r="A1315">
        <v>1314</v>
      </c>
      <c r="B1315" t="s">
        <v>1373</v>
      </c>
      <c r="C1315">
        <v>84</v>
      </c>
      <c r="D1315">
        <v>220</v>
      </c>
      <c r="E1315">
        <v>106.488549652198</v>
      </c>
      <c r="F1315">
        <v>0.38257010043790102</v>
      </c>
      <c r="G1315">
        <v>8906.2668952741005</v>
      </c>
      <c r="H1315">
        <v>761.64941333211004</v>
      </c>
      <c r="I1315">
        <v>0.79539736801287797</v>
      </c>
      <c r="J1315">
        <v>0.19292803713100801</v>
      </c>
      <c r="K1315">
        <v>0.66500937773979796</v>
      </c>
      <c r="L1315" t="s">
        <v>38</v>
      </c>
      <c r="M1315" t="s">
        <v>34</v>
      </c>
      <c r="N1315" t="s">
        <v>35</v>
      </c>
      <c r="O1315">
        <v>0.89229756347345601</v>
      </c>
      <c r="P1315" t="s">
        <v>36</v>
      </c>
    </row>
    <row r="1316" spans="1:16">
      <c r="A1316">
        <v>1315</v>
      </c>
      <c r="B1316" t="s">
        <v>1374</v>
      </c>
      <c r="C1316">
        <v>131</v>
      </c>
      <c r="D1316">
        <v>133</v>
      </c>
      <c r="E1316">
        <v>106.68828826349301</v>
      </c>
      <c r="F1316">
        <v>0.98360655737704905</v>
      </c>
      <c r="G1316">
        <v>8939.7088706994291</v>
      </c>
      <c r="H1316">
        <v>794.668542534268</v>
      </c>
      <c r="I1316">
        <v>0.602356075502677</v>
      </c>
      <c r="J1316">
        <v>0.17789395754165799</v>
      </c>
      <c r="K1316">
        <v>0.62956101237203999</v>
      </c>
      <c r="L1316" t="s">
        <v>38</v>
      </c>
      <c r="M1316" t="s">
        <v>34</v>
      </c>
      <c r="N1316" t="s">
        <v>35</v>
      </c>
      <c r="O1316">
        <v>0.74991492719035702</v>
      </c>
      <c r="P1316" t="s">
        <v>36</v>
      </c>
    </row>
    <row r="1317" spans="1:16">
      <c r="A1317">
        <v>1316</v>
      </c>
      <c r="B1317" t="s">
        <v>1375</v>
      </c>
      <c r="C1317">
        <v>205</v>
      </c>
      <c r="D1317">
        <v>137</v>
      </c>
      <c r="E1317">
        <v>106.745920948254</v>
      </c>
      <c r="F1317">
        <v>1.49787617800587</v>
      </c>
      <c r="G1317">
        <v>8949.3698858223106</v>
      </c>
      <c r="H1317">
        <v>1266.9613720607799</v>
      </c>
      <c r="I1317">
        <v>0.67790042548423202</v>
      </c>
      <c r="J1317">
        <v>7.0060877778680697E-2</v>
      </c>
      <c r="K1317">
        <v>0.42251663064529699</v>
      </c>
      <c r="L1317" t="s">
        <v>43</v>
      </c>
      <c r="M1317" t="s">
        <v>34</v>
      </c>
      <c r="N1317" t="s">
        <v>35</v>
      </c>
      <c r="O1317">
        <v>0.76963755615527996</v>
      </c>
      <c r="P1317" t="s">
        <v>36</v>
      </c>
    </row>
    <row r="1318" spans="1:16">
      <c r="A1318">
        <v>1317</v>
      </c>
      <c r="B1318" t="s">
        <v>1376</v>
      </c>
      <c r="C1318">
        <v>122</v>
      </c>
      <c r="D1318">
        <v>108</v>
      </c>
      <c r="E1318">
        <v>106.75921638026701</v>
      </c>
      <c r="F1318">
        <v>1.13131315155232</v>
      </c>
      <c r="G1318">
        <v>8951.5993508506599</v>
      </c>
      <c r="H1318">
        <v>906.05889819300705</v>
      </c>
      <c r="I1318">
        <v>0.60306989759644303</v>
      </c>
      <c r="J1318">
        <v>0.137024315259899</v>
      </c>
      <c r="K1318">
        <v>0.77282467824100798</v>
      </c>
      <c r="L1318" t="s">
        <v>72</v>
      </c>
      <c r="M1318" t="s">
        <v>34</v>
      </c>
      <c r="N1318" t="s">
        <v>35</v>
      </c>
      <c r="O1318">
        <v>0.81605430949987401</v>
      </c>
      <c r="P1318" t="s">
        <v>36</v>
      </c>
    </row>
    <row r="1319" spans="1:16">
      <c r="A1319">
        <v>1318</v>
      </c>
      <c r="B1319" t="s">
        <v>1377</v>
      </c>
      <c r="C1319">
        <v>126</v>
      </c>
      <c r="D1319">
        <v>118</v>
      </c>
      <c r="E1319">
        <v>106.78580227822501</v>
      </c>
      <c r="F1319">
        <v>1.0685180553475599</v>
      </c>
      <c r="G1319">
        <v>8956.0582809073694</v>
      </c>
      <c r="H1319">
        <v>576.58709524683297</v>
      </c>
      <c r="I1319">
        <v>0.52159296158254398</v>
      </c>
      <c r="J1319">
        <v>0.33852982668564002</v>
      </c>
      <c r="K1319">
        <v>0.77677800265556296</v>
      </c>
      <c r="L1319" t="s">
        <v>47</v>
      </c>
      <c r="M1319" t="s">
        <v>34</v>
      </c>
      <c r="N1319" t="s">
        <v>35</v>
      </c>
      <c r="O1319">
        <v>0.80089849184682005</v>
      </c>
      <c r="P1319" t="s">
        <v>36</v>
      </c>
    </row>
    <row r="1320" spans="1:16">
      <c r="A1320">
        <v>1319</v>
      </c>
      <c r="B1320" t="s">
        <v>1378</v>
      </c>
      <c r="C1320">
        <v>150</v>
      </c>
      <c r="D1320">
        <v>167</v>
      </c>
      <c r="E1320">
        <v>106.798206765716</v>
      </c>
      <c r="F1320">
        <v>0.89576547231270398</v>
      </c>
      <c r="G1320">
        <v>8958.1391149338397</v>
      </c>
      <c r="H1320">
        <v>1272.12626472691</v>
      </c>
      <c r="I1320">
        <v>0.614424660157741</v>
      </c>
      <c r="J1320">
        <v>6.9561226034089305E-2</v>
      </c>
      <c r="K1320">
        <v>0.42952537058152801</v>
      </c>
      <c r="L1320" t="s">
        <v>893</v>
      </c>
      <c r="M1320" t="s">
        <v>34</v>
      </c>
      <c r="N1320" t="s">
        <v>35</v>
      </c>
      <c r="O1320">
        <v>0.67480694977055</v>
      </c>
      <c r="P1320" t="s">
        <v>36</v>
      </c>
    </row>
    <row r="1321" spans="1:16">
      <c r="A1321">
        <v>1320</v>
      </c>
      <c r="B1321" t="s">
        <v>1379</v>
      </c>
      <c r="C1321">
        <v>192</v>
      </c>
      <c r="D1321">
        <v>102</v>
      </c>
      <c r="E1321">
        <v>107.447431226718</v>
      </c>
      <c r="F1321">
        <v>1.8748675667218999</v>
      </c>
      <c r="G1321">
        <v>9067.3829013232498</v>
      </c>
      <c r="H1321">
        <v>882.57807979998404</v>
      </c>
      <c r="I1321">
        <v>0.69519714359451801</v>
      </c>
      <c r="J1321">
        <v>0.14628020017849</v>
      </c>
      <c r="K1321">
        <v>0.60525428100878997</v>
      </c>
      <c r="L1321" t="s">
        <v>43</v>
      </c>
      <c r="M1321" t="s">
        <v>34</v>
      </c>
      <c r="N1321" t="s">
        <v>35</v>
      </c>
      <c r="O1321">
        <v>0.81922879416163696</v>
      </c>
      <c r="P1321" t="s">
        <v>36</v>
      </c>
    </row>
    <row r="1322" spans="1:16">
      <c r="A1322">
        <v>1321</v>
      </c>
      <c r="B1322" t="s">
        <v>1380</v>
      </c>
      <c r="C1322">
        <v>86</v>
      </c>
      <c r="D1322">
        <v>198</v>
      </c>
      <c r="E1322">
        <v>107.664727120389</v>
      </c>
      <c r="F1322">
        <v>0.43274365357294298</v>
      </c>
      <c r="G1322">
        <v>9104.0947587901701</v>
      </c>
      <c r="H1322">
        <v>579.23293290418098</v>
      </c>
      <c r="I1322">
        <v>0.78502011630093504</v>
      </c>
      <c r="J1322">
        <v>0.34098882082445903</v>
      </c>
      <c r="K1322">
        <v>0.73251614446304703</v>
      </c>
      <c r="L1322" t="s">
        <v>74</v>
      </c>
      <c r="M1322" t="s">
        <v>34</v>
      </c>
      <c r="N1322" t="s">
        <v>35</v>
      </c>
      <c r="O1322">
        <v>0.66471286527791096</v>
      </c>
      <c r="P1322" t="s">
        <v>36</v>
      </c>
    </row>
    <row r="1323" spans="1:16">
      <c r="A1323">
        <v>1322</v>
      </c>
      <c r="B1323" t="s">
        <v>1381</v>
      </c>
      <c r="C1323">
        <v>186</v>
      </c>
      <c r="D1323">
        <v>147</v>
      </c>
      <c r="E1323">
        <v>107.720959007685</v>
      </c>
      <c r="F1323">
        <v>1.26765799256506</v>
      </c>
      <c r="G1323">
        <v>9113.6071429111507</v>
      </c>
      <c r="H1323">
        <v>1095.6363285426501</v>
      </c>
      <c r="I1323">
        <v>0.55453956502856105</v>
      </c>
      <c r="J1323">
        <v>9.5404161701657997E-2</v>
      </c>
      <c r="K1323">
        <v>0.40215780153472802</v>
      </c>
      <c r="L1323" t="s">
        <v>49</v>
      </c>
      <c r="M1323" t="s">
        <v>34</v>
      </c>
      <c r="N1323" t="s">
        <v>35</v>
      </c>
      <c r="O1323">
        <v>0.82903902992665701</v>
      </c>
      <c r="P1323" t="s">
        <v>36</v>
      </c>
    </row>
    <row r="1324" spans="1:16">
      <c r="A1324">
        <v>1323</v>
      </c>
      <c r="B1324" t="s">
        <v>1382</v>
      </c>
      <c r="C1324">
        <v>156</v>
      </c>
      <c r="D1324">
        <v>131</v>
      </c>
      <c r="E1324">
        <v>107.74028194068001</v>
      </c>
      <c r="F1324">
        <v>1.19087136929461</v>
      </c>
      <c r="G1324">
        <v>9116.8770249527406</v>
      </c>
      <c r="H1324">
        <v>811.99260941163402</v>
      </c>
      <c r="I1324">
        <v>0.55698778515982095</v>
      </c>
      <c r="J1324">
        <v>0.17376080022499399</v>
      </c>
      <c r="K1324">
        <v>0.61273437421958499</v>
      </c>
      <c r="L1324" t="s">
        <v>33</v>
      </c>
      <c r="M1324" t="s">
        <v>34</v>
      </c>
      <c r="N1324" t="s">
        <v>35</v>
      </c>
      <c r="O1324">
        <v>0.76494388709562</v>
      </c>
      <c r="P1324" t="s">
        <v>36</v>
      </c>
    </row>
    <row r="1325" spans="1:16">
      <c r="A1325">
        <v>1324</v>
      </c>
      <c r="B1325" t="s">
        <v>1383</v>
      </c>
      <c r="C1325">
        <v>196</v>
      </c>
      <c r="D1325">
        <v>166</v>
      </c>
      <c r="E1325">
        <v>107.82719228796699</v>
      </c>
      <c r="F1325">
        <v>1.17704921575812</v>
      </c>
      <c r="G1325">
        <v>9131.5914941398896</v>
      </c>
      <c r="H1325">
        <v>1502.1344021795101</v>
      </c>
      <c r="I1325">
        <v>0.61906783260707099</v>
      </c>
      <c r="J1325">
        <v>5.0855596641734599E-2</v>
      </c>
      <c r="K1325">
        <v>0.35636890951276101</v>
      </c>
      <c r="L1325" t="s">
        <v>144</v>
      </c>
      <c r="M1325" t="s">
        <v>34</v>
      </c>
      <c r="N1325" t="s">
        <v>35</v>
      </c>
      <c r="O1325">
        <v>0.78664669271007603</v>
      </c>
      <c r="P1325" t="s">
        <v>36</v>
      </c>
    </row>
    <row r="1326" spans="1:16">
      <c r="A1326">
        <v>1325</v>
      </c>
      <c r="B1326" t="s">
        <v>1384</v>
      </c>
      <c r="C1326">
        <v>152</v>
      </c>
      <c r="D1326">
        <v>165</v>
      </c>
      <c r="E1326">
        <v>107.850882955004</v>
      </c>
      <c r="F1326">
        <v>0.91749173255476901</v>
      </c>
      <c r="G1326">
        <v>9135.6045311909293</v>
      </c>
      <c r="H1326">
        <v>1166.93416254199</v>
      </c>
      <c r="I1326">
        <v>0.53807487175443003</v>
      </c>
      <c r="J1326">
        <v>8.4305216276326506E-2</v>
      </c>
      <c r="K1326">
        <v>0.50168138559232101</v>
      </c>
      <c r="L1326" t="s">
        <v>43</v>
      </c>
      <c r="M1326" t="s">
        <v>34</v>
      </c>
      <c r="N1326" t="s">
        <v>35</v>
      </c>
      <c r="O1326">
        <v>0.68199339232641898</v>
      </c>
      <c r="P1326" t="s">
        <v>36</v>
      </c>
    </row>
    <row r="1327" spans="1:16">
      <c r="A1327">
        <v>1326</v>
      </c>
      <c r="B1327" t="s">
        <v>1385</v>
      </c>
      <c r="C1327">
        <v>210</v>
      </c>
      <c r="D1327">
        <v>98</v>
      </c>
      <c r="E1327">
        <v>108.10676145355001</v>
      </c>
      <c r="F1327">
        <v>2.1425627265400999</v>
      </c>
      <c r="G1327">
        <v>9179.0047837429101</v>
      </c>
      <c r="H1327">
        <v>1214.7294363532901</v>
      </c>
      <c r="I1327">
        <v>0.42469741753763501</v>
      </c>
      <c r="J1327">
        <v>7.8171122560914699E-2</v>
      </c>
      <c r="K1327">
        <v>0.59612730098361899</v>
      </c>
      <c r="L1327" t="s">
        <v>33</v>
      </c>
      <c r="M1327" t="s">
        <v>34</v>
      </c>
      <c r="N1327" t="s">
        <v>35</v>
      </c>
      <c r="O1327">
        <v>0.66087988117829799</v>
      </c>
      <c r="P1327" t="s">
        <v>36</v>
      </c>
    </row>
    <row r="1328" spans="1:16">
      <c r="A1328">
        <v>1327</v>
      </c>
      <c r="B1328" t="s">
        <v>1386</v>
      </c>
      <c r="C1328">
        <v>107</v>
      </c>
      <c r="D1328">
        <v>167</v>
      </c>
      <c r="E1328">
        <v>108.111137660838</v>
      </c>
      <c r="F1328">
        <v>0.64169381107491896</v>
      </c>
      <c r="G1328">
        <v>9179.7479387523599</v>
      </c>
      <c r="H1328">
        <v>637.23576294733095</v>
      </c>
      <c r="I1328">
        <v>0.63530117435566402</v>
      </c>
      <c r="J1328">
        <v>0.28407978968842301</v>
      </c>
      <c r="K1328">
        <v>0.69187166733880001</v>
      </c>
      <c r="L1328" t="s">
        <v>38</v>
      </c>
      <c r="M1328" t="s">
        <v>34</v>
      </c>
      <c r="N1328" t="s">
        <v>35</v>
      </c>
      <c r="O1328">
        <v>0.79200691582892202</v>
      </c>
      <c r="P1328" t="s">
        <v>36</v>
      </c>
    </row>
    <row r="1329" spans="1:16">
      <c r="A1329">
        <v>1328</v>
      </c>
      <c r="B1329" t="s">
        <v>1387</v>
      </c>
      <c r="C1329">
        <v>184</v>
      </c>
      <c r="D1329">
        <v>208</v>
      </c>
      <c r="E1329">
        <v>108.228354098133</v>
      </c>
      <c r="F1329">
        <v>0.884816753926702</v>
      </c>
      <c r="G1329">
        <v>9199.66449300567</v>
      </c>
      <c r="H1329">
        <v>1594.58336542088</v>
      </c>
      <c r="I1329">
        <v>0.27635463526536203</v>
      </c>
      <c r="J1329">
        <v>4.54660677400976E-2</v>
      </c>
      <c r="K1329">
        <v>0.33687831321366801</v>
      </c>
      <c r="L1329" t="s">
        <v>288</v>
      </c>
      <c r="M1329" t="s">
        <v>34</v>
      </c>
      <c r="N1329" t="s">
        <v>35</v>
      </c>
      <c r="O1329">
        <v>0.68067341635487399</v>
      </c>
      <c r="P1329" t="s">
        <v>36</v>
      </c>
    </row>
    <row r="1330" spans="1:16">
      <c r="A1330">
        <v>1329</v>
      </c>
      <c r="B1330" t="s">
        <v>1388</v>
      </c>
      <c r="C1330">
        <v>122</v>
      </c>
      <c r="D1330">
        <v>225</v>
      </c>
      <c r="E1330">
        <v>108.240593267772</v>
      </c>
      <c r="F1330">
        <v>0.54248764748447298</v>
      </c>
      <c r="G1330">
        <v>9201.7453270321403</v>
      </c>
      <c r="H1330">
        <v>963.27025371302705</v>
      </c>
      <c r="I1330">
        <v>0.57894071215990695</v>
      </c>
      <c r="J1330">
        <v>0.12461886021829401</v>
      </c>
      <c r="K1330">
        <v>0.490710503788719</v>
      </c>
      <c r="L1330" t="s">
        <v>43</v>
      </c>
      <c r="M1330" t="s">
        <v>34</v>
      </c>
      <c r="N1330" t="s">
        <v>35</v>
      </c>
      <c r="O1330">
        <v>0.70064870672925195</v>
      </c>
      <c r="P1330" t="s">
        <v>36</v>
      </c>
    </row>
    <row r="1331" spans="1:16">
      <c r="A1331">
        <v>1330</v>
      </c>
      <c r="B1331" t="s">
        <v>1389</v>
      </c>
      <c r="C1331">
        <v>161</v>
      </c>
      <c r="D1331">
        <v>147</v>
      </c>
      <c r="E1331">
        <v>108.449320314576</v>
      </c>
      <c r="F1331">
        <v>1.0962962962963001</v>
      </c>
      <c r="G1331">
        <v>9237.26813648393</v>
      </c>
      <c r="H1331">
        <v>1472.64660754276</v>
      </c>
      <c r="I1331">
        <v>0.67264651919709895</v>
      </c>
      <c r="J1331">
        <v>5.3524957588950497E-2</v>
      </c>
      <c r="K1331">
        <v>0.52001874273091597</v>
      </c>
      <c r="L1331" t="s">
        <v>33</v>
      </c>
      <c r="M1331" t="s">
        <v>34</v>
      </c>
      <c r="N1331" t="s">
        <v>35</v>
      </c>
      <c r="O1331">
        <v>0.75581914218617796</v>
      </c>
      <c r="P1331" t="s">
        <v>36</v>
      </c>
    </row>
    <row r="1332" spans="1:16">
      <c r="A1332">
        <v>1331</v>
      </c>
      <c r="B1332" t="s">
        <v>1390</v>
      </c>
      <c r="C1332">
        <v>218</v>
      </c>
      <c r="D1332">
        <v>106</v>
      </c>
      <c r="E1332">
        <v>108.478108811762</v>
      </c>
      <c r="F1332">
        <v>2.0572791486846902</v>
      </c>
      <c r="G1332">
        <v>9242.1729595463094</v>
      </c>
      <c r="H1332">
        <v>891.63034126592697</v>
      </c>
      <c r="I1332">
        <v>0.68954911422034804</v>
      </c>
      <c r="J1332">
        <v>0.146087910847154</v>
      </c>
      <c r="K1332">
        <v>0.617755170974985</v>
      </c>
      <c r="L1332" t="s">
        <v>47</v>
      </c>
      <c r="M1332" t="s">
        <v>34</v>
      </c>
      <c r="N1332" t="s">
        <v>35</v>
      </c>
      <c r="O1332">
        <v>0.93820777495469199</v>
      </c>
      <c r="P1332" t="s">
        <v>36</v>
      </c>
    </row>
    <row r="1333" spans="1:16">
      <c r="A1333">
        <v>1332</v>
      </c>
      <c r="B1333" t="s">
        <v>1391</v>
      </c>
      <c r="C1333">
        <v>122</v>
      </c>
      <c r="D1333">
        <v>158</v>
      </c>
      <c r="E1333">
        <v>108.583601333476</v>
      </c>
      <c r="F1333">
        <v>0.77032872172931099</v>
      </c>
      <c r="G1333">
        <v>9260.1573107750501</v>
      </c>
      <c r="H1333">
        <v>886.80752704755105</v>
      </c>
      <c r="I1333">
        <v>0.57715820433225096</v>
      </c>
      <c r="J1333">
        <v>0.14796857357241899</v>
      </c>
      <c r="K1333">
        <v>0.61074187350507803</v>
      </c>
      <c r="L1333" t="s">
        <v>74</v>
      </c>
      <c r="M1333" t="s">
        <v>34</v>
      </c>
      <c r="N1333" t="s">
        <v>35</v>
      </c>
      <c r="O1333">
        <v>0.61936701538121997</v>
      </c>
      <c r="P1333" t="s">
        <v>36</v>
      </c>
    </row>
    <row r="1334" spans="1:16">
      <c r="A1334">
        <v>1333</v>
      </c>
      <c r="B1334" t="s">
        <v>1392</v>
      </c>
      <c r="C1334">
        <v>147</v>
      </c>
      <c r="D1334">
        <v>152</v>
      </c>
      <c r="E1334">
        <v>108.58795832362399</v>
      </c>
      <c r="F1334">
        <v>0.96762589928057596</v>
      </c>
      <c r="G1334">
        <v>9260.9004657844998</v>
      </c>
      <c r="H1334">
        <v>1094.16782258842</v>
      </c>
      <c r="I1334">
        <v>0.55812972874293698</v>
      </c>
      <c r="J1334">
        <v>9.7206476848676296E-2</v>
      </c>
      <c r="K1334">
        <v>0.51716038213494198</v>
      </c>
      <c r="L1334" t="s">
        <v>41</v>
      </c>
      <c r="M1334" t="s">
        <v>34</v>
      </c>
      <c r="N1334" t="s">
        <v>35</v>
      </c>
      <c r="O1334">
        <v>0.77030328316986196</v>
      </c>
      <c r="P1334" t="s">
        <v>36</v>
      </c>
    </row>
    <row r="1335" spans="1:16">
      <c r="A1335">
        <v>1334</v>
      </c>
      <c r="B1335" t="s">
        <v>1393</v>
      </c>
      <c r="C1335">
        <v>213</v>
      </c>
      <c r="D1335">
        <v>111</v>
      </c>
      <c r="E1335">
        <v>108.66025883935301</v>
      </c>
      <c r="F1335">
        <v>1.92024249100307</v>
      </c>
      <c r="G1335">
        <v>9273.2368389414005</v>
      </c>
      <c r="H1335">
        <v>790.91346561732496</v>
      </c>
      <c r="I1335">
        <v>0.59337135479998904</v>
      </c>
      <c r="J1335">
        <v>0.18628731216924799</v>
      </c>
      <c r="K1335">
        <v>0.56393546346093004</v>
      </c>
      <c r="L1335" t="s">
        <v>43</v>
      </c>
      <c r="M1335" t="s">
        <v>34</v>
      </c>
      <c r="N1335" t="s">
        <v>35</v>
      </c>
      <c r="O1335">
        <v>0.70185118607322705</v>
      </c>
      <c r="P1335" t="s">
        <v>36</v>
      </c>
    </row>
    <row r="1336" spans="1:16">
      <c r="A1336">
        <v>1335</v>
      </c>
      <c r="B1336" t="s">
        <v>1394</v>
      </c>
      <c r="C1336">
        <v>122</v>
      </c>
      <c r="D1336">
        <v>181</v>
      </c>
      <c r="E1336">
        <v>108.911629499463</v>
      </c>
      <c r="F1336">
        <v>0.67469879518072295</v>
      </c>
      <c r="G1336">
        <v>9316.1911984877097</v>
      </c>
      <c r="H1336">
        <v>1262.20209673778</v>
      </c>
      <c r="I1336">
        <v>0.63892528488198896</v>
      </c>
      <c r="J1336">
        <v>7.3483606443839403E-2</v>
      </c>
      <c r="K1336">
        <v>0.59164448471805298</v>
      </c>
      <c r="L1336" t="s">
        <v>33</v>
      </c>
      <c r="M1336" t="s">
        <v>34</v>
      </c>
      <c r="N1336" t="s">
        <v>35</v>
      </c>
      <c r="O1336">
        <v>0.67880898394205902</v>
      </c>
      <c r="P1336" t="s">
        <v>36</v>
      </c>
    </row>
    <row r="1337" spans="1:16">
      <c r="A1337">
        <v>1336</v>
      </c>
      <c r="B1337" t="s">
        <v>1395</v>
      </c>
      <c r="C1337">
        <v>134</v>
      </c>
      <c r="D1337">
        <v>194</v>
      </c>
      <c r="E1337">
        <v>109.17282236825901</v>
      </c>
      <c r="F1337">
        <v>0.69014084507042295</v>
      </c>
      <c r="G1337">
        <v>9360.9291300567093</v>
      </c>
      <c r="H1337">
        <v>814.59305210662899</v>
      </c>
      <c r="I1337">
        <v>0.63004814347301197</v>
      </c>
      <c r="J1337">
        <v>0.177274969047716</v>
      </c>
      <c r="K1337">
        <v>0.58581527299786096</v>
      </c>
      <c r="L1337" t="s">
        <v>38</v>
      </c>
      <c r="M1337" t="s">
        <v>34</v>
      </c>
      <c r="N1337" t="s">
        <v>35</v>
      </c>
      <c r="O1337">
        <v>0.89701211453639196</v>
      </c>
      <c r="P1337" t="s">
        <v>36</v>
      </c>
    </row>
    <row r="1338" spans="1:16">
      <c r="A1338">
        <v>1337</v>
      </c>
      <c r="B1338" t="s">
        <v>1396</v>
      </c>
      <c r="C1338">
        <v>141</v>
      </c>
      <c r="D1338">
        <v>215</v>
      </c>
      <c r="E1338">
        <v>109.671775217549</v>
      </c>
      <c r="F1338">
        <v>0.65569620253164596</v>
      </c>
      <c r="G1338">
        <v>9446.6892181474504</v>
      </c>
      <c r="H1338">
        <v>1073.75954044695</v>
      </c>
      <c r="I1338">
        <v>0.65740430701135799</v>
      </c>
      <c r="J1338">
        <v>0.10296163271448</v>
      </c>
      <c r="K1338">
        <v>0.46342975055961799</v>
      </c>
      <c r="L1338" t="s">
        <v>38</v>
      </c>
      <c r="M1338" t="s">
        <v>34</v>
      </c>
      <c r="N1338" t="s">
        <v>35</v>
      </c>
      <c r="O1338">
        <v>0.89876573139669702</v>
      </c>
      <c r="P1338" t="s">
        <v>36</v>
      </c>
    </row>
    <row r="1339" spans="1:16">
      <c r="A1339">
        <v>1338</v>
      </c>
      <c r="B1339" t="s">
        <v>1397</v>
      </c>
      <c r="C1339">
        <v>129</v>
      </c>
      <c r="D1339">
        <v>135</v>
      </c>
      <c r="E1339">
        <v>109.70628055920901</v>
      </c>
      <c r="F1339">
        <v>0.95546558704453399</v>
      </c>
      <c r="G1339">
        <v>9452.6344582230595</v>
      </c>
      <c r="H1339">
        <v>706.61731114719203</v>
      </c>
      <c r="I1339">
        <v>0.60602836382294001</v>
      </c>
      <c r="J1339">
        <v>0.237899857555398</v>
      </c>
      <c r="K1339">
        <v>0.75347724095443402</v>
      </c>
      <c r="L1339" t="s">
        <v>38</v>
      </c>
      <c r="M1339" t="s">
        <v>34</v>
      </c>
      <c r="N1339" t="s">
        <v>35</v>
      </c>
      <c r="O1339">
        <v>0.80060413978533196</v>
      </c>
      <c r="P1339" t="s">
        <v>36</v>
      </c>
    </row>
    <row r="1340" spans="1:16">
      <c r="A1340">
        <v>1339</v>
      </c>
      <c r="B1340" t="s">
        <v>1398</v>
      </c>
      <c r="C1340">
        <v>161</v>
      </c>
      <c r="D1340">
        <v>148</v>
      </c>
      <c r="E1340">
        <v>109.744223904403</v>
      </c>
      <c r="F1340">
        <v>1.0922509225092301</v>
      </c>
      <c r="G1340">
        <v>9459.1742223062392</v>
      </c>
      <c r="H1340">
        <v>1200.4503595559499</v>
      </c>
      <c r="I1340">
        <v>0.58423647522181799</v>
      </c>
      <c r="J1340">
        <v>8.2484942594654498E-2</v>
      </c>
      <c r="K1340">
        <v>0.46191699690806898</v>
      </c>
      <c r="L1340" t="s">
        <v>33</v>
      </c>
      <c r="M1340" t="s">
        <v>34</v>
      </c>
      <c r="N1340" t="s">
        <v>35</v>
      </c>
      <c r="O1340">
        <v>0.77222040465434505</v>
      </c>
      <c r="P1340" t="s">
        <v>36</v>
      </c>
    </row>
    <row r="1341" spans="1:16">
      <c r="A1341">
        <v>1340</v>
      </c>
      <c r="B1341" t="s">
        <v>1399</v>
      </c>
      <c r="C1341">
        <v>125</v>
      </c>
      <c r="D1341">
        <v>182</v>
      </c>
      <c r="E1341">
        <v>109.86055919992</v>
      </c>
      <c r="F1341">
        <v>0.68562874251496997</v>
      </c>
      <c r="G1341">
        <v>9479.2394075614393</v>
      </c>
      <c r="H1341">
        <v>1441.3894353200001</v>
      </c>
      <c r="I1341">
        <v>0.73739775626852699</v>
      </c>
      <c r="J1341">
        <v>5.7335114854138301E-2</v>
      </c>
      <c r="K1341">
        <v>0.51991978282667695</v>
      </c>
      <c r="L1341" t="s">
        <v>38</v>
      </c>
      <c r="M1341" t="s">
        <v>34</v>
      </c>
      <c r="N1341" t="s">
        <v>35</v>
      </c>
      <c r="O1341">
        <v>0.73934871597182905</v>
      </c>
      <c r="P1341" t="s">
        <v>36</v>
      </c>
    </row>
    <row r="1342" spans="1:16">
      <c r="A1342">
        <v>1341</v>
      </c>
      <c r="B1342" t="s">
        <v>1400</v>
      </c>
      <c r="C1342">
        <v>147</v>
      </c>
      <c r="D1342">
        <v>171</v>
      </c>
      <c r="E1342">
        <v>109.96042306459201</v>
      </c>
      <c r="F1342">
        <v>0.85668787023223503</v>
      </c>
      <c r="G1342">
        <v>9496.4806037807193</v>
      </c>
      <c r="H1342">
        <v>1381.7310102389199</v>
      </c>
      <c r="I1342">
        <v>0.55398363007242202</v>
      </c>
      <c r="J1342">
        <v>6.2506551637017099E-2</v>
      </c>
      <c r="K1342">
        <v>0.44352890542566797</v>
      </c>
      <c r="L1342" t="s">
        <v>38</v>
      </c>
      <c r="M1342" t="s">
        <v>34</v>
      </c>
      <c r="N1342" t="s">
        <v>35</v>
      </c>
      <c r="O1342">
        <v>0.87843336108277803</v>
      </c>
      <c r="P1342" t="s">
        <v>36</v>
      </c>
    </row>
    <row r="1343" spans="1:16">
      <c r="A1343">
        <v>1342</v>
      </c>
      <c r="B1343" t="s">
        <v>1401</v>
      </c>
      <c r="C1343">
        <v>105</v>
      </c>
      <c r="D1343">
        <v>171</v>
      </c>
      <c r="E1343">
        <v>110.043860341477</v>
      </c>
      <c r="F1343">
        <v>0.611464968152866</v>
      </c>
      <c r="G1343">
        <v>9510.8978109640793</v>
      </c>
      <c r="H1343">
        <v>957.22471282917502</v>
      </c>
      <c r="I1343">
        <v>0.71552913063015799</v>
      </c>
      <c r="J1343">
        <v>0.13043783289937699</v>
      </c>
      <c r="K1343">
        <v>0.57863944224908903</v>
      </c>
      <c r="L1343" t="s">
        <v>144</v>
      </c>
      <c r="M1343" t="s">
        <v>34</v>
      </c>
      <c r="N1343" t="s">
        <v>35</v>
      </c>
      <c r="O1343">
        <v>0.796789662240033</v>
      </c>
      <c r="P1343" t="s">
        <v>36</v>
      </c>
    </row>
    <row r="1344" spans="1:16">
      <c r="A1344">
        <v>1343</v>
      </c>
      <c r="B1344" t="s">
        <v>1402</v>
      </c>
      <c r="C1344">
        <v>191</v>
      </c>
      <c r="D1344">
        <v>107</v>
      </c>
      <c r="E1344">
        <v>110.09715825916599</v>
      </c>
      <c r="F1344">
        <v>1.78571428571429</v>
      </c>
      <c r="G1344">
        <v>9520.1129330812892</v>
      </c>
      <c r="H1344">
        <v>1278.30409749363</v>
      </c>
      <c r="I1344">
        <v>0.74915512353369396</v>
      </c>
      <c r="J1344">
        <v>7.3212224412805005E-2</v>
      </c>
      <c r="K1344">
        <v>0.50257359864415296</v>
      </c>
      <c r="L1344" t="s">
        <v>49</v>
      </c>
      <c r="M1344" t="s">
        <v>34</v>
      </c>
      <c r="N1344" t="s">
        <v>35</v>
      </c>
      <c r="O1344">
        <v>0.731025956906457</v>
      </c>
      <c r="P1344" t="s">
        <v>36</v>
      </c>
    </row>
    <row r="1345" spans="1:16">
      <c r="A1345">
        <v>1344</v>
      </c>
      <c r="B1345" t="s">
        <v>1403</v>
      </c>
      <c r="C1345">
        <v>174</v>
      </c>
      <c r="D1345">
        <v>92</v>
      </c>
      <c r="E1345">
        <v>110.312665713906</v>
      </c>
      <c r="F1345">
        <v>1.8827301957354501</v>
      </c>
      <c r="G1345">
        <v>9557.4193145557692</v>
      </c>
      <c r="H1345">
        <v>658.80257231494704</v>
      </c>
      <c r="I1345">
        <v>0.62435164913444996</v>
      </c>
      <c r="J1345">
        <v>0.276719606799397</v>
      </c>
      <c r="K1345">
        <v>0.713383922430052</v>
      </c>
      <c r="L1345" t="s">
        <v>830</v>
      </c>
      <c r="M1345" t="s">
        <v>34</v>
      </c>
      <c r="N1345" t="s">
        <v>35</v>
      </c>
      <c r="O1345">
        <v>0.74195651463599199</v>
      </c>
      <c r="P1345" t="s">
        <v>36</v>
      </c>
    </row>
    <row r="1346" spans="1:16">
      <c r="A1346">
        <v>1345</v>
      </c>
      <c r="B1346" t="s">
        <v>1404</v>
      </c>
      <c r="C1346">
        <v>132</v>
      </c>
      <c r="D1346">
        <v>260</v>
      </c>
      <c r="E1346">
        <v>110.418976325115</v>
      </c>
      <c r="F1346">
        <v>0.50553395813687996</v>
      </c>
      <c r="G1346">
        <v>9575.8495587901707</v>
      </c>
      <c r="H1346">
        <v>1439.67904308122</v>
      </c>
      <c r="I1346">
        <v>0.59928817897928899</v>
      </c>
      <c r="J1346">
        <v>5.8057163389985303E-2</v>
      </c>
      <c r="K1346">
        <v>0.39376233811476702</v>
      </c>
      <c r="L1346" t="s">
        <v>33</v>
      </c>
      <c r="M1346" t="s">
        <v>34</v>
      </c>
      <c r="N1346" t="s">
        <v>35</v>
      </c>
      <c r="O1346">
        <v>0.70958906133025501</v>
      </c>
      <c r="P1346" t="s">
        <v>36</v>
      </c>
    </row>
    <row r="1347" spans="1:16">
      <c r="A1347">
        <v>1346</v>
      </c>
      <c r="B1347" t="s">
        <v>1405</v>
      </c>
      <c r="C1347">
        <v>161</v>
      </c>
      <c r="D1347">
        <v>166</v>
      </c>
      <c r="E1347">
        <v>110.554288501247</v>
      </c>
      <c r="F1347">
        <v>0.970491803278689</v>
      </c>
      <c r="G1347">
        <v>9599.3332570888506</v>
      </c>
      <c r="H1347">
        <v>1306.0714371091401</v>
      </c>
      <c r="I1347">
        <v>0.56703813948111903</v>
      </c>
      <c r="J1347">
        <v>7.0715899438719407E-2</v>
      </c>
      <c r="K1347">
        <v>0.50630281745347405</v>
      </c>
      <c r="L1347" t="s">
        <v>33</v>
      </c>
      <c r="M1347" t="s">
        <v>34</v>
      </c>
      <c r="N1347" t="s">
        <v>35</v>
      </c>
      <c r="O1347">
        <v>0.73911991659293197</v>
      </c>
      <c r="P1347" t="s">
        <v>36</v>
      </c>
    </row>
    <row r="1348" spans="1:16">
      <c r="A1348">
        <v>1347</v>
      </c>
      <c r="B1348" t="s">
        <v>1406</v>
      </c>
      <c r="C1348">
        <v>96</v>
      </c>
      <c r="D1348">
        <v>184</v>
      </c>
      <c r="E1348">
        <v>110.58509596373</v>
      </c>
      <c r="F1348">
        <v>0.522416265095757</v>
      </c>
      <c r="G1348">
        <v>9604.6839731568998</v>
      </c>
      <c r="H1348">
        <v>633.28191793410701</v>
      </c>
      <c r="I1348">
        <v>0.90789186266216904</v>
      </c>
      <c r="J1348">
        <v>0.30095306318384901</v>
      </c>
      <c r="K1348">
        <v>0.77227639944547999</v>
      </c>
      <c r="L1348" t="s">
        <v>33</v>
      </c>
      <c r="M1348" t="s">
        <v>34</v>
      </c>
      <c r="N1348" t="s">
        <v>35</v>
      </c>
      <c r="O1348">
        <v>0.72560256608738505</v>
      </c>
      <c r="P1348" t="s">
        <v>36</v>
      </c>
    </row>
    <row r="1349" spans="1:16">
      <c r="A1349">
        <v>1348</v>
      </c>
      <c r="B1349" t="s">
        <v>1407</v>
      </c>
      <c r="C1349">
        <v>167</v>
      </c>
      <c r="D1349">
        <v>122</v>
      </c>
      <c r="E1349">
        <v>110.78940605961201</v>
      </c>
      <c r="F1349">
        <v>1.3660714285714299</v>
      </c>
      <c r="G1349">
        <v>9640.2067826087005</v>
      </c>
      <c r="H1349">
        <v>1178.3482128786</v>
      </c>
      <c r="I1349">
        <v>0.65382118545874202</v>
      </c>
      <c r="J1349">
        <v>8.7246681798699599E-2</v>
      </c>
      <c r="K1349">
        <v>0.58868376626912799</v>
      </c>
      <c r="L1349" t="s">
        <v>38</v>
      </c>
      <c r="M1349" t="s">
        <v>34</v>
      </c>
      <c r="N1349" t="s">
        <v>35</v>
      </c>
      <c r="O1349">
        <v>0.75331162497503201</v>
      </c>
      <c r="P1349" t="s">
        <v>36</v>
      </c>
    </row>
    <row r="1350" spans="1:16">
      <c r="A1350">
        <v>1349</v>
      </c>
      <c r="B1350" t="s">
        <v>1408</v>
      </c>
      <c r="C1350">
        <v>164</v>
      </c>
      <c r="D1350">
        <v>125</v>
      </c>
      <c r="E1350">
        <v>110.827832353406</v>
      </c>
      <c r="F1350">
        <v>1.3144104803493499</v>
      </c>
      <c r="G1350">
        <v>9646.8951776937593</v>
      </c>
      <c r="H1350">
        <v>932.54158847777796</v>
      </c>
      <c r="I1350">
        <v>0.64410805833404094</v>
      </c>
      <c r="J1350">
        <v>0.13939943237674801</v>
      </c>
      <c r="K1350">
        <v>0.63732325216025099</v>
      </c>
      <c r="L1350" t="s">
        <v>74</v>
      </c>
      <c r="M1350" t="s">
        <v>34</v>
      </c>
      <c r="N1350" t="s">
        <v>35</v>
      </c>
      <c r="O1350">
        <v>0.72741299402527504</v>
      </c>
      <c r="P1350" t="s">
        <v>36</v>
      </c>
    </row>
    <row r="1351" spans="1:16">
      <c r="A1351">
        <v>1350</v>
      </c>
      <c r="B1351" t="s">
        <v>1409</v>
      </c>
      <c r="C1351">
        <v>143</v>
      </c>
      <c r="D1351">
        <v>106</v>
      </c>
      <c r="E1351">
        <v>110.870512615455</v>
      </c>
      <c r="F1351">
        <v>1.3519089505537401</v>
      </c>
      <c r="G1351">
        <v>9654.3267277882806</v>
      </c>
      <c r="H1351">
        <v>537.002659867847</v>
      </c>
      <c r="I1351">
        <v>0.58615186654896101</v>
      </c>
      <c r="J1351">
        <v>0.42070626821794799</v>
      </c>
      <c r="K1351">
        <v>0.82037712972201504</v>
      </c>
      <c r="L1351" t="s">
        <v>49</v>
      </c>
      <c r="M1351" t="s">
        <v>34</v>
      </c>
      <c r="N1351" t="s">
        <v>35</v>
      </c>
      <c r="O1351">
        <v>0.68950911014788596</v>
      </c>
      <c r="P1351" t="s">
        <v>36</v>
      </c>
    </row>
    <row r="1352" spans="1:16">
      <c r="A1352">
        <v>1351</v>
      </c>
      <c r="B1352" t="s">
        <v>1410</v>
      </c>
      <c r="C1352">
        <v>146</v>
      </c>
      <c r="D1352">
        <v>156</v>
      </c>
      <c r="E1352">
        <v>111.04788644725799</v>
      </c>
      <c r="F1352">
        <v>0.93379790940766505</v>
      </c>
      <c r="G1352">
        <v>9685.2419761814799</v>
      </c>
      <c r="H1352">
        <v>999.63267271073005</v>
      </c>
      <c r="I1352">
        <v>0.53726440672175202</v>
      </c>
      <c r="J1352">
        <v>0.121797803042009</v>
      </c>
      <c r="K1352">
        <v>0.523502711387829</v>
      </c>
      <c r="L1352" t="s">
        <v>67</v>
      </c>
      <c r="M1352" t="s">
        <v>34</v>
      </c>
      <c r="N1352" t="s">
        <v>35</v>
      </c>
      <c r="O1352">
        <v>0.65928570740098102</v>
      </c>
      <c r="P1352" t="s">
        <v>36</v>
      </c>
    </row>
    <row r="1353" spans="1:16">
      <c r="A1353">
        <v>1352</v>
      </c>
      <c r="B1353" t="s">
        <v>1411</v>
      </c>
      <c r="C1353">
        <v>149</v>
      </c>
      <c r="D1353">
        <v>119</v>
      </c>
      <c r="E1353">
        <v>111.161155022805</v>
      </c>
      <c r="F1353">
        <v>1.25229357798165</v>
      </c>
      <c r="G1353">
        <v>9705.0098994328891</v>
      </c>
      <c r="H1353">
        <v>843.99328927890099</v>
      </c>
      <c r="I1353">
        <v>0.66441794206206595</v>
      </c>
      <c r="J1353">
        <v>0.17120950031160601</v>
      </c>
      <c r="K1353">
        <v>0.64661669026846602</v>
      </c>
      <c r="L1353" t="s">
        <v>74</v>
      </c>
      <c r="M1353" t="s">
        <v>34</v>
      </c>
      <c r="N1353" t="s">
        <v>35</v>
      </c>
      <c r="O1353">
        <v>0.68947165726733395</v>
      </c>
      <c r="P1353" t="s">
        <v>36</v>
      </c>
    </row>
    <row r="1354" spans="1:16">
      <c r="A1354">
        <v>1353</v>
      </c>
      <c r="B1354" t="s">
        <v>1412</v>
      </c>
      <c r="C1354">
        <v>122</v>
      </c>
      <c r="D1354">
        <v>181</v>
      </c>
      <c r="E1354">
        <v>111.509604798726</v>
      </c>
      <c r="F1354">
        <v>0.67168674698795205</v>
      </c>
      <c r="G1354">
        <v>9765.9486102079409</v>
      </c>
      <c r="H1354">
        <v>957.85017951965301</v>
      </c>
      <c r="I1354">
        <v>0.6288407599636</v>
      </c>
      <c r="J1354">
        <v>0.133760883521052</v>
      </c>
      <c r="K1354">
        <v>0.57387658849731404</v>
      </c>
      <c r="L1354" t="s">
        <v>74</v>
      </c>
      <c r="M1354" t="s">
        <v>34</v>
      </c>
      <c r="N1354" t="s">
        <v>35</v>
      </c>
      <c r="O1354">
        <v>0.698300941398452</v>
      </c>
      <c r="P1354" t="s">
        <v>36</v>
      </c>
    </row>
    <row r="1355" spans="1:16">
      <c r="A1355">
        <v>1354</v>
      </c>
      <c r="B1355" t="s">
        <v>1413</v>
      </c>
      <c r="C1355">
        <v>165</v>
      </c>
      <c r="D1355">
        <v>129</v>
      </c>
      <c r="E1355">
        <v>111.635967097867</v>
      </c>
      <c r="F1355">
        <v>1.2807528599465099</v>
      </c>
      <c r="G1355">
        <v>9788.0946294896003</v>
      </c>
      <c r="H1355">
        <v>733.02963221436005</v>
      </c>
      <c r="I1355">
        <v>0.54872274689927403</v>
      </c>
      <c r="J1355">
        <v>0.22891010327321601</v>
      </c>
      <c r="K1355">
        <v>0.65306426021420105</v>
      </c>
      <c r="L1355" t="s">
        <v>33</v>
      </c>
      <c r="M1355" t="s">
        <v>34</v>
      </c>
      <c r="N1355" t="s">
        <v>35</v>
      </c>
      <c r="O1355">
        <v>0.75602949958285204</v>
      </c>
      <c r="P1355" t="s">
        <v>36</v>
      </c>
    </row>
    <row r="1356" spans="1:16">
      <c r="A1356">
        <v>1355</v>
      </c>
      <c r="B1356" t="s">
        <v>1414</v>
      </c>
      <c r="C1356">
        <v>91</v>
      </c>
      <c r="D1356">
        <v>195</v>
      </c>
      <c r="E1356">
        <v>111.883189388204</v>
      </c>
      <c r="F1356">
        <v>0.46790385258677097</v>
      </c>
      <c r="G1356">
        <v>9831.4948820415902</v>
      </c>
      <c r="H1356">
        <v>609.95219590093802</v>
      </c>
      <c r="I1356">
        <v>0.64508060720458305</v>
      </c>
      <c r="J1356">
        <v>0.33207625541955199</v>
      </c>
      <c r="K1356">
        <v>0.76436057731196305</v>
      </c>
      <c r="L1356" t="s">
        <v>38</v>
      </c>
      <c r="M1356" t="s">
        <v>34</v>
      </c>
      <c r="N1356" t="s">
        <v>35</v>
      </c>
      <c r="O1356">
        <v>0.70241885139381999</v>
      </c>
      <c r="P1356" t="s">
        <v>36</v>
      </c>
    </row>
    <row r="1357" spans="1:16">
      <c r="A1357">
        <v>1356</v>
      </c>
      <c r="B1357" t="s">
        <v>1415</v>
      </c>
      <c r="C1357">
        <v>235</v>
      </c>
      <c r="D1357">
        <v>106</v>
      </c>
      <c r="E1357">
        <v>111.919549280059</v>
      </c>
      <c r="F1357">
        <v>2.2216494845360799</v>
      </c>
      <c r="G1357">
        <v>9837.8860151228691</v>
      </c>
      <c r="H1357">
        <v>1595.6472097181199</v>
      </c>
      <c r="I1357">
        <v>0.77576454787017701</v>
      </c>
      <c r="J1357">
        <v>4.8555440247447602E-2</v>
      </c>
      <c r="K1357">
        <v>0.53920410573907396</v>
      </c>
      <c r="L1357" t="s">
        <v>33</v>
      </c>
      <c r="M1357" t="s">
        <v>34</v>
      </c>
      <c r="N1357" t="s">
        <v>35</v>
      </c>
      <c r="O1357">
        <v>0.71419642676664696</v>
      </c>
      <c r="P1357" t="s">
        <v>36</v>
      </c>
    </row>
    <row r="1358" spans="1:16">
      <c r="A1358">
        <v>1357</v>
      </c>
      <c r="B1358" t="s">
        <v>1416</v>
      </c>
      <c r="C1358">
        <v>127</v>
      </c>
      <c r="D1358">
        <v>116</v>
      </c>
      <c r="E1358">
        <v>112.283343322455</v>
      </c>
      <c r="F1358">
        <v>1.0895946884337999</v>
      </c>
      <c r="G1358">
        <v>9901.9459769376208</v>
      </c>
      <c r="H1358">
        <v>554.75959511767303</v>
      </c>
      <c r="I1358">
        <v>0.53534999701625896</v>
      </c>
      <c r="J1358">
        <v>0.40431585434073097</v>
      </c>
      <c r="K1358">
        <v>0.77565490743974896</v>
      </c>
      <c r="L1358" t="s">
        <v>38</v>
      </c>
      <c r="M1358" t="s">
        <v>34</v>
      </c>
      <c r="N1358" t="s">
        <v>35</v>
      </c>
      <c r="O1358">
        <v>0.67687026502793501</v>
      </c>
      <c r="P1358" t="s">
        <v>36</v>
      </c>
    </row>
    <row r="1359" spans="1:16">
      <c r="A1359">
        <v>1358</v>
      </c>
      <c r="B1359" t="s">
        <v>1417</v>
      </c>
      <c r="C1359">
        <v>138</v>
      </c>
      <c r="D1359">
        <v>131</v>
      </c>
      <c r="E1359">
        <v>112.306093980407</v>
      </c>
      <c r="F1359">
        <v>1.0542570937764599</v>
      </c>
      <c r="G1359">
        <v>9905.9590139886604</v>
      </c>
      <c r="H1359">
        <v>659.88360485906196</v>
      </c>
      <c r="I1359">
        <v>0.66213450634559601</v>
      </c>
      <c r="J1359">
        <v>0.28587206203972299</v>
      </c>
      <c r="K1359">
        <v>0.72436392092077995</v>
      </c>
      <c r="L1359" t="s">
        <v>49</v>
      </c>
      <c r="M1359" t="s">
        <v>34</v>
      </c>
      <c r="N1359" t="s">
        <v>35</v>
      </c>
      <c r="O1359">
        <v>0.78045493321395398</v>
      </c>
      <c r="P1359" t="s">
        <v>36</v>
      </c>
    </row>
    <row r="1360" spans="1:16">
      <c r="A1360">
        <v>1359</v>
      </c>
      <c r="B1360" t="s">
        <v>1418</v>
      </c>
      <c r="C1360">
        <v>93</v>
      </c>
      <c r="D1360">
        <v>169</v>
      </c>
      <c r="E1360">
        <v>112.614878582385</v>
      </c>
      <c r="F1360">
        <v>0.54988560895771399</v>
      </c>
      <c r="G1360">
        <v>9960.5065916824205</v>
      </c>
      <c r="H1360">
        <v>607.11148315149796</v>
      </c>
      <c r="I1360">
        <v>0.82147150627259602</v>
      </c>
      <c r="J1360">
        <v>0.33958961178837199</v>
      </c>
      <c r="K1360">
        <v>0.82993795435124496</v>
      </c>
      <c r="L1360" t="s">
        <v>33</v>
      </c>
      <c r="M1360" t="s">
        <v>34</v>
      </c>
      <c r="N1360" t="s">
        <v>35</v>
      </c>
      <c r="O1360">
        <v>0.68840074708635901</v>
      </c>
      <c r="P1360" t="s">
        <v>36</v>
      </c>
    </row>
    <row r="1361" spans="1:16">
      <c r="A1361">
        <v>1360</v>
      </c>
      <c r="B1361" t="s">
        <v>1419</v>
      </c>
      <c r="C1361">
        <v>116</v>
      </c>
      <c r="D1361">
        <v>207</v>
      </c>
      <c r="E1361">
        <v>112.765177921682</v>
      </c>
      <c r="F1361">
        <v>0.56200528703034902</v>
      </c>
      <c r="G1361">
        <v>9987.1115410207894</v>
      </c>
      <c r="H1361">
        <v>833.50851458259297</v>
      </c>
      <c r="I1361">
        <v>0.73826792164118404</v>
      </c>
      <c r="J1361">
        <v>0.180646554670717</v>
      </c>
      <c r="K1361">
        <v>0.57056730663088995</v>
      </c>
      <c r="L1361" t="s">
        <v>33</v>
      </c>
      <c r="M1361" t="s">
        <v>34</v>
      </c>
      <c r="N1361" t="s">
        <v>35</v>
      </c>
      <c r="O1361">
        <v>0.794928736523421</v>
      </c>
      <c r="P1361" t="s">
        <v>36</v>
      </c>
    </row>
    <row r="1362" spans="1:16">
      <c r="A1362">
        <v>1361</v>
      </c>
      <c r="B1362" t="s">
        <v>1420</v>
      </c>
      <c r="C1362">
        <v>141</v>
      </c>
      <c r="D1362">
        <v>159</v>
      </c>
      <c r="E1362">
        <v>112.77692473142299</v>
      </c>
      <c r="F1362">
        <v>0.890606383139396</v>
      </c>
      <c r="G1362">
        <v>9989.1923750472597</v>
      </c>
      <c r="H1362">
        <v>1035.87220206406</v>
      </c>
      <c r="I1362">
        <v>0.64731978599014295</v>
      </c>
      <c r="J1362">
        <v>0.116984381534492</v>
      </c>
      <c r="K1362">
        <v>0.56296594126417698</v>
      </c>
      <c r="L1362" t="s">
        <v>38</v>
      </c>
      <c r="M1362" t="s">
        <v>34</v>
      </c>
      <c r="N1362" t="s">
        <v>35</v>
      </c>
      <c r="O1362">
        <v>0.78246904899226699</v>
      </c>
      <c r="P1362" t="s">
        <v>36</v>
      </c>
    </row>
    <row r="1363" spans="1:16">
      <c r="A1363">
        <v>1362</v>
      </c>
      <c r="B1363" t="s">
        <v>1421</v>
      </c>
      <c r="C1363">
        <v>171</v>
      </c>
      <c r="D1363">
        <v>186</v>
      </c>
      <c r="E1363">
        <v>112.79538153222001</v>
      </c>
      <c r="F1363">
        <v>0.92082111436950098</v>
      </c>
      <c r="G1363">
        <v>9992.4622570888496</v>
      </c>
      <c r="H1363">
        <v>1607.3265043644301</v>
      </c>
      <c r="I1363">
        <v>0.59009791123807198</v>
      </c>
      <c r="J1363">
        <v>4.86042412950023E-2</v>
      </c>
      <c r="K1363">
        <v>0.439385918475384</v>
      </c>
      <c r="L1363" t="s">
        <v>33</v>
      </c>
      <c r="M1363" t="s">
        <v>34</v>
      </c>
      <c r="N1363" t="s">
        <v>35</v>
      </c>
      <c r="O1363">
        <v>0.68768233332123596</v>
      </c>
      <c r="P1363" t="s">
        <v>36</v>
      </c>
    </row>
    <row r="1364" spans="1:16">
      <c r="A1364">
        <v>1363</v>
      </c>
      <c r="B1364" t="s">
        <v>1422</v>
      </c>
      <c r="C1364">
        <v>167</v>
      </c>
      <c r="D1364">
        <v>156</v>
      </c>
      <c r="E1364">
        <v>112.807125196805</v>
      </c>
      <c r="F1364">
        <v>1.06620210467127</v>
      </c>
      <c r="G1364">
        <v>9994.5430911153107</v>
      </c>
      <c r="H1364">
        <v>1396.98769495695</v>
      </c>
      <c r="I1364">
        <v>0.59866047883788298</v>
      </c>
      <c r="J1364">
        <v>6.4355793176422704E-2</v>
      </c>
      <c r="K1364">
        <v>0.462596827231326</v>
      </c>
      <c r="L1364" t="s">
        <v>49</v>
      </c>
      <c r="M1364" t="s">
        <v>34</v>
      </c>
      <c r="N1364" t="s">
        <v>35</v>
      </c>
      <c r="O1364">
        <v>0.71380957482450003</v>
      </c>
      <c r="P1364" t="s">
        <v>36</v>
      </c>
    </row>
    <row r="1365" spans="1:16">
      <c r="A1365">
        <v>1364</v>
      </c>
      <c r="B1365" t="s">
        <v>1423</v>
      </c>
      <c r="C1365">
        <v>176</v>
      </c>
      <c r="D1365">
        <v>161</v>
      </c>
      <c r="E1365">
        <v>112.845702918409</v>
      </c>
      <c r="F1365">
        <v>1.09121621621622</v>
      </c>
      <c r="G1365">
        <v>10001.3801172023</v>
      </c>
      <c r="H1365">
        <v>1750.3096457732199</v>
      </c>
      <c r="I1365">
        <v>0.530573828946033</v>
      </c>
      <c r="J1365">
        <v>4.1024190984079299E-2</v>
      </c>
      <c r="K1365">
        <v>0.41421975992613103</v>
      </c>
      <c r="L1365" t="s">
        <v>38</v>
      </c>
      <c r="M1365" t="s">
        <v>34</v>
      </c>
      <c r="N1365" t="s">
        <v>35</v>
      </c>
      <c r="O1365">
        <v>0.78412992268220605</v>
      </c>
      <c r="P1365" t="s">
        <v>36</v>
      </c>
    </row>
    <row r="1366" spans="1:16">
      <c r="A1366">
        <v>1365</v>
      </c>
      <c r="B1366" t="s">
        <v>1424</v>
      </c>
      <c r="C1366">
        <v>195</v>
      </c>
      <c r="D1366">
        <v>105</v>
      </c>
      <c r="E1366">
        <v>113.12457974546</v>
      </c>
      <c r="F1366">
        <v>1.86198293943391</v>
      </c>
      <c r="G1366">
        <v>10050.874240831799</v>
      </c>
      <c r="H1366">
        <v>858.875795829504</v>
      </c>
      <c r="I1366">
        <v>0.72926243329091001</v>
      </c>
      <c r="J1366">
        <v>0.17121940168753499</v>
      </c>
      <c r="K1366">
        <v>0.64315265875997496</v>
      </c>
      <c r="L1366" t="s">
        <v>49</v>
      </c>
      <c r="M1366" t="s">
        <v>34</v>
      </c>
      <c r="N1366" t="s">
        <v>35</v>
      </c>
      <c r="O1366">
        <v>0.78724628846224698</v>
      </c>
      <c r="P1366" t="s">
        <v>36</v>
      </c>
    </row>
    <row r="1367" spans="1:16">
      <c r="A1367">
        <v>1366</v>
      </c>
      <c r="B1367" t="s">
        <v>1425</v>
      </c>
      <c r="C1367">
        <v>139</v>
      </c>
      <c r="D1367">
        <v>145</v>
      </c>
      <c r="E1367">
        <v>113.18311509863</v>
      </c>
      <c r="F1367">
        <v>0.95950079141673805</v>
      </c>
      <c r="G1367">
        <v>10061.2784109641</v>
      </c>
      <c r="H1367">
        <v>938.21295119420301</v>
      </c>
      <c r="I1367">
        <v>0.62002115723197704</v>
      </c>
      <c r="J1367">
        <v>0.143634968465124</v>
      </c>
      <c r="K1367">
        <v>0.62302007307667495</v>
      </c>
      <c r="L1367" t="s">
        <v>33</v>
      </c>
      <c r="M1367" t="s">
        <v>34</v>
      </c>
      <c r="N1367" t="s">
        <v>35</v>
      </c>
      <c r="O1367">
        <v>0.74983337646931403</v>
      </c>
      <c r="P1367" t="s">
        <v>36</v>
      </c>
    </row>
    <row r="1368" spans="1:16">
      <c r="A1368">
        <v>1367</v>
      </c>
      <c r="B1368" t="s">
        <v>1426</v>
      </c>
      <c r="C1368">
        <v>114</v>
      </c>
      <c r="D1368">
        <v>149</v>
      </c>
      <c r="E1368">
        <v>113.234935427715</v>
      </c>
      <c r="F1368">
        <v>0.76556782494129605</v>
      </c>
      <c r="G1368">
        <v>10070.4935330813</v>
      </c>
      <c r="H1368">
        <v>712.09218254141194</v>
      </c>
      <c r="I1368">
        <v>0.63114764267410395</v>
      </c>
      <c r="J1368">
        <v>0.24956758865373599</v>
      </c>
      <c r="K1368">
        <v>0.75250724685969395</v>
      </c>
      <c r="L1368" t="s">
        <v>38</v>
      </c>
      <c r="M1368" t="s">
        <v>34</v>
      </c>
      <c r="N1368" t="s">
        <v>35</v>
      </c>
      <c r="O1368">
        <v>0.82585269841370301</v>
      </c>
      <c r="P1368" t="s">
        <v>36</v>
      </c>
    </row>
    <row r="1369" spans="1:16">
      <c r="A1369">
        <v>1368</v>
      </c>
      <c r="B1369" t="s">
        <v>1427</v>
      </c>
      <c r="C1369">
        <v>106</v>
      </c>
      <c r="D1369">
        <v>228</v>
      </c>
      <c r="E1369">
        <v>113.884854301525</v>
      </c>
      <c r="F1369">
        <v>0.46368641507026098</v>
      </c>
      <c r="G1369">
        <v>10186.4257145558</v>
      </c>
      <c r="H1369">
        <v>1153.93973507539</v>
      </c>
      <c r="I1369">
        <v>0.71790781526960801</v>
      </c>
      <c r="J1369">
        <v>9.6131436038956297E-2</v>
      </c>
      <c r="K1369">
        <v>0.58774848635576205</v>
      </c>
      <c r="L1369" t="s">
        <v>43</v>
      </c>
      <c r="M1369" t="s">
        <v>34</v>
      </c>
      <c r="N1369" t="s">
        <v>35</v>
      </c>
      <c r="O1369">
        <v>0.67710918569645395</v>
      </c>
      <c r="P1369" t="s">
        <v>36</v>
      </c>
    </row>
    <row r="1370" spans="1:16">
      <c r="A1370">
        <v>1369</v>
      </c>
      <c r="B1370" t="s">
        <v>1428</v>
      </c>
      <c r="C1370">
        <v>201</v>
      </c>
      <c r="D1370">
        <v>103</v>
      </c>
      <c r="E1370">
        <v>114.12471786809699</v>
      </c>
      <c r="F1370">
        <v>1.94708993854663</v>
      </c>
      <c r="G1370">
        <v>10229.3800741021</v>
      </c>
      <c r="H1370">
        <v>1321.65690503224</v>
      </c>
      <c r="I1370">
        <v>0.75756897154050495</v>
      </c>
      <c r="J1370">
        <v>7.3590494398585699E-2</v>
      </c>
      <c r="K1370">
        <v>0.60393650347932104</v>
      </c>
      <c r="L1370" t="s">
        <v>49</v>
      </c>
      <c r="M1370" t="s">
        <v>34</v>
      </c>
      <c r="N1370" t="s">
        <v>35</v>
      </c>
      <c r="O1370">
        <v>0.72560322956818302</v>
      </c>
      <c r="P1370" t="s">
        <v>36</v>
      </c>
    </row>
    <row r="1371" spans="1:16">
      <c r="A1371">
        <v>1370</v>
      </c>
      <c r="B1371" t="s">
        <v>1429</v>
      </c>
      <c r="C1371">
        <v>137</v>
      </c>
      <c r="D1371">
        <v>168</v>
      </c>
      <c r="E1371">
        <v>114.19019841973299</v>
      </c>
      <c r="F1371">
        <v>0.81818181818181801</v>
      </c>
      <c r="G1371">
        <v>10241.121923251399</v>
      </c>
      <c r="H1371">
        <v>1020.71181650504</v>
      </c>
      <c r="I1371">
        <v>0.67832257611219704</v>
      </c>
      <c r="J1371">
        <v>0.123523934257613</v>
      </c>
      <c r="K1371">
        <v>0.56368827513989295</v>
      </c>
      <c r="L1371" t="s">
        <v>33</v>
      </c>
      <c r="M1371" t="s">
        <v>34</v>
      </c>
      <c r="N1371" t="s">
        <v>35</v>
      </c>
      <c r="O1371">
        <v>0.74554744084392399</v>
      </c>
      <c r="P1371" t="s">
        <v>36</v>
      </c>
    </row>
    <row r="1372" spans="1:16">
      <c r="A1372">
        <v>1371</v>
      </c>
      <c r="B1372" t="s">
        <v>1430</v>
      </c>
      <c r="C1372">
        <v>176</v>
      </c>
      <c r="D1372">
        <v>108</v>
      </c>
      <c r="E1372">
        <v>114.60541582083501</v>
      </c>
      <c r="F1372">
        <v>1.64027788896895</v>
      </c>
      <c r="G1372">
        <v>10315.7346862004</v>
      </c>
      <c r="H1372">
        <v>822.34670845518997</v>
      </c>
      <c r="I1372">
        <v>0.69193901135005698</v>
      </c>
      <c r="J1372">
        <v>0.19169028848592901</v>
      </c>
      <c r="K1372">
        <v>0.729918179332394</v>
      </c>
      <c r="L1372" t="s">
        <v>38</v>
      </c>
      <c r="M1372" t="s">
        <v>34</v>
      </c>
      <c r="N1372" t="s">
        <v>35</v>
      </c>
      <c r="O1372">
        <v>0.75575013666779101</v>
      </c>
      <c r="P1372" t="s">
        <v>36</v>
      </c>
    </row>
    <row r="1373" spans="1:16">
      <c r="A1373">
        <v>1372</v>
      </c>
      <c r="B1373" t="s">
        <v>1431</v>
      </c>
      <c r="C1373">
        <v>176</v>
      </c>
      <c r="D1373">
        <v>162</v>
      </c>
      <c r="E1373">
        <v>114.65989431720401</v>
      </c>
      <c r="F1373">
        <v>1.0838926174496599</v>
      </c>
      <c r="G1373">
        <v>10325.5443323251</v>
      </c>
      <c r="H1373">
        <v>1021.81554653033</v>
      </c>
      <c r="I1373">
        <v>0.60626416793203597</v>
      </c>
      <c r="J1373">
        <v>0.124273293342251</v>
      </c>
      <c r="K1373">
        <v>0.52271957743617503</v>
      </c>
      <c r="L1373" t="s">
        <v>33</v>
      </c>
      <c r="M1373" t="s">
        <v>34</v>
      </c>
      <c r="N1373" t="s">
        <v>35</v>
      </c>
      <c r="O1373">
        <v>0.76368933324155897</v>
      </c>
      <c r="P1373" t="s">
        <v>36</v>
      </c>
    </row>
    <row r="1374" spans="1:16">
      <c r="A1374">
        <v>1373</v>
      </c>
      <c r="B1374" t="s">
        <v>1432</v>
      </c>
      <c r="C1374">
        <v>196</v>
      </c>
      <c r="D1374">
        <v>171</v>
      </c>
      <c r="E1374">
        <v>114.697023910586</v>
      </c>
      <c r="F1374">
        <v>1.1433121019108301</v>
      </c>
      <c r="G1374">
        <v>10332.232727410201</v>
      </c>
      <c r="H1374">
        <v>1430.74577825546</v>
      </c>
      <c r="I1374">
        <v>0.60855875005529603</v>
      </c>
      <c r="J1374">
        <v>6.3427719609088606E-2</v>
      </c>
      <c r="K1374">
        <v>0.42353457257224297</v>
      </c>
      <c r="L1374" t="s">
        <v>74</v>
      </c>
      <c r="M1374" t="s">
        <v>34</v>
      </c>
      <c r="N1374" t="s">
        <v>35</v>
      </c>
      <c r="O1374">
        <v>0.69371789350913704</v>
      </c>
      <c r="P1374" t="s">
        <v>36</v>
      </c>
    </row>
    <row r="1375" spans="1:16">
      <c r="A1375">
        <v>1374</v>
      </c>
      <c r="B1375" t="s">
        <v>1433</v>
      </c>
      <c r="C1375">
        <v>142</v>
      </c>
      <c r="D1375">
        <v>184</v>
      </c>
      <c r="E1375">
        <v>114.7481605597</v>
      </c>
      <c r="F1375">
        <v>0.77264013659822395</v>
      </c>
      <c r="G1375">
        <v>10341.4478495274</v>
      </c>
      <c r="H1375">
        <v>898.41872925032703</v>
      </c>
      <c r="I1375">
        <v>0.63470858956371601</v>
      </c>
      <c r="J1375">
        <v>0.16100286941025799</v>
      </c>
      <c r="K1375">
        <v>0.55997038300886104</v>
      </c>
      <c r="L1375" t="s">
        <v>43</v>
      </c>
      <c r="M1375" t="s">
        <v>34</v>
      </c>
      <c r="N1375" t="s">
        <v>35</v>
      </c>
      <c r="O1375">
        <v>0.76719937898125601</v>
      </c>
      <c r="P1375" t="s">
        <v>36</v>
      </c>
    </row>
    <row r="1376" spans="1:16">
      <c r="A1376">
        <v>1375</v>
      </c>
      <c r="B1376" t="s">
        <v>1434</v>
      </c>
      <c r="C1376">
        <v>134</v>
      </c>
      <c r="D1376">
        <v>140</v>
      </c>
      <c r="E1376">
        <v>114.795153187659</v>
      </c>
      <c r="F1376">
        <v>0.95719855216025296</v>
      </c>
      <c r="G1376">
        <v>10349.9198166352</v>
      </c>
      <c r="H1376">
        <v>785.242102900899</v>
      </c>
      <c r="I1376">
        <v>0.58967677360253701</v>
      </c>
      <c r="J1376">
        <v>0.21093065164951499</v>
      </c>
      <c r="K1376">
        <v>0.68854874274470301</v>
      </c>
      <c r="L1376" t="s">
        <v>144</v>
      </c>
      <c r="M1376" t="s">
        <v>34</v>
      </c>
      <c r="N1376" t="s">
        <v>35</v>
      </c>
      <c r="O1376">
        <v>0.73540430987757399</v>
      </c>
      <c r="P1376" t="s">
        <v>36</v>
      </c>
    </row>
    <row r="1377" spans="1:16">
      <c r="A1377">
        <v>1376</v>
      </c>
      <c r="B1377" t="s">
        <v>1435</v>
      </c>
      <c r="C1377">
        <v>180</v>
      </c>
      <c r="D1377">
        <v>106</v>
      </c>
      <c r="E1377">
        <v>114.95330280709901</v>
      </c>
      <c r="F1377">
        <v>1.69439090474653</v>
      </c>
      <c r="G1377">
        <v>10378.4569689981</v>
      </c>
      <c r="H1377">
        <v>909.57825860365597</v>
      </c>
      <c r="I1377">
        <v>0.64524079809828605</v>
      </c>
      <c r="J1377">
        <v>0.15763857889055199</v>
      </c>
      <c r="K1377">
        <v>0.68096663773514998</v>
      </c>
      <c r="L1377" t="s">
        <v>33</v>
      </c>
      <c r="M1377" t="s">
        <v>34</v>
      </c>
      <c r="N1377" t="s">
        <v>35</v>
      </c>
      <c r="O1377">
        <v>0.68508048144476597</v>
      </c>
      <c r="P1377" t="s">
        <v>36</v>
      </c>
    </row>
    <row r="1378" spans="1:16">
      <c r="A1378">
        <v>1377</v>
      </c>
      <c r="B1378" t="s">
        <v>1436</v>
      </c>
      <c r="C1378">
        <v>127</v>
      </c>
      <c r="D1378">
        <v>181</v>
      </c>
      <c r="E1378">
        <v>115.00432550191201</v>
      </c>
      <c r="F1378">
        <v>0.69772810891204495</v>
      </c>
      <c r="G1378">
        <v>10387.672091115301</v>
      </c>
      <c r="H1378">
        <v>783.28042213906394</v>
      </c>
      <c r="I1378">
        <v>0.60687892711053404</v>
      </c>
      <c r="J1378">
        <v>0.21276174937783299</v>
      </c>
      <c r="K1378">
        <v>0.62141231283565102</v>
      </c>
      <c r="L1378" t="s">
        <v>144</v>
      </c>
      <c r="M1378" t="s">
        <v>34</v>
      </c>
      <c r="N1378" t="s">
        <v>35</v>
      </c>
      <c r="O1378">
        <v>0.72615830739987697</v>
      </c>
      <c r="P1378" t="s">
        <v>36</v>
      </c>
    </row>
    <row r="1379" spans="1:16">
      <c r="A1379">
        <v>1378</v>
      </c>
      <c r="B1379" t="s">
        <v>1437</v>
      </c>
      <c r="C1379">
        <v>143</v>
      </c>
      <c r="D1379">
        <v>138</v>
      </c>
      <c r="E1379">
        <v>115.11616704163799</v>
      </c>
      <c r="F1379">
        <v>1.0355731225296401</v>
      </c>
      <c r="G1379">
        <v>10407.8859073724</v>
      </c>
      <c r="H1379">
        <v>769.63944673092499</v>
      </c>
      <c r="I1379">
        <v>0.63640729602952195</v>
      </c>
      <c r="J1379">
        <v>0.220799329055553</v>
      </c>
      <c r="K1379">
        <v>0.68154831425679396</v>
      </c>
      <c r="L1379" t="s">
        <v>38</v>
      </c>
      <c r="M1379" t="s">
        <v>34</v>
      </c>
      <c r="N1379" t="s">
        <v>35</v>
      </c>
      <c r="O1379">
        <v>0.70684396243034497</v>
      </c>
      <c r="P1379" t="s">
        <v>36</v>
      </c>
    </row>
    <row r="1380" spans="1:16">
      <c r="A1380">
        <v>1379</v>
      </c>
      <c r="B1380" t="s">
        <v>1438</v>
      </c>
      <c r="C1380">
        <v>176</v>
      </c>
      <c r="D1380">
        <v>191</v>
      </c>
      <c r="E1380">
        <v>115.152327812347</v>
      </c>
      <c r="F1380">
        <v>0.92285712940449405</v>
      </c>
      <c r="G1380">
        <v>10414.4256714556</v>
      </c>
      <c r="H1380">
        <v>1739.9117679974299</v>
      </c>
      <c r="I1380">
        <v>0.65911884041177404</v>
      </c>
      <c r="J1380">
        <v>4.3230547698702299E-2</v>
      </c>
      <c r="K1380">
        <v>0.40484059210298201</v>
      </c>
      <c r="L1380" t="s">
        <v>41</v>
      </c>
      <c r="M1380" t="s">
        <v>34</v>
      </c>
      <c r="N1380" t="s">
        <v>35</v>
      </c>
      <c r="O1380">
        <v>0.73997969206189995</v>
      </c>
      <c r="P1380" t="s">
        <v>36</v>
      </c>
    </row>
    <row r="1381" spans="1:16">
      <c r="A1381">
        <v>1380</v>
      </c>
      <c r="B1381" t="s">
        <v>1439</v>
      </c>
      <c r="C1381">
        <v>160</v>
      </c>
      <c r="D1381">
        <v>144</v>
      </c>
      <c r="E1381">
        <v>115.28372590991</v>
      </c>
      <c r="F1381">
        <v>1.11363636363636</v>
      </c>
      <c r="G1381">
        <v>10438.206631757999</v>
      </c>
      <c r="H1381">
        <v>814.980525516738</v>
      </c>
      <c r="I1381">
        <v>0.65210547372387895</v>
      </c>
      <c r="J1381">
        <v>0.19748826370508299</v>
      </c>
      <c r="K1381">
        <v>0.587705130672737</v>
      </c>
      <c r="L1381" t="s">
        <v>41</v>
      </c>
      <c r="M1381" t="s">
        <v>34</v>
      </c>
      <c r="N1381" t="s">
        <v>35</v>
      </c>
      <c r="O1381">
        <v>0.66699340600199197</v>
      </c>
      <c r="P1381" t="s">
        <v>36</v>
      </c>
    </row>
    <row r="1382" spans="1:16">
      <c r="A1382">
        <v>1381</v>
      </c>
      <c r="B1382" t="s">
        <v>1440</v>
      </c>
      <c r="C1382">
        <v>201</v>
      </c>
      <c r="D1382">
        <v>128</v>
      </c>
      <c r="E1382">
        <v>115.44858282532699</v>
      </c>
      <c r="F1382">
        <v>1.5726495726495699</v>
      </c>
      <c r="G1382">
        <v>10468.081463138</v>
      </c>
      <c r="H1382">
        <v>1270.20931838347</v>
      </c>
      <c r="I1382">
        <v>0.62690271284458399</v>
      </c>
      <c r="J1382">
        <v>8.1531675786016694E-2</v>
      </c>
      <c r="K1382">
        <v>0.59475755375027495</v>
      </c>
      <c r="L1382" t="s">
        <v>43</v>
      </c>
      <c r="M1382" t="s">
        <v>34</v>
      </c>
      <c r="N1382" t="s">
        <v>35</v>
      </c>
      <c r="O1382">
        <v>0.83132013990118303</v>
      </c>
      <c r="P1382" t="s">
        <v>36</v>
      </c>
    </row>
    <row r="1383" spans="1:16">
      <c r="A1383">
        <v>1382</v>
      </c>
      <c r="B1383" t="s">
        <v>1441</v>
      </c>
      <c r="C1383">
        <v>157</v>
      </c>
      <c r="D1383">
        <v>186</v>
      </c>
      <c r="E1383">
        <v>115.622207056615</v>
      </c>
      <c r="F1383">
        <v>0.84457478005865105</v>
      </c>
      <c r="G1383">
        <v>10499.591235538801</v>
      </c>
      <c r="H1383">
        <v>1949.325489911</v>
      </c>
      <c r="I1383">
        <v>0.666587562376597</v>
      </c>
      <c r="J1383">
        <v>3.4722703521753898E-2</v>
      </c>
      <c r="K1383">
        <v>0.50004247126111301</v>
      </c>
      <c r="L1383" t="s">
        <v>1038</v>
      </c>
      <c r="M1383" t="s">
        <v>34</v>
      </c>
      <c r="N1383" t="s">
        <v>35</v>
      </c>
      <c r="O1383">
        <v>0.63554589564889097</v>
      </c>
      <c r="P1383" t="s">
        <v>36</v>
      </c>
    </row>
    <row r="1384" spans="1:16">
      <c r="A1384">
        <v>1383</v>
      </c>
      <c r="B1384" t="s">
        <v>1442</v>
      </c>
      <c r="C1384">
        <v>104</v>
      </c>
      <c r="D1384">
        <v>277</v>
      </c>
      <c r="E1384">
        <v>115.933585719585</v>
      </c>
      <c r="F1384">
        <v>0.37711053416074702</v>
      </c>
      <c r="G1384">
        <v>10556.219647259</v>
      </c>
      <c r="H1384">
        <v>903.02235466532102</v>
      </c>
      <c r="I1384">
        <v>0.68675333147173601</v>
      </c>
      <c r="J1384">
        <v>0.162675173667612</v>
      </c>
      <c r="K1384">
        <v>0.51772072544903203</v>
      </c>
      <c r="L1384" t="s">
        <v>1072</v>
      </c>
      <c r="M1384" t="s">
        <v>34</v>
      </c>
      <c r="N1384" t="s">
        <v>35</v>
      </c>
      <c r="O1384">
        <v>0.70653290220877596</v>
      </c>
      <c r="P1384" t="s">
        <v>36</v>
      </c>
    </row>
    <row r="1385" spans="1:16">
      <c r="A1385">
        <v>1384</v>
      </c>
      <c r="B1385" t="s">
        <v>1443</v>
      </c>
      <c r="C1385">
        <v>161</v>
      </c>
      <c r="D1385">
        <v>152</v>
      </c>
      <c r="E1385">
        <v>116.66095929164899</v>
      </c>
      <c r="F1385">
        <v>1.0647482156543799</v>
      </c>
      <c r="G1385">
        <v>10689.095762949</v>
      </c>
      <c r="H1385">
        <v>1120.8259229443399</v>
      </c>
      <c r="I1385">
        <v>0.60999630613879197</v>
      </c>
      <c r="J1385">
        <v>0.106923827857096</v>
      </c>
      <c r="K1385">
        <v>0.52840516671320004</v>
      </c>
      <c r="L1385" t="s">
        <v>38</v>
      </c>
      <c r="M1385" t="s">
        <v>34</v>
      </c>
      <c r="N1385" t="s">
        <v>35</v>
      </c>
      <c r="O1385">
        <v>0.88459351546015796</v>
      </c>
      <c r="P1385" t="s">
        <v>36</v>
      </c>
    </row>
    <row r="1386" spans="1:16">
      <c r="A1386">
        <v>1385</v>
      </c>
      <c r="B1386" t="s">
        <v>1444</v>
      </c>
      <c r="C1386">
        <v>176</v>
      </c>
      <c r="D1386">
        <v>88</v>
      </c>
      <c r="E1386">
        <v>116.774455359607</v>
      </c>
      <c r="F1386">
        <v>2</v>
      </c>
      <c r="G1386">
        <v>10709.904103213599</v>
      </c>
      <c r="H1386">
        <v>627.82974402106299</v>
      </c>
      <c r="I1386">
        <v>0.46663354704087301</v>
      </c>
      <c r="J1386">
        <v>0.34143785725269299</v>
      </c>
      <c r="K1386">
        <v>0.84867793416171</v>
      </c>
      <c r="L1386" t="s">
        <v>38</v>
      </c>
      <c r="M1386" t="s">
        <v>34</v>
      </c>
      <c r="N1386" t="s">
        <v>35</v>
      </c>
      <c r="O1386">
        <v>0.73488503664349303</v>
      </c>
      <c r="P1386" t="s">
        <v>36</v>
      </c>
    </row>
    <row r="1387" spans="1:16">
      <c r="A1387">
        <v>1386</v>
      </c>
      <c r="B1387" t="s">
        <v>1445</v>
      </c>
      <c r="C1387">
        <v>152</v>
      </c>
      <c r="D1387">
        <v>181</v>
      </c>
      <c r="E1387">
        <v>116.782558000862</v>
      </c>
      <c r="F1387">
        <v>0.83734939759036098</v>
      </c>
      <c r="G1387">
        <v>10711.390413232501</v>
      </c>
      <c r="H1387">
        <v>1116.52838325324</v>
      </c>
      <c r="I1387">
        <v>0.61170165197304505</v>
      </c>
      <c r="J1387">
        <v>0.10797325090243</v>
      </c>
      <c r="K1387">
        <v>0.58486447005356301</v>
      </c>
      <c r="L1387" t="s">
        <v>41</v>
      </c>
      <c r="M1387" t="s">
        <v>34</v>
      </c>
      <c r="N1387" t="s">
        <v>35</v>
      </c>
      <c r="O1387">
        <v>0.66116879182155797</v>
      </c>
      <c r="P1387" t="s">
        <v>36</v>
      </c>
    </row>
    <row r="1388" spans="1:16">
      <c r="A1388">
        <v>1387</v>
      </c>
      <c r="B1388" t="s">
        <v>1446</v>
      </c>
      <c r="C1388">
        <v>154</v>
      </c>
      <c r="D1388">
        <v>169</v>
      </c>
      <c r="E1388">
        <v>116.796331200945</v>
      </c>
      <c r="F1388">
        <v>0.91048770004416102</v>
      </c>
      <c r="G1388">
        <v>10713.917140264701</v>
      </c>
      <c r="H1388">
        <v>861.98270857479304</v>
      </c>
      <c r="I1388">
        <v>0.59997283301348303</v>
      </c>
      <c r="J1388">
        <v>0.18120118747327599</v>
      </c>
      <c r="K1388">
        <v>0.53068887072906801</v>
      </c>
      <c r="L1388" t="s">
        <v>61</v>
      </c>
      <c r="M1388" t="s">
        <v>34</v>
      </c>
      <c r="N1388" t="s">
        <v>35</v>
      </c>
      <c r="O1388">
        <v>0.69763462544941701</v>
      </c>
      <c r="P1388" t="s">
        <v>36</v>
      </c>
    </row>
    <row r="1389" spans="1:16">
      <c r="A1389">
        <v>1388</v>
      </c>
      <c r="B1389" t="s">
        <v>1447</v>
      </c>
      <c r="C1389">
        <v>110</v>
      </c>
      <c r="D1389">
        <v>182</v>
      </c>
      <c r="E1389">
        <v>116.85672474138801</v>
      </c>
      <c r="F1389">
        <v>0.60367451146290196</v>
      </c>
      <c r="G1389">
        <v>10725</v>
      </c>
      <c r="H1389">
        <v>735.97979068756104</v>
      </c>
      <c r="I1389">
        <v>0.86192394225035796</v>
      </c>
      <c r="J1389">
        <v>0.248814328503213</v>
      </c>
      <c r="K1389">
        <v>0.72222222222222199</v>
      </c>
      <c r="L1389" t="s">
        <v>298</v>
      </c>
      <c r="M1389" t="s">
        <v>34</v>
      </c>
      <c r="N1389" t="s">
        <v>35</v>
      </c>
      <c r="O1389">
        <v>0.74667737083017804</v>
      </c>
      <c r="P1389" t="s">
        <v>36</v>
      </c>
    </row>
    <row r="1390" spans="1:16">
      <c r="A1390">
        <v>1389</v>
      </c>
      <c r="B1390" t="s">
        <v>1448</v>
      </c>
      <c r="C1390">
        <v>161</v>
      </c>
      <c r="D1390">
        <v>206</v>
      </c>
      <c r="E1390">
        <v>117.079537008881</v>
      </c>
      <c r="F1390">
        <v>0.78514588859416401</v>
      </c>
      <c r="G1390">
        <v>10765.937990926301</v>
      </c>
      <c r="H1390">
        <v>1970.1069945337499</v>
      </c>
      <c r="I1390">
        <v>0.60732144758981499</v>
      </c>
      <c r="J1390">
        <v>3.48563664124069E-2</v>
      </c>
      <c r="K1390">
        <v>0.40061502043615599</v>
      </c>
      <c r="L1390" t="s">
        <v>72</v>
      </c>
      <c r="M1390" t="s">
        <v>34</v>
      </c>
      <c r="N1390" t="s">
        <v>35</v>
      </c>
      <c r="O1390">
        <v>0.69405610444820498</v>
      </c>
      <c r="P1390" t="s">
        <v>36</v>
      </c>
    </row>
    <row r="1391" spans="1:16">
      <c r="A1391">
        <v>1390</v>
      </c>
      <c r="B1391" t="s">
        <v>1449</v>
      </c>
      <c r="C1391">
        <v>119</v>
      </c>
      <c r="D1391">
        <v>176</v>
      </c>
      <c r="E1391">
        <v>117.087618538024</v>
      </c>
      <c r="F1391">
        <v>0.67801857585139302</v>
      </c>
      <c r="G1391">
        <v>10767.4243009452</v>
      </c>
      <c r="H1391">
        <v>1353.62159217565</v>
      </c>
      <c r="I1391">
        <v>0.64543143049301499</v>
      </c>
      <c r="J1391">
        <v>7.3846028658164004E-2</v>
      </c>
      <c r="K1391">
        <v>0.57064087214065196</v>
      </c>
      <c r="L1391" t="s">
        <v>47</v>
      </c>
      <c r="M1391" t="s">
        <v>34</v>
      </c>
      <c r="N1391" t="s">
        <v>35</v>
      </c>
      <c r="O1391">
        <v>0.94641845564096905</v>
      </c>
      <c r="P1391" t="s">
        <v>36</v>
      </c>
    </row>
    <row r="1392" spans="1:16">
      <c r="A1392">
        <v>1391</v>
      </c>
      <c r="B1392" t="s">
        <v>1450</v>
      </c>
      <c r="C1392">
        <v>161</v>
      </c>
      <c r="D1392">
        <v>192</v>
      </c>
      <c r="E1392">
        <v>117.145789089863</v>
      </c>
      <c r="F1392">
        <v>0.83697582380995095</v>
      </c>
      <c r="G1392">
        <v>10778.1257330813</v>
      </c>
      <c r="H1392">
        <v>1305.5228045567201</v>
      </c>
      <c r="I1392">
        <v>0.49368273470985102</v>
      </c>
      <c r="J1392">
        <v>7.9466518180894299E-2</v>
      </c>
      <c r="K1392">
        <v>0.51037055283808996</v>
      </c>
      <c r="L1392" t="s">
        <v>33</v>
      </c>
      <c r="M1392" t="s">
        <v>34</v>
      </c>
      <c r="N1392" t="s">
        <v>35</v>
      </c>
      <c r="O1392">
        <v>0.72742706971197602</v>
      </c>
      <c r="P1392" t="s">
        <v>36</v>
      </c>
    </row>
    <row r="1393" spans="1:16">
      <c r="A1393">
        <v>1392</v>
      </c>
      <c r="B1393" t="s">
        <v>1451</v>
      </c>
      <c r="C1393">
        <v>120</v>
      </c>
      <c r="D1393">
        <v>243</v>
      </c>
      <c r="E1393">
        <v>117.232990797634</v>
      </c>
      <c r="F1393">
        <v>0.49268314017236498</v>
      </c>
      <c r="G1393">
        <v>10794.177881285401</v>
      </c>
      <c r="H1393">
        <v>1091.42017653776</v>
      </c>
      <c r="I1393">
        <v>0.701789306173764</v>
      </c>
      <c r="J1393">
        <v>0.11387161457108901</v>
      </c>
      <c r="K1393">
        <v>0.514534698359843</v>
      </c>
      <c r="L1393" t="s">
        <v>188</v>
      </c>
      <c r="M1393" t="s">
        <v>34</v>
      </c>
      <c r="N1393" t="s">
        <v>35</v>
      </c>
      <c r="O1393">
        <v>0.72376164520640796</v>
      </c>
      <c r="P1393" t="s">
        <v>36</v>
      </c>
    </row>
    <row r="1394" spans="1:16">
      <c r="A1394">
        <v>1393</v>
      </c>
      <c r="B1394" t="s">
        <v>1452</v>
      </c>
      <c r="C1394">
        <v>149</v>
      </c>
      <c r="D1394">
        <v>273</v>
      </c>
      <c r="E1394">
        <v>117.63022938796</v>
      </c>
      <c r="F1394">
        <v>0.54447544217619204</v>
      </c>
      <c r="G1394">
        <v>10867.452965217401</v>
      </c>
      <c r="H1394">
        <v>1635.7912961181401</v>
      </c>
      <c r="I1394">
        <v>0.66318538381827496</v>
      </c>
      <c r="J1394">
        <v>5.1036613246803399E-2</v>
      </c>
      <c r="K1394">
        <v>0.38152910113649402</v>
      </c>
      <c r="L1394" t="s">
        <v>49</v>
      </c>
      <c r="M1394" t="s">
        <v>34</v>
      </c>
      <c r="N1394" t="s">
        <v>35</v>
      </c>
      <c r="O1394">
        <v>0.79889818282680003</v>
      </c>
      <c r="P1394" t="s">
        <v>36</v>
      </c>
    </row>
    <row r="1395" spans="1:16">
      <c r="A1395">
        <v>1394</v>
      </c>
      <c r="B1395" t="s">
        <v>1453</v>
      </c>
      <c r="C1395">
        <v>176</v>
      </c>
      <c r="D1395">
        <v>182</v>
      </c>
      <c r="E1395">
        <v>117.78055562103999</v>
      </c>
      <c r="F1395">
        <v>0.96407185628742498</v>
      </c>
      <c r="G1395">
        <v>10895.2469625709</v>
      </c>
      <c r="H1395">
        <v>1264.6764173281699</v>
      </c>
      <c r="I1395">
        <v>0.65141647140564896</v>
      </c>
      <c r="J1395">
        <v>8.5602826020818104E-2</v>
      </c>
      <c r="K1395">
        <v>0.46499118277660101</v>
      </c>
      <c r="L1395" t="s">
        <v>38</v>
      </c>
      <c r="M1395" t="s">
        <v>34</v>
      </c>
      <c r="N1395" t="s">
        <v>35</v>
      </c>
      <c r="O1395">
        <v>0.873250098835058</v>
      </c>
      <c r="P1395" t="s">
        <v>36</v>
      </c>
    </row>
    <row r="1396" spans="1:16">
      <c r="A1396">
        <v>1395</v>
      </c>
      <c r="B1396" t="s">
        <v>1454</v>
      </c>
      <c r="C1396">
        <v>126</v>
      </c>
      <c r="D1396">
        <v>142</v>
      </c>
      <c r="E1396">
        <v>117.85524540399</v>
      </c>
      <c r="F1396">
        <v>0.88470924293997</v>
      </c>
      <c r="G1396">
        <v>10909.0696457467</v>
      </c>
      <c r="H1396">
        <v>748.65109286132099</v>
      </c>
      <c r="I1396">
        <v>0.56435448765485896</v>
      </c>
      <c r="J1396">
        <v>0.24458997498214999</v>
      </c>
      <c r="K1396">
        <v>0.751102651480265</v>
      </c>
      <c r="L1396" t="s">
        <v>33</v>
      </c>
      <c r="M1396" t="s">
        <v>34</v>
      </c>
      <c r="N1396" t="s">
        <v>35</v>
      </c>
      <c r="O1396">
        <v>0.74726077138508396</v>
      </c>
      <c r="P1396" t="s">
        <v>36</v>
      </c>
    </row>
    <row r="1397" spans="1:16">
      <c r="A1397">
        <v>1396</v>
      </c>
      <c r="B1397" t="s">
        <v>1455</v>
      </c>
      <c r="C1397">
        <v>94</v>
      </c>
      <c r="D1397">
        <v>199</v>
      </c>
      <c r="E1397">
        <v>118.180757630513</v>
      </c>
      <c r="F1397">
        <v>0.47122933860973398</v>
      </c>
      <c r="G1397">
        <v>10969.413832514199</v>
      </c>
      <c r="H1397">
        <v>597.73822448886006</v>
      </c>
      <c r="I1397">
        <v>0.70777200216472003</v>
      </c>
      <c r="J1397">
        <v>0.38580799802667198</v>
      </c>
      <c r="K1397">
        <v>0.80455021148563199</v>
      </c>
      <c r="L1397" t="s">
        <v>49</v>
      </c>
      <c r="M1397" t="s">
        <v>34</v>
      </c>
      <c r="N1397" t="s">
        <v>35</v>
      </c>
      <c r="O1397">
        <v>0.66302784873562803</v>
      </c>
      <c r="P1397" t="s">
        <v>36</v>
      </c>
    </row>
    <row r="1398" spans="1:16">
      <c r="A1398">
        <v>1397</v>
      </c>
      <c r="B1398" t="s">
        <v>1456</v>
      </c>
      <c r="C1398">
        <v>171</v>
      </c>
      <c r="D1398">
        <v>144</v>
      </c>
      <c r="E1398">
        <v>118.589184077947</v>
      </c>
      <c r="F1398">
        <v>1.1907404595278801</v>
      </c>
      <c r="G1398">
        <v>11045.3642744802</v>
      </c>
      <c r="H1398">
        <v>1050.79621057282</v>
      </c>
      <c r="I1398">
        <v>0.62682339991298996</v>
      </c>
      <c r="J1398">
        <v>0.12570510395815601</v>
      </c>
      <c r="K1398">
        <v>0.53894465073102804</v>
      </c>
      <c r="L1398" t="s">
        <v>33</v>
      </c>
      <c r="M1398" t="s">
        <v>34</v>
      </c>
      <c r="N1398" t="s">
        <v>35</v>
      </c>
      <c r="O1398">
        <v>0.75268309310827097</v>
      </c>
      <c r="P1398" t="s">
        <v>36</v>
      </c>
    </row>
    <row r="1399" spans="1:16">
      <c r="A1399">
        <v>1398</v>
      </c>
      <c r="B1399" t="s">
        <v>1457</v>
      </c>
      <c r="C1399">
        <v>168</v>
      </c>
      <c r="D1399">
        <v>117</v>
      </c>
      <c r="E1399">
        <v>118.943716341211</v>
      </c>
      <c r="F1399">
        <v>1.43759103173703</v>
      </c>
      <c r="G1399">
        <v>11111.5050703214</v>
      </c>
      <c r="H1399">
        <v>605.74544613454702</v>
      </c>
      <c r="I1399">
        <v>0.61146611448453803</v>
      </c>
      <c r="J1399">
        <v>0.38054186038791399</v>
      </c>
      <c r="K1399">
        <v>0.79575718224105096</v>
      </c>
      <c r="L1399" t="s">
        <v>47</v>
      </c>
      <c r="M1399" t="s">
        <v>34</v>
      </c>
      <c r="N1399" t="s">
        <v>35</v>
      </c>
      <c r="O1399">
        <v>0.92406371938363097</v>
      </c>
      <c r="P1399" t="s">
        <v>36</v>
      </c>
    </row>
    <row r="1400" spans="1:16">
      <c r="A1400">
        <v>1399</v>
      </c>
      <c r="B1400" t="s">
        <v>1458</v>
      </c>
      <c r="C1400">
        <v>187</v>
      </c>
      <c r="D1400">
        <v>133</v>
      </c>
      <c r="E1400">
        <v>119.221821246245</v>
      </c>
      <c r="F1400">
        <v>1.4002934040920301</v>
      </c>
      <c r="G1400">
        <v>11163.525920983</v>
      </c>
      <c r="H1400">
        <v>872.64517011632097</v>
      </c>
      <c r="I1400">
        <v>0.59330300391059199</v>
      </c>
      <c r="J1400">
        <v>0.18421961507642201</v>
      </c>
      <c r="K1400">
        <v>0.67223664190459098</v>
      </c>
      <c r="L1400" t="s">
        <v>33</v>
      </c>
      <c r="M1400" t="s">
        <v>34</v>
      </c>
      <c r="N1400" t="s">
        <v>35</v>
      </c>
      <c r="O1400">
        <v>0.69831771530197995</v>
      </c>
      <c r="P1400" t="s">
        <v>36</v>
      </c>
    </row>
    <row r="1401" spans="1:16">
      <c r="A1401">
        <v>1400</v>
      </c>
      <c r="B1401" t="s">
        <v>1459</v>
      </c>
      <c r="C1401">
        <v>153</v>
      </c>
      <c r="D1401">
        <v>206</v>
      </c>
      <c r="E1401">
        <v>119.54440392184</v>
      </c>
      <c r="F1401">
        <v>0.74270557029177697</v>
      </c>
      <c r="G1401">
        <v>11224.0187387524</v>
      </c>
      <c r="H1401">
        <v>1377.2956694306499</v>
      </c>
      <c r="I1401">
        <v>0.69056857315363496</v>
      </c>
      <c r="J1401">
        <v>7.4353922289440294E-2</v>
      </c>
      <c r="K1401">
        <v>0.45075298597888203</v>
      </c>
      <c r="L1401" t="s">
        <v>33</v>
      </c>
      <c r="M1401" t="s">
        <v>34</v>
      </c>
      <c r="N1401" t="s">
        <v>35</v>
      </c>
      <c r="O1401">
        <v>0.70345854466525504</v>
      </c>
      <c r="P1401" t="s">
        <v>36</v>
      </c>
    </row>
    <row r="1402" spans="1:16">
      <c r="A1402">
        <v>1401</v>
      </c>
      <c r="B1402" t="s">
        <v>1460</v>
      </c>
      <c r="C1402">
        <v>260</v>
      </c>
      <c r="D1402">
        <v>129</v>
      </c>
      <c r="E1402">
        <v>119.699440731306</v>
      </c>
      <c r="F1402">
        <v>2.0170572123208999</v>
      </c>
      <c r="G1402">
        <v>11253.1504151229</v>
      </c>
      <c r="H1402">
        <v>1576.2518676772299</v>
      </c>
      <c r="I1402">
        <v>0.52793520870378097</v>
      </c>
      <c r="J1402">
        <v>5.69157888572644E-2</v>
      </c>
      <c r="K1402">
        <v>0.50223882082136495</v>
      </c>
      <c r="L1402" t="s">
        <v>74</v>
      </c>
      <c r="M1402" t="s">
        <v>34</v>
      </c>
      <c r="N1402" t="s">
        <v>35</v>
      </c>
      <c r="O1402">
        <v>0.785169413782007</v>
      </c>
      <c r="P1402" t="s">
        <v>36</v>
      </c>
    </row>
    <row r="1403" spans="1:16">
      <c r="A1403">
        <v>1402</v>
      </c>
      <c r="B1403" t="s">
        <v>1461</v>
      </c>
      <c r="C1403">
        <v>153</v>
      </c>
      <c r="D1403">
        <v>223</v>
      </c>
      <c r="E1403">
        <v>119.757132734704</v>
      </c>
      <c r="F1403">
        <v>0.68566479778475198</v>
      </c>
      <c r="G1403">
        <v>11264.000478260899</v>
      </c>
      <c r="H1403">
        <v>1345.2174948813599</v>
      </c>
      <c r="I1403">
        <v>0.58548517394594002</v>
      </c>
      <c r="J1403">
        <v>7.8219945800781607E-2</v>
      </c>
      <c r="K1403">
        <v>0.44961318493557001</v>
      </c>
      <c r="L1403" t="s">
        <v>41</v>
      </c>
      <c r="M1403" t="s">
        <v>34</v>
      </c>
      <c r="N1403" t="s">
        <v>35</v>
      </c>
      <c r="O1403">
        <v>0.71246087880883302</v>
      </c>
      <c r="P1403" t="s">
        <v>36</v>
      </c>
    </row>
    <row r="1404" spans="1:16">
      <c r="A1404">
        <v>1403</v>
      </c>
      <c r="B1404" t="s">
        <v>1462</v>
      </c>
      <c r="C1404">
        <v>120</v>
      </c>
      <c r="D1404">
        <v>172</v>
      </c>
      <c r="E1404">
        <v>119.76661369207901</v>
      </c>
      <c r="F1404">
        <v>0.69618905507621798</v>
      </c>
      <c r="G1404">
        <v>11265.784050283601</v>
      </c>
      <c r="H1404">
        <v>862.021933758881</v>
      </c>
      <c r="I1404">
        <v>0.67122132207363105</v>
      </c>
      <c r="J1404">
        <v>0.190517403220405</v>
      </c>
      <c r="K1404">
        <v>0.73784167899696296</v>
      </c>
      <c r="L1404" t="s">
        <v>33</v>
      </c>
      <c r="M1404" t="s">
        <v>34</v>
      </c>
      <c r="N1404" t="s">
        <v>35</v>
      </c>
      <c r="O1404">
        <v>0.65012149535038599</v>
      </c>
      <c r="P1404" t="s">
        <v>36</v>
      </c>
    </row>
    <row r="1405" spans="1:16">
      <c r="A1405">
        <v>1404</v>
      </c>
      <c r="B1405" t="s">
        <v>1463</v>
      </c>
      <c r="C1405">
        <v>126</v>
      </c>
      <c r="D1405">
        <v>153</v>
      </c>
      <c r="E1405">
        <v>119.981314443895</v>
      </c>
      <c r="F1405">
        <v>0.82206405693950202</v>
      </c>
      <c r="G1405">
        <v>11306.211682797701</v>
      </c>
      <c r="H1405">
        <v>715.84725945835498</v>
      </c>
      <c r="I1405">
        <v>0.55370921128031403</v>
      </c>
      <c r="J1405">
        <v>0.27725937702547698</v>
      </c>
      <c r="K1405">
        <v>0.69142322165463799</v>
      </c>
      <c r="L1405" t="s">
        <v>873</v>
      </c>
      <c r="M1405" t="s">
        <v>34</v>
      </c>
      <c r="N1405" t="s">
        <v>35</v>
      </c>
      <c r="O1405">
        <v>0.68430861069739202</v>
      </c>
      <c r="P1405" t="s">
        <v>36</v>
      </c>
    </row>
    <row r="1406" spans="1:16">
      <c r="A1406">
        <v>1405</v>
      </c>
      <c r="B1406" t="s">
        <v>1464</v>
      </c>
      <c r="C1406">
        <v>174</v>
      </c>
      <c r="D1406">
        <v>129</v>
      </c>
      <c r="E1406">
        <v>120.014675560185</v>
      </c>
      <c r="F1406">
        <v>1.35489827941862</v>
      </c>
      <c r="G1406">
        <v>11312.5</v>
      </c>
      <c r="H1406">
        <v>869.619399905205</v>
      </c>
      <c r="I1406">
        <v>0.763805328112514</v>
      </c>
      <c r="J1406">
        <v>0.187979295199239</v>
      </c>
      <c r="K1406">
        <v>0.62156593406593397</v>
      </c>
      <c r="L1406" t="s">
        <v>61</v>
      </c>
      <c r="M1406" t="s">
        <v>34</v>
      </c>
      <c r="N1406" t="s">
        <v>35</v>
      </c>
      <c r="O1406">
        <v>0.73841732308465702</v>
      </c>
      <c r="P1406" t="s">
        <v>36</v>
      </c>
    </row>
    <row r="1407" spans="1:16">
      <c r="A1407">
        <v>1406</v>
      </c>
      <c r="B1407" t="s">
        <v>1465</v>
      </c>
      <c r="C1407">
        <v>187</v>
      </c>
      <c r="D1407">
        <v>138</v>
      </c>
      <c r="E1407">
        <v>120.182248054052</v>
      </c>
      <c r="F1407">
        <v>1.35573122529644</v>
      </c>
      <c r="G1407">
        <v>11344.112588279801</v>
      </c>
      <c r="H1407">
        <v>1267.30345050853</v>
      </c>
      <c r="I1407">
        <v>0.67285793069837396</v>
      </c>
      <c r="J1407">
        <v>8.8760380950864998E-2</v>
      </c>
      <c r="K1407">
        <v>0.58932445892626895</v>
      </c>
      <c r="L1407" t="s">
        <v>41</v>
      </c>
      <c r="M1407" t="s">
        <v>34</v>
      </c>
      <c r="N1407" t="s">
        <v>35</v>
      </c>
      <c r="O1407">
        <v>0.73738067945653096</v>
      </c>
      <c r="P1407" t="s">
        <v>36</v>
      </c>
    </row>
    <row r="1408" spans="1:16">
      <c r="A1408">
        <v>1407</v>
      </c>
      <c r="B1408" t="s">
        <v>1466</v>
      </c>
      <c r="C1408">
        <v>142</v>
      </c>
      <c r="D1408">
        <v>151</v>
      </c>
      <c r="E1408">
        <v>120.32781340207301</v>
      </c>
      <c r="F1408">
        <v>0.93862815884476503</v>
      </c>
      <c r="G1408">
        <v>11371.6093236295</v>
      </c>
      <c r="H1408">
        <v>1694.11446281402</v>
      </c>
      <c r="I1408">
        <v>0.60334733827069398</v>
      </c>
      <c r="J1408">
        <v>4.9790477901053197E-2</v>
      </c>
      <c r="K1408">
        <v>0.57939855659641504</v>
      </c>
      <c r="L1408" t="s">
        <v>33</v>
      </c>
      <c r="M1408" t="s">
        <v>34</v>
      </c>
      <c r="N1408" t="s">
        <v>35</v>
      </c>
      <c r="O1408">
        <v>0.70546596163207898</v>
      </c>
      <c r="P1408" t="s">
        <v>36</v>
      </c>
    </row>
    <row r="1409" spans="1:16">
      <c r="A1409">
        <v>1408</v>
      </c>
      <c r="B1409" t="s">
        <v>1467</v>
      </c>
      <c r="C1409">
        <v>101</v>
      </c>
      <c r="D1409">
        <v>325</v>
      </c>
      <c r="E1409">
        <v>120.330172470298</v>
      </c>
      <c r="F1409">
        <v>0.31063967477724103</v>
      </c>
      <c r="G1409">
        <v>11372.055216635201</v>
      </c>
      <c r="H1409">
        <v>1125.55243800371</v>
      </c>
      <c r="I1409">
        <v>0.84910273182201101</v>
      </c>
      <c r="J1409">
        <v>0.112802144902272</v>
      </c>
      <c r="K1409">
        <v>0.53899150429012199</v>
      </c>
      <c r="L1409" t="s">
        <v>33</v>
      </c>
      <c r="M1409" t="s">
        <v>34</v>
      </c>
      <c r="N1409" t="s">
        <v>35</v>
      </c>
      <c r="O1409">
        <v>0.74040942589535097</v>
      </c>
      <c r="P1409" t="s">
        <v>36</v>
      </c>
    </row>
    <row r="1410" spans="1:16">
      <c r="A1410">
        <v>1409</v>
      </c>
      <c r="B1410" t="s">
        <v>1468</v>
      </c>
      <c r="C1410">
        <v>135</v>
      </c>
      <c r="D1410">
        <v>120</v>
      </c>
      <c r="E1410">
        <v>120.393849839331</v>
      </c>
      <c r="F1410">
        <v>1.1270410767143499</v>
      </c>
      <c r="G1410">
        <v>11384.0943277883</v>
      </c>
      <c r="H1410">
        <v>654.07767348569405</v>
      </c>
      <c r="I1410">
        <v>0.67104139226771797</v>
      </c>
      <c r="J1410">
        <v>0.33438724223722299</v>
      </c>
      <c r="K1410">
        <v>0.836624795193883</v>
      </c>
      <c r="L1410" t="s">
        <v>38</v>
      </c>
      <c r="M1410" t="s">
        <v>34</v>
      </c>
      <c r="N1410" t="s">
        <v>35</v>
      </c>
      <c r="O1410">
        <v>0.83929838437825799</v>
      </c>
      <c r="P1410" t="s">
        <v>36</v>
      </c>
    </row>
    <row r="1411" spans="1:16">
      <c r="A1411">
        <v>1410</v>
      </c>
      <c r="B1411" t="s">
        <v>1469</v>
      </c>
      <c r="C1411">
        <v>237</v>
      </c>
      <c r="D1411">
        <v>151</v>
      </c>
      <c r="E1411">
        <v>120.62233936575301</v>
      </c>
      <c r="F1411">
        <v>1.5645385097365101</v>
      </c>
      <c r="G1411">
        <v>11427.3459493384</v>
      </c>
      <c r="H1411">
        <v>1214.56181229052</v>
      </c>
      <c r="I1411">
        <v>0.58507858179580896</v>
      </c>
      <c r="J1411">
        <v>9.7345525774340802E-2</v>
      </c>
      <c r="K1411">
        <v>0.479994006630165</v>
      </c>
      <c r="L1411" t="s">
        <v>33</v>
      </c>
      <c r="M1411" t="s">
        <v>34</v>
      </c>
      <c r="N1411" t="s">
        <v>35</v>
      </c>
      <c r="O1411">
        <v>0.71179649105628295</v>
      </c>
      <c r="P1411" t="s">
        <v>36</v>
      </c>
    </row>
    <row r="1412" spans="1:16">
      <c r="A1412">
        <v>1411</v>
      </c>
      <c r="B1412" t="s">
        <v>1470</v>
      </c>
      <c r="C1412">
        <v>181</v>
      </c>
      <c r="D1412">
        <v>167</v>
      </c>
      <c r="E1412">
        <v>120.66626021693401</v>
      </c>
      <c r="F1412">
        <v>1.08143324094557</v>
      </c>
      <c r="G1412">
        <v>11435.669285444201</v>
      </c>
      <c r="H1412">
        <v>1721.60296773496</v>
      </c>
      <c r="I1412">
        <v>0.59542650108907802</v>
      </c>
      <c r="J1412">
        <v>4.8484781862260497E-2</v>
      </c>
      <c r="K1412">
        <v>0.39302425369322203</v>
      </c>
      <c r="L1412" t="s">
        <v>38</v>
      </c>
      <c r="M1412" t="s">
        <v>34</v>
      </c>
      <c r="N1412" t="s">
        <v>35</v>
      </c>
      <c r="O1412">
        <v>0.89330200525020498</v>
      </c>
      <c r="P1412" t="s">
        <v>36</v>
      </c>
    </row>
    <row r="1413" spans="1:16">
      <c r="A1413">
        <v>1412</v>
      </c>
      <c r="B1413" t="s">
        <v>1471</v>
      </c>
      <c r="C1413">
        <v>166</v>
      </c>
      <c r="D1413">
        <v>166</v>
      </c>
      <c r="E1413">
        <v>120.81672477609899</v>
      </c>
      <c r="F1413">
        <v>0.99672131081929405</v>
      </c>
      <c r="G1413">
        <v>11464.206437807199</v>
      </c>
      <c r="H1413">
        <v>961.57315671692697</v>
      </c>
      <c r="I1413">
        <v>0.60774607895281096</v>
      </c>
      <c r="J1413">
        <v>0.155807801571622</v>
      </c>
      <c r="K1413">
        <v>0.576468038355468</v>
      </c>
      <c r="L1413" t="s">
        <v>144</v>
      </c>
      <c r="M1413" t="s">
        <v>34</v>
      </c>
      <c r="N1413" t="s">
        <v>35</v>
      </c>
      <c r="O1413">
        <v>0.79722443638532903</v>
      </c>
      <c r="P1413" t="s">
        <v>36</v>
      </c>
    </row>
    <row r="1414" spans="1:16">
      <c r="A1414">
        <v>1413</v>
      </c>
      <c r="B1414" t="s">
        <v>1472</v>
      </c>
      <c r="C1414">
        <v>107</v>
      </c>
      <c r="D1414">
        <v>298</v>
      </c>
      <c r="E1414">
        <v>120.938839390891</v>
      </c>
      <c r="F1414">
        <v>0.358453266217448</v>
      </c>
      <c r="G1414">
        <v>11487.392874102101</v>
      </c>
      <c r="H1414">
        <v>815.70618437041401</v>
      </c>
      <c r="I1414">
        <v>0.57655692146044502</v>
      </c>
      <c r="J1414">
        <v>0.21695208511533101</v>
      </c>
      <c r="K1414">
        <v>0.54814184397163102</v>
      </c>
      <c r="L1414" t="s">
        <v>47</v>
      </c>
      <c r="M1414" t="s">
        <v>34</v>
      </c>
      <c r="N1414" t="s">
        <v>35</v>
      </c>
      <c r="O1414">
        <v>0.91122601063556397</v>
      </c>
      <c r="P1414" t="s">
        <v>36</v>
      </c>
    </row>
    <row r="1415" spans="1:16">
      <c r="A1415">
        <v>1414</v>
      </c>
      <c r="B1415" t="s">
        <v>1473</v>
      </c>
      <c r="C1415">
        <v>146</v>
      </c>
      <c r="D1415">
        <v>168</v>
      </c>
      <c r="E1415">
        <v>120.987337895769</v>
      </c>
      <c r="F1415">
        <v>0.87027280898239701</v>
      </c>
      <c r="G1415">
        <v>11496.6079962193</v>
      </c>
      <c r="H1415">
        <v>954.03090316337102</v>
      </c>
      <c r="I1415">
        <v>0.62903564871374595</v>
      </c>
      <c r="J1415">
        <v>0.15872842318504399</v>
      </c>
      <c r="K1415">
        <v>0.62206459499453104</v>
      </c>
      <c r="L1415" t="s">
        <v>38</v>
      </c>
      <c r="M1415" t="s">
        <v>34</v>
      </c>
      <c r="N1415" t="s">
        <v>35</v>
      </c>
      <c r="O1415">
        <v>0.70097316900622297</v>
      </c>
      <c r="P1415" t="s">
        <v>36</v>
      </c>
    </row>
    <row r="1416" spans="1:16">
      <c r="A1416">
        <v>1415</v>
      </c>
      <c r="B1416" t="s">
        <v>1474</v>
      </c>
      <c r="C1416">
        <v>165</v>
      </c>
      <c r="D1416">
        <v>196</v>
      </c>
      <c r="E1416">
        <v>121.14677658286099</v>
      </c>
      <c r="F1416">
        <v>0.84122559974701905</v>
      </c>
      <c r="G1416">
        <v>11526.928720604899</v>
      </c>
      <c r="H1416">
        <v>1790.0623657589399</v>
      </c>
      <c r="I1416">
        <v>0.63451731571002201</v>
      </c>
      <c r="J1416">
        <v>4.5205070148541103E-2</v>
      </c>
      <c r="K1416">
        <v>0.39813545661291699</v>
      </c>
      <c r="L1416" t="s">
        <v>33</v>
      </c>
      <c r="M1416" t="s">
        <v>34</v>
      </c>
      <c r="N1416" t="s">
        <v>35</v>
      </c>
      <c r="O1416">
        <v>0.75811319989077797</v>
      </c>
      <c r="P1416" t="s">
        <v>36</v>
      </c>
    </row>
    <row r="1417" spans="1:16">
      <c r="A1417">
        <v>1416</v>
      </c>
      <c r="B1417" t="s">
        <v>1475</v>
      </c>
      <c r="C1417">
        <v>96</v>
      </c>
      <c r="D1417">
        <v>200</v>
      </c>
      <c r="E1417">
        <v>121.983513479431</v>
      </c>
      <c r="F1417">
        <v>0.47822613720584001</v>
      </c>
      <c r="G1417">
        <v>11686.707047637099</v>
      </c>
      <c r="H1417">
        <v>658.39629442785099</v>
      </c>
      <c r="I1417">
        <v>0.80672387311621796</v>
      </c>
      <c r="J1417">
        <v>0.33878741241723598</v>
      </c>
      <c r="K1417">
        <v>0.80472627905310701</v>
      </c>
      <c r="L1417" t="s">
        <v>33</v>
      </c>
      <c r="M1417" t="s">
        <v>34</v>
      </c>
      <c r="N1417" t="s">
        <v>35</v>
      </c>
      <c r="O1417">
        <v>0.70565992645485898</v>
      </c>
      <c r="P1417" t="s">
        <v>36</v>
      </c>
    </row>
    <row r="1418" spans="1:16">
      <c r="A1418">
        <v>1417</v>
      </c>
      <c r="B1418" t="s">
        <v>1476</v>
      </c>
      <c r="C1418">
        <v>120</v>
      </c>
      <c r="D1418">
        <v>194</v>
      </c>
      <c r="E1418">
        <v>122.36687779391499</v>
      </c>
      <c r="F1418">
        <v>0.61886819540121896</v>
      </c>
      <c r="G1418">
        <v>11760.2793935728</v>
      </c>
      <c r="H1418">
        <v>697.75213876496196</v>
      </c>
      <c r="I1418">
        <v>0.71750345835059204</v>
      </c>
      <c r="J1418">
        <v>0.30354644490899702</v>
      </c>
      <c r="K1418">
        <v>0.67109403492701603</v>
      </c>
      <c r="L1418" t="s">
        <v>38</v>
      </c>
      <c r="M1418" t="s">
        <v>34</v>
      </c>
      <c r="N1418" t="s">
        <v>35</v>
      </c>
      <c r="O1418">
        <v>0.84817013450176104</v>
      </c>
      <c r="P1418" t="s">
        <v>36</v>
      </c>
    </row>
    <row r="1419" spans="1:16">
      <c r="A1419">
        <v>1418</v>
      </c>
      <c r="B1419" t="s">
        <v>1477</v>
      </c>
      <c r="C1419">
        <v>226</v>
      </c>
      <c r="D1419">
        <v>201</v>
      </c>
      <c r="E1419">
        <v>122.398577355569</v>
      </c>
      <c r="F1419">
        <v>1.125</v>
      </c>
      <c r="G1419">
        <v>11766.373264650299</v>
      </c>
      <c r="H1419">
        <v>1456.4817284354999</v>
      </c>
      <c r="I1419">
        <v>0.65899371110762095</v>
      </c>
      <c r="J1419">
        <v>6.9701544858870798E-2</v>
      </c>
      <c r="K1419">
        <v>0.37241324156877897</v>
      </c>
      <c r="L1419" t="s">
        <v>43</v>
      </c>
      <c r="M1419" t="s">
        <v>34</v>
      </c>
      <c r="N1419" t="s">
        <v>35</v>
      </c>
      <c r="O1419">
        <v>0.81510510010443105</v>
      </c>
      <c r="P1419" t="s">
        <v>36</v>
      </c>
    </row>
    <row r="1420" spans="1:16">
      <c r="A1420">
        <v>1419</v>
      </c>
      <c r="B1420" t="s">
        <v>1478</v>
      </c>
      <c r="C1420">
        <v>208</v>
      </c>
      <c r="D1420">
        <v>127</v>
      </c>
      <c r="E1420">
        <v>122.705869462716</v>
      </c>
      <c r="F1420">
        <v>1.641027004546</v>
      </c>
      <c r="G1420">
        <v>11825.528403402601</v>
      </c>
      <c r="H1420">
        <v>1065.44946553759</v>
      </c>
      <c r="I1420">
        <v>0.54024346384300803</v>
      </c>
      <c r="J1420">
        <v>0.13090755389568801</v>
      </c>
      <c r="K1420">
        <v>0.68540342171913005</v>
      </c>
      <c r="L1420" t="s">
        <v>893</v>
      </c>
      <c r="M1420" t="s">
        <v>34</v>
      </c>
      <c r="N1420" t="s">
        <v>35</v>
      </c>
      <c r="O1420">
        <v>0.66417630479979395</v>
      </c>
      <c r="P1420" t="s">
        <v>36</v>
      </c>
    </row>
    <row r="1421" spans="1:16">
      <c r="A1421">
        <v>1420</v>
      </c>
      <c r="B1421" t="s">
        <v>1479</v>
      </c>
      <c r="C1421">
        <v>120</v>
      </c>
      <c r="D1421">
        <v>248</v>
      </c>
      <c r="E1421">
        <v>122.870779173104</v>
      </c>
      <c r="F1421">
        <v>0.48462313645451699</v>
      </c>
      <c r="G1421">
        <v>11857.3354378072</v>
      </c>
      <c r="H1421">
        <v>1002.93607677823</v>
      </c>
      <c r="I1421">
        <v>0.64162503597309695</v>
      </c>
      <c r="J1421">
        <v>0.148132537619173</v>
      </c>
      <c r="K1421">
        <v>0.53859344724920799</v>
      </c>
      <c r="L1421" t="s">
        <v>33</v>
      </c>
      <c r="M1421" t="s">
        <v>34</v>
      </c>
      <c r="N1421" t="s">
        <v>35</v>
      </c>
      <c r="O1421">
        <v>0.71385625678170395</v>
      </c>
      <c r="P1421" t="s">
        <v>36</v>
      </c>
    </row>
    <row r="1422" spans="1:16">
      <c r="A1422">
        <v>1421</v>
      </c>
      <c r="B1422" t="s">
        <v>1480</v>
      </c>
      <c r="C1422">
        <v>167</v>
      </c>
      <c r="D1422">
        <v>128</v>
      </c>
      <c r="E1422">
        <v>123.312017993038</v>
      </c>
      <c r="F1422">
        <v>1.3076923076923099</v>
      </c>
      <c r="G1422">
        <v>11942.6496328923</v>
      </c>
      <c r="H1422">
        <v>1229.76303926375</v>
      </c>
      <c r="I1422">
        <v>0.72809013472899498</v>
      </c>
      <c r="J1422">
        <v>9.9235641887186504E-2</v>
      </c>
      <c r="K1422">
        <v>0.70250397803773501</v>
      </c>
      <c r="L1422" t="s">
        <v>33</v>
      </c>
      <c r="M1422" t="s">
        <v>34</v>
      </c>
      <c r="N1422" t="s">
        <v>35</v>
      </c>
      <c r="O1422">
        <v>0.69136025047167604</v>
      </c>
      <c r="P1422" t="s">
        <v>36</v>
      </c>
    </row>
    <row r="1423" spans="1:16">
      <c r="A1423">
        <v>1422</v>
      </c>
      <c r="B1423" t="s">
        <v>1481</v>
      </c>
      <c r="C1423">
        <v>132</v>
      </c>
      <c r="D1423">
        <v>142</v>
      </c>
      <c r="E1423">
        <v>123.337337397068</v>
      </c>
      <c r="F1423">
        <v>0.92789676628205797</v>
      </c>
      <c r="G1423">
        <v>11947.5544559546</v>
      </c>
      <c r="H1423">
        <v>702.71826333481295</v>
      </c>
      <c r="I1423">
        <v>0.63573217185750797</v>
      </c>
      <c r="J1423">
        <v>0.30403697373812599</v>
      </c>
      <c r="K1423">
        <v>0.83987921721050296</v>
      </c>
      <c r="L1423" t="s">
        <v>38</v>
      </c>
      <c r="M1423" t="s">
        <v>34</v>
      </c>
      <c r="N1423" t="s">
        <v>35</v>
      </c>
      <c r="O1423">
        <v>0.68628785080334198</v>
      </c>
      <c r="P1423" t="s">
        <v>36</v>
      </c>
    </row>
    <row r="1424" spans="1:16">
      <c r="A1424">
        <v>1423</v>
      </c>
      <c r="B1424" t="s">
        <v>1482</v>
      </c>
      <c r="C1424">
        <v>198</v>
      </c>
      <c r="D1424">
        <v>176</v>
      </c>
      <c r="E1424">
        <v>123.529748467171</v>
      </c>
      <c r="F1424">
        <v>1.12693498452012</v>
      </c>
      <c r="G1424">
        <v>11984.8608374291</v>
      </c>
      <c r="H1424">
        <v>1030.9962068749501</v>
      </c>
      <c r="I1424">
        <v>0.59006209928623998</v>
      </c>
      <c r="J1424">
        <v>0.14168658232374401</v>
      </c>
      <c r="K1424">
        <v>0.52249444361647701</v>
      </c>
      <c r="L1424" t="s">
        <v>49</v>
      </c>
      <c r="M1424" t="s">
        <v>34</v>
      </c>
      <c r="N1424" t="s">
        <v>35</v>
      </c>
      <c r="O1424">
        <v>0.76293642607046297</v>
      </c>
      <c r="P1424" t="s">
        <v>36</v>
      </c>
    </row>
    <row r="1425" spans="1:16">
      <c r="A1425">
        <v>1424</v>
      </c>
      <c r="B1425" t="s">
        <v>1483</v>
      </c>
      <c r="C1425">
        <v>229</v>
      </c>
      <c r="D1425">
        <v>129</v>
      </c>
      <c r="E1425">
        <v>123.875488024193</v>
      </c>
      <c r="F1425">
        <v>1.77117225115647</v>
      </c>
      <c r="G1425">
        <v>12052.0420502836</v>
      </c>
      <c r="H1425">
        <v>883.677916821086</v>
      </c>
      <c r="I1425">
        <v>0.64440223338513503</v>
      </c>
      <c r="J1425">
        <v>0.19394674629523501</v>
      </c>
      <c r="K1425">
        <v>0.5989894587547</v>
      </c>
      <c r="L1425" t="s">
        <v>38</v>
      </c>
      <c r="M1425" t="s">
        <v>34</v>
      </c>
      <c r="N1425" t="s">
        <v>35</v>
      </c>
      <c r="O1425">
        <v>0.77865696588538502</v>
      </c>
      <c r="P1425" t="s">
        <v>36</v>
      </c>
    </row>
    <row r="1426" spans="1:16">
      <c r="A1426">
        <v>1425</v>
      </c>
      <c r="B1426" t="s">
        <v>1484</v>
      </c>
      <c r="C1426">
        <v>176</v>
      </c>
      <c r="D1426">
        <v>167</v>
      </c>
      <c r="E1426">
        <v>124.226358930201</v>
      </c>
      <c r="F1426">
        <v>1.05555555555556</v>
      </c>
      <c r="G1426">
        <v>12120.412311153101</v>
      </c>
      <c r="H1426">
        <v>1048.9535264511701</v>
      </c>
      <c r="I1426">
        <v>0.58412082601797899</v>
      </c>
      <c r="J1426">
        <v>0.13842507363669501</v>
      </c>
      <c r="K1426">
        <v>0.48200469314292799</v>
      </c>
      <c r="L1426" t="s">
        <v>43</v>
      </c>
      <c r="M1426" t="s">
        <v>34</v>
      </c>
      <c r="N1426" t="s">
        <v>35</v>
      </c>
      <c r="O1426">
        <v>0.76520088504678796</v>
      </c>
      <c r="P1426" t="s">
        <v>36</v>
      </c>
    </row>
    <row r="1427" spans="1:16">
      <c r="A1427">
        <v>1426</v>
      </c>
      <c r="B1427" t="s">
        <v>1485</v>
      </c>
      <c r="C1427">
        <v>113</v>
      </c>
      <c r="D1427">
        <v>206</v>
      </c>
      <c r="E1427">
        <v>124.28271088680999</v>
      </c>
      <c r="F1427">
        <v>0.54627333568299996</v>
      </c>
      <c r="G1427">
        <v>12131.411005292999</v>
      </c>
      <c r="H1427">
        <v>1208.04513353628</v>
      </c>
      <c r="I1427">
        <v>0.89511716426485799</v>
      </c>
      <c r="J1427">
        <v>0.10446116387128</v>
      </c>
      <c r="K1427">
        <v>0.65529561000674397</v>
      </c>
      <c r="L1427" t="s">
        <v>33</v>
      </c>
      <c r="M1427" t="s">
        <v>34</v>
      </c>
      <c r="N1427" t="s">
        <v>35</v>
      </c>
      <c r="O1427">
        <v>0.73601698496149004</v>
      </c>
      <c r="P1427" t="s">
        <v>36</v>
      </c>
    </row>
    <row r="1428" spans="1:16">
      <c r="A1428">
        <v>1427</v>
      </c>
      <c r="B1428" t="s">
        <v>1486</v>
      </c>
      <c r="C1428">
        <v>133</v>
      </c>
      <c r="D1428">
        <v>225</v>
      </c>
      <c r="E1428">
        <v>124.32229427810501</v>
      </c>
      <c r="F1428">
        <v>0.58898275824592305</v>
      </c>
      <c r="G1428">
        <v>12139.1398173913</v>
      </c>
      <c r="H1428">
        <v>1176.5100823051</v>
      </c>
      <c r="I1428">
        <v>0.57172316839557802</v>
      </c>
      <c r="J1428">
        <v>0.110206312474761</v>
      </c>
      <c r="K1428">
        <v>0.58584329787462996</v>
      </c>
      <c r="L1428" t="s">
        <v>49</v>
      </c>
      <c r="M1428" t="s">
        <v>34</v>
      </c>
      <c r="N1428" t="s">
        <v>35</v>
      </c>
      <c r="O1428">
        <v>0.78806369808103505</v>
      </c>
      <c r="P1428" t="s">
        <v>36</v>
      </c>
    </row>
    <row r="1429" spans="1:16">
      <c r="A1429">
        <v>1428</v>
      </c>
      <c r="B1429" t="s">
        <v>1487</v>
      </c>
      <c r="C1429">
        <v>166</v>
      </c>
      <c r="D1429">
        <v>148</v>
      </c>
      <c r="E1429">
        <v>124.394577563268</v>
      </c>
      <c r="F1429">
        <v>1.1189378228062901</v>
      </c>
      <c r="G1429">
        <v>12153.2597625709</v>
      </c>
      <c r="H1429">
        <v>1373.92351237567</v>
      </c>
      <c r="I1429">
        <v>0.71630767238777804</v>
      </c>
      <c r="J1429">
        <v>8.0905404391063501E-2</v>
      </c>
      <c r="K1429">
        <v>0.62914432125077902</v>
      </c>
      <c r="L1429" t="s">
        <v>49</v>
      </c>
      <c r="M1429" t="s">
        <v>34</v>
      </c>
      <c r="N1429" t="s">
        <v>35</v>
      </c>
      <c r="O1429">
        <v>0.75761126843320803</v>
      </c>
      <c r="P1429" t="s">
        <v>36</v>
      </c>
    </row>
    <row r="1430" spans="1:16">
      <c r="A1430">
        <v>1429</v>
      </c>
      <c r="B1430" t="s">
        <v>1488</v>
      </c>
      <c r="C1430">
        <v>166</v>
      </c>
      <c r="D1430">
        <v>156</v>
      </c>
      <c r="E1430">
        <v>124.898631666963</v>
      </c>
      <c r="F1430">
        <v>1.06271777003484</v>
      </c>
      <c r="G1430">
        <v>12251.9507478261</v>
      </c>
      <c r="H1430">
        <v>1577.4839965812</v>
      </c>
      <c r="I1430">
        <v>0.57860024731431703</v>
      </c>
      <c r="J1430">
        <v>6.1870721735821199E-2</v>
      </c>
      <c r="K1430">
        <v>0.53813462505140996</v>
      </c>
      <c r="L1430" t="s">
        <v>41</v>
      </c>
      <c r="M1430" t="s">
        <v>34</v>
      </c>
      <c r="N1430" t="s">
        <v>35</v>
      </c>
      <c r="O1430">
        <v>0.66109480249480002</v>
      </c>
      <c r="P1430" t="s">
        <v>36</v>
      </c>
    </row>
    <row r="1431" spans="1:16">
      <c r="A1431">
        <v>1430</v>
      </c>
      <c r="B1431" t="s">
        <v>1489</v>
      </c>
      <c r="C1431">
        <v>161</v>
      </c>
      <c r="D1431">
        <v>191</v>
      </c>
      <c r="E1431">
        <v>125.205077989264</v>
      </c>
      <c r="F1431">
        <v>0.84571428571428597</v>
      </c>
      <c r="G1431">
        <v>12312.1463035917</v>
      </c>
      <c r="H1431">
        <v>2402.8341931582499</v>
      </c>
      <c r="I1431">
        <v>0.59689033415233295</v>
      </c>
      <c r="J1431">
        <v>2.67976076720443E-2</v>
      </c>
      <c r="K1431">
        <v>0.42412001126385601</v>
      </c>
      <c r="L1431" t="s">
        <v>38</v>
      </c>
      <c r="M1431" t="s">
        <v>34</v>
      </c>
      <c r="N1431" t="s">
        <v>35</v>
      </c>
      <c r="O1431">
        <v>0.92185865442529202</v>
      </c>
      <c r="P1431" t="s">
        <v>36</v>
      </c>
    </row>
    <row r="1432" spans="1:16">
      <c r="A1432">
        <v>1431</v>
      </c>
      <c r="B1432" t="s">
        <v>1490</v>
      </c>
      <c r="C1432">
        <v>221</v>
      </c>
      <c r="D1432">
        <v>147</v>
      </c>
      <c r="E1432">
        <v>125.321406615756</v>
      </c>
      <c r="F1432">
        <v>1.4996395865212899</v>
      </c>
      <c r="G1432">
        <v>12335.0354778828</v>
      </c>
      <c r="H1432">
        <v>1152.6489159663899</v>
      </c>
      <c r="I1432">
        <v>0.58405707679183505</v>
      </c>
      <c r="J1432">
        <v>0.11666918783058999</v>
      </c>
      <c r="K1432">
        <v>0.51554249649020401</v>
      </c>
      <c r="L1432" t="s">
        <v>43</v>
      </c>
      <c r="M1432" t="s">
        <v>34</v>
      </c>
      <c r="N1432" t="s">
        <v>35</v>
      </c>
      <c r="O1432">
        <v>0.76175734666142303</v>
      </c>
      <c r="P1432" t="s">
        <v>36</v>
      </c>
    </row>
    <row r="1433" spans="1:16">
      <c r="A1433">
        <v>1432</v>
      </c>
      <c r="B1433" t="s">
        <v>1491</v>
      </c>
      <c r="C1433">
        <v>121</v>
      </c>
      <c r="D1433">
        <v>151</v>
      </c>
      <c r="E1433">
        <v>125.433855651732</v>
      </c>
      <c r="F1433">
        <v>0.79725443276939401</v>
      </c>
      <c r="G1433">
        <v>12357.1814971645</v>
      </c>
      <c r="H1433">
        <v>549.89138593694395</v>
      </c>
      <c r="I1433">
        <v>0.70466740823450202</v>
      </c>
      <c r="J1433">
        <v>0.51354139498584195</v>
      </c>
      <c r="K1433">
        <v>0.88865611338542305</v>
      </c>
      <c r="L1433" t="s">
        <v>38</v>
      </c>
      <c r="M1433" t="s">
        <v>34</v>
      </c>
      <c r="N1433" t="s">
        <v>35</v>
      </c>
      <c r="O1433">
        <v>0.704476797752837</v>
      </c>
      <c r="P1433" t="s">
        <v>36</v>
      </c>
    </row>
    <row r="1434" spans="1:16">
      <c r="A1434">
        <v>1433</v>
      </c>
      <c r="B1434" t="s">
        <v>1492</v>
      </c>
      <c r="C1434">
        <v>140</v>
      </c>
      <c r="D1434">
        <v>191</v>
      </c>
      <c r="E1434">
        <v>125.611003570216</v>
      </c>
      <c r="F1434">
        <v>0.734359586482625</v>
      </c>
      <c r="G1434">
        <v>12392.109782608701</v>
      </c>
      <c r="H1434">
        <v>853.87529476590805</v>
      </c>
      <c r="I1434">
        <v>0.64351523957047896</v>
      </c>
      <c r="J1434">
        <v>0.21358277247733701</v>
      </c>
      <c r="K1434">
        <v>0.64841386497437403</v>
      </c>
      <c r="L1434" t="s">
        <v>61</v>
      </c>
      <c r="M1434" t="s">
        <v>34</v>
      </c>
      <c r="N1434" t="s">
        <v>35</v>
      </c>
      <c r="O1434">
        <v>0.65608833964660096</v>
      </c>
      <c r="P1434" t="s">
        <v>36</v>
      </c>
    </row>
    <row r="1435" spans="1:16">
      <c r="A1435">
        <v>1434</v>
      </c>
      <c r="B1435" t="s">
        <v>1493</v>
      </c>
      <c r="C1435">
        <v>204</v>
      </c>
      <c r="D1435">
        <v>126</v>
      </c>
      <c r="E1435">
        <v>126.18220476158299</v>
      </c>
      <c r="F1435">
        <v>1.6268274785079999</v>
      </c>
      <c r="G1435">
        <v>12505.0693440454</v>
      </c>
      <c r="H1435">
        <v>868.14496932475504</v>
      </c>
      <c r="I1435">
        <v>0.72064338490068902</v>
      </c>
      <c r="J1435">
        <v>0.20850259400269699</v>
      </c>
      <c r="K1435">
        <v>0.697659955554081</v>
      </c>
      <c r="L1435" t="s">
        <v>1494</v>
      </c>
      <c r="M1435" t="s">
        <v>34</v>
      </c>
      <c r="N1435" t="s">
        <v>35</v>
      </c>
      <c r="O1435">
        <v>0.96196194840026705</v>
      </c>
      <c r="P1435" t="s">
        <v>36</v>
      </c>
    </row>
    <row r="1436" spans="1:16">
      <c r="A1436">
        <v>1435</v>
      </c>
      <c r="B1436" t="s">
        <v>1495</v>
      </c>
      <c r="C1436">
        <v>161</v>
      </c>
      <c r="D1436">
        <v>147</v>
      </c>
      <c r="E1436">
        <v>126.463845099324</v>
      </c>
      <c r="F1436">
        <v>1.1003717472118999</v>
      </c>
      <c r="G1436">
        <v>12560.9546007561</v>
      </c>
      <c r="H1436">
        <v>1643.2061064791701</v>
      </c>
      <c r="I1436">
        <v>0.56659207145818102</v>
      </c>
      <c r="J1436">
        <v>5.84586025823748E-2</v>
      </c>
      <c r="K1436">
        <v>0.58713473856799503</v>
      </c>
      <c r="L1436" t="s">
        <v>38</v>
      </c>
      <c r="M1436" t="s">
        <v>34</v>
      </c>
      <c r="N1436" t="s">
        <v>35</v>
      </c>
      <c r="O1436">
        <v>0.74968061154640198</v>
      </c>
      <c r="P1436" t="s">
        <v>36</v>
      </c>
    </row>
    <row r="1437" spans="1:16">
      <c r="A1437">
        <v>1436</v>
      </c>
      <c r="B1437" t="s">
        <v>1496</v>
      </c>
      <c r="C1437">
        <v>201</v>
      </c>
      <c r="D1437">
        <v>181</v>
      </c>
      <c r="E1437">
        <v>126.764268430486</v>
      </c>
      <c r="F1437">
        <v>1.10843375487431</v>
      </c>
      <c r="G1437">
        <v>12620.7042635161</v>
      </c>
      <c r="H1437">
        <v>1187.2782452441299</v>
      </c>
      <c r="I1437">
        <v>0.57269043587173596</v>
      </c>
      <c r="J1437">
        <v>0.11250930289126899</v>
      </c>
      <c r="K1437">
        <v>0.48804221005017601</v>
      </c>
      <c r="L1437" t="s">
        <v>38</v>
      </c>
      <c r="M1437" t="s">
        <v>34</v>
      </c>
      <c r="N1437" t="s">
        <v>35</v>
      </c>
      <c r="O1437">
        <v>0.71479985113045597</v>
      </c>
      <c r="P1437" t="s">
        <v>36</v>
      </c>
    </row>
    <row r="1438" spans="1:16">
      <c r="A1438">
        <v>1437</v>
      </c>
      <c r="B1438" t="s">
        <v>1497</v>
      </c>
      <c r="C1438">
        <v>191</v>
      </c>
      <c r="D1438">
        <v>166</v>
      </c>
      <c r="E1438">
        <v>127.406071691854</v>
      </c>
      <c r="F1438">
        <v>1.14754098360656</v>
      </c>
      <c r="G1438">
        <v>12748.824187145599</v>
      </c>
      <c r="H1438">
        <v>1786.2712961181401</v>
      </c>
      <c r="I1438">
        <v>0.57307411203132896</v>
      </c>
      <c r="J1438">
        <v>5.0209414493446798E-2</v>
      </c>
      <c r="K1438">
        <v>0.47417271993543197</v>
      </c>
      <c r="L1438" t="s">
        <v>74</v>
      </c>
      <c r="M1438" t="s">
        <v>34</v>
      </c>
      <c r="N1438" t="s">
        <v>35</v>
      </c>
      <c r="O1438">
        <v>0.69716795065966297</v>
      </c>
      <c r="P1438" t="s">
        <v>36</v>
      </c>
    </row>
    <row r="1439" spans="1:16">
      <c r="A1439">
        <v>1438</v>
      </c>
      <c r="B1439" t="s">
        <v>1498</v>
      </c>
      <c r="C1439">
        <v>181</v>
      </c>
      <c r="D1439">
        <v>166</v>
      </c>
      <c r="E1439">
        <v>127.68130720044999</v>
      </c>
      <c r="F1439">
        <v>1.08852460787906</v>
      </c>
      <c r="G1439">
        <v>12803.966288846899</v>
      </c>
      <c r="H1439">
        <v>743.62789431654903</v>
      </c>
      <c r="I1439">
        <v>0.61851117089087204</v>
      </c>
      <c r="J1439">
        <v>0.29096653449743698</v>
      </c>
      <c r="K1439">
        <v>0.63445746396718194</v>
      </c>
      <c r="L1439" t="s">
        <v>43</v>
      </c>
      <c r="M1439" t="s">
        <v>34</v>
      </c>
      <c r="N1439" t="s">
        <v>35</v>
      </c>
      <c r="O1439">
        <v>0.79560796367536102</v>
      </c>
      <c r="P1439" t="s">
        <v>36</v>
      </c>
    </row>
    <row r="1440" spans="1:16">
      <c r="A1440">
        <v>1439</v>
      </c>
      <c r="B1440" t="s">
        <v>1499</v>
      </c>
      <c r="C1440">
        <v>211</v>
      </c>
      <c r="D1440">
        <v>127</v>
      </c>
      <c r="E1440">
        <v>127.759096387223</v>
      </c>
      <c r="F1440">
        <v>1.6618211227849899</v>
      </c>
      <c r="G1440">
        <v>12819.572544045401</v>
      </c>
      <c r="H1440">
        <v>812.53507218578602</v>
      </c>
      <c r="I1440">
        <v>0.61586631025937699</v>
      </c>
      <c r="J1440">
        <v>0.244005253278957</v>
      </c>
      <c r="K1440">
        <v>0.66794963137352104</v>
      </c>
      <c r="L1440" t="s">
        <v>74</v>
      </c>
      <c r="M1440" t="s">
        <v>34</v>
      </c>
      <c r="N1440" t="s">
        <v>35</v>
      </c>
      <c r="O1440">
        <v>0.73780957234217004</v>
      </c>
      <c r="P1440" t="s">
        <v>36</v>
      </c>
    </row>
    <row r="1441" spans="1:16">
      <c r="A1441">
        <v>1440</v>
      </c>
      <c r="B1441" t="s">
        <v>1500</v>
      </c>
      <c r="C1441">
        <v>138</v>
      </c>
      <c r="D1441">
        <v>127</v>
      </c>
      <c r="E1441">
        <v>128.05869775887101</v>
      </c>
      <c r="F1441">
        <v>1.0865188865944699</v>
      </c>
      <c r="G1441">
        <v>12879.768099811001</v>
      </c>
      <c r="H1441">
        <v>555.91584556973498</v>
      </c>
      <c r="I1441">
        <v>0.691321563988058</v>
      </c>
      <c r="J1441">
        <v>0.52372077437456599</v>
      </c>
      <c r="K1441">
        <v>0.91355317533946201</v>
      </c>
      <c r="L1441" t="s">
        <v>47</v>
      </c>
      <c r="M1441" t="s">
        <v>34</v>
      </c>
      <c r="N1441" t="s">
        <v>35</v>
      </c>
      <c r="O1441">
        <v>0.863447798584983</v>
      </c>
      <c r="P1441" t="s">
        <v>36</v>
      </c>
    </row>
    <row r="1442" spans="1:16">
      <c r="A1442">
        <v>1441</v>
      </c>
      <c r="B1442" t="s">
        <v>1501</v>
      </c>
      <c r="C1442">
        <v>120</v>
      </c>
      <c r="D1442">
        <v>184</v>
      </c>
      <c r="E1442">
        <v>128.17538938902501</v>
      </c>
      <c r="F1442">
        <v>0.65449816704601904</v>
      </c>
      <c r="G1442">
        <v>12903.251798109601</v>
      </c>
      <c r="H1442">
        <v>737.13068058324905</v>
      </c>
      <c r="I1442">
        <v>0.64731835480759103</v>
      </c>
      <c r="J1442">
        <v>0.29841459575378299</v>
      </c>
      <c r="K1442">
        <v>0.71749479321630505</v>
      </c>
      <c r="L1442" t="s">
        <v>38</v>
      </c>
      <c r="M1442" t="s">
        <v>34</v>
      </c>
      <c r="N1442" t="s">
        <v>35</v>
      </c>
      <c r="O1442">
        <v>0.78391201710597103</v>
      </c>
      <c r="P1442" t="s">
        <v>36</v>
      </c>
    </row>
    <row r="1443" spans="1:16">
      <c r="A1443">
        <v>1442</v>
      </c>
      <c r="B1443" t="s">
        <v>1502</v>
      </c>
      <c r="C1443">
        <v>122</v>
      </c>
      <c r="D1443">
        <v>206</v>
      </c>
      <c r="E1443">
        <v>128.68742844236399</v>
      </c>
      <c r="F1443">
        <v>0.59416447147836404</v>
      </c>
      <c r="G1443">
        <v>13006.5503444234</v>
      </c>
      <c r="H1443">
        <v>967.42220627857296</v>
      </c>
      <c r="I1443">
        <v>0.69909029212414997</v>
      </c>
      <c r="J1443">
        <v>0.17463845731605199</v>
      </c>
      <c r="K1443">
        <v>0.69373954542932104</v>
      </c>
      <c r="L1443" t="s">
        <v>38</v>
      </c>
      <c r="M1443" t="s">
        <v>34</v>
      </c>
      <c r="N1443" t="s">
        <v>35</v>
      </c>
      <c r="O1443">
        <v>0.66186356446948502</v>
      </c>
      <c r="P1443" t="s">
        <v>36</v>
      </c>
    </row>
    <row r="1444" spans="1:16">
      <c r="A1444">
        <v>1443</v>
      </c>
      <c r="B1444" t="s">
        <v>1503</v>
      </c>
      <c r="C1444">
        <v>153</v>
      </c>
      <c r="D1444">
        <v>169</v>
      </c>
      <c r="E1444">
        <v>129.373821017475</v>
      </c>
      <c r="F1444">
        <v>0.90588482029158202</v>
      </c>
      <c r="G1444">
        <v>13145.6689621928</v>
      </c>
      <c r="H1444">
        <v>815.38129416952995</v>
      </c>
      <c r="I1444">
        <v>0.61372350523835595</v>
      </c>
      <c r="J1444">
        <v>0.24846834520362801</v>
      </c>
      <c r="K1444">
        <v>0.66921656754589098</v>
      </c>
      <c r="L1444" t="s">
        <v>33</v>
      </c>
      <c r="M1444" t="s">
        <v>34</v>
      </c>
      <c r="N1444" t="s">
        <v>35</v>
      </c>
      <c r="O1444">
        <v>0.71104989377994599</v>
      </c>
      <c r="P1444" t="s">
        <v>36</v>
      </c>
    </row>
    <row r="1445" spans="1:16">
      <c r="A1445">
        <v>1444</v>
      </c>
      <c r="B1445" t="s">
        <v>1504</v>
      </c>
      <c r="C1445">
        <v>141</v>
      </c>
      <c r="D1445">
        <v>176</v>
      </c>
      <c r="E1445">
        <v>129.396491813365</v>
      </c>
      <c r="F1445">
        <v>0.79848609451948005</v>
      </c>
      <c r="G1445">
        <v>13150.276523251399</v>
      </c>
      <c r="H1445">
        <v>1004.92368748147</v>
      </c>
      <c r="I1445">
        <v>0.71626096268689499</v>
      </c>
      <c r="J1445">
        <v>0.16363589745711599</v>
      </c>
      <c r="K1445">
        <v>0.70175048977228605</v>
      </c>
      <c r="L1445" t="s">
        <v>298</v>
      </c>
      <c r="M1445" t="s">
        <v>34</v>
      </c>
      <c r="N1445" t="s">
        <v>35</v>
      </c>
      <c r="O1445">
        <v>0.64901360510349504</v>
      </c>
      <c r="P1445" t="s">
        <v>36</v>
      </c>
    </row>
    <row r="1446" spans="1:16">
      <c r="A1446">
        <v>1445</v>
      </c>
      <c r="B1446" t="s">
        <v>1505</v>
      </c>
      <c r="C1446">
        <v>176</v>
      </c>
      <c r="D1446">
        <v>143</v>
      </c>
      <c r="E1446">
        <v>129.660205033697</v>
      </c>
      <c r="F1446">
        <v>1.2328244274809199</v>
      </c>
      <c r="G1446">
        <v>13203.9323149338</v>
      </c>
      <c r="H1446">
        <v>1411.4373331350901</v>
      </c>
      <c r="I1446">
        <v>0.58433854002917396</v>
      </c>
      <c r="J1446">
        <v>8.3289441971586997E-2</v>
      </c>
      <c r="K1446">
        <v>0.59153288365372403</v>
      </c>
      <c r="L1446" t="s">
        <v>74</v>
      </c>
      <c r="M1446" t="s">
        <v>34</v>
      </c>
      <c r="N1446" t="s">
        <v>35</v>
      </c>
      <c r="O1446">
        <v>0.73955924641778004</v>
      </c>
      <c r="P1446" t="s">
        <v>36</v>
      </c>
    </row>
    <row r="1447" spans="1:16">
      <c r="A1447">
        <v>1446</v>
      </c>
      <c r="B1447" t="s">
        <v>1506</v>
      </c>
      <c r="C1447">
        <v>99</v>
      </c>
      <c r="D1447">
        <v>244</v>
      </c>
      <c r="E1447">
        <v>129.670421336359</v>
      </c>
      <c r="F1447">
        <v>0.404190720630414</v>
      </c>
      <c r="G1447">
        <v>13206.013148960301</v>
      </c>
      <c r="H1447">
        <v>872.116002584851</v>
      </c>
      <c r="I1447">
        <v>0.61162531805725695</v>
      </c>
      <c r="J1447">
        <v>0.21818911381325601</v>
      </c>
      <c r="K1447">
        <v>0.67299127431376105</v>
      </c>
      <c r="L1447" t="s">
        <v>331</v>
      </c>
      <c r="M1447" t="s">
        <v>34</v>
      </c>
      <c r="N1447" t="s">
        <v>35</v>
      </c>
      <c r="O1447">
        <v>0.66846946737774005</v>
      </c>
      <c r="P1447" t="s">
        <v>36</v>
      </c>
    </row>
    <row r="1448" spans="1:16">
      <c r="A1448">
        <v>1447</v>
      </c>
      <c r="B1448" t="s">
        <v>1507</v>
      </c>
      <c r="C1448">
        <v>175</v>
      </c>
      <c r="D1448">
        <v>126</v>
      </c>
      <c r="E1448">
        <v>129.763604215984</v>
      </c>
      <c r="F1448">
        <v>1.38235307667704</v>
      </c>
      <c r="G1448">
        <v>13225</v>
      </c>
      <c r="H1448">
        <v>653.55338454246498</v>
      </c>
      <c r="I1448">
        <v>0.73968629995663404</v>
      </c>
      <c r="J1448">
        <v>0.38908403276932901</v>
      </c>
      <c r="K1448">
        <v>0.78138847858197902</v>
      </c>
      <c r="L1448" t="s">
        <v>47</v>
      </c>
      <c r="M1448" t="s">
        <v>34</v>
      </c>
      <c r="N1448" t="s">
        <v>35</v>
      </c>
      <c r="O1448">
        <v>0.91810313492206996</v>
      </c>
      <c r="P1448" t="s">
        <v>36</v>
      </c>
    </row>
    <row r="1449" spans="1:16">
      <c r="A1449">
        <v>1448</v>
      </c>
      <c r="B1449" t="s">
        <v>1508</v>
      </c>
      <c r="C1449">
        <v>144</v>
      </c>
      <c r="D1449">
        <v>139</v>
      </c>
      <c r="E1449">
        <v>130.09950891335501</v>
      </c>
      <c r="F1449">
        <v>1.0312541504802299</v>
      </c>
      <c r="G1449">
        <v>13293.5568090737</v>
      </c>
      <c r="H1449">
        <v>833.91251569561302</v>
      </c>
      <c r="I1449">
        <v>0.729150728432163</v>
      </c>
      <c r="J1449">
        <v>0.240220505180057</v>
      </c>
      <c r="K1449">
        <v>0.78155174372373104</v>
      </c>
      <c r="L1449" t="s">
        <v>298</v>
      </c>
      <c r="M1449" t="s">
        <v>34</v>
      </c>
      <c r="N1449" t="s">
        <v>35</v>
      </c>
      <c r="O1449">
        <v>0.67228118820963401</v>
      </c>
      <c r="P1449" t="s">
        <v>36</v>
      </c>
    </row>
    <row r="1450" spans="1:16">
      <c r="A1450">
        <v>1449</v>
      </c>
      <c r="B1450" t="s">
        <v>1509</v>
      </c>
      <c r="C1450">
        <v>125</v>
      </c>
      <c r="D1450">
        <v>207</v>
      </c>
      <c r="E1450">
        <v>130.33131126005199</v>
      </c>
      <c r="F1450">
        <v>0.60235288573492696</v>
      </c>
      <c r="G1450">
        <v>13340.9700986768</v>
      </c>
      <c r="H1450">
        <v>935.32912025648602</v>
      </c>
      <c r="I1450">
        <v>0.64974497349762395</v>
      </c>
      <c r="J1450">
        <v>0.191632146092857</v>
      </c>
      <c r="K1450">
        <v>0.69822563456317599</v>
      </c>
      <c r="L1450" t="s">
        <v>49</v>
      </c>
      <c r="M1450" t="s">
        <v>34</v>
      </c>
      <c r="N1450" t="s">
        <v>35</v>
      </c>
      <c r="O1450">
        <v>0.86062356647796801</v>
      </c>
      <c r="P1450" t="s">
        <v>36</v>
      </c>
    </row>
    <row r="1451" spans="1:16">
      <c r="A1451">
        <v>1450</v>
      </c>
      <c r="B1451" t="s">
        <v>1510</v>
      </c>
      <c r="C1451">
        <v>171</v>
      </c>
      <c r="D1451">
        <v>208</v>
      </c>
      <c r="E1451">
        <v>130.76257186950301</v>
      </c>
      <c r="F1451">
        <v>0.82414695345611999</v>
      </c>
      <c r="G1451">
        <v>13429.405544801501</v>
      </c>
      <c r="H1451">
        <v>1572.0772176305099</v>
      </c>
      <c r="I1451">
        <v>0.66005289076410201</v>
      </c>
      <c r="J1451">
        <v>6.8283992346276495E-2</v>
      </c>
      <c r="K1451">
        <v>0.482781467569315</v>
      </c>
      <c r="L1451" t="s">
        <v>41</v>
      </c>
      <c r="M1451" t="s">
        <v>34</v>
      </c>
      <c r="N1451" t="s">
        <v>35</v>
      </c>
      <c r="O1451">
        <v>0.65316032082209297</v>
      </c>
      <c r="P1451" t="s">
        <v>36</v>
      </c>
    </row>
    <row r="1452" spans="1:16">
      <c r="A1452">
        <v>1451</v>
      </c>
      <c r="B1452" t="s">
        <v>1511</v>
      </c>
      <c r="C1452">
        <v>164</v>
      </c>
      <c r="D1452">
        <v>140</v>
      </c>
      <c r="E1452">
        <v>131.198905844949</v>
      </c>
      <c r="F1452">
        <v>1.1712062256809299</v>
      </c>
      <c r="G1452">
        <v>13519.1786699433</v>
      </c>
      <c r="H1452">
        <v>709.49563285060594</v>
      </c>
      <c r="I1452">
        <v>0.61200524032208004</v>
      </c>
      <c r="J1452">
        <v>0.337489852021086</v>
      </c>
      <c r="K1452">
        <v>0.76145429583183299</v>
      </c>
      <c r="L1452" t="s">
        <v>38</v>
      </c>
      <c r="M1452" t="s">
        <v>34</v>
      </c>
      <c r="N1452" t="s">
        <v>35</v>
      </c>
      <c r="O1452">
        <v>0.74163841882075998</v>
      </c>
      <c r="P1452" t="s">
        <v>36</v>
      </c>
    </row>
    <row r="1453" spans="1:16">
      <c r="A1453">
        <v>1452</v>
      </c>
      <c r="B1453" t="s">
        <v>1512</v>
      </c>
      <c r="C1453">
        <v>117</v>
      </c>
      <c r="D1453">
        <v>260</v>
      </c>
      <c r="E1453">
        <v>131.325776753415</v>
      </c>
      <c r="F1453">
        <v>0.45168067226890801</v>
      </c>
      <c r="G1453">
        <v>13545.337726276</v>
      </c>
      <c r="H1453">
        <v>1765.54458869623</v>
      </c>
      <c r="I1453">
        <v>0.77931170924568605</v>
      </c>
      <c r="J1453">
        <v>5.4606246042126397E-2</v>
      </c>
      <c r="K1453">
        <v>0.59536299674011794</v>
      </c>
      <c r="L1453" t="s">
        <v>41</v>
      </c>
      <c r="M1453" t="s">
        <v>34</v>
      </c>
      <c r="N1453" t="s">
        <v>35</v>
      </c>
      <c r="O1453">
        <v>0.71344614705912002</v>
      </c>
      <c r="P1453" t="s">
        <v>36</v>
      </c>
    </row>
    <row r="1454" spans="1:16">
      <c r="A1454">
        <v>1453</v>
      </c>
      <c r="B1454" t="s">
        <v>1513</v>
      </c>
      <c r="C1454">
        <v>194</v>
      </c>
      <c r="D1454">
        <v>146</v>
      </c>
      <c r="E1454">
        <v>133.18876856264399</v>
      </c>
      <c r="F1454">
        <v>1.32672205778814</v>
      </c>
      <c r="G1454">
        <v>13932.3728551985</v>
      </c>
      <c r="H1454">
        <v>749.87381952679698</v>
      </c>
      <c r="I1454">
        <v>0.59424829256635903</v>
      </c>
      <c r="J1454">
        <v>0.31135695400938002</v>
      </c>
      <c r="K1454">
        <v>0.70178932394998905</v>
      </c>
      <c r="L1454" t="s">
        <v>74</v>
      </c>
      <c r="M1454" t="s">
        <v>34</v>
      </c>
      <c r="N1454" t="s">
        <v>35</v>
      </c>
      <c r="O1454">
        <v>0.68764522817886198</v>
      </c>
      <c r="P1454" t="s">
        <v>36</v>
      </c>
    </row>
    <row r="1455" spans="1:16">
      <c r="A1455">
        <v>1454</v>
      </c>
      <c r="B1455" t="s">
        <v>1514</v>
      </c>
      <c r="C1455">
        <v>182</v>
      </c>
      <c r="D1455">
        <v>152</v>
      </c>
      <c r="E1455">
        <v>133.55839024964499</v>
      </c>
      <c r="F1455">
        <v>1.1970071232844299</v>
      </c>
      <c r="G1455">
        <v>14009.809607183401</v>
      </c>
      <c r="H1455">
        <v>1236.16395383804</v>
      </c>
      <c r="I1455">
        <v>0.68611449833319205</v>
      </c>
      <c r="J1455">
        <v>0.115209938874955</v>
      </c>
      <c r="K1455">
        <v>0.65878529493989402</v>
      </c>
      <c r="L1455" t="s">
        <v>33</v>
      </c>
      <c r="M1455" t="s">
        <v>34</v>
      </c>
      <c r="N1455" t="s">
        <v>35</v>
      </c>
      <c r="O1455">
        <v>0.66162570281758903</v>
      </c>
      <c r="P1455" t="s">
        <v>36</v>
      </c>
    </row>
    <row r="1456" spans="1:16">
      <c r="A1456">
        <v>1455</v>
      </c>
      <c r="B1456" t="s">
        <v>1515</v>
      </c>
      <c r="C1456">
        <v>194</v>
      </c>
      <c r="D1456">
        <v>115</v>
      </c>
      <c r="E1456">
        <v>134.527595925376</v>
      </c>
      <c r="F1456">
        <v>1.68775749212194</v>
      </c>
      <c r="G1456">
        <v>14213.879972778799</v>
      </c>
      <c r="H1456">
        <v>710.99006874623501</v>
      </c>
      <c r="I1456">
        <v>0.57067017125453301</v>
      </c>
      <c r="J1456">
        <v>0.35334214316450202</v>
      </c>
      <c r="K1456">
        <v>0.83967267235626697</v>
      </c>
      <c r="L1456" t="s">
        <v>33</v>
      </c>
      <c r="M1456" t="s">
        <v>34</v>
      </c>
      <c r="N1456" t="s">
        <v>35</v>
      </c>
      <c r="O1456">
        <v>0.75800766721440005</v>
      </c>
      <c r="P1456" t="s">
        <v>36</v>
      </c>
    </row>
    <row r="1457" spans="1:16">
      <c r="A1457">
        <v>1456</v>
      </c>
      <c r="B1457" t="s">
        <v>1516</v>
      </c>
      <c r="C1457">
        <v>160</v>
      </c>
      <c r="D1457">
        <v>206</v>
      </c>
      <c r="E1457">
        <v>135.44376875840399</v>
      </c>
      <c r="F1457">
        <v>0.77592073486756197</v>
      </c>
      <c r="G1457">
        <v>14408.140692249501</v>
      </c>
      <c r="H1457">
        <v>789.22966386390794</v>
      </c>
      <c r="I1457">
        <v>0.63845349185532996</v>
      </c>
      <c r="J1457">
        <v>0.29067722415918801</v>
      </c>
      <c r="K1457">
        <v>0.65112170875873199</v>
      </c>
      <c r="L1457" t="s">
        <v>61</v>
      </c>
      <c r="M1457" t="s">
        <v>34</v>
      </c>
      <c r="N1457" t="s">
        <v>35</v>
      </c>
      <c r="O1457">
        <v>0.78603031024730396</v>
      </c>
      <c r="P1457" t="s">
        <v>36</v>
      </c>
    </row>
    <row r="1458" spans="1:16">
      <c r="A1458">
        <v>1457</v>
      </c>
      <c r="B1458" t="s">
        <v>1517</v>
      </c>
      <c r="C1458">
        <v>176</v>
      </c>
      <c r="D1458">
        <v>230</v>
      </c>
      <c r="E1458">
        <v>135.88805025883599</v>
      </c>
      <c r="F1458">
        <v>0.76540284360189603</v>
      </c>
      <c r="G1458">
        <v>14502.818640453699</v>
      </c>
      <c r="H1458">
        <v>1397.9419448525</v>
      </c>
      <c r="I1458">
        <v>0.57820621870595201</v>
      </c>
      <c r="J1458">
        <v>9.3257551378661596E-2</v>
      </c>
      <c r="K1458">
        <v>0.52336127783052</v>
      </c>
      <c r="L1458" t="s">
        <v>41</v>
      </c>
      <c r="M1458" t="s">
        <v>34</v>
      </c>
      <c r="N1458" t="s">
        <v>35</v>
      </c>
      <c r="O1458">
        <v>0.69743517006664701</v>
      </c>
      <c r="P1458" t="s">
        <v>36</v>
      </c>
    </row>
    <row r="1459" spans="1:16">
      <c r="A1459">
        <v>1458</v>
      </c>
      <c r="B1459" t="s">
        <v>1518</v>
      </c>
      <c r="C1459">
        <v>160</v>
      </c>
      <c r="D1459">
        <v>249</v>
      </c>
      <c r="E1459">
        <v>136.197559742945</v>
      </c>
      <c r="F1459">
        <v>0.64408998048108701</v>
      </c>
      <c r="G1459">
        <v>14568.959436294899</v>
      </c>
      <c r="H1459">
        <v>1644.63766402338</v>
      </c>
      <c r="I1459">
        <v>0.67867729079677097</v>
      </c>
      <c r="J1459">
        <v>6.7685857364807006E-2</v>
      </c>
      <c r="K1459">
        <v>0.45859065049779202</v>
      </c>
      <c r="L1459" t="s">
        <v>33</v>
      </c>
      <c r="M1459" t="s">
        <v>34</v>
      </c>
      <c r="N1459" t="s">
        <v>35</v>
      </c>
      <c r="O1459">
        <v>0.71416579601893204</v>
      </c>
      <c r="P1459" t="s">
        <v>36</v>
      </c>
    </row>
    <row r="1460" spans="1:16">
      <c r="A1460">
        <v>1459</v>
      </c>
      <c r="B1460" t="s">
        <v>1519</v>
      </c>
      <c r="C1460">
        <v>133</v>
      </c>
      <c r="D1460">
        <v>240</v>
      </c>
      <c r="E1460">
        <v>136.23368125808901</v>
      </c>
      <c r="F1460">
        <v>0.55396451361264498</v>
      </c>
      <c r="G1460">
        <v>14576.6882483932</v>
      </c>
      <c r="H1460">
        <v>1074.1697113382299</v>
      </c>
      <c r="I1460">
        <v>0.61718907531290501</v>
      </c>
      <c r="J1460">
        <v>0.158753359709565</v>
      </c>
      <c r="K1460">
        <v>0.63802671211933903</v>
      </c>
      <c r="L1460" t="s">
        <v>38</v>
      </c>
      <c r="M1460" t="s">
        <v>34</v>
      </c>
      <c r="N1460" t="s">
        <v>35</v>
      </c>
      <c r="O1460">
        <v>0.70587849130052005</v>
      </c>
      <c r="P1460" t="s">
        <v>36</v>
      </c>
    </row>
    <row r="1461" spans="1:16">
      <c r="A1461">
        <v>1460</v>
      </c>
      <c r="B1461" t="s">
        <v>1520</v>
      </c>
      <c r="C1461">
        <v>163</v>
      </c>
      <c r="D1461">
        <v>236</v>
      </c>
      <c r="E1461">
        <v>136.28715130215801</v>
      </c>
      <c r="F1461">
        <v>0.69053117782909901</v>
      </c>
      <c r="G1461">
        <v>14588.1328355388</v>
      </c>
      <c r="H1461">
        <v>1076.67547110433</v>
      </c>
      <c r="I1461">
        <v>0.63732543723218404</v>
      </c>
      <c r="J1461">
        <v>0.15813934482444</v>
      </c>
      <c r="K1461">
        <v>0.50806748005776903</v>
      </c>
      <c r="L1461" t="s">
        <v>288</v>
      </c>
      <c r="M1461" t="s">
        <v>34</v>
      </c>
      <c r="N1461" t="s">
        <v>35</v>
      </c>
      <c r="O1461">
        <v>0.69102750088436105</v>
      </c>
      <c r="P1461" t="s">
        <v>36</v>
      </c>
    </row>
    <row r="1462" spans="1:16">
      <c r="A1462">
        <v>1461</v>
      </c>
      <c r="B1462" t="s">
        <v>1521</v>
      </c>
      <c r="C1462">
        <v>162</v>
      </c>
      <c r="D1462">
        <v>124</v>
      </c>
      <c r="E1462">
        <v>136.62761748206299</v>
      </c>
      <c r="F1462">
        <v>1.30737362029878</v>
      </c>
      <c r="G1462">
        <v>14661.110657466899</v>
      </c>
      <c r="H1462">
        <v>695.73566080228102</v>
      </c>
      <c r="I1462">
        <v>0.66813348975529796</v>
      </c>
      <c r="J1462">
        <v>0.38061702224079103</v>
      </c>
      <c r="K1462">
        <v>0.84450018834971396</v>
      </c>
      <c r="L1462" t="s">
        <v>33</v>
      </c>
      <c r="M1462" t="s">
        <v>34</v>
      </c>
      <c r="N1462" t="s">
        <v>35</v>
      </c>
      <c r="O1462">
        <v>0.67225207183894897</v>
      </c>
      <c r="P1462" t="s">
        <v>36</v>
      </c>
    </row>
    <row r="1463" spans="1:16">
      <c r="A1463">
        <v>1462</v>
      </c>
      <c r="B1463" t="s">
        <v>1522</v>
      </c>
      <c r="C1463">
        <v>127</v>
      </c>
      <c r="D1463">
        <v>243</v>
      </c>
      <c r="E1463">
        <v>136.80133705117501</v>
      </c>
      <c r="F1463">
        <v>0.52207568221662304</v>
      </c>
      <c r="G1463">
        <v>14698.417038941399</v>
      </c>
      <c r="H1463">
        <v>1039.56307954166</v>
      </c>
      <c r="I1463">
        <v>0.56439126939009499</v>
      </c>
      <c r="J1463">
        <v>0.17091443179824101</v>
      </c>
      <c r="K1463">
        <v>0.65675804909148905</v>
      </c>
      <c r="L1463" t="s">
        <v>61</v>
      </c>
      <c r="M1463" t="s">
        <v>34</v>
      </c>
      <c r="N1463" t="s">
        <v>35</v>
      </c>
      <c r="O1463">
        <v>0.69738480978894402</v>
      </c>
      <c r="P1463" t="s">
        <v>36</v>
      </c>
    </row>
    <row r="1464" spans="1:16">
      <c r="A1464">
        <v>1463</v>
      </c>
      <c r="B1464" t="s">
        <v>1523</v>
      </c>
      <c r="C1464">
        <v>190</v>
      </c>
      <c r="D1464">
        <v>147</v>
      </c>
      <c r="E1464">
        <v>137.597897269154</v>
      </c>
      <c r="F1464">
        <v>1.2868797726985299</v>
      </c>
      <c r="G1464">
        <v>14870.085846124801</v>
      </c>
      <c r="H1464">
        <v>909.30037959523804</v>
      </c>
      <c r="I1464">
        <v>0.62591426113472404</v>
      </c>
      <c r="J1464">
        <v>0.22600008109880801</v>
      </c>
      <c r="K1464">
        <v>0.67189378320114401</v>
      </c>
      <c r="L1464" t="s">
        <v>38</v>
      </c>
      <c r="M1464" t="s">
        <v>34</v>
      </c>
      <c r="N1464" t="s">
        <v>35</v>
      </c>
      <c r="O1464">
        <v>0.75491600834883099</v>
      </c>
      <c r="P1464" t="s">
        <v>36</v>
      </c>
    </row>
    <row r="1465" spans="1:16">
      <c r="A1465">
        <v>1464</v>
      </c>
      <c r="B1465" t="s">
        <v>1524</v>
      </c>
      <c r="C1465">
        <v>154</v>
      </c>
      <c r="D1465">
        <v>215</v>
      </c>
      <c r="E1465">
        <v>137.71887335390301</v>
      </c>
      <c r="F1465">
        <v>0.71585895084354201</v>
      </c>
      <c r="G1465">
        <v>14896.2449024575</v>
      </c>
      <c r="H1465">
        <v>1061.9103449638001</v>
      </c>
      <c r="I1465">
        <v>0.59398214192294696</v>
      </c>
      <c r="J1465">
        <v>0.16600109945423999</v>
      </c>
      <c r="K1465">
        <v>0.61374297296966296</v>
      </c>
      <c r="L1465" t="s">
        <v>33</v>
      </c>
      <c r="M1465" t="s">
        <v>34</v>
      </c>
      <c r="N1465" t="s">
        <v>35</v>
      </c>
      <c r="O1465">
        <v>0.77134299666608697</v>
      </c>
      <c r="P1465" t="s">
        <v>36</v>
      </c>
    </row>
    <row r="1466" spans="1:16">
      <c r="A1466">
        <v>1465</v>
      </c>
      <c r="B1466" t="s">
        <v>1525</v>
      </c>
      <c r="C1466">
        <v>233</v>
      </c>
      <c r="D1466">
        <v>174</v>
      </c>
      <c r="E1466">
        <v>137.77657449247201</v>
      </c>
      <c r="F1466">
        <v>1.3404011097219699</v>
      </c>
      <c r="G1466">
        <v>14908.7299066163</v>
      </c>
      <c r="H1466">
        <v>1298.40629391121</v>
      </c>
      <c r="I1466">
        <v>0.61100343401027202</v>
      </c>
      <c r="J1466">
        <v>0.11112948120617901</v>
      </c>
      <c r="K1466">
        <v>0.55623208175985495</v>
      </c>
      <c r="L1466" t="s">
        <v>38</v>
      </c>
      <c r="M1466" t="s">
        <v>34</v>
      </c>
      <c r="N1466" t="s">
        <v>35</v>
      </c>
      <c r="O1466">
        <v>0.68619409055337299</v>
      </c>
      <c r="P1466" t="s">
        <v>36</v>
      </c>
    </row>
    <row r="1467" spans="1:16">
      <c r="A1467">
        <v>1466</v>
      </c>
      <c r="B1467" t="s">
        <v>1526</v>
      </c>
      <c r="C1467">
        <v>176</v>
      </c>
      <c r="D1467">
        <v>196</v>
      </c>
      <c r="E1467">
        <v>138.33653133933899</v>
      </c>
      <c r="F1467">
        <v>0.89972143141917005</v>
      </c>
      <c r="G1467">
        <v>15030.1614351607</v>
      </c>
      <c r="H1467">
        <v>2389.9321718464698</v>
      </c>
      <c r="I1467">
        <v>0.62535472372149803</v>
      </c>
      <c r="J1467">
        <v>3.3067575840413303E-2</v>
      </c>
      <c r="K1467">
        <v>0.465687312917338</v>
      </c>
      <c r="L1467" t="s">
        <v>38</v>
      </c>
      <c r="M1467" t="s">
        <v>34</v>
      </c>
      <c r="N1467" t="s">
        <v>35</v>
      </c>
      <c r="O1467">
        <v>0.74718624893142604</v>
      </c>
      <c r="P1467" t="s">
        <v>36</v>
      </c>
    </row>
    <row r="1468" spans="1:16">
      <c r="A1468">
        <v>1467</v>
      </c>
      <c r="B1468" t="s">
        <v>1527</v>
      </c>
      <c r="C1468">
        <v>246</v>
      </c>
      <c r="D1468">
        <v>125</v>
      </c>
      <c r="E1468">
        <v>138.77700657393299</v>
      </c>
      <c r="F1468">
        <v>1.97168262945869</v>
      </c>
      <c r="G1468">
        <v>15126.02843138</v>
      </c>
      <c r="H1468">
        <v>861.340053637442</v>
      </c>
      <c r="I1468">
        <v>0.55461407832523202</v>
      </c>
      <c r="J1468">
        <v>0.25620375482046498</v>
      </c>
      <c r="K1468">
        <v>0.686107815112453</v>
      </c>
      <c r="L1468" t="s">
        <v>43</v>
      </c>
      <c r="M1468" t="s">
        <v>34</v>
      </c>
      <c r="N1468" t="s">
        <v>35</v>
      </c>
      <c r="O1468">
        <v>0.749012183596095</v>
      </c>
      <c r="P1468" t="s">
        <v>36</v>
      </c>
    </row>
    <row r="1469" spans="1:16">
      <c r="A1469">
        <v>1468</v>
      </c>
      <c r="B1469" t="s">
        <v>1528</v>
      </c>
      <c r="C1469">
        <v>208</v>
      </c>
      <c r="D1469">
        <v>187</v>
      </c>
      <c r="E1469">
        <v>138.81109356632999</v>
      </c>
      <c r="F1469">
        <v>1.11206417224826</v>
      </c>
      <c r="G1469">
        <v>15133.4599814745</v>
      </c>
      <c r="H1469">
        <v>1261.39020150755</v>
      </c>
      <c r="I1469">
        <v>0.57862924944813898</v>
      </c>
      <c r="J1469">
        <v>0.11952236845747</v>
      </c>
      <c r="K1469">
        <v>0.55349347945443805</v>
      </c>
      <c r="L1469" t="s">
        <v>49</v>
      </c>
      <c r="M1469" t="s">
        <v>34</v>
      </c>
      <c r="N1469" t="s">
        <v>35</v>
      </c>
      <c r="O1469">
        <v>0.65700312320006204</v>
      </c>
      <c r="P1469" t="s">
        <v>36</v>
      </c>
    </row>
    <row r="1470" spans="1:16">
      <c r="A1470">
        <v>1469</v>
      </c>
      <c r="B1470" t="s">
        <v>1529</v>
      </c>
      <c r="C1470">
        <v>176</v>
      </c>
      <c r="D1470">
        <v>196</v>
      </c>
      <c r="E1470">
        <v>139.505328452047</v>
      </c>
      <c r="F1470">
        <v>0.89972143141917005</v>
      </c>
      <c r="G1470">
        <v>15285.2122344045</v>
      </c>
      <c r="H1470">
        <v>1697.8779862833001</v>
      </c>
      <c r="I1470">
        <v>0.59614635855588005</v>
      </c>
      <c r="J1470">
        <v>6.6629780440808195E-2</v>
      </c>
      <c r="K1470">
        <v>0.53473655749042004</v>
      </c>
      <c r="L1470" t="s">
        <v>33</v>
      </c>
      <c r="M1470" t="s">
        <v>34</v>
      </c>
      <c r="N1470" t="s">
        <v>35</v>
      </c>
      <c r="O1470">
        <v>0.78072855377721795</v>
      </c>
      <c r="P1470" t="s">
        <v>36</v>
      </c>
    </row>
    <row r="1471" spans="1:16">
      <c r="A1471">
        <v>1470</v>
      </c>
      <c r="B1471" t="s">
        <v>1530</v>
      </c>
      <c r="C1471">
        <v>235</v>
      </c>
      <c r="D1471">
        <v>151</v>
      </c>
      <c r="E1471">
        <v>139.84404921591701</v>
      </c>
      <c r="F1471">
        <v>1.55595667870036</v>
      </c>
      <c r="G1471">
        <v>15359.5277353497</v>
      </c>
      <c r="H1471">
        <v>1064.8035781400099</v>
      </c>
      <c r="I1471">
        <v>0.60968583349586403</v>
      </c>
      <c r="J1471">
        <v>0.17023494815294901</v>
      </c>
      <c r="K1471">
        <v>0.62983391741581596</v>
      </c>
      <c r="L1471" t="s">
        <v>33</v>
      </c>
      <c r="M1471" t="s">
        <v>34</v>
      </c>
      <c r="N1471" t="s">
        <v>35</v>
      </c>
      <c r="O1471">
        <v>0.72592219595706398</v>
      </c>
      <c r="P1471" t="s">
        <v>36</v>
      </c>
    </row>
    <row r="1472" spans="1:16">
      <c r="A1472">
        <v>1471</v>
      </c>
      <c r="B1472" t="s">
        <v>1531</v>
      </c>
      <c r="C1472">
        <v>139</v>
      </c>
      <c r="D1472">
        <v>238</v>
      </c>
      <c r="E1472">
        <v>139.867728949623</v>
      </c>
      <c r="F1472">
        <v>0.58612488104951099</v>
      </c>
      <c r="G1472">
        <v>15364.7298204159</v>
      </c>
      <c r="H1472">
        <v>1030.3331312304999</v>
      </c>
      <c r="I1472">
        <v>0.68093475463535402</v>
      </c>
      <c r="J1472">
        <v>0.18187770335929701</v>
      </c>
      <c r="K1472">
        <v>0.63178384589057801</v>
      </c>
      <c r="L1472" t="s">
        <v>47</v>
      </c>
      <c r="M1472" t="s">
        <v>34</v>
      </c>
      <c r="N1472" t="s">
        <v>35</v>
      </c>
      <c r="O1472">
        <v>0.854278912139251</v>
      </c>
      <c r="P1472" t="s">
        <v>36</v>
      </c>
    </row>
    <row r="1473" spans="1:16">
      <c r="A1473">
        <v>1472</v>
      </c>
      <c r="B1473" t="s">
        <v>1532</v>
      </c>
      <c r="C1473">
        <v>243</v>
      </c>
      <c r="D1473">
        <v>179</v>
      </c>
      <c r="E1473">
        <v>140.45303545706801</v>
      </c>
      <c r="F1473">
        <v>1.35617529717515</v>
      </c>
      <c r="G1473">
        <v>15493.5928990548</v>
      </c>
      <c r="H1473">
        <v>1186.10091354101</v>
      </c>
      <c r="I1473">
        <v>0.65840819209923696</v>
      </c>
      <c r="J1473">
        <v>0.138394465824766</v>
      </c>
      <c r="K1473">
        <v>0.50700868668592702</v>
      </c>
      <c r="L1473" t="s">
        <v>38</v>
      </c>
      <c r="M1473" t="s">
        <v>34</v>
      </c>
      <c r="N1473" t="s">
        <v>35</v>
      </c>
      <c r="O1473">
        <v>0.72805552624794501</v>
      </c>
      <c r="P1473" t="s">
        <v>36</v>
      </c>
    </row>
    <row r="1474" spans="1:16">
      <c r="A1474">
        <v>1473</v>
      </c>
      <c r="B1474" t="s">
        <v>1533</v>
      </c>
      <c r="C1474">
        <v>288</v>
      </c>
      <c r="D1474">
        <v>200</v>
      </c>
      <c r="E1474">
        <v>140.62808508648399</v>
      </c>
      <c r="F1474">
        <v>1.43798908090719</v>
      </c>
      <c r="G1474">
        <v>15532.236959546301</v>
      </c>
      <c r="H1474">
        <v>1408.08691787512</v>
      </c>
      <c r="I1474">
        <v>0.56734015581379005</v>
      </c>
      <c r="J1474">
        <v>9.8443023617603098E-2</v>
      </c>
      <c r="K1474">
        <v>0.366541214929341</v>
      </c>
      <c r="L1474" t="s">
        <v>33</v>
      </c>
      <c r="M1474" t="s">
        <v>34</v>
      </c>
      <c r="N1474" t="s">
        <v>35</v>
      </c>
      <c r="O1474">
        <v>0.64902880421287501</v>
      </c>
      <c r="P1474" t="s">
        <v>36</v>
      </c>
    </row>
    <row r="1475" spans="1:16">
      <c r="A1475">
        <v>1474</v>
      </c>
      <c r="B1475" t="s">
        <v>1534</v>
      </c>
      <c r="C1475">
        <v>219</v>
      </c>
      <c r="D1475">
        <v>161</v>
      </c>
      <c r="E1475">
        <v>141.381005847008</v>
      </c>
      <c r="F1475">
        <v>1.36108774044356</v>
      </c>
      <c r="G1475">
        <v>15699.000943667301</v>
      </c>
      <c r="H1475">
        <v>1159.30501206792</v>
      </c>
      <c r="I1475">
        <v>0.574740933484153</v>
      </c>
      <c r="J1475">
        <v>0.146786614046504</v>
      </c>
      <c r="K1475">
        <v>0.622702243812713</v>
      </c>
      <c r="L1475" t="s">
        <v>33</v>
      </c>
      <c r="M1475" t="s">
        <v>34</v>
      </c>
      <c r="N1475" t="s">
        <v>35</v>
      </c>
      <c r="O1475">
        <v>0.726583594438724</v>
      </c>
      <c r="P1475" t="s">
        <v>36</v>
      </c>
    </row>
    <row r="1476" spans="1:16">
      <c r="A1476">
        <v>1475</v>
      </c>
      <c r="B1476" t="s">
        <v>1535</v>
      </c>
      <c r="C1476">
        <v>186</v>
      </c>
      <c r="D1476">
        <v>215</v>
      </c>
      <c r="E1476">
        <v>141.88406779763801</v>
      </c>
      <c r="F1476">
        <v>0.86329111811633397</v>
      </c>
      <c r="G1476">
        <v>15810.920088090699</v>
      </c>
      <c r="H1476">
        <v>2720.39098495183</v>
      </c>
      <c r="I1476">
        <v>0.64511383028802505</v>
      </c>
      <c r="J1476">
        <v>2.6847531074570202E-2</v>
      </c>
      <c r="K1476">
        <v>0.41009182800175797</v>
      </c>
      <c r="L1476" t="s">
        <v>33</v>
      </c>
      <c r="M1476" t="s">
        <v>34</v>
      </c>
      <c r="N1476" t="s">
        <v>35</v>
      </c>
      <c r="O1476">
        <v>0.73002611739096501</v>
      </c>
      <c r="P1476" t="s">
        <v>36</v>
      </c>
    </row>
    <row r="1477" spans="1:16">
      <c r="A1477">
        <v>1476</v>
      </c>
      <c r="B1477" t="s">
        <v>1536</v>
      </c>
      <c r="C1477">
        <v>152</v>
      </c>
      <c r="D1477">
        <v>245</v>
      </c>
      <c r="E1477">
        <v>142.798100967512</v>
      </c>
      <c r="F1477">
        <v>0.61915362306232002</v>
      </c>
      <c r="G1477">
        <v>16015.287715689999</v>
      </c>
      <c r="H1477">
        <v>1557.5140920464901</v>
      </c>
      <c r="I1477">
        <v>0.63033728666516897</v>
      </c>
      <c r="J1477">
        <v>8.2962272499064196E-2</v>
      </c>
      <c r="K1477">
        <v>0.48664956462044301</v>
      </c>
      <c r="L1477" t="s">
        <v>33</v>
      </c>
      <c r="M1477" t="s">
        <v>34</v>
      </c>
      <c r="N1477" t="s">
        <v>35</v>
      </c>
      <c r="O1477">
        <v>0.67807213069474903</v>
      </c>
      <c r="P1477" t="s">
        <v>36</v>
      </c>
    </row>
    <row r="1478" spans="1:16">
      <c r="A1478">
        <v>1477</v>
      </c>
      <c r="B1478" t="s">
        <v>1537</v>
      </c>
      <c r="C1478">
        <v>181</v>
      </c>
      <c r="D1478">
        <v>208</v>
      </c>
      <c r="E1478">
        <v>142.87362012287099</v>
      </c>
      <c r="F1478">
        <v>0.87139105551268503</v>
      </c>
      <c r="G1478">
        <v>16032.2316499055</v>
      </c>
      <c r="H1478">
        <v>2181.75542752722</v>
      </c>
      <c r="I1478">
        <v>0.58729169359612698</v>
      </c>
      <c r="J1478">
        <v>4.2324488017196203E-2</v>
      </c>
      <c r="K1478">
        <v>0.48399269519489202</v>
      </c>
      <c r="L1478" t="s">
        <v>144</v>
      </c>
      <c r="M1478" t="s">
        <v>34</v>
      </c>
      <c r="N1478" t="s">
        <v>35</v>
      </c>
      <c r="O1478">
        <v>0.76088900092619904</v>
      </c>
      <c r="P1478" t="s">
        <v>36</v>
      </c>
    </row>
    <row r="1479" spans="1:16">
      <c r="A1479">
        <v>1478</v>
      </c>
      <c r="B1479" t="s">
        <v>1538</v>
      </c>
      <c r="C1479">
        <v>198</v>
      </c>
      <c r="D1479">
        <v>191</v>
      </c>
      <c r="E1479">
        <v>143.058275145186</v>
      </c>
      <c r="F1479">
        <v>1.03714285714286</v>
      </c>
      <c r="G1479">
        <v>16073.6996994329</v>
      </c>
      <c r="H1479">
        <v>1277.17216075286</v>
      </c>
      <c r="I1479">
        <v>0.55433401169186802</v>
      </c>
      <c r="J1479">
        <v>0.12383027216909601</v>
      </c>
      <c r="K1479">
        <v>0.56494415596627401</v>
      </c>
      <c r="L1479" t="s">
        <v>38</v>
      </c>
      <c r="M1479" t="s">
        <v>34</v>
      </c>
      <c r="N1479" t="s">
        <v>35</v>
      </c>
      <c r="O1479">
        <v>0.76961099687299805</v>
      </c>
      <c r="P1479" t="s">
        <v>36</v>
      </c>
    </row>
    <row r="1480" spans="1:16">
      <c r="A1480">
        <v>1479</v>
      </c>
      <c r="B1480" t="s">
        <v>1539</v>
      </c>
      <c r="C1480">
        <v>112</v>
      </c>
      <c r="D1480">
        <v>416</v>
      </c>
      <c r="E1480">
        <v>143.28638336860399</v>
      </c>
      <c r="F1480">
        <v>0.26996200526484598</v>
      </c>
      <c r="G1480">
        <v>16125</v>
      </c>
      <c r="H1480">
        <v>1453.6753106117201</v>
      </c>
      <c r="I1480">
        <v>0.91348174055298403</v>
      </c>
      <c r="J1480">
        <v>9.5890317926342297E-2</v>
      </c>
      <c r="K1480">
        <v>0.50058207217695005</v>
      </c>
      <c r="L1480" t="s">
        <v>61</v>
      </c>
      <c r="M1480" t="s">
        <v>34</v>
      </c>
      <c r="N1480" t="s">
        <v>35</v>
      </c>
      <c r="O1480">
        <v>0.89669424562201505</v>
      </c>
      <c r="P1480" t="s">
        <v>36</v>
      </c>
    </row>
    <row r="1481" spans="1:16">
      <c r="A1481">
        <v>1480</v>
      </c>
      <c r="B1481" t="s">
        <v>1540</v>
      </c>
      <c r="C1481">
        <v>206</v>
      </c>
      <c r="D1481">
        <v>131</v>
      </c>
      <c r="E1481">
        <v>144.41437046924099</v>
      </c>
      <c r="F1481">
        <v>1.57608165383309</v>
      </c>
      <c r="G1481">
        <v>16379.879563327</v>
      </c>
      <c r="H1481">
        <v>941.51407848762403</v>
      </c>
      <c r="I1481">
        <v>0.53286498237695801</v>
      </c>
      <c r="J1481">
        <v>0.23220252145602199</v>
      </c>
      <c r="K1481">
        <v>0.80530954051210102</v>
      </c>
      <c r="L1481" t="s">
        <v>38</v>
      </c>
      <c r="M1481" t="s">
        <v>34</v>
      </c>
      <c r="N1481" t="s">
        <v>35</v>
      </c>
      <c r="O1481">
        <v>0.69409349726394498</v>
      </c>
      <c r="P1481" t="s">
        <v>36</v>
      </c>
    </row>
    <row r="1482" spans="1:16">
      <c r="A1482">
        <v>1481</v>
      </c>
      <c r="B1482" t="s">
        <v>1541</v>
      </c>
      <c r="C1482">
        <v>257</v>
      </c>
      <c r="D1482">
        <v>133</v>
      </c>
      <c r="E1482">
        <v>144.83308150941099</v>
      </c>
      <c r="F1482">
        <v>1.931137934928</v>
      </c>
      <c r="G1482">
        <v>16475</v>
      </c>
      <c r="H1482">
        <v>1046.3960921764401</v>
      </c>
      <c r="I1482">
        <v>0.559146184922242</v>
      </c>
      <c r="J1482">
        <v>0.189078900897588</v>
      </c>
      <c r="K1482">
        <v>0.65998998497746597</v>
      </c>
      <c r="L1482" t="s">
        <v>43</v>
      </c>
      <c r="M1482" t="s">
        <v>34</v>
      </c>
      <c r="N1482" t="s">
        <v>35</v>
      </c>
      <c r="O1482">
        <v>0.76735252178963897</v>
      </c>
      <c r="P1482" t="s">
        <v>36</v>
      </c>
    </row>
    <row r="1483" spans="1:16">
      <c r="A1483">
        <v>1482</v>
      </c>
      <c r="B1483" t="s">
        <v>1542</v>
      </c>
      <c r="C1483">
        <v>161</v>
      </c>
      <c r="D1483">
        <v>201</v>
      </c>
      <c r="E1483">
        <v>145.27211117506801</v>
      </c>
      <c r="F1483">
        <v>0.80434782608695699</v>
      </c>
      <c r="G1483">
        <v>16575.032068809101</v>
      </c>
      <c r="H1483">
        <v>1353.8861759413801</v>
      </c>
      <c r="I1483">
        <v>0.606030861927496</v>
      </c>
      <c r="J1483">
        <v>0.11363181241729201</v>
      </c>
      <c r="K1483">
        <v>0.57530656569043703</v>
      </c>
      <c r="L1483" t="s">
        <v>33</v>
      </c>
      <c r="M1483" t="s">
        <v>34</v>
      </c>
      <c r="N1483" t="s">
        <v>35</v>
      </c>
      <c r="O1483">
        <v>0.79307504690213404</v>
      </c>
      <c r="P1483" t="s">
        <v>36</v>
      </c>
    </row>
    <row r="1484" spans="1:16">
      <c r="A1484">
        <v>1483</v>
      </c>
      <c r="B1484" t="s">
        <v>1543</v>
      </c>
      <c r="C1484">
        <v>121</v>
      </c>
      <c r="D1484">
        <v>288</v>
      </c>
      <c r="E1484">
        <v>145.95571171981899</v>
      </c>
      <c r="F1484">
        <v>0.41934660631078102</v>
      </c>
      <c r="G1484">
        <v>16731.3918827977</v>
      </c>
      <c r="H1484">
        <v>1062.22972593038</v>
      </c>
      <c r="I1484">
        <v>0.68534066208543998</v>
      </c>
      <c r="J1484">
        <v>0.18633954637072001</v>
      </c>
      <c r="K1484">
        <v>0.63191871561693003</v>
      </c>
      <c r="L1484" t="s">
        <v>47</v>
      </c>
      <c r="M1484" t="s">
        <v>34</v>
      </c>
      <c r="N1484" t="s">
        <v>35</v>
      </c>
      <c r="O1484">
        <v>0.939178875621276</v>
      </c>
      <c r="P1484" t="s">
        <v>36</v>
      </c>
    </row>
    <row r="1485" spans="1:16">
      <c r="A1485">
        <v>1484</v>
      </c>
      <c r="B1485" t="s">
        <v>1544</v>
      </c>
      <c r="C1485">
        <v>229</v>
      </c>
      <c r="D1485">
        <v>190</v>
      </c>
      <c r="E1485">
        <v>146.47019445824901</v>
      </c>
      <c r="F1485">
        <v>1.20100196944368</v>
      </c>
      <c r="G1485">
        <v>16849.5535293006</v>
      </c>
      <c r="H1485">
        <v>1341.1469300020301</v>
      </c>
      <c r="I1485">
        <v>0.61808527786411505</v>
      </c>
      <c r="J1485">
        <v>0.11771872294529601</v>
      </c>
      <c r="K1485">
        <v>0.56103789412213001</v>
      </c>
      <c r="L1485" t="s">
        <v>331</v>
      </c>
      <c r="M1485" t="s">
        <v>34</v>
      </c>
      <c r="N1485" t="s">
        <v>35</v>
      </c>
      <c r="O1485">
        <v>0.65322601409342596</v>
      </c>
      <c r="P1485" t="s">
        <v>36</v>
      </c>
    </row>
    <row r="1486" spans="1:16">
      <c r="A1486">
        <v>1485</v>
      </c>
      <c r="B1486" t="s">
        <v>1545</v>
      </c>
      <c r="C1486">
        <v>156</v>
      </c>
      <c r="D1486">
        <v>221</v>
      </c>
      <c r="E1486">
        <v>146.50830418075</v>
      </c>
      <c r="F1486">
        <v>0.70535614404064595</v>
      </c>
      <c r="G1486">
        <v>16858.322758412101</v>
      </c>
      <c r="H1486">
        <v>954.77925949822304</v>
      </c>
      <c r="I1486">
        <v>0.57953460874295504</v>
      </c>
      <c r="J1486">
        <v>0.23239044932467701</v>
      </c>
      <c r="K1486">
        <v>0.69088096093754803</v>
      </c>
      <c r="L1486" t="s">
        <v>33</v>
      </c>
      <c r="M1486" t="s">
        <v>34</v>
      </c>
      <c r="N1486" t="s">
        <v>35</v>
      </c>
      <c r="O1486">
        <v>0.79385198284744696</v>
      </c>
      <c r="P1486" t="s">
        <v>36</v>
      </c>
    </row>
    <row r="1487" spans="1:16">
      <c r="A1487">
        <v>1486</v>
      </c>
      <c r="B1487" t="s">
        <v>1546</v>
      </c>
      <c r="C1487">
        <v>171</v>
      </c>
      <c r="D1487">
        <v>213</v>
      </c>
      <c r="E1487">
        <v>146.601921576595</v>
      </c>
      <c r="F1487">
        <v>0.80306905370843995</v>
      </c>
      <c r="G1487">
        <v>16879.874253686201</v>
      </c>
      <c r="H1487">
        <v>1716.34728514412</v>
      </c>
      <c r="I1487">
        <v>0.56584383496172797</v>
      </c>
      <c r="J1487">
        <v>7.2006008308516195E-2</v>
      </c>
      <c r="K1487">
        <v>0.49462126755165298</v>
      </c>
      <c r="L1487" t="s">
        <v>38</v>
      </c>
      <c r="M1487" t="s">
        <v>34</v>
      </c>
      <c r="N1487" t="s">
        <v>35</v>
      </c>
      <c r="O1487">
        <v>0.69952762867315099</v>
      </c>
      <c r="P1487" t="s">
        <v>36</v>
      </c>
    </row>
    <row r="1488" spans="1:16">
      <c r="A1488">
        <v>1487</v>
      </c>
      <c r="B1488" t="s">
        <v>1547</v>
      </c>
      <c r="C1488">
        <v>197</v>
      </c>
      <c r="D1488">
        <v>237</v>
      </c>
      <c r="E1488">
        <v>146.928790727429</v>
      </c>
      <c r="F1488">
        <v>0.83179721136800999</v>
      </c>
      <c r="G1488">
        <v>16955.230171644602</v>
      </c>
      <c r="H1488">
        <v>1188.1267937421801</v>
      </c>
      <c r="I1488">
        <v>0.58316016331547105</v>
      </c>
      <c r="J1488">
        <v>0.15093431013299699</v>
      </c>
      <c r="K1488">
        <v>0.51890229756960704</v>
      </c>
      <c r="L1488" t="s">
        <v>43</v>
      </c>
      <c r="M1488" t="s">
        <v>34</v>
      </c>
      <c r="N1488" t="s">
        <v>35</v>
      </c>
      <c r="O1488">
        <v>0.65705433819894499</v>
      </c>
      <c r="P1488" t="s">
        <v>36</v>
      </c>
    </row>
    <row r="1489" spans="1:16">
      <c r="A1489">
        <v>1488</v>
      </c>
      <c r="B1489" t="s">
        <v>1548</v>
      </c>
      <c r="C1489">
        <v>235</v>
      </c>
      <c r="D1489">
        <v>139</v>
      </c>
      <c r="E1489">
        <v>147.20287703335001</v>
      </c>
      <c r="F1489">
        <v>1.6969500552648</v>
      </c>
      <c r="G1489">
        <v>17018.5469784499</v>
      </c>
      <c r="H1489">
        <v>1009.03090562862</v>
      </c>
      <c r="I1489">
        <v>0.73156550122711395</v>
      </c>
      <c r="J1489">
        <v>0.210050347782827</v>
      </c>
      <c r="K1489">
        <v>0.68750562904165202</v>
      </c>
      <c r="L1489" t="s">
        <v>49</v>
      </c>
      <c r="M1489" t="s">
        <v>34</v>
      </c>
      <c r="N1489" t="s">
        <v>35</v>
      </c>
      <c r="O1489">
        <v>0.69850355347817505</v>
      </c>
      <c r="P1489" t="s">
        <v>36</v>
      </c>
    </row>
    <row r="1490" spans="1:16">
      <c r="A1490">
        <v>1489</v>
      </c>
      <c r="B1490" t="s">
        <v>1549</v>
      </c>
      <c r="C1490">
        <v>145</v>
      </c>
      <c r="D1490">
        <v>264</v>
      </c>
      <c r="E1490">
        <v>147.57138074100001</v>
      </c>
      <c r="F1490">
        <v>0.54776707618810305</v>
      </c>
      <c r="G1490">
        <v>17103.861173534999</v>
      </c>
      <c r="H1490">
        <v>1252.3881836943001</v>
      </c>
      <c r="I1490">
        <v>0.74944627291863497</v>
      </c>
      <c r="J1490">
        <v>0.137033296112755</v>
      </c>
      <c r="K1490">
        <v>0.65097072000724099</v>
      </c>
      <c r="L1490" t="s">
        <v>33</v>
      </c>
      <c r="M1490" t="s">
        <v>34</v>
      </c>
      <c r="N1490" t="s">
        <v>35</v>
      </c>
      <c r="O1490">
        <v>0.68468821827956905</v>
      </c>
      <c r="P1490" t="s">
        <v>36</v>
      </c>
    </row>
    <row r="1491" spans="1:16">
      <c r="A1491">
        <v>1490</v>
      </c>
      <c r="B1491" t="s">
        <v>1550</v>
      </c>
      <c r="C1491">
        <v>186</v>
      </c>
      <c r="D1491">
        <v>171</v>
      </c>
      <c r="E1491">
        <v>147.609206159666</v>
      </c>
      <c r="F1491">
        <v>1.0859872778606601</v>
      </c>
      <c r="G1491">
        <v>17112.6304026465</v>
      </c>
      <c r="H1491">
        <v>2212.8005364110199</v>
      </c>
      <c r="I1491">
        <v>0.65232531129139704</v>
      </c>
      <c r="J1491">
        <v>4.3917953902116898E-2</v>
      </c>
      <c r="K1491">
        <v>0.59132136327218199</v>
      </c>
      <c r="L1491" t="s">
        <v>61</v>
      </c>
      <c r="M1491" t="s">
        <v>34</v>
      </c>
      <c r="N1491" t="s">
        <v>35</v>
      </c>
      <c r="O1491">
        <v>0.69664799519635401</v>
      </c>
      <c r="P1491" t="s">
        <v>36</v>
      </c>
    </row>
    <row r="1492" spans="1:16">
      <c r="A1492">
        <v>1491</v>
      </c>
      <c r="B1492" t="s">
        <v>1551</v>
      </c>
      <c r="C1492">
        <v>220</v>
      </c>
      <c r="D1492">
        <v>233</v>
      </c>
      <c r="E1492">
        <v>147.81803313006</v>
      </c>
      <c r="F1492">
        <v>0.94613583138173296</v>
      </c>
      <c r="G1492">
        <v>17161.0841092628</v>
      </c>
      <c r="H1492">
        <v>1846.2773088812801</v>
      </c>
      <c r="I1492">
        <v>0.61621027169912801</v>
      </c>
      <c r="J1492">
        <v>6.3264593165228006E-2</v>
      </c>
      <c r="K1492">
        <v>0.45639645194952999</v>
      </c>
      <c r="L1492" t="s">
        <v>38</v>
      </c>
      <c r="M1492" t="s">
        <v>34</v>
      </c>
      <c r="N1492" t="s">
        <v>35</v>
      </c>
      <c r="O1492">
        <v>0.72703507429854097</v>
      </c>
      <c r="P1492" t="s">
        <v>36</v>
      </c>
    </row>
    <row r="1493" spans="1:16">
      <c r="A1493">
        <v>1492</v>
      </c>
      <c r="B1493" t="s">
        <v>1552</v>
      </c>
      <c r="C1493">
        <v>193</v>
      </c>
      <c r="D1493">
        <v>215</v>
      </c>
      <c r="E1493">
        <v>150.84740990812901</v>
      </c>
      <c r="F1493">
        <v>0.89816092856131302</v>
      </c>
      <c r="G1493">
        <v>17871.688929300599</v>
      </c>
      <c r="H1493">
        <v>1487.47497743648</v>
      </c>
      <c r="I1493">
        <v>0.58940476487694504</v>
      </c>
      <c r="J1493">
        <v>0.101502356083466</v>
      </c>
      <c r="K1493">
        <v>0.55980669671123695</v>
      </c>
      <c r="L1493" t="s">
        <v>33</v>
      </c>
      <c r="M1493" t="s">
        <v>34</v>
      </c>
      <c r="N1493" t="s">
        <v>35</v>
      </c>
      <c r="O1493">
        <v>0.76975500439692102</v>
      </c>
      <c r="P1493" t="s">
        <v>36</v>
      </c>
    </row>
    <row r="1494" spans="1:16">
      <c r="A1494">
        <v>1493</v>
      </c>
      <c r="B1494" t="s">
        <v>1553</v>
      </c>
      <c r="C1494">
        <v>159</v>
      </c>
      <c r="D1494">
        <v>182</v>
      </c>
      <c r="E1494">
        <v>150.86138293858099</v>
      </c>
      <c r="F1494">
        <v>0.873626368443987</v>
      </c>
      <c r="G1494">
        <v>17875</v>
      </c>
      <c r="H1494">
        <v>810.12192606925998</v>
      </c>
      <c r="I1494">
        <v>0.76985096303140399</v>
      </c>
      <c r="J1494">
        <v>0.34225920823864098</v>
      </c>
      <c r="K1494">
        <v>0.78701155751238305</v>
      </c>
      <c r="L1494" t="s">
        <v>33</v>
      </c>
      <c r="M1494" t="s">
        <v>34</v>
      </c>
      <c r="N1494" t="s">
        <v>35</v>
      </c>
      <c r="O1494">
        <v>0.74986328111643896</v>
      </c>
      <c r="P1494" t="s">
        <v>36</v>
      </c>
    </row>
    <row r="1495" spans="1:16">
      <c r="A1495">
        <v>1494</v>
      </c>
      <c r="B1495" t="s">
        <v>1554</v>
      </c>
      <c r="C1495">
        <v>219</v>
      </c>
      <c r="D1495">
        <v>148</v>
      </c>
      <c r="E1495">
        <v>150.999131952249</v>
      </c>
      <c r="F1495">
        <v>1.4787218121367101</v>
      </c>
      <c r="G1495">
        <v>17907.657631758</v>
      </c>
      <c r="H1495">
        <v>1218.95888360086</v>
      </c>
      <c r="I1495">
        <v>0.60176369744162905</v>
      </c>
      <c r="J1495">
        <v>0.15145043782530701</v>
      </c>
      <c r="K1495">
        <v>0.70845853056184405</v>
      </c>
      <c r="L1495" t="s">
        <v>41</v>
      </c>
      <c r="M1495" t="s">
        <v>34</v>
      </c>
      <c r="N1495" t="s">
        <v>35</v>
      </c>
      <c r="O1495">
        <v>0.69245448065356296</v>
      </c>
      <c r="P1495" t="s">
        <v>36</v>
      </c>
    </row>
    <row r="1496" spans="1:16">
      <c r="A1496">
        <v>1495</v>
      </c>
      <c r="B1496" t="s">
        <v>1555</v>
      </c>
      <c r="C1496">
        <v>232</v>
      </c>
      <c r="D1496">
        <v>162</v>
      </c>
      <c r="E1496">
        <v>151.910019266663</v>
      </c>
      <c r="F1496">
        <v>1.43449135593741</v>
      </c>
      <c r="G1496">
        <v>18124.361632514199</v>
      </c>
      <c r="H1496">
        <v>1095.7553251828299</v>
      </c>
      <c r="I1496">
        <v>0.58608927453638104</v>
      </c>
      <c r="J1496">
        <v>0.18969042220528601</v>
      </c>
      <c r="K1496">
        <v>0.63216120520277697</v>
      </c>
      <c r="L1496" t="s">
        <v>43</v>
      </c>
      <c r="M1496" t="s">
        <v>34</v>
      </c>
      <c r="N1496" t="s">
        <v>35</v>
      </c>
      <c r="O1496">
        <v>0.76415338730212401</v>
      </c>
      <c r="P1496" t="s">
        <v>36</v>
      </c>
    </row>
    <row r="1497" spans="1:16">
      <c r="A1497">
        <v>1496</v>
      </c>
      <c r="B1497" t="s">
        <v>1556</v>
      </c>
      <c r="C1497">
        <v>141</v>
      </c>
      <c r="D1497">
        <v>205</v>
      </c>
      <c r="E1497">
        <v>152.195651812237</v>
      </c>
      <c r="F1497">
        <v>0.687136508267017</v>
      </c>
      <c r="G1497">
        <v>18192.583262381901</v>
      </c>
      <c r="H1497">
        <v>878.86222806712897</v>
      </c>
      <c r="I1497">
        <v>0.691918504368912</v>
      </c>
      <c r="J1497">
        <v>0.29598018406392002</v>
      </c>
      <c r="K1497">
        <v>0.79626461270239901</v>
      </c>
      <c r="L1497" t="s">
        <v>33</v>
      </c>
      <c r="M1497" t="s">
        <v>34</v>
      </c>
      <c r="N1497" t="s">
        <v>35</v>
      </c>
      <c r="O1497">
        <v>0.65850244897660504</v>
      </c>
      <c r="P1497" t="s">
        <v>36</v>
      </c>
    </row>
    <row r="1498" spans="1:16">
      <c r="A1498">
        <v>1497</v>
      </c>
      <c r="B1498" t="s">
        <v>1557</v>
      </c>
      <c r="C1498">
        <v>220</v>
      </c>
      <c r="D1498">
        <v>252</v>
      </c>
      <c r="E1498">
        <v>152.59860763666799</v>
      </c>
      <c r="F1498">
        <v>0.872570177585963</v>
      </c>
      <c r="G1498">
        <v>18289.0447826087</v>
      </c>
      <c r="H1498">
        <v>2089.6806424532801</v>
      </c>
      <c r="I1498">
        <v>0.58803272014485897</v>
      </c>
      <c r="J1498">
        <v>5.2630930461227902E-2</v>
      </c>
      <c r="K1498">
        <v>0.433832213936926</v>
      </c>
      <c r="L1498" t="s">
        <v>38</v>
      </c>
      <c r="M1498" t="s">
        <v>34</v>
      </c>
      <c r="N1498" t="s">
        <v>35</v>
      </c>
      <c r="O1498">
        <v>0.82299996926317398</v>
      </c>
      <c r="P1498" t="s">
        <v>36</v>
      </c>
    </row>
    <row r="1499" spans="1:16">
      <c r="A1499">
        <v>1498</v>
      </c>
      <c r="B1499" t="s">
        <v>1558</v>
      </c>
      <c r="C1499">
        <v>143</v>
      </c>
      <c r="D1499">
        <v>239</v>
      </c>
      <c r="E1499">
        <v>152.80062222249299</v>
      </c>
      <c r="F1499">
        <v>0.59744787467823701</v>
      </c>
      <c r="G1499">
        <v>18337.5</v>
      </c>
      <c r="H1499">
        <v>1082.75648295879</v>
      </c>
      <c r="I1499">
        <v>0.74228801652036203</v>
      </c>
      <c r="J1499">
        <v>0.19655695040483701</v>
      </c>
      <c r="K1499">
        <v>0.70596727622714195</v>
      </c>
      <c r="L1499" t="s">
        <v>38</v>
      </c>
      <c r="M1499" t="s">
        <v>34</v>
      </c>
      <c r="N1499" t="s">
        <v>35</v>
      </c>
      <c r="O1499">
        <v>0.67825492037025104</v>
      </c>
      <c r="P1499" t="s">
        <v>36</v>
      </c>
    </row>
    <row r="1500" spans="1:16">
      <c r="A1500">
        <v>1499</v>
      </c>
      <c r="B1500" t="s">
        <v>1559</v>
      </c>
      <c r="C1500">
        <v>158</v>
      </c>
      <c r="D1500">
        <v>262</v>
      </c>
      <c r="E1500">
        <v>153.40011020565601</v>
      </c>
      <c r="F1500">
        <v>0.60365141607058803</v>
      </c>
      <c r="G1500">
        <v>18481.6705610586</v>
      </c>
      <c r="H1500">
        <v>973.39414548459297</v>
      </c>
      <c r="I1500">
        <v>0.58930755100322296</v>
      </c>
      <c r="J1500">
        <v>0.245117110805878</v>
      </c>
      <c r="K1500">
        <v>0.72700803330254105</v>
      </c>
      <c r="L1500" t="s">
        <v>47</v>
      </c>
      <c r="M1500" t="s">
        <v>34</v>
      </c>
      <c r="N1500" t="s">
        <v>35</v>
      </c>
      <c r="O1500">
        <v>0.846868363253234</v>
      </c>
      <c r="P1500" t="s">
        <v>36</v>
      </c>
    </row>
    <row r="1501" spans="1:16">
      <c r="A1501">
        <v>1500</v>
      </c>
      <c r="B1501" t="s">
        <v>1560</v>
      </c>
      <c r="C1501">
        <v>176</v>
      </c>
      <c r="D1501">
        <v>211</v>
      </c>
      <c r="E1501">
        <v>154.217695431647</v>
      </c>
      <c r="F1501">
        <v>0.83505992159366904</v>
      </c>
      <c r="G1501">
        <v>18679.201162570898</v>
      </c>
      <c r="H1501">
        <v>1451.74125758949</v>
      </c>
      <c r="I1501">
        <v>0.78371867372537196</v>
      </c>
      <c r="J1501">
        <v>0.11137551479937501</v>
      </c>
      <c r="K1501">
        <v>0.63369167313762498</v>
      </c>
      <c r="L1501" t="s">
        <v>33</v>
      </c>
      <c r="M1501" t="s">
        <v>34</v>
      </c>
      <c r="N1501" t="s">
        <v>35</v>
      </c>
      <c r="O1501">
        <v>0.73975629212379601</v>
      </c>
      <c r="P1501" t="s">
        <v>36</v>
      </c>
    </row>
    <row r="1502" spans="1:16">
      <c r="A1502">
        <v>1501</v>
      </c>
      <c r="B1502" t="s">
        <v>1561</v>
      </c>
      <c r="C1502">
        <v>169</v>
      </c>
      <c r="D1502">
        <v>188</v>
      </c>
      <c r="E1502">
        <v>154.375299195265</v>
      </c>
      <c r="F1502">
        <v>0.90181407439357297</v>
      </c>
      <c r="G1502">
        <v>18717.399330056702</v>
      </c>
      <c r="H1502">
        <v>814.14527226137102</v>
      </c>
      <c r="I1502">
        <v>0.633085001646715</v>
      </c>
      <c r="J1502">
        <v>0.35485551520074998</v>
      </c>
      <c r="K1502">
        <v>0.76879685477766102</v>
      </c>
      <c r="L1502" t="s">
        <v>38</v>
      </c>
      <c r="M1502" t="s">
        <v>34</v>
      </c>
      <c r="N1502" t="s">
        <v>35</v>
      </c>
      <c r="O1502">
        <v>0.65406413088992199</v>
      </c>
      <c r="P1502" t="s">
        <v>36</v>
      </c>
    </row>
    <row r="1503" spans="1:16">
      <c r="A1503">
        <v>1502</v>
      </c>
      <c r="B1503" t="s">
        <v>1562</v>
      </c>
      <c r="C1503">
        <v>155</v>
      </c>
      <c r="D1503">
        <v>227</v>
      </c>
      <c r="E1503">
        <v>155.15664790282199</v>
      </c>
      <c r="F1503">
        <v>0.68465765071784301</v>
      </c>
      <c r="G1503">
        <v>18907.3497504726</v>
      </c>
      <c r="H1503">
        <v>1059.4100944320001</v>
      </c>
      <c r="I1503">
        <v>0.60889053064362197</v>
      </c>
      <c r="J1503">
        <v>0.21169583250150001</v>
      </c>
      <c r="K1503">
        <v>0.65967288604942997</v>
      </c>
      <c r="L1503" t="s">
        <v>38</v>
      </c>
      <c r="M1503" t="s">
        <v>34</v>
      </c>
      <c r="N1503" t="s">
        <v>35</v>
      </c>
      <c r="O1503">
        <v>0.88102121399459998</v>
      </c>
      <c r="P1503" t="s">
        <v>36</v>
      </c>
    </row>
    <row r="1504" spans="1:16">
      <c r="A1504">
        <v>1503</v>
      </c>
      <c r="B1504" t="s">
        <v>1563</v>
      </c>
      <c r="C1504">
        <v>235</v>
      </c>
      <c r="D1504">
        <v>206</v>
      </c>
      <c r="E1504">
        <v>156.22265322603701</v>
      </c>
      <c r="F1504">
        <v>1.1432360974600499</v>
      </c>
      <c r="G1504">
        <v>19168.048527788302</v>
      </c>
      <c r="H1504">
        <v>3135.16086400011</v>
      </c>
      <c r="I1504">
        <v>0.65154650313479601</v>
      </c>
      <c r="J1504">
        <v>2.45057560435425E-2</v>
      </c>
      <c r="K1504">
        <v>0.41784603421461902</v>
      </c>
      <c r="L1504" t="s">
        <v>33</v>
      </c>
      <c r="M1504" t="s">
        <v>34</v>
      </c>
      <c r="N1504" t="s">
        <v>35</v>
      </c>
      <c r="O1504">
        <v>0.70840320442671301</v>
      </c>
      <c r="P1504" t="s">
        <v>36</v>
      </c>
    </row>
    <row r="1505" spans="1:16">
      <c r="A1505">
        <v>1504</v>
      </c>
      <c r="B1505" t="s">
        <v>1564</v>
      </c>
      <c r="C1505">
        <v>220</v>
      </c>
      <c r="D1505">
        <v>201</v>
      </c>
      <c r="E1505">
        <v>156.36129315794599</v>
      </c>
      <c r="F1505">
        <v>1.09782608695652</v>
      </c>
      <c r="G1505">
        <v>19202.085027221201</v>
      </c>
      <c r="H1505">
        <v>2656.5767143010098</v>
      </c>
      <c r="I1505">
        <v>0.609529387852488</v>
      </c>
      <c r="J1505">
        <v>3.4191135903650402E-2</v>
      </c>
      <c r="K1505">
        <v>0.51270522217768699</v>
      </c>
      <c r="L1505" t="s">
        <v>43</v>
      </c>
      <c r="M1505" t="s">
        <v>34</v>
      </c>
      <c r="N1505" t="s">
        <v>35</v>
      </c>
      <c r="O1505">
        <v>0.77750476369279098</v>
      </c>
      <c r="P1505" t="s">
        <v>36</v>
      </c>
    </row>
    <row r="1506" spans="1:16">
      <c r="A1506">
        <v>1505</v>
      </c>
      <c r="B1506" t="s">
        <v>1565</v>
      </c>
      <c r="C1506">
        <v>232</v>
      </c>
      <c r="D1506">
        <v>168</v>
      </c>
      <c r="E1506">
        <v>156.67927669993199</v>
      </c>
      <c r="F1506">
        <v>1.3832624978055701</v>
      </c>
      <c r="G1506">
        <v>19280.264934215498</v>
      </c>
      <c r="H1506">
        <v>865.883372617286</v>
      </c>
      <c r="I1506">
        <v>0.65646069515083005</v>
      </c>
      <c r="J1506">
        <v>0.323149926332087</v>
      </c>
      <c r="K1506">
        <v>0.713215929271659</v>
      </c>
      <c r="L1506" t="s">
        <v>38</v>
      </c>
      <c r="M1506" t="s">
        <v>34</v>
      </c>
      <c r="N1506" t="s">
        <v>35</v>
      </c>
      <c r="O1506">
        <v>0.80738206379573596</v>
      </c>
      <c r="P1506" t="s">
        <v>36</v>
      </c>
    </row>
    <row r="1507" spans="1:16">
      <c r="A1507">
        <v>1506</v>
      </c>
      <c r="B1507" t="s">
        <v>1566</v>
      </c>
      <c r="C1507">
        <v>239</v>
      </c>
      <c r="D1507">
        <v>172</v>
      </c>
      <c r="E1507">
        <v>156.822943315316</v>
      </c>
      <c r="F1507">
        <v>1.39013321951108</v>
      </c>
      <c r="G1507">
        <v>19315.639112665402</v>
      </c>
      <c r="H1507">
        <v>1309.2464422979599</v>
      </c>
      <c r="I1507">
        <v>0.58681046715200802</v>
      </c>
      <c r="J1507">
        <v>0.14160420226603901</v>
      </c>
      <c r="K1507">
        <v>0.57001184262467697</v>
      </c>
      <c r="L1507" t="s">
        <v>38</v>
      </c>
      <c r="M1507" t="s">
        <v>34</v>
      </c>
      <c r="N1507" t="s">
        <v>35</v>
      </c>
      <c r="O1507">
        <v>0.72487826488022</v>
      </c>
      <c r="P1507" t="s">
        <v>36</v>
      </c>
    </row>
    <row r="1508" spans="1:16">
      <c r="A1508">
        <v>1507</v>
      </c>
      <c r="B1508" t="s">
        <v>1567</v>
      </c>
      <c r="C1508">
        <v>274</v>
      </c>
      <c r="D1508">
        <v>161</v>
      </c>
      <c r="E1508">
        <v>157.372851183552</v>
      </c>
      <c r="F1508">
        <v>1.70235695284831</v>
      </c>
      <c r="G1508">
        <v>19451.339217391302</v>
      </c>
      <c r="H1508">
        <v>1469.07377101919</v>
      </c>
      <c r="I1508">
        <v>0.591281883660281</v>
      </c>
      <c r="J1508">
        <v>0.113258853749197</v>
      </c>
      <c r="K1508">
        <v>0.57114053539788201</v>
      </c>
      <c r="L1508" t="s">
        <v>298</v>
      </c>
      <c r="M1508" t="s">
        <v>34</v>
      </c>
      <c r="N1508" t="s">
        <v>35</v>
      </c>
      <c r="O1508">
        <v>0.78661904113306302</v>
      </c>
      <c r="P1508" t="s">
        <v>36</v>
      </c>
    </row>
    <row r="1509" spans="1:16">
      <c r="A1509">
        <v>1508</v>
      </c>
      <c r="B1509" t="s">
        <v>1568</v>
      </c>
      <c r="C1509">
        <v>245</v>
      </c>
      <c r="D1509">
        <v>215</v>
      </c>
      <c r="E1509">
        <v>160.41762085182501</v>
      </c>
      <c r="F1509">
        <v>1.1367088818836699</v>
      </c>
      <c r="G1509">
        <v>20211.2895300567</v>
      </c>
      <c r="H1509">
        <v>2809.2829788285799</v>
      </c>
      <c r="I1509">
        <v>0.61096386345431997</v>
      </c>
      <c r="J1509">
        <v>3.21819912024136E-2</v>
      </c>
      <c r="K1509">
        <v>0.41826509018430602</v>
      </c>
      <c r="L1509" t="s">
        <v>38</v>
      </c>
      <c r="M1509" t="s">
        <v>34</v>
      </c>
      <c r="N1509" t="s">
        <v>35</v>
      </c>
      <c r="O1509">
        <v>0.78313703268197099</v>
      </c>
      <c r="P1509" t="s">
        <v>36</v>
      </c>
    </row>
    <row r="1510" spans="1:16">
      <c r="A1510">
        <v>1509</v>
      </c>
      <c r="B1510" t="s">
        <v>1569</v>
      </c>
      <c r="C1510">
        <v>210</v>
      </c>
      <c r="D1510">
        <v>230</v>
      </c>
      <c r="E1510">
        <v>160.81762648395701</v>
      </c>
      <c r="F1510">
        <v>0.91469194312796198</v>
      </c>
      <c r="G1510">
        <v>20312.2099803403</v>
      </c>
      <c r="H1510">
        <v>2440.1375668088299</v>
      </c>
      <c r="I1510">
        <v>0.62522404720748603</v>
      </c>
      <c r="J1510">
        <v>4.2868513008909898E-2</v>
      </c>
      <c r="K1510">
        <v>0.46317309256547901</v>
      </c>
      <c r="L1510" t="s">
        <v>47</v>
      </c>
      <c r="M1510" t="s">
        <v>34</v>
      </c>
      <c r="N1510" t="s">
        <v>35</v>
      </c>
      <c r="O1510">
        <v>0.90163826383868895</v>
      </c>
      <c r="P1510" t="s">
        <v>36</v>
      </c>
    </row>
    <row r="1511" spans="1:16">
      <c r="A1511">
        <v>1510</v>
      </c>
      <c r="B1511" t="s">
        <v>1570</v>
      </c>
      <c r="C1511">
        <v>165</v>
      </c>
      <c r="D1511">
        <v>321</v>
      </c>
      <c r="E1511">
        <v>160.82409850359599</v>
      </c>
      <c r="F1511">
        <v>0.51273344915853303</v>
      </c>
      <c r="G1511">
        <v>20313.844921361098</v>
      </c>
      <c r="H1511">
        <v>1703.9595198910099</v>
      </c>
      <c r="I1511">
        <v>0.69360075974374702</v>
      </c>
      <c r="J1511">
        <v>8.7919143830440305E-2</v>
      </c>
      <c r="K1511">
        <v>0.46545676220575399</v>
      </c>
      <c r="L1511" t="s">
        <v>38</v>
      </c>
      <c r="M1511" t="s">
        <v>34</v>
      </c>
      <c r="N1511" t="s">
        <v>35</v>
      </c>
      <c r="O1511">
        <v>0.67470836948560198</v>
      </c>
      <c r="P1511" t="s">
        <v>36</v>
      </c>
    </row>
    <row r="1512" spans="1:16">
      <c r="A1512">
        <v>1511</v>
      </c>
      <c r="B1512" t="s">
        <v>1571</v>
      </c>
      <c r="C1512">
        <v>216</v>
      </c>
      <c r="D1512">
        <v>245</v>
      </c>
      <c r="E1512">
        <v>161.05515548122699</v>
      </c>
      <c r="F1512">
        <v>0.881959894867269</v>
      </c>
      <c r="G1512">
        <v>20372.256905104001</v>
      </c>
      <c r="H1512">
        <v>2161.8121134778698</v>
      </c>
      <c r="I1512">
        <v>0.62655658492810395</v>
      </c>
      <c r="J1512">
        <v>5.4778875923782402E-2</v>
      </c>
      <c r="K1512">
        <v>0.50248739803867704</v>
      </c>
      <c r="L1512" t="s">
        <v>211</v>
      </c>
      <c r="M1512" t="s">
        <v>34</v>
      </c>
      <c r="N1512" t="s">
        <v>35</v>
      </c>
      <c r="O1512">
        <v>0.70395414845241699</v>
      </c>
      <c r="P1512" t="s">
        <v>36</v>
      </c>
    </row>
    <row r="1513" spans="1:16">
      <c r="A1513">
        <v>1512</v>
      </c>
      <c r="B1513" t="s">
        <v>1572</v>
      </c>
      <c r="C1513">
        <v>261</v>
      </c>
      <c r="D1513">
        <v>148</v>
      </c>
      <c r="E1513">
        <v>162.285401740574</v>
      </c>
      <c r="F1513">
        <v>1.7651375624856001</v>
      </c>
      <c r="G1513">
        <v>20684.679271077501</v>
      </c>
      <c r="H1513">
        <v>1307.2520012724899</v>
      </c>
      <c r="I1513">
        <v>0.67760381812286696</v>
      </c>
      <c r="J1513">
        <v>0.15210378614091799</v>
      </c>
      <c r="K1513">
        <v>0.70420596688661297</v>
      </c>
      <c r="L1513" t="s">
        <v>33</v>
      </c>
      <c r="M1513" t="s">
        <v>34</v>
      </c>
      <c r="N1513" t="s">
        <v>35</v>
      </c>
      <c r="O1513">
        <v>0.70311977668153303</v>
      </c>
      <c r="P1513" t="s">
        <v>36</v>
      </c>
    </row>
    <row r="1514" spans="1:16">
      <c r="A1514">
        <v>1513</v>
      </c>
      <c r="B1514" t="s">
        <v>1573</v>
      </c>
      <c r="C1514">
        <v>409</v>
      </c>
      <c r="D1514">
        <v>246</v>
      </c>
      <c r="E1514">
        <v>162.747108156672</v>
      </c>
      <c r="F1514">
        <v>1.66327338279348</v>
      </c>
      <c r="G1514">
        <v>20802.543655576599</v>
      </c>
      <c r="H1514">
        <v>2140.4058027086098</v>
      </c>
      <c r="I1514">
        <v>0.674864353291876</v>
      </c>
      <c r="J1514">
        <v>5.7060302108758003E-2</v>
      </c>
      <c r="K1514">
        <v>0.31440393743415301</v>
      </c>
      <c r="L1514" t="s">
        <v>41</v>
      </c>
      <c r="M1514" t="s">
        <v>34</v>
      </c>
      <c r="N1514" t="s">
        <v>35</v>
      </c>
      <c r="O1514">
        <v>0.69087809039431602</v>
      </c>
      <c r="P1514" t="s">
        <v>36</v>
      </c>
    </row>
    <row r="1515" spans="1:16">
      <c r="A1515">
        <v>1514</v>
      </c>
      <c r="B1515" t="s">
        <v>1574</v>
      </c>
      <c r="C1515">
        <v>178</v>
      </c>
      <c r="D1515">
        <v>237</v>
      </c>
      <c r="E1515">
        <v>163.30429990595101</v>
      </c>
      <c r="F1515">
        <v>0.75330863530153902</v>
      </c>
      <c r="G1515">
        <v>20945.2294173913</v>
      </c>
      <c r="H1515">
        <v>1422.63285521227</v>
      </c>
      <c r="I1515">
        <v>0.59708275044967696</v>
      </c>
      <c r="J1515">
        <v>0.130049688695069</v>
      </c>
      <c r="K1515">
        <v>0.605278756120608</v>
      </c>
      <c r="L1515" t="s">
        <v>38</v>
      </c>
      <c r="M1515" t="s">
        <v>34</v>
      </c>
      <c r="N1515" t="s">
        <v>35</v>
      </c>
      <c r="O1515">
        <v>0.71493834189378402</v>
      </c>
      <c r="P1515" t="s">
        <v>36</v>
      </c>
    </row>
    <row r="1516" spans="1:16">
      <c r="A1516">
        <v>1515</v>
      </c>
      <c r="B1516" t="s">
        <v>1575</v>
      </c>
      <c r="C1516">
        <v>261</v>
      </c>
      <c r="D1516">
        <v>210</v>
      </c>
      <c r="E1516">
        <v>163.407403744405</v>
      </c>
      <c r="F1516">
        <v>1.2409326805838401</v>
      </c>
      <c r="G1516">
        <v>20971.685735727799</v>
      </c>
      <c r="H1516">
        <v>2301.4613673296199</v>
      </c>
      <c r="I1516">
        <v>0.634610346978148</v>
      </c>
      <c r="J1516">
        <v>4.9754896460856603E-2</v>
      </c>
      <c r="K1516">
        <v>0.43676598958688001</v>
      </c>
      <c r="L1516" t="s">
        <v>38</v>
      </c>
      <c r="M1516" t="s">
        <v>34</v>
      </c>
      <c r="N1516" t="s">
        <v>35</v>
      </c>
      <c r="O1516">
        <v>0.70777102738562803</v>
      </c>
      <c r="P1516" t="s">
        <v>36</v>
      </c>
    </row>
    <row r="1517" spans="1:16">
      <c r="A1517">
        <v>1516</v>
      </c>
      <c r="B1517" t="s">
        <v>1576</v>
      </c>
      <c r="C1517">
        <v>151</v>
      </c>
      <c r="D1517">
        <v>319</v>
      </c>
      <c r="E1517">
        <v>164.48811606198899</v>
      </c>
      <c r="F1517">
        <v>0.47178186678073802</v>
      </c>
      <c r="G1517">
        <v>21250</v>
      </c>
      <c r="H1517">
        <v>1179.82755064964</v>
      </c>
      <c r="I1517">
        <v>0.851303362279481</v>
      </c>
      <c r="J1517">
        <v>0.191836716206882</v>
      </c>
      <c r="K1517">
        <v>0.642965204236006</v>
      </c>
      <c r="L1517" t="s">
        <v>33</v>
      </c>
      <c r="M1517" t="s">
        <v>34</v>
      </c>
      <c r="N1517" t="s">
        <v>35</v>
      </c>
      <c r="O1517">
        <v>0.71083298584778998</v>
      </c>
      <c r="P1517" t="s">
        <v>36</v>
      </c>
    </row>
    <row r="1518" spans="1:16">
      <c r="A1518">
        <v>1517</v>
      </c>
      <c r="B1518" t="s">
        <v>1577</v>
      </c>
      <c r="C1518">
        <v>260</v>
      </c>
      <c r="D1518">
        <v>146</v>
      </c>
      <c r="E1518">
        <v>164.68443554523401</v>
      </c>
      <c r="F1518">
        <v>1.78651685393258</v>
      </c>
      <c r="G1518">
        <v>21300.754773912999</v>
      </c>
      <c r="H1518">
        <v>1308.18810723502</v>
      </c>
      <c r="I1518">
        <v>0.71492999318472905</v>
      </c>
      <c r="J1518">
        <v>0.15640998101717801</v>
      </c>
      <c r="K1518">
        <v>0.66153824849055598</v>
      </c>
      <c r="L1518" t="s">
        <v>33</v>
      </c>
      <c r="M1518" t="s">
        <v>34</v>
      </c>
      <c r="N1518" t="s">
        <v>35</v>
      </c>
      <c r="O1518">
        <v>0.72255553745117196</v>
      </c>
      <c r="P1518" t="s">
        <v>36</v>
      </c>
    </row>
    <row r="1519" spans="1:16">
      <c r="A1519">
        <v>1518</v>
      </c>
      <c r="B1519" t="s">
        <v>1578</v>
      </c>
      <c r="C1519">
        <v>238</v>
      </c>
      <c r="D1519">
        <v>204</v>
      </c>
      <c r="E1519">
        <v>164.70224600714201</v>
      </c>
      <c r="F1519">
        <v>1.1672997504796201</v>
      </c>
      <c r="G1519">
        <v>21305.3623349716</v>
      </c>
      <c r="H1519">
        <v>1412.4032620432099</v>
      </c>
      <c r="I1519">
        <v>0.56401737177625699</v>
      </c>
      <c r="J1519">
        <v>0.13420891479816299</v>
      </c>
      <c r="K1519">
        <v>0.60335552955240002</v>
      </c>
      <c r="L1519" t="s">
        <v>38</v>
      </c>
      <c r="M1519" t="s">
        <v>34</v>
      </c>
      <c r="N1519" t="s">
        <v>35</v>
      </c>
      <c r="O1519">
        <v>0.72045631139906996</v>
      </c>
      <c r="P1519" t="s">
        <v>36</v>
      </c>
    </row>
    <row r="1520" spans="1:16">
      <c r="A1520">
        <v>1519</v>
      </c>
      <c r="B1520" t="s">
        <v>1579</v>
      </c>
      <c r="C1520">
        <v>159</v>
      </c>
      <c r="D1520">
        <v>213</v>
      </c>
      <c r="E1520">
        <v>165.80789432407701</v>
      </c>
      <c r="F1520">
        <v>0.746470389702524</v>
      </c>
      <c r="G1520">
        <v>21592.368799621901</v>
      </c>
      <c r="H1520">
        <v>1089.6228873784601</v>
      </c>
      <c r="I1520">
        <v>0.61913717478838204</v>
      </c>
      <c r="J1520">
        <v>0.22853763010084999</v>
      </c>
      <c r="K1520">
        <v>0.76968926329174303</v>
      </c>
      <c r="L1520" t="s">
        <v>33</v>
      </c>
      <c r="M1520" t="s">
        <v>34</v>
      </c>
      <c r="N1520" t="s">
        <v>35</v>
      </c>
      <c r="O1520">
        <v>0.670550843457561</v>
      </c>
      <c r="P1520" t="s">
        <v>36</v>
      </c>
    </row>
    <row r="1521" spans="1:16">
      <c r="A1521">
        <v>1520</v>
      </c>
      <c r="B1521" t="s">
        <v>1580</v>
      </c>
      <c r="C1521">
        <v>208</v>
      </c>
      <c r="D1521">
        <v>204</v>
      </c>
      <c r="E1521">
        <v>166.12485404699299</v>
      </c>
      <c r="F1521">
        <v>1.0188678203753301</v>
      </c>
      <c r="G1521">
        <v>21675</v>
      </c>
      <c r="H1521">
        <v>954.97473835945095</v>
      </c>
      <c r="I1521">
        <v>0.75214860219984803</v>
      </c>
      <c r="J1521">
        <v>0.298665599529847</v>
      </c>
      <c r="K1521">
        <v>0.70746634026927802</v>
      </c>
      <c r="L1521" t="s">
        <v>33</v>
      </c>
      <c r="M1521" t="s">
        <v>34</v>
      </c>
      <c r="N1521" t="s">
        <v>35</v>
      </c>
      <c r="O1521">
        <v>0.65439463742265502</v>
      </c>
      <c r="P1521" t="s">
        <v>36</v>
      </c>
    </row>
    <row r="1522" spans="1:16">
      <c r="A1522">
        <v>1521</v>
      </c>
      <c r="B1522" t="s">
        <v>1581</v>
      </c>
      <c r="C1522">
        <v>207</v>
      </c>
      <c r="D1522">
        <v>238</v>
      </c>
      <c r="E1522">
        <v>167.28505396494199</v>
      </c>
      <c r="F1522">
        <v>0.86947304443655604</v>
      </c>
      <c r="G1522">
        <v>21978.8094045369</v>
      </c>
      <c r="H1522">
        <v>1597.4389896431201</v>
      </c>
      <c r="I1522">
        <v>0.56367390572094001</v>
      </c>
      <c r="J1522">
        <v>0.108234437971767</v>
      </c>
      <c r="K1522">
        <v>0.57454852045256699</v>
      </c>
      <c r="L1522" t="s">
        <v>49</v>
      </c>
      <c r="M1522" t="s">
        <v>34</v>
      </c>
      <c r="N1522" t="s">
        <v>35</v>
      </c>
      <c r="O1522">
        <v>0.79865950218597204</v>
      </c>
      <c r="P1522" t="s">
        <v>36</v>
      </c>
    </row>
    <row r="1523" spans="1:16">
      <c r="A1523">
        <v>1522</v>
      </c>
      <c r="B1523" t="s">
        <v>1582</v>
      </c>
      <c r="C1523">
        <v>201</v>
      </c>
      <c r="D1523">
        <v>250</v>
      </c>
      <c r="E1523">
        <v>167.687298871769</v>
      </c>
      <c r="F1523">
        <v>0.80349342359430198</v>
      </c>
      <c r="G1523">
        <v>22084.634677882801</v>
      </c>
      <c r="H1523">
        <v>2072.2696786554002</v>
      </c>
      <c r="I1523">
        <v>0.57973685369680705</v>
      </c>
      <c r="J1523">
        <v>6.4626039047429695E-2</v>
      </c>
      <c r="K1523">
        <v>0.476069487876147</v>
      </c>
      <c r="L1523" t="s">
        <v>47</v>
      </c>
      <c r="M1523" t="s">
        <v>34</v>
      </c>
      <c r="N1523" t="s">
        <v>35</v>
      </c>
      <c r="O1523">
        <v>0.88624893153990802</v>
      </c>
      <c r="P1523" t="s">
        <v>36</v>
      </c>
    </row>
    <row r="1524" spans="1:16">
      <c r="A1524">
        <v>1523</v>
      </c>
      <c r="B1524" t="s">
        <v>1583</v>
      </c>
      <c r="C1524">
        <v>328</v>
      </c>
      <c r="D1524">
        <v>214</v>
      </c>
      <c r="E1524">
        <v>168.07563339096799</v>
      </c>
      <c r="F1524">
        <v>1.53571428571429</v>
      </c>
      <c r="G1524">
        <v>22187.041438185301</v>
      </c>
      <c r="H1524">
        <v>2702.4430676141001</v>
      </c>
      <c r="I1524">
        <v>0.65994180459843399</v>
      </c>
      <c r="J1524">
        <v>3.8176503659595698E-2</v>
      </c>
      <c r="K1524">
        <v>0.47570427023581902</v>
      </c>
      <c r="L1524" t="s">
        <v>33</v>
      </c>
      <c r="M1524" t="s">
        <v>34</v>
      </c>
      <c r="N1524" t="s">
        <v>35</v>
      </c>
      <c r="O1524">
        <v>0.76416123865727004</v>
      </c>
      <c r="P1524" t="s">
        <v>36</v>
      </c>
    </row>
    <row r="1525" spans="1:16">
      <c r="A1525">
        <v>1524</v>
      </c>
      <c r="B1525" t="s">
        <v>1584</v>
      </c>
      <c r="C1525">
        <v>297</v>
      </c>
      <c r="D1525">
        <v>138</v>
      </c>
      <c r="E1525">
        <v>168.66459339967099</v>
      </c>
      <c r="F1525">
        <v>2.1488877897918601</v>
      </c>
      <c r="G1525">
        <v>22342.806728166401</v>
      </c>
      <c r="H1525">
        <v>1331.5428035234399</v>
      </c>
      <c r="I1525">
        <v>0.61099951146512299</v>
      </c>
      <c r="J1525">
        <v>0.158357023204165</v>
      </c>
      <c r="K1525">
        <v>0.68500966060296697</v>
      </c>
      <c r="L1525" t="s">
        <v>41</v>
      </c>
      <c r="M1525" t="s">
        <v>34</v>
      </c>
      <c r="N1525" t="s">
        <v>35</v>
      </c>
      <c r="O1525">
        <v>0.680786639086991</v>
      </c>
      <c r="P1525" t="s">
        <v>36</v>
      </c>
    </row>
    <row r="1526" spans="1:16">
      <c r="A1526">
        <v>1525</v>
      </c>
      <c r="B1526" t="s">
        <v>1585</v>
      </c>
      <c r="C1526">
        <v>166</v>
      </c>
      <c r="D1526">
        <v>181</v>
      </c>
      <c r="E1526">
        <v>169.51182486958101</v>
      </c>
      <c r="F1526">
        <v>0.91867468384426698</v>
      </c>
      <c r="G1526">
        <v>22567.834065028401</v>
      </c>
      <c r="H1526">
        <v>1139.01734279674</v>
      </c>
      <c r="I1526">
        <v>0.64406647027127695</v>
      </c>
      <c r="J1526">
        <v>0.21859441940187799</v>
      </c>
      <c r="K1526">
        <v>0.82392138349422395</v>
      </c>
      <c r="L1526" t="s">
        <v>74</v>
      </c>
      <c r="M1526" t="s">
        <v>34</v>
      </c>
      <c r="N1526" t="s">
        <v>35</v>
      </c>
      <c r="O1526">
        <v>0.735054100049363</v>
      </c>
      <c r="P1526" t="s">
        <v>36</v>
      </c>
    </row>
    <row r="1527" spans="1:16">
      <c r="A1527">
        <v>1526</v>
      </c>
      <c r="B1527" t="s">
        <v>1586</v>
      </c>
      <c r="C1527">
        <v>129</v>
      </c>
      <c r="D1527">
        <v>351</v>
      </c>
      <c r="E1527">
        <v>169.679489642455</v>
      </c>
      <c r="F1527">
        <v>0.36752135985797602</v>
      </c>
      <c r="G1527">
        <v>22612.5</v>
      </c>
      <c r="H1527">
        <v>1273.4671598672901</v>
      </c>
      <c r="I1527">
        <v>0.89588341909117097</v>
      </c>
      <c r="J1527">
        <v>0.175219704728689</v>
      </c>
      <c r="K1527">
        <v>0.70361726954492398</v>
      </c>
      <c r="L1527" t="s">
        <v>33</v>
      </c>
      <c r="M1527" t="s">
        <v>34</v>
      </c>
      <c r="N1527" t="s">
        <v>35</v>
      </c>
      <c r="O1527">
        <v>0.80501580026136099</v>
      </c>
      <c r="P1527" t="s">
        <v>36</v>
      </c>
    </row>
    <row r="1528" spans="1:16">
      <c r="A1528">
        <v>1527</v>
      </c>
      <c r="B1528" t="s">
        <v>1587</v>
      </c>
      <c r="C1528">
        <v>264</v>
      </c>
      <c r="D1528">
        <v>279</v>
      </c>
      <c r="E1528">
        <v>170.511959130533</v>
      </c>
      <c r="F1528">
        <v>0.94726561871357196</v>
      </c>
      <c r="G1528">
        <v>22834.923975425299</v>
      </c>
      <c r="H1528">
        <v>2525.3824619402099</v>
      </c>
      <c r="I1528">
        <v>0.64330434682773896</v>
      </c>
      <c r="J1528">
        <v>4.49940528269719E-2</v>
      </c>
      <c r="K1528">
        <v>0.36928472192176598</v>
      </c>
      <c r="L1528" t="s">
        <v>33</v>
      </c>
      <c r="M1528" t="s">
        <v>34</v>
      </c>
      <c r="N1528" t="s">
        <v>35</v>
      </c>
      <c r="O1528">
        <v>0.78450197814879297</v>
      </c>
      <c r="P1528" t="s">
        <v>36</v>
      </c>
    </row>
    <row r="1529" spans="1:16">
      <c r="A1529">
        <v>1528</v>
      </c>
      <c r="B1529" t="s">
        <v>1588</v>
      </c>
      <c r="C1529">
        <v>297</v>
      </c>
      <c r="D1529">
        <v>207</v>
      </c>
      <c r="E1529">
        <v>171.997130903075</v>
      </c>
      <c r="F1529">
        <v>1.4379946324483199</v>
      </c>
      <c r="G1529">
        <v>23234.444108506599</v>
      </c>
      <c r="H1529">
        <v>1836.9737588922901</v>
      </c>
      <c r="I1529">
        <v>0.62875325717526098</v>
      </c>
      <c r="J1529">
        <v>8.65239316143908E-2</v>
      </c>
      <c r="K1529">
        <v>0.50884736824973098</v>
      </c>
      <c r="L1529" t="s">
        <v>38</v>
      </c>
      <c r="M1529" t="s">
        <v>34</v>
      </c>
      <c r="N1529" t="s">
        <v>35</v>
      </c>
      <c r="O1529">
        <v>0.85321682590630399</v>
      </c>
      <c r="P1529" t="s">
        <v>36</v>
      </c>
    </row>
    <row r="1530" spans="1:16">
      <c r="A1530">
        <v>1529</v>
      </c>
      <c r="B1530" t="s">
        <v>1589</v>
      </c>
      <c r="C1530">
        <v>315</v>
      </c>
      <c r="D1530">
        <v>186</v>
      </c>
      <c r="E1530">
        <v>174.73156501755301</v>
      </c>
      <c r="F1530">
        <v>1.6950146627566001</v>
      </c>
      <c r="G1530">
        <v>23979.085427977301</v>
      </c>
      <c r="H1530">
        <v>2045.95754975143</v>
      </c>
      <c r="I1530">
        <v>0.70394934586475699</v>
      </c>
      <c r="J1530">
        <v>7.1986198857439704E-2</v>
      </c>
      <c r="K1530">
        <v>0.53067098221481002</v>
      </c>
      <c r="L1530" t="s">
        <v>38</v>
      </c>
      <c r="M1530" t="s">
        <v>34</v>
      </c>
      <c r="N1530" t="s">
        <v>35</v>
      </c>
      <c r="O1530">
        <v>0.87218833330190404</v>
      </c>
      <c r="P1530" t="s">
        <v>36</v>
      </c>
    </row>
    <row r="1531" spans="1:16">
      <c r="A1531">
        <v>1530</v>
      </c>
      <c r="B1531" t="s">
        <v>1590</v>
      </c>
      <c r="C1531">
        <v>260</v>
      </c>
      <c r="D1531">
        <v>142</v>
      </c>
      <c r="E1531">
        <v>175.510167192594</v>
      </c>
      <c r="F1531">
        <v>1.8237547892720301</v>
      </c>
      <c r="G1531">
        <v>24193.2627017013</v>
      </c>
      <c r="H1531">
        <v>1028.61656921345</v>
      </c>
      <c r="I1531">
        <v>0.70310395685580196</v>
      </c>
      <c r="J1531">
        <v>0.287340784885949</v>
      </c>
      <c r="K1531">
        <v>0.86215499022770203</v>
      </c>
      <c r="L1531" t="s">
        <v>47</v>
      </c>
      <c r="M1531" t="s">
        <v>34</v>
      </c>
      <c r="N1531" t="s">
        <v>35</v>
      </c>
      <c r="O1531">
        <v>0.94674056320007605</v>
      </c>
      <c r="P1531" t="s">
        <v>36</v>
      </c>
    </row>
    <row r="1532" spans="1:16">
      <c r="A1532">
        <v>1531</v>
      </c>
      <c r="B1532" t="s">
        <v>1591</v>
      </c>
      <c r="C1532">
        <v>292</v>
      </c>
      <c r="D1532">
        <v>202</v>
      </c>
      <c r="E1532">
        <v>179.681914653799</v>
      </c>
      <c r="F1532">
        <v>1.44105977746554</v>
      </c>
      <c r="G1532">
        <v>25357.043446502801</v>
      </c>
      <c r="H1532">
        <v>1140.5805316798601</v>
      </c>
      <c r="I1532">
        <v>0.68475738295298105</v>
      </c>
      <c r="J1532">
        <v>0.24493822703285201</v>
      </c>
      <c r="K1532">
        <v>0.59529566937788503</v>
      </c>
      <c r="L1532" t="s">
        <v>288</v>
      </c>
      <c r="M1532" t="s">
        <v>34</v>
      </c>
      <c r="N1532" t="s">
        <v>35</v>
      </c>
      <c r="O1532">
        <v>0.792059146780276</v>
      </c>
      <c r="P1532" t="s">
        <v>36</v>
      </c>
    </row>
    <row r="1533" spans="1:16">
      <c r="A1533">
        <v>1532</v>
      </c>
      <c r="B1533" t="s">
        <v>1592</v>
      </c>
      <c r="C1533">
        <v>307</v>
      </c>
      <c r="D1533">
        <v>214</v>
      </c>
      <c r="E1533">
        <v>180.890621043153</v>
      </c>
      <c r="F1533">
        <v>1.43812966124756</v>
      </c>
      <c r="G1533">
        <v>25699.3406438563</v>
      </c>
      <c r="H1533">
        <v>1700.7015107858699</v>
      </c>
      <c r="I1533">
        <v>0.61471783752569198</v>
      </c>
      <c r="J1533">
        <v>0.111654350602806</v>
      </c>
      <c r="K1533">
        <v>0.52609687823282403</v>
      </c>
      <c r="L1533" t="s">
        <v>33</v>
      </c>
      <c r="M1533" t="s">
        <v>34</v>
      </c>
      <c r="N1533" t="s">
        <v>35</v>
      </c>
      <c r="O1533">
        <v>0.68299123703888698</v>
      </c>
      <c r="P1533" t="s">
        <v>36</v>
      </c>
    </row>
    <row r="1534" spans="1:16">
      <c r="A1534">
        <v>1533</v>
      </c>
      <c r="B1534" t="s">
        <v>1593</v>
      </c>
      <c r="C1534">
        <v>264</v>
      </c>
      <c r="D1534">
        <v>225</v>
      </c>
      <c r="E1534">
        <v>183.85730202347401</v>
      </c>
      <c r="F1534">
        <v>1.1743341661997899</v>
      </c>
      <c r="G1534">
        <v>26549.212712665401</v>
      </c>
      <c r="H1534">
        <v>2294.8279687092599</v>
      </c>
      <c r="I1534">
        <v>0.59395374095573705</v>
      </c>
      <c r="J1534">
        <v>6.3352133117441006E-2</v>
      </c>
      <c r="K1534">
        <v>0.48435292618312298</v>
      </c>
      <c r="L1534" t="s">
        <v>38</v>
      </c>
      <c r="M1534" t="s">
        <v>34</v>
      </c>
      <c r="N1534" t="s">
        <v>35</v>
      </c>
      <c r="O1534">
        <v>0.73627454315282403</v>
      </c>
      <c r="P1534" t="s">
        <v>36</v>
      </c>
    </row>
    <row r="1535" spans="1:16">
      <c r="A1535">
        <v>1534</v>
      </c>
      <c r="B1535" t="s">
        <v>1594</v>
      </c>
      <c r="C1535">
        <v>257</v>
      </c>
      <c r="D1535">
        <v>284</v>
      </c>
      <c r="E1535">
        <v>186.310743351913</v>
      </c>
      <c r="F1535">
        <v>0.90551176712855397</v>
      </c>
      <c r="G1535">
        <v>27262.5</v>
      </c>
      <c r="H1535">
        <v>2421.57898128033</v>
      </c>
      <c r="I1535">
        <v>0.74324072894331505</v>
      </c>
      <c r="J1535">
        <v>5.8422248250935199E-2</v>
      </c>
      <c r="K1535">
        <v>0.43394349383207298</v>
      </c>
      <c r="L1535" t="s">
        <v>38</v>
      </c>
      <c r="M1535" t="s">
        <v>34</v>
      </c>
      <c r="N1535" t="s">
        <v>35</v>
      </c>
      <c r="O1535">
        <v>0.71764631923018896</v>
      </c>
      <c r="P1535" t="s">
        <v>36</v>
      </c>
    </row>
    <row r="1536" spans="1:16">
      <c r="A1536">
        <v>1535</v>
      </c>
      <c r="B1536" t="s">
        <v>1595</v>
      </c>
      <c r="C1536">
        <v>693</v>
      </c>
      <c r="D1536">
        <v>152</v>
      </c>
      <c r="E1536">
        <v>188.89822191117301</v>
      </c>
      <c r="F1536">
        <v>4.5459997314680702</v>
      </c>
      <c r="G1536">
        <v>28025</v>
      </c>
      <c r="H1536">
        <v>2306.9343197345702</v>
      </c>
      <c r="I1536">
        <v>0.45113338879430498</v>
      </c>
      <c r="J1536">
        <v>6.6173640132305395E-2</v>
      </c>
      <c r="K1536">
        <v>0.351962323390895</v>
      </c>
      <c r="L1536" t="s">
        <v>49</v>
      </c>
      <c r="M1536" t="s">
        <v>34</v>
      </c>
      <c r="N1536" t="s">
        <v>35</v>
      </c>
      <c r="O1536">
        <v>0.83597073670131195</v>
      </c>
      <c r="P1536" t="s">
        <v>36</v>
      </c>
    </row>
    <row r="1537" spans="1:16">
      <c r="A1537">
        <v>1536</v>
      </c>
      <c r="B1537" t="s">
        <v>1596</v>
      </c>
      <c r="C1537">
        <v>314</v>
      </c>
      <c r="D1537">
        <v>201</v>
      </c>
      <c r="E1537">
        <v>189.15441391747601</v>
      </c>
      <c r="F1537">
        <v>1.55970477942228</v>
      </c>
      <c r="G1537">
        <v>28101.069003402699</v>
      </c>
      <c r="H1537">
        <v>1749.32880539231</v>
      </c>
      <c r="I1537">
        <v>0.59999423130740004</v>
      </c>
      <c r="J1537">
        <v>0.115395748991366</v>
      </c>
      <c r="K1537">
        <v>0.59014889034553797</v>
      </c>
      <c r="L1537" t="s">
        <v>33</v>
      </c>
      <c r="M1537" t="s">
        <v>34</v>
      </c>
      <c r="N1537" t="s">
        <v>35</v>
      </c>
      <c r="O1537">
        <v>0.708943284645279</v>
      </c>
      <c r="P1537" t="s">
        <v>36</v>
      </c>
    </row>
    <row r="1538" spans="1:16">
      <c r="A1538">
        <v>1537</v>
      </c>
      <c r="B1538" t="s">
        <v>1597</v>
      </c>
      <c r="C1538">
        <v>294</v>
      </c>
      <c r="D1538">
        <v>240</v>
      </c>
      <c r="E1538">
        <v>191.398161250849</v>
      </c>
      <c r="F1538">
        <v>1.2249998924948799</v>
      </c>
      <c r="G1538">
        <v>28771.692083932001</v>
      </c>
      <c r="H1538">
        <v>2437.9113022812599</v>
      </c>
      <c r="I1538">
        <v>0.60559679854010495</v>
      </c>
      <c r="J1538">
        <v>6.0833032484230901E-2</v>
      </c>
      <c r="K1538">
        <v>0.47292929440995601</v>
      </c>
      <c r="L1538" t="s">
        <v>38</v>
      </c>
      <c r="M1538" t="s">
        <v>34</v>
      </c>
      <c r="N1538" t="s">
        <v>35</v>
      </c>
      <c r="O1538">
        <v>0.73982792930718699</v>
      </c>
      <c r="P1538" t="s">
        <v>36</v>
      </c>
    </row>
    <row r="1539" spans="1:16">
      <c r="A1539">
        <v>1538</v>
      </c>
      <c r="B1539" t="s">
        <v>1598</v>
      </c>
      <c r="C1539">
        <v>214</v>
      </c>
      <c r="D1539">
        <v>225</v>
      </c>
      <c r="E1539">
        <v>192.364685308399</v>
      </c>
      <c r="F1539">
        <v>0.95398773482866805</v>
      </c>
      <c r="G1539">
        <v>29063.008847637098</v>
      </c>
      <c r="H1539">
        <v>1365.0042033365501</v>
      </c>
      <c r="I1539">
        <v>0.62114949169814304</v>
      </c>
      <c r="J1539">
        <v>0.19601191004111301</v>
      </c>
      <c r="K1539">
        <v>0.69547124580753195</v>
      </c>
      <c r="L1539" t="s">
        <v>49</v>
      </c>
      <c r="M1539" t="s">
        <v>34</v>
      </c>
      <c r="N1539" t="s">
        <v>35</v>
      </c>
      <c r="O1539">
        <v>0.82073186901568096</v>
      </c>
      <c r="P1539" t="s">
        <v>36</v>
      </c>
    </row>
    <row r="1540" spans="1:16">
      <c r="A1540">
        <v>1539</v>
      </c>
      <c r="B1540" t="s">
        <v>1599</v>
      </c>
      <c r="C1540">
        <v>210</v>
      </c>
      <c r="D1540">
        <v>201</v>
      </c>
      <c r="E1540">
        <v>193.26959410255901</v>
      </c>
      <c r="F1540">
        <v>1.0489130434782601</v>
      </c>
      <c r="G1540">
        <v>29337.084415122899</v>
      </c>
      <c r="H1540">
        <v>1244.9578013165101</v>
      </c>
      <c r="I1540">
        <v>0.518919344540965</v>
      </c>
      <c r="J1540">
        <v>0.237857884829414</v>
      </c>
      <c r="K1540">
        <v>0.83609515579728599</v>
      </c>
      <c r="L1540" t="s">
        <v>43</v>
      </c>
      <c r="M1540" t="s">
        <v>34</v>
      </c>
      <c r="N1540" t="s">
        <v>35</v>
      </c>
      <c r="O1540">
        <v>0.78376247482713601</v>
      </c>
      <c r="P1540" t="s">
        <v>36</v>
      </c>
    </row>
    <row r="1541" spans="1:16">
      <c r="A1541">
        <v>1540</v>
      </c>
      <c r="B1541" t="s">
        <v>1600</v>
      </c>
      <c r="C1541">
        <v>374</v>
      </c>
      <c r="D1541">
        <v>211</v>
      </c>
      <c r="E1541">
        <v>194.870134760887</v>
      </c>
      <c r="F1541">
        <v>1.7722513124513699</v>
      </c>
      <c r="G1541">
        <v>29825</v>
      </c>
      <c r="H1541">
        <v>1837.5230705738099</v>
      </c>
      <c r="I1541">
        <v>0.76619781299704803</v>
      </c>
      <c r="J1541">
        <v>0.111000443863273</v>
      </c>
      <c r="K1541">
        <v>0.53823595759079601</v>
      </c>
      <c r="L1541" t="s">
        <v>144</v>
      </c>
      <c r="M1541" t="s">
        <v>34</v>
      </c>
      <c r="N1541" t="s">
        <v>35</v>
      </c>
      <c r="O1541">
        <v>0.747176522854341</v>
      </c>
      <c r="P1541" t="s">
        <v>36</v>
      </c>
    </row>
    <row r="1542" spans="1:16">
      <c r="A1542">
        <v>1541</v>
      </c>
      <c r="B1542" t="s">
        <v>1601</v>
      </c>
      <c r="C1542">
        <v>260</v>
      </c>
      <c r="D1542">
        <v>225</v>
      </c>
      <c r="E1542">
        <v>195.04547423578299</v>
      </c>
      <c r="F1542">
        <v>1.15269445397156</v>
      </c>
      <c r="G1542">
        <v>29878.6957860113</v>
      </c>
      <c r="H1542">
        <v>1666.0040890646001</v>
      </c>
      <c r="I1542">
        <v>0.59856811116471798</v>
      </c>
      <c r="J1542">
        <v>0.13527557059588299</v>
      </c>
      <c r="K1542">
        <v>0.57483300544448002</v>
      </c>
      <c r="L1542" t="s">
        <v>38</v>
      </c>
      <c r="M1542" t="s">
        <v>34</v>
      </c>
      <c r="N1542" t="s">
        <v>35</v>
      </c>
      <c r="O1542">
        <v>0.734638624866921</v>
      </c>
      <c r="P1542" t="s">
        <v>36</v>
      </c>
    </row>
    <row r="1543" spans="1:16">
      <c r="A1543">
        <v>1542</v>
      </c>
      <c r="B1543" t="s">
        <v>1602</v>
      </c>
      <c r="C1543">
        <v>733</v>
      </c>
      <c r="D1543">
        <v>162</v>
      </c>
      <c r="E1543">
        <v>196.13197022747499</v>
      </c>
      <c r="F1543">
        <v>4.51510769121602</v>
      </c>
      <c r="G1543">
        <v>30212.5</v>
      </c>
      <c r="H1543">
        <v>2423.2947105169301</v>
      </c>
      <c r="I1543">
        <v>0.36852329459033201</v>
      </c>
      <c r="J1543">
        <v>6.4652311799740694E-2</v>
      </c>
      <c r="K1543">
        <v>0.33780573025855998</v>
      </c>
      <c r="L1543" t="s">
        <v>33</v>
      </c>
      <c r="M1543" t="s">
        <v>34</v>
      </c>
      <c r="N1543" t="s">
        <v>35</v>
      </c>
      <c r="O1543">
        <v>0.778785159565478</v>
      </c>
      <c r="P1543" t="s">
        <v>36</v>
      </c>
    </row>
    <row r="1544" spans="1:16">
      <c r="A1544">
        <v>1543</v>
      </c>
      <c r="B1544" t="s">
        <v>1603</v>
      </c>
      <c r="C1544">
        <v>286</v>
      </c>
      <c r="D1544">
        <v>277</v>
      </c>
      <c r="E1544">
        <v>198.58770979087001</v>
      </c>
      <c r="F1544">
        <v>1.0310235554845</v>
      </c>
      <c r="G1544">
        <v>30973.809007939501</v>
      </c>
      <c r="H1544">
        <v>1703.62133444745</v>
      </c>
      <c r="I1544">
        <v>0.59096561878771603</v>
      </c>
      <c r="J1544">
        <v>0.13410912837203201</v>
      </c>
      <c r="K1544">
        <v>0.50016320574484197</v>
      </c>
      <c r="L1544" t="s">
        <v>38</v>
      </c>
      <c r="M1544" t="s">
        <v>34</v>
      </c>
      <c r="N1544" t="s">
        <v>35</v>
      </c>
      <c r="O1544">
        <v>0.75635049853340897</v>
      </c>
      <c r="P1544" t="s">
        <v>36</v>
      </c>
    </row>
    <row r="1545" spans="1:16">
      <c r="A1545">
        <v>1544</v>
      </c>
      <c r="B1545" t="s">
        <v>1604</v>
      </c>
      <c r="C1545">
        <v>355</v>
      </c>
      <c r="D1545">
        <v>202</v>
      </c>
      <c r="E1545">
        <v>202.51969986838699</v>
      </c>
      <c r="F1545">
        <v>1.7547530186132001</v>
      </c>
      <c r="G1545">
        <v>32212.5</v>
      </c>
      <c r="H1545">
        <v>1609.03064906597</v>
      </c>
      <c r="I1545">
        <v>0.83846268760356102</v>
      </c>
      <c r="J1545">
        <v>0.156352799682832</v>
      </c>
      <c r="K1545">
        <v>0.57728494623655902</v>
      </c>
      <c r="L1545" t="s">
        <v>33</v>
      </c>
      <c r="M1545" t="s">
        <v>34</v>
      </c>
      <c r="N1545" t="s">
        <v>35</v>
      </c>
      <c r="O1545">
        <v>0.743636937696176</v>
      </c>
      <c r="P1545" t="s">
        <v>36</v>
      </c>
    </row>
    <row r="1546" spans="1:16">
      <c r="A1546">
        <v>1545</v>
      </c>
      <c r="B1546" t="s">
        <v>1605</v>
      </c>
      <c r="C1546">
        <v>369</v>
      </c>
      <c r="D1546">
        <v>211</v>
      </c>
      <c r="E1546">
        <v>204.725583285851</v>
      </c>
      <c r="F1546">
        <v>1.7465301379312399</v>
      </c>
      <c r="G1546">
        <v>32918.051143667297</v>
      </c>
      <c r="H1546">
        <v>2157.08559841851</v>
      </c>
      <c r="I1546">
        <v>0.57712256297199105</v>
      </c>
      <c r="J1546">
        <v>8.8901527090313306E-2</v>
      </c>
      <c r="K1546">
        <v>0.55133605173933198</v>
      </c>
      <c r="L1546" t="s">
        <v>38</v>
      </c>
      <c r="M1546" t="s">
        <v>34</v>
      </c>
      <c r="N1546" t="s">
        <v>35</v>
      </c>
      <c r="O1546">
        <v>0.73685212151260604</v>
      </c>
      <c r="P1546" t="s">
        <v>36</v>
      </c>
    </row>
    <row r="1547" spans="1:16">
      <c r="A1547">
        <v>1546</v>
      </c>
      <c r="B1547" t="s">
        <v>1606</v>
      </c>
      <c r="C1547">
        <v>221</v>
      </c>
      <c r="D1547">
        <v>434</v>
      </c>
      <c r="E1547">
        <v>211.62750526824101</v>
      </c>
      <c r="F1547">
        <v>0.51035405531523703</v>
      </c>
      <c r="G1547">
        <v>35175</v>
      </c>
      <c r="H1547">
        <v>2518.6500489711798</v>
      </c>
      <c r="I1547">
        <v>0.75338803623730299</v>
      </c>
      <c r="J1547">
        <v>6.9680027255738006E-2</v>
      </c>
      <c r="K1547">
        <v>0.50666186532228996</v>
      </c>
      <c r="L1547" t="s">
        <v>43</v>
      </c>
      <c r="M1547" t="s">
        <v>34</v>
      </c>
      <c r="N1547" t="s">
        <v>35</v>
      </c>
      <c r="O1547">
        <v>0.76847356874565398</v>
      </c>
      <c r="P1547" t="s">
        <v>36</v>
      </c>
    </row>
    <row r="1548" spans="1:16">
      <c r="A1548">
        <v>1547</v>
      </c>
      <c r="B1548" t="s">
        <v>1607</v>
      </c>
      <c r="C1548">
        <v>438</v>
      </c>
      <c r="D1548">
        <v>240</v>
      </c>
      <c r="E1548">
        <v>213.46208142714599</v>
      </c>
      <c r="F1548">
        <v>1.82352925776103</v>
      </c>
      <c r="G1548">
        <v>35787.5</v>
      </c>
      <c r="H1548">
        <v>2176.0154920816399</v>
      </c>
      <c r="I1548">
        <v>0.65693110181477898</v>
      </c>
      <c r="J1548">
        <v>9.4976740084969605E-2</v>
      </c>
      <c r="K1548">
        <v>0.39176245210728</v>
      </c>
      <c r="L1548" t="s">
        <v>33</v>
      </c>
      <c r="M1548" t="s">
        <v>34</v>
      </c>
      <c r="N1548" t="s">
        <v>35</v>
      </c>
      <c r="O1548">
        <v>0.77314940504965601</v>
      </c>
      <c r="P1548" t="s">
        <v>36</v>
      </c>
    </row>
    <row r="1549" spans="1:16">
      <c r="A1549">
        <v>1548</v>
      </c>
      <c r="B1549" t="s">
        <v>1608</v>
      </c>
      <c r="C1549">
        <v>195</v>
      </c>
      <c r="D1549">
        <v>402</v>
      </c>
      <c r="E1549">
        <v>215.65219074351799</v>
      </c>
      <c r="F1549">
        <v>0.484396200814111</v>
      </c>
      <c r="G1549">
        <v>36525.622821550103</v>
      </c>
      <c r="H1549">
        <v>3127.2726389946101</v>
      </c>
      <c r="I1549">
        <v>0.71344227835150498</v>
      </c>
      <c r="J1549">
        <v>4.6932750172667299E-2</v>
      </c>
      <c r="K1549">
        <v>0.52688146683875803</v>
      </c>
      <c r="L1549" t="s">
        <v>144</v>
      </c>
      <c r="M1549" t="s">
        <v>34</v>
      </c>
      <c r="N1549" t="s">
        <v>35</v>
      </c>
      <c r="O1549">
        <v>0.98073165010304097</v>
      </c>
      <c r="P1549" t="s">
        <v>36</v>
      </c>
    </row>
    <row r="1550" spans="1:16">
      <c r="A1550">
        <v>1549</v>
      </c>
      <c r="B1550" t="s">
        <v>1609</v>
      </c>
      <c r="C1550">
        <v>225</v>
      </c>
      <c r="D1550">
        <v>295</v>
      </c>
      <c r="E1550">
        <v>216.791269877356</v>
      </c>
      <c r="F1550">
        <v>0.76271186440677996</v>
      </c>
      <c r="G1550">
        <v>36912.5</v>
      </c>
      <c r="H1550">
        <v>1743.8834613561601</v>
      </c>
      <c r="I1550">
        <v>0.53776117560313996</v>
      </c>
      <c r="J1550">
        <v>0.15252758924474699</v>
      </c>
      <c r="K1550">
        <v>0.69254221388367698</v>
      </c>
      <c r="L1550" t="s">
        <v>74</v>
      </c>
      <c r="M1550" t="s">
        <v>34</v>
      </c>
      <c r="N1550" t="s">
        <v>35</v>
      </c>
      <c r="O1550">
        <v>0.657027066360789</v>
      </c>
      <c r="P1550" t="s">
        <v>36</v>
      </c>
    </row>
    <row r="1551" spans="1:16">
      <c r="A1551">
        <v>1550</v>
      </c>
      <c r="B1551" t="s">
        <v>1610</v>
      </c>
      <c r="C1551">
        <v>314</v>
      </c>
      <c r="D1551">
        <v>318</v>
      </c>
      <c r="E1551">
        <v>221.89160642817299</v>
      </c>
      <c r="F1551">
        <v>0.98458904109588996</v>
      </c>
      <c r="G1551">
        <v>38669.773654820397</v>
      </c>
      <c r="H1551">
        <v>3457.5780789660398</v>
      </c>
      <c r="I1551">
        <v>0.60005236038764698</v>
      </c>
      <c r="J1551">
        <v>4.0647842751171601E-2</v>
      </c>
      <c r="K1551">
        <v>0.42000849144478902</v>
      </c>
      <c r="L1551" t="s">
        <v>47</v>
      </c>
      <c r="M1551" t="s">
        <v>34</v>
      </c>
      <c r="N1551" t="s">
        <v>35</v>
      </c>
      <c r="O1551">
        <v>0.91275175653802099</v>
      </c>
      <c r="P1551" t="s">
        <v>36</v>
      </c>
    </row>
    <row r="1552" spans="1:16">
      <c r="A1552">
        <v>1551</v>
      </c>
      <c r="B1552" t="s">
        <v>1611</v>
      </c>
      <c r="C1552">
        <v>183</v>
      </c>
      <c r="D1552">
        <v>474</v>
      </c>
      <c r="E1552">
        <v>224.367351680155</v>
      </c>
      <c r="F1552">
        <v>0.38716357450049399</v>
      </c>
      <c r="G1552">
        <v>39537.5</v>
      </c>
      <c r="H1552">
        <v>2149.44695055485</v>
      </c>
      <c r="I1552">
        <v>0.89562699561892301</v>
      </c>
      <c r="J1552">
        <v>0.107538904250447</v>
      </c>
      <c r="K1552">
        <v>0.55442594215600305</v>
      </c>
      <c r="L1552" t="s">
        <v>61</v>
      </c>
      <c r="M1552" t="s">
        <v>34</v>
      </c>
      <c r="N1552" t="s">
        <v>35</v>
      </c>
      <c r="O1552">
        <v>0.92886659218915801</v>
      </c>
      <c r="P1552" t="s">
        <v>36</v>
      </c>
    </row>
    <row r="1553" spans="1:17">
      <c r="A1553">
        <v>1552</v>
      </c>
      <c r="B1553" t="s">
        <v>1612</v>
      </c>
      <c r="C1553">
        <v>221</v>
      </c>
      <c r="D1553">
        <v>417</v>
      </c>
      <c r="E1553">
        <v>224.43827545359699</v>
      </c>
      <c r="F1553">
        <v>0.53139320934324197</v>
      </c>
      <c r="G1553">
        <v>39562.5</v>
      </c>
      <c r="H1553">
        <v>1738.7362736463499</v>
      </c>
      <c r="I1553">
        <v>0.89071979708319404</v>
      </c>
      <c r="J1553">
        <v>0.16444707849776299</v>
      </c>
      <c r="K1553">
        <v>0.57493188010899199</v>
      </c>
      <c r="L1553" t="s">
        <v>38</v>
      </c>
      <c r="M1553" t="s">
        <v>34</v>
      </c>
      <c r="N1553" t="s">
        <v>35</v>
      </c>
      <c r="O1553">
        <v>0.78767577641703801</v>
      </c>
      <c r="P1553" t="s">
        <v>36</v>
      </c>
    </row>
    <row r="1554" spans="1:17">
      <c r="A1554">
        <v>1553</v>
      </c>
      <c r="B1554" t="s">
        <v>1613</v>
      </c>
      <c r="C1554">
        <v>489</v>
      </c>
      <c r="D1554">
        <v>283</v>
      </c>
      <c r="E1554">
        <v>240.02935112037099</v>
      </c>
      <c r="F1554">
        <v>1.72475669939405</v>
      </c>
      <c r="G1554">
        <v>45250</v>
      </c>
      <c r="H1554">
        <v>2795.6348919868501</v>
      </c>
      <c r="I1554">
        <v>0.60673003866586805</v>
      </c>
      <c r="J1554">
        <v>7.2755787049165105E-2</v>
      </c>
      <c r="K1554">
        <v>0.415566525083228</v>
      </c>
      <c r="L1554" t="s">
        <v>61</v>
      </c>
      <c r="M1554" t="s">
        <v>34</v>
      </c>
      <c r="N1554" t="s">
        <v>35</v>
      </c>
      <c r="O1554">
        <v>0.85105066214297398</v>
      </c>
      <c r="P1554" t="s">
        <v>36</v>
      </c>
    </row>
    <row r="1555" spans="1:17">
      <c r="A1555">
        <v>1554</v>
      </c>
      <c r="B1555" t="s">
        <v>1614</v>
      </c>
      <c r="C1555">
        <v>321</v>
      </c>
      <c r="D1555">
        <v>488</v>
      </c>
      <c r="E1555">
        <v>243.467358531922</v>
      </c>
      <c r="F1555">
        <v>0.65830910057672598</v>
      </c>
      <c r="G1555">
        <v>46555.540091115297</v>
      </c>
      <c r="H1555">
        <v>2529.3833181458999</v>
      </c>
      <c r="I1555">
        <v>0.608597145754734</v>
      </c>
      <c r="J1555">
        <v>9.1443309033667597E-2</v>
      </c>
      <c r="K1555">
        <v>0.45862305758466199</v>
      </c>
      <c r="L1555" t="s">
        <v>38</v>
      </c>
      <c r="M1555" t="s">
        <v>34</v>
      </c>
      <c r="N1555" t="s">
        <v>35</v>
      </c>
      <c r="O1555">
        <v>0.68081355209113703</v>
      </c>
      <c r="P1555" t="s">
        <v>36</v>
      </c>
    </row>
    <row r="1556" spans="1:17">
      <c r="A1556">
        <v>1555</v>
      </c>
      <c r="B1556" t="s">
        <v>1615</v>
      </c>
      <c r="C1556">
        <v>259</v>
      </c>
      <c r="D1556">
        <v>478</v>
      </c>
      <c r="E1556">
        <v>251.63371906513399</v>
      </c>
      <c r="F1556">
        <v>0.54223744880814895</v>
      </c>
      <c r="G1556">
        <v>49731.041446502801</v>
      </c>
      <c r="H1556">
        <v>2478.8186564889202</v>
      </c>
      <c r="I1556">
        <v>0.71851192319036306</v>
      </c>
      <c r="J1556">
        <v>0.101706311844805</v>
      </c>
      <c r="K1556">
        <v>0.56561678015268202</v>
      </c>
      <c r="L1556" t="s">
        <v>33</v>
      </c>
      <c r="M1556" t="s">
        <v>34</v>
      </c>
      <c r="N1556" t="s">
        <v>35</v>
      </c>
      <c r="O1556">
        <v>0.67001532058648605</v>
      </c>
      <c r="P1556" t="s">
        <v>36</v>
      </c>
    </row>
    <row r="1557" spans="1:17">
      <c r="A1557">
        <v>1556</v>
      </c>
      <c r="B1557" t="s">
        <v>1616</v>
      </c>
      <c r="C1557">
        <v>359</v>
      </c>
      <c r="D1557">
        <v>410</v>
      </c>
      <c r="E1557">
        <v>280.44725195919398</v>
      </c>
      <c r="F1557">
        <v>0.87485937718486095</v>
      </c>
      <c r="G1557">
        <v>61772.084802646503</v>
      </c>
      <c r="H1557">
        <v>3369.6614162359001</v>
      </c>
      <c r="I1557">
        <v>0.56407483560206095</v>
      </c>
      <c r="J1557">
        <v>6.8364334858742604E-2</v>
      </c>
      <c r="K1557">
        <v>0.52582322970977702</v>
      </c>
      <c r="L1557" t="s">
        <v>47</v>
      </c>
      <c r="M1557" t="s">
        <v>34</v>
      </c>
      <c r="N1557" t="s">
        <v>35</v>
      </c>
      <c r="O1557">
        <v>0.84957344994880502</v>
      </c>
      <c r="P1557" t="s">
        <v>36</v>
      </c>
    </row>
    <row r="1558" spans="1:17">
      <c r="A1558">
        <v>1557</v>
      </c>
      <c r="B1558" t="s">
        <v>1617</v>
      </c>
      <c r="C1558">
        <v>349</v>
      </c>
      <c r="D1558">
        <v>545</v>
      </c>
      <c r="E1558">
        <v>305.47101848584299</v>
      </c>
      <c r="F1558">
        <v>0.64081690295122595</v>
      </c>
      <c r="G1558">
        <v>73287.5</v>
      </c>
      <c r="H1558">
        <v>2647.1424704790102</v>
      </c>
      <c r="I1558">
        <v>0.75754201575250102</v>
      </c>
      <c r="J1558">
        <v>0.13142716487763101</v>
      </c>
      <c r="K1558">
        <v>0.53665903890160205</v>
      </c>
      <c r="L1558" t="s">
        <v>33</v>
      </c>
      <c r="M1558" t="s">
        <v>34</v>
      </c>
      <c r="N1558" t="s">
        <v>35</v>
      </c>
      <c r="O1558">
        <v>0.82230593583274103</v>
      </c>
      <c r="P1558" t="s">
        <v>36</v>
      </c>
    </row>
    <row r="1559" spans="1:17">
      <c r="A1559">
        <v>1558</v>
      </c>
      <c r="B1559" t="s">
        <v>1618</v>
      </c>
      <c r="C1559">
        <v>310</v>
      </c>
      <c r="D1559">
        <v>1049</v>
      </c>
      <c r="E1559">
        <v>307.03008450855401</v>
      </c>
      <c r="F1559">
        <v>0.29519683798687402</v>
      </c>
      <c r="G1559">
        <v>74037.5</v>
      </c>
      <c r="H1559">
        <v>4388.0969995260202</v>
      </c>
      <c r="I1559">
        <v>0.82475018178980097</v>
      </c>
      <c r="J1559">
        <v>4.8318024686820497E-2</v>
      </c>
      <c r="K1559">
        <v>0.34320315216131603</v>
      </c>
      <c r="L1559" t="s">
        <v>38</v>
      </c>
      <c r="M1559" t="s">
        <v>34</v>
      </c>
      <c r="N1559" t="s">
        <v>35</v>
      </c>
      <c r="O1559">
        <v>0.73927941289366905</v>
      </c>
      <c r="P1559" t="s">
        <v>36</v>
      </c>
    </row>
    <row r="1560" spans="1:17">
      <c r="A1560">
        <v>1559</v>
      </c>
      <c r="B1560" t="s">
        <v>1619</v>
      </c>
      <c r="C1560">
        <v>549</v>
      </c>
      <c r="D1560">
        <v>341</v>
      </c>
      <c r="E1560">
        <v>329.87002681651597</v>
      </c>
      <c r="F1560">
        <v>1.61186447418018</v>
      </c>
      <c r="G1560">
        <v>85462.5</v>
      </c>
      <c r="H1560">
        <v>3917.6806980371498</v>
      </c>
      <c r="I1560">
        <v>0.68990467737210903</v>
      </c>
      <c r="J1560">
        <v>6.9972498769368605E-2</v>
      </c>
      <c r="K1560">
        <v>0.57730304821413503</v>
      </c>
      <c r="L1560" t="s">
        <v>49</v>
      </c>
      <c r="M1560" t="s">
        <v>34</v>
      </c>
      <c r="N1560" t="s">
        <v>35</v>
      </c>
      <c r="O1560">
        <v>0.83544959851556699</v>
      </c>
      <c r="P1560" t="s">
        <v>36</v>
      </c>
    </row>
    <row r="1561" spans="1:17">
      <c r="A1561">
        <v>1560</v>
      </c>
      <c r="B1561" t="s">
        <v>1620</v>
      </c>
      <c r="C1561">
        <v>402</v>
      </c>
      <c r="D1561">
        <v>807</v>
      </c>
      <c r="E1561">
        <v>346.18444816051101</v>
      </c>
      <c r="F1561">
        <v>0.49765564229644399</v>
      </c>
      <c r="G1561">
        <v>94125</v>
      </c>
      <c r="H1561">
        <v>3872.3253595829001</v>
      </c>
      <c r="I1561">
        <v>0.89347254945529098</v>
      </c>
      <c r="J1561">
        <v>7.8880775661692507E-2</v>
      </c>
      <c r="K1561">
        <v>0.46813801678582501</v>
      </c>
      <c r="L1561" t="s">
        <v>47</v>
      </c>
      <c r="M1561" t="s">
        <v>34</v>
      </c>
      <c r="N1561" t="s">
        <v>35</v>
      </c>
      <c r="O1561">
        <v>0.89828935826293799</v>
      </c>
      <c r="P1561" t="s">
        <v>36</v>
      </c>
    </row>
    <row r="1562" spans="1:17">
      <c r="A1562">
        <v>1561</v>
      </c>
      <c r="B1562" t="s">
        <v>1621</v>
      </c>
      <c r="C1562">
        <v>385</v>
      </c>
      <c r="D1562">
        <v>534</v>
      </c>
      <c r="E1562">
        <v>368.886806952445</v>
      </c>
      <c r="F1562">
        <v>0.72046036305789996</v>
      </c>
      <c r="G1562">
        <v>106875</v>
      </c>
      <c r="H1562">
        <v>2790.07140278816</v>
      </c>
      <c r="I1562">
        <v>0.70527280552985705</v>
      </c>
      <c r="J1562">
        <v>0.172526318943757</v>
      </c>
      <c r="K1562">
        <v>0.65901032834900597</v>
      </c>
      <c r="L1562" t="s">
        <v>47</v>
      </c>
      <c r="M1562" t="s">
        <v>34</v>
      </c>
      <c r="N1562" t="s">
        <v>35</v>
      </c>
      <c r="O1562">
        <v>0.88488211899145597</v>
      </c>
      <c r="P1562" t="s">
        <v>36</v>
      </c>
    </row>
    <row r="1563" spans="1:17">
      <c r="A1563">
        <v>1562</v>
      </c>
      <c r="B1563" t="s">
        <v>1622</v>
      </c>
      <c r="C1563">
        <v>318</v>
      </c>
      <c r="D1563">
        <v>844</v>
      </c>
      <c r="E1563">
        <v>387.75465792033202</v>
      </c>
      <c r="F1563">
        <v>0.376569761985658</v>
      </c>
      <c r="G1563">
        <v>118087.5</v>
      </c>
      <c r="H1563">
        <v>4645.3762179613104</v>
      </c>
      <c r="I1563">
        <v>0.91520818653511005</v>
      </c>
      <c r="J1563">
        <v>6.8765722116611305E-2</v>
      </c>
      <c r="K1563">
        <v>0.57026439695762399</v>
      </c>
      <c r="L1563" t="s">
        <v>38</v>
      </c>
      <c r="M1563" t="s">
        <v>34</v>
      </c>
      <c r="N1563" t="s">
        <v>35</v>
      </c>
      <c r="O1563">
        <v>0.77488260263489805</v>
      </c>
      <c r="P1563" t="s">
        <v>36</v>
      </c>
    </row>
    <row r="1564" spans="1:17">
      <c r="A1564">
        <v>1563</v>
      </c>
      <c r="B1564" t="s">
        <v>1623</v>
      </c>
      <c r="C1564">
        <v>544</v>
      </c>
      <c r="D1564">
        <v>406</v>
      </c>
      <c r="E1564">
        <v>399.699552008311</v>
      </c>
      <c r="F1564">
        <v>1.3420427895307001</v>
      </c>
      <c r="G1564">
        <v>125475</v>
      </c>
      <c r="H1564">
        <v>2963.2084858417502</v>
      </c>
      <c r="I1564">
        <v>0.70804834211086998</v>
      </c>
      <c r="J1564">
        <v>0.17957366686406701</v>
      </c>
      <c r="K1564">
        <v>0.69611650485436904</v>
      </c>
      <c r="L1564" t="s">
        <v>33</v>
      </c>
      <c r="M1564" t="s">
        <v>34</v>
      </c>
      <c r="N1564" t="s">
        <v>35</v>
      </c>
      <c r="O1564">
        <v>0.69467530278523104</v>
      </c>
      <c r="P1564" t="s">
        <v>36</v>
      </c>
    </row>
    <row r="1565" spans="1:17">
      <c r="A1565">
        <v>1564</v>
      </c>
      <c r="B1565" t="s">
        <v>1624</v>
      </c>
      <c r="C1565">
        <v>721</v>
      </c>
      <c r="D1565">
        <v>347</v>
      </c>
      <c r="E1565">
        <v>408.73578723126599</v>
      </c>
      <c r="F1565">
        <v>2.0777717935483402</v>
      </c>
      <c r="G1565">
        <v>131212.5</v>
      </c>
      <c r="H1565">
        <v>2765.4267412424101</v>
      </c>
      <c r="I1565">
        <v>0.539931929545163</v>
      </c>
      <c r="J1565">
        <v>0.21560595809607</v>
      </c>
      <c r="K1565">
        <v>0.67396468699839496</v>
      </c>
      <c r="L1565" t="s">
        <v>49</v>
      </c>
      <c r="M1565" t="s">
        <v>34</v>
      </c>
      <c r="N1565" t="s">
        <v>35</v>
      </c>
      <c r="O1565">
        <v>0.81670991024068496</v>
      </c>
      <c r="P1565" t="s">
        <v>36</v>
      </c>
    </row>
    <row r="1566" spans="1:17">
      <c r="A1566">
        <v>1565</v>
      </c>
      <c r="B1566" t="s">
        <v>1625</v>
      </c>
      <c r="C1566">
        <v>83</v>
      </c>
      <c r="D1566">
        <v>65</v>
      </c>
      <c r="E1566">
        <v>50.3553890278721</v>
      </c>
      <c r="F1566">
        <v>1.2721893253126899</v>
      </c>
      <c r="G1566">
        <v>1991.50679432892</v>
      </c>
      <c r="H1566">
        <v>481.18231562002802</v>
      </c>
      <c r="I1566">
        <v>0.54904347798382103</v>
      </c>
      <c r="J1566">
        <v>0.108086720719823</v>
      </c>
      <c r="K1566">
        <v>0.492555968091755</v>
      </c>
      <c r="L1566" t="s">
        <v>38</v>
      </c>
      <c r="M1566" t="s">
        <v>34</v>
      </c>
      <c r="N1566" t="s">
        <v>35</v>
      </c>
      <c r="O1566">
        <v>0.845640674711854</v>
      </c>
      <c r="P1566" t="s">
        <v>36</v>
      </c>
      <c r="Q1566" t="s">
        <v>1626</v>
      </c>
    </row>
    <row r="1567" spans="1:17">
      <c r="A1567">
        <v>1566</v>
      </c>
      <c r="B1567" t="s">
        <v>1627</v>
      </c>
      <c r="C1567">
        <v>51</v>
      </c>
      <c r="D1567">
        <v>74</v>
      </c>
      <c r="E1567">
        <v>50.453006187398998</v>
      </c>
      <c r="F1567">
        <v>0.69887344970324305</v>
      </c>
      <c r="G1567">
        <v>1999.2356064272201</v>
      </c>
      <c r="H1567">
        <v>328.17936760705499</v>
      </c>
      <c r="I1567">
        <v>0.74484668268288101</v>
      </c>
      <c r="J1567">
        <v>0.233265920595945</v>
      </c>
      <c r="K1567">
        <v>0.73793065613342101</v>
      </c>
      <c r="L1567" t="s">
        <v>74</v>
      </c>
      <c r="M1567" t="s">
        <v>34</v>
      </c>
      <c r="N1567" t="s">
        <v>35</v>
      </c>
      <c r="O1567">
        <v>0.72480563254126795</v>
      </c>
      <c r="P1567" t="s">
        <v>36</v>
      </c>
    </row>
    <row r="1568" spans="1:17">
      <c r="A1568">
        <v>1567</v>
      </c>
      <c r="B1568" t="s">
        <v>1628</v>
      </c>
      <c r="C1568">
        <v>59</v>
      </c>
      <c r="D1568">
        <v>63</v>
      </c>
      <c r="E1568">
        <v>50.694360272815302</v>
      </c>
      <c r="F1568">
        <v>0.93103447368680703</v>
      </c>
      <c r="G1568">
        <v>2018.40900567108</v>
      </c>
      <c r="H1568">
        <v>377.30373002529097</v>
      </c>
      <c r="I1568">
        <v>0.64307694249760705</v>
      </c>
      <c r="J1568">
        <v>0.178170927968436</v>
      </c>
      <c r="K1568">
        <v>0.635381088288963</v>
      </c>
      <c r="L1568" t="s">
        <v>33</v>
      </c>
      <c r="M1568" t="s">
        <v>34</v>
      </c>
      <c r="N1568" t="s">
        <v>35</v>
      </c>
      <c r="O1568">
        <v>0.78289606830649805</v>
      </c>
      <c r="P1568" t="s">
        <v>36</v>
      </c>
    </row>
    <row r="1569" spans="1:16">
      <c r="A1569">
        <v>1568</v>
      </c>
      <c r="B1569" t="s">
        <v>1629</v>
      </c>
      <c r="C1569">
        <v>56</v>
      </c>
      <c r="D1569">
        <v>76</v>
      </c>
      <c r="E1569">
        <v>50.880668729764501</v>
      </c>
      <c r="F1569">
        <v>0.73578457208996095</v>
      </c>
      <c r="G1569">
        <v>2033.2721058601101</v>
      </c>
      <c r="H1569">
        <v>368.99431565989602</v>
      </c>
      <c r="I1569">
        <v>0.76817191364386805</v>
      </c>
      <c r="J1569">
        <v>0.18765753826319501</v>
      </c>
      <c r="K1569">
        <v>0.59182349123945499</v>
      </c>
      <c r="L1569" t="s">
        <v>33</v>
      </c>
      <c r="M1569" t="s">
        <v>34</v>
      </c>
      <c r="N1569" t="s">
        <v>35</v>
      </c>
      <c r="O1569">
        <v>0.61376796550437096</v>
      </c>
      <c r="P1569" t="s">
        <v>36</v>
      </c>
    </row>
    <row r="1570" spans="1:16">
      <c r="A1570">
        <v>1569</v>
      </c>
      <c r="B1570" t="s">
        <v>1630</v>
      </c>
      <c r="C1570">
        <v>73</v>
      </c>
      <c r="D1570">
        <v>46</v>
      </c>
      <c r="E1570">
        <v>51.0366422426005</v>
      </c>
      <c r="F1570">
        <v>1.58418626159391</v>
      </c>
      <c r="G1570">
        <v>2045.7571100189</v>
      </c>
      <c r="H1570">
        <v>274.647871096031</v>
      </c>
      <c r="I1570">
        <v>0.69714638353779701</v>
      </c>
      <c r="J1570">
        <v>0.34080931727778202</v>
      </c>
      <c r="K1570">
        <v>0.74291574458897802</v>
      </c>
      <c r="L1570" t="s">
        <v>38</v>
      </c>
      <c r="M1570" t="s">
        <v>34</v>
      </c>
      <c r="N1570" t="s">
        <v>35</v>
      </c>
      <c r="O1570">
        <v>0.79500196793149902</v>
      </c>
      <c r="P1570" t="s">
        <v>36</v>
      </c>
    </row>
    <row r="1571" spans="1:16">
      <c r="A1571">
        <v>1570</v>
      </c>
      <c r="B1571" t="s">
        <v>1631</v>
      </c>
      <c r="C1571">
        <v>74</v>
      </c>
      <c r="D1571">
        <v>49</v>
      </c>
      <c r="E1571">
        <v>51.168106229476599</v>
      </c>
      <c r="F1571">
        <v>1.5</v>
      </c>
      <c r="G1571">
        <v>2056.3099111531201</v>
      </c>
      <c r="H1571">
        <v>377.62311099187201</v>
      </c>
      <c r="I1571">
        <v>0.77353932512942203</v>
      </c>
      <c r="J1571">
        <v>0.18120964151774299</v>
      </c>
      <c r="K1571">
        <v>0.66842206976519503</v>
      </c>
      <c r="L1571" t="s">
        <v>38</v>
      </c>
      <c r="M1571" t="s">
        <v>34</v>
      </c>
      <c r="N1571" t="s">
        <v>35</v>
      </c>
      <c r="O1571">
        <v>0.76192875406262806</v>
      </c>
      <c r="P1571" t="s">
        <v>36</v>
      </c>
    </row>
    <row r="1572" spans="1:16">
      <c r="A1572">
        <v>1571</v>
      </c>
      <c r="B1572" t="s">
        <v>1632</v>
      </c>
      <c r="C1572">
        <v>53</v>
      </c>
      <c r="D1572">
        <v>74</v>
      </c>
      <c r="E1572">
        <v>51.556816625040597</v>
      </c>
      <c r="F1572">
        <v>0.71810433680963703</v>
      </c>
      <c r="G1572">
        <v>2087.6710525519902</v>
      </c>
      <c r="H1572">
        <v>369.85777563074402</v>
      </c>
      <c r="I1572">
        <v>0.74313995807630295</v>
      </c>
      <c r="J1572">
        <v>0.19177960796903201</v>
      </c>
      <c r="K1572">
        <v>0.66612918524139197</v>
      </c>
      <c r="L1572" t="s">
        <v>38</v>
      </c>
      <c r="M1572" t="s">
        <v>34</v>
      </c>
      <c r="N1572" t="s">
        <v>35</v>
      </c>
      <c r="O1572">
        <v>0.73901868148360605</v>
      </c>
      <c r="P1572" t="s">
        <v>36</v>
      </c>
    </row>
    <row r="1573" spans="1:16">
      <c r="A1573">
        <v>1572</v>
      </c>
      <c r="B1573" t="s">
        <v>1633</v>
      </c>
      <c r="C1573">
        <v>46</v>
      </c>
      <c r="D1573">
        <v>78</v>
      </c>
      <c r="E1573">
        <v>51.593509261259598</v>
      </c>
      <c r="F1573">
        <v>0.58714363026831096</v>
      </c>
      <c r="G1573">
        <v>2090.6436725897902</v>
      </c>
      <c r="H1573">
        <v>311.80014838674799</v>
      </c>
      <c r="I1573">
        <v>0.81486767901909796</v>
      </c>
      <c r="J1573">
        <v>0.27023229359387901</v>
      </c>
      <c r="K1573">
        <v>0.73528489283847398</v>
      </c>
      <c r="L1573" t="s">
        <v>33</v>
      </c>
      <c r="M1573" t="s">
        <v>34</v>
      </c>
      <c r="N1573" t="s">
        <v>35</v>
      </c>
      <c r="O1573">
        <v>0.74787549081733695</v>
      </c>
      <c r="P1573" t="s">
        <v>36</v>
      </c>
    </row>
    <row r="1574" spans="1:16">
      <c r="A1574">
        <v>1573</v>
      </c>
      <c r="B1574" t="s">
        <v>1634</v>
      </c>
      <c r="C1574">
        <v>72</v>
      </c>
      <c r="D1574">
        <v>58</v>
      </c>
      <c r="E1574">
        <v>51.633841044547999</v>
      </c>
      <c r="F1574">
        <v>1.24262298383195</v>
      </c>
      <c r="G1574">
        <v>2093.9135546313801</v>
      </c>
      <c r="H1574">
        <v>467.21645001100501</v>
      </c>
      <c r="I1574">
        <v>0.64152965277184804</v>
      </c>
      <c r="J1574">
        <v>0.120540326025929</v>
      </c>
      <c r="K1574">
        <v>0.62325252167757905</v>
      </c>
      <c r="L1574" t="s">
        <v>331</v>
      </c>
      <c r="M1574" t="s">
        <v>34</v>
      </c>
      <c r="N1574" t="s">
        <v>35</v>
      </c>
      <c r="O1574">
        <v>0.61736664555269605</v>
      </c>
      <c r="P1574" t="s">
        <v>36</v>
      </c>
    </row>
    <row r="1575" spans="1:16">
      <c r="A1575">
        <v>1574</v>
      </c>
      <c r="B1575" t="s">
        <v>1635</v>
      </c>
      <c r="C1575">
        <v>52</v>
      </c>
      <c r="D1575">
        <v>83</v>
      </c>
      <c r="E1575">
        <v>51.864227966203998</v>
      </c>
      <c r="F1575">
        <v>0.62796076855388805</v>
      </c>
      <c r="G1575">
        <v>2112.6410608695701</v>
      </c>
      <c r="H1575">
        <v>321.23988326279999</v>
      </c>
      <c r="I1575">
        <v>0.63352364572018205</v>
      </c>
      <c r="J1575">
        <v>0.25726260421237401</v>
      </c>
      <c r="K1575">
        <v>0.72424335065729095</v>
      </c>
      <c r="L1575" t="s">
        <v>331</v>
      </c>
      <c r="M1575" t="s">
        <v>34</v>
      </c>
      <c r="N1575" t="s">
        <v>35</v>
      </c>
      <c r="O1575">
        <v>0.67573000222009105</v>
      </c>
      <c r="P1575" t="s">
        <v>36</v>
      </c>
    </row>
    <row r="1576" spans="1:16">
      <c r="A1576">
        <v>1575</v>
      </c>
      <c r="B1576" t="s">
        <v>1636</v>
      </c>
      <c r="C1576">
        <v>44</v>
      </c>
      <c r="D1576">
        <v>68</v>
      </c>
      <c r="E1576">
        <v>51.8806450263776</v>
      </c>
      <c r="F1576">
        <v>0.64</v>
      </c>
      <c r="G1576">
        <v>2113.9787398865801</v>
      </c>
      <c r="H1576">
        <v>342.12253573490199</v>
      </c>
      <c r="I1576">
        <v>0.63516951816871703</v>
      </c>
      <c r="J1576">
        <v>0.22695884613473999</v>
      </c>
      <c r="K1576">
        <v>0.73443147784777396</v>
      </c>
      <c r="L1576" t="s">
        <v>38</v>
      </c>
      <c r="M1576" t="s">
        <v>34</v>
      </c>
      <c r="N1576" t="s">
        <v>35</v>
      </c>
      <c r="O1576">
        <v>0.75769083046942698</v>
      </c>
      <c r="P1576" t="s">
        <v>36</v>
      </c>
    </row>
    <row r="1577" spans="1:16">
      <c r="A1577">
        <v>1576</v>
      </c>
      <c r="B1577" t="s">
        <v>1637</v>
      </c>
      <c r="C1577">
        <v>74</v>
      </c>
      <c r="D1577">
        <v>54</v>
      </c>
      <c r="E1577">
        <v>51.882468823507097</v>
      </c>
      <c r="F1577">
        <v>1.36363636363636</v>
      </c>
      <c r="G1577">
        <v>2114.1273708884701</v>
      </c>
      <c r="H1577">
        <v>316.45857100258701</v>
      </c>
      <c r="I1577">
        <v>0.82785552156915398</v>
      </c>
      <c r="J1577">
        <v>0.26528169735415502</v>
      </c>
      <c r="K1577">
        <v>0.66053682548527903</v>
      </c>
      <c r="L1577" t="s">
        <v>288</v>
      </c>
      <c r="M1577" t="s">
        <v>34</v>
      </c>
      <c r="N1577" t="s">
        <v>35</v>
      </c>
      <c r="O1577">
        <v>0.73907600411575403</v>
      </c>
      <c r="P1577" t="s">
        <v>36</v>
      </c>
    </row>
    <row r="1578" spans="1:16">
      <c r="A1578">
        <v>1577</v>
      </c>
      <c r="B1578" t="s">
        <v>1638</v>
      </c>
      <c r="C1578">
        <v>58</v>
      </c>
      <c r="D1578">
        <v>58</v>
      </c>
      <c r="E1578">
        <v>51.922576152807999</v>
      </c>
      <c r="F1578">
        <v>1</v>
      </c>
      <c r="G1578">
        <v>2117.3972529300599</v>
      </c>
      <c r="H1578">
        <v>605.469183356244</v>
      </c>
      <c r="I1578">
        <v>0.52231842675053997</v>
      </c>
      <c r="J1578">
        <v>7.2581864776855604E-2</v>
      </c>
      <c r="K1578">
        <v>0.62329366468323399</v>
      </c>
      <c r="L1578" t="s">
        <v>43</v>
      </c>
      <c r="M1578" t="s">
        <v>34</v>
      </c>
      <c r="N1578" t="s">
        <v>35</v>
      </c>
      <c r="O1578">
        <v>0.75687916729854898</v>
      </c>
      <c r="P1578" t="s">
        <v>36</v>
      </c>
    </row>
    <row r="1579" spans="1:16">
      <c r="A1579">
        <v>1578</v>
      </c>
      <c r="B1579" t="s">
        <v>1639</v>
      </c>
      <c r="C1579">
        <v>63</v>
      </c>
      <c r="D1579">
        <v>88</v>
      </c>
      <c r="E1579">
        <v>52.017252364398601</v>
      </c>
      <c r="F1579">
        <v>0.71604938271604901</v>
      </c>
      <c r="G1579">
        <v>2125.1260650283598</v>
      </c>
      <c r="H1579">
        <v>453.33748132249599</v>
      </c>
      <c r="I1579">
        <v>0.62518105892013498</v>
      </c>
      <c r="J1579">
        <v>0.12994252668508699</v>
      </c>
      <c r="K1579">
        <v>0.55315691736304595</v>
      </c>
      <c r="L1579" t="s">
        <v>38</v>
      </c>
      <c r="M1579" t="s">
        <v>34</v>
      </c>
      <c r="N1579" t="s">
        <v>35</v>
      </c>
      <c r="O1579">
        <v>0.71394921100143605</v>
      </c>
      <c r="P1579" t="s">
        <v>36</v>
      </c>
    </row>
    <row r="1580" spans="1:16">
      <c r="A1580">
        <v>1579</v>
      </c>
      <c r="B1580" t="s">
        <v>1640</v>
      </c>
      <c r="C1580">
        <v>59</v>
      </c>
      <c r="D1580">
        <v>49</v>
      </c>
      <c r="E1580">
        <v>52.358114967476098</v>
      </c>
      <c r="F1580">
        <v>1.20000003390843</v>
      </c>
      <c r="G1580">
        <v>2153.0686933837401</v>
      </c>
      <c r="H1580">
        <v>323.07867438026102</v>
      </c>
      <c r="I1580">
        <v>0.47647312754558502</v>
      </c>
      <c r="J1580">
        <v>0.25920964999547702</v>
      </c>
      <c r="K1580">
        <v>0.81008835700704596</v>
      </c>
      <c r="L1580" t="s">
        <v>33</v>
      </c>
      <c r="M1580" t="s">
        <v>34</v>
      </c>
      <c r="N1580" t="s">
        <v>35</v>
      </c>
      <c r="O1580">
        <v>0.81099828081840997</v>
      </c>
      <c r="P1580" t="s">
        <v>36</v>
      </c>
    </row>
    <row r="1581" spans="1:16">
      <c r="A1581">
        <v>1580</v>
      </c>
      <c r="B1581" t="s">
        <v>1641</v>
      </c>
      <c r="C1581">
        <v>77</v>
      </c>
      <c r="D1581">
        <v>63</v>
      </c>
      <c r="E1581">
        <v>52.3635362781678</v>
      </c>
      <c r="F1581">
        <v>1.2241378289765801</v>
      </c>
      <c r="G1581">
        <v>2153.5145863894099</v>
      </c>
      <c r="H1581">
        <v>579.96020798797201</v>
      </c>
      <c r="I1581">
        <v>0.68907031317643397</v>
      </c>
      <c r="J1581">
        <v>8.0456528121518697E-2</v>
      </c>
      <c r="K1581">
        <v>0.56006957866254303</v>
      </c>
      <c r="L1581" t="s">
        <v>33</v>
      </c>
      <c r="M1581" t="s">
        <v>34</v>
      </c>
      <c r="N1581" t="s">
        <v>35</v>
      </c>
      <c r="O1581">
        <v>0.69340313111547203</v>
      </c>
      <c r="P1581" t="s">
        <v>36</v>
      </c>
    </row>
    <row r="1582" spans="1:16">
      <c r="A1582">
        <v>1581</v>
      </c>
      <c r="B1582" t="s">
        <v>1642</v>
      </c>
      <c r="C1582">
        <v>49</v>
      </c>
      <c r="D1582">
        <v>71</v>
      </c>
      <c r="E1582">
        <v>52.439375778708197</v>
      </c>
      <c r="F1582">
        <v>0.69807279050778404</v>
      </c>
      <c r="G1582">
        <v>2159.7570884688098</v>
      </c>
      <c r="H1582">
        <v>263.87581515281101</v>
      </c>
      <c r="I1582">
        <v>0.77409700920312097</v>
      </c>
      <c r="J1582">
        <v>0.38977645037416703</v>
      </c>
      <c r="K1582">
        <v>0.78724672228843895</v>
      </c>
      <c r="L1582" t="s">
        <v>211</v>
      </c>
      <c r="M1582" t="s">
        <v>34</v>
      </c>
      <c r="N1582" t="s">
        <v>35</v>
      </c>
      <c r="O1582">
        <v>0.68568556762849098</v>
      </c>
      <c r="P1582" t="s">
        <v>36</v>
      </c>
    </row>
    <row r="1583" spans="1:16">
      <c r="A1583">
        <v>1582</v>
      </c>
      <c r="B1583" t="s">
        <v>1643</v>
      </c>
      <c r="C1583">
        <v>47</v>
      </c>
      <c r="D1583">
        <v>97</v>
      </c>
      <c r="E1583">
        <v>52.732672222607597</v>
      </c>
      <c r="F1583">
        <v>0.49003987249193498</v>
      </c>
      <c r="G1583">
        <v>2183.9839417769399</v>
      </c>
      <c r="H1583">
        <v>404.56459959050898</v>
      </c>
      <c r="I1583">
        <v>0.86185271742668501</v>
      </c>
      <c r="J1583">
        <v>0.16768088147009899</v>
      </c>
      <c r="K1583">
        <v>0.728471568092807</v>
      </c>
      <c r="L1583" t="s">
        <v>298</v>
      </c>
      <c r="M1583" t="s">
        <v>34</v>
      </c>
      <c r="N1583" t="s">
        <v>35</v>
      </c>
      <c r="O1583">
        <v>0.72602419362741399</v>
      </c>
      <c r="P1583" t="s">
        <v>36</v>
      </c>
    </row>
    <row r="1584" spans="1:16">
      <c r="A1584">
        <v>1583</v>
      </c>
      <c r="B1584" t="s">
        <v>1644</v>
      </c>
      <c r="C1584">
        <v>73</v>
      </c>
      <c r="D1584">
        <v>93</v>
      </c>
      <c r="E1584">
        <v>52.761374182671403</v>
      </c>
      <c r="F1584">
        <v>0.78235294117647103</v>
      </c>
      <c r="G1584">
        <v>2186.3620378071801</v>
      </c>
      <c r="H1584">
        <v>589.00306721542199</v>
      </c>
      <c r="I1584">
        <v>0.72581291961295302</v>
      </c>
      <c r="J1584">
        <v>7.9194829711517103E-2</v>
      </c>
      <c r="K1584">
        <v>0.45378825271470902</v>
      </c>
      <c r="L1584" t="s">
        <v>43</v>
      </c>
      <c r="M1584" t="s">
        <v>34</v>
      </c>
      <c r="N1584" t="s">
        <v>35</v>
      </c>
      <c r="O1584">
        <v>0.71889672925612103</v>
      </c>
      <c r="P1584" t="s">
        <v>36</v>
      </c>
    </row>
    <row r="1585" spans="1:16">
      <c r="A1585">
        <v>1584</v>
      </c>
      <c r="B1585" t="s">
        <v>1645</v>
      </c>
      <c r="C1585">
        <v>63</v>
      </c>
      <c r="D1585">
        <v>83</v>
      </c>
      <c r="E1585">
        <v>53.101024008846899</v>
      </c>
      <c r="F1585">
        <v>0.76315789473684204</v>
      </c>
      <c r="G1585">
        <v>2214.6019281663498</v>
      </c>
      <c r="H1585">
        <v>367.86399514923897</v>
      </c>
      <c r="I1585">
        <v>0.69775410343764799</v>
      </c>
      <c r="J1585">
        <v>0.20565106902936001</v>
      </c>
      <c r="K1585">
        <v>0.62194765621738901</v>
      </c>
      <c r="L1585" t="s">
        <v>33</v>
      </c>
      <c r="M1585" t="s">
        <v>34</v>
      </c>
      <c r="N1585" t="s">
        <v>35</v>
      </c>
      <c r="O1585">
        <v>0.62669565979833997</v>
      </c>
      <c r="P1585" t="s">
        <v>36</v>
      </c>
    </row>
    <row r="1586" spans="1:16">
      <c r="A1586">
        <v>1585</v>
      </c>
      <c r="B1586" t="s">
        <v>1646</v>
      </c>
      <c r="C1586">
        <v>54</v>
      </c>
      <c r="D1586">
        <v>63</v>
      </c>
      <c r="E1586">
        <v>53.141992216883303</v>
      </c>
      <c r="F1586">
        <v>0.86116457420152503</v>
      </c>
      <c r="G1586">
        <v>2218.0204412098301</v>
      </c>
      <c r="H1586">
        <v>264.32748800225897</v>
      </c>
      <c r="I1586">
        <v>0.66555420359574402</v>
      </c>
      <c r="J1586">
        <v>0.39892453808592099</v>
      </c>
      <c r="K1586">
        <v>0.837523852284207</v>
      </c>
      <c r="L1586" t="s">
        <v>33</v>
      </c>
      <c r="M1586" t="s">
        <v>34</v>
      </c>
      <c r="N1586" t="s">
        <v>35</v>
      </c>
      <c r="O1586">
        <v>0.72430231272172896</v>
      </c>
      <c r="P1586" t="s">
        <v>36</v>
      </c>
    </row>
    <row r="1587" spans="1:16">
      <c r="A1587">
        <v>1586</v>
      </c>
      <c r="B1587" t="s">
        <v>1647</v>
      </c>
      <c r="C1587">
        <v>54</v>
      </c>
      <c r="D1587">
        <v>64</v>
      </c>
      <c r="E1587">
        <v>53.174032275393003</v>
      </c>
      <c r="F1587">
        <v>0.84151476232185696</v>
      </c>
      <c r="G1587">
        <v>2220.6957992438602</v>
      </c>
      <c r="H1587">
        <v>216.63953181857701</v>
      </c>
      <c r="I1587">
        <v>0.74788030040254905</v>
      </c>
      <c r="J1587">
        <v>0.59459810144125502</v>
      </c>
      <c r="K1587">
        <v>0.87231433909388101</v>
      </c>
      <c r="L1587" t="s">
        <v>47</v>
      </c>
      <c r="M1587" t="s">
        <v>34</v>
      </c>
      <c r="N1587" t="s">
        <v>35</v>
      </c>
      <c r="O1587">
        <v>0.924665505464636</v>
      </c>
      <c r="P1587" t="s">
        <v>36</v>
      </c>
    </row>
    <row r="1588" spans="1:16">
      <c r="A1588">
        <v>1587</v>
      </c>
      <c r="B1588" t="s">
        <v>1648</v>
      </c>
      <c r="C1588">
        <v>55</v>
      </c>
      <c r="D1588">
        <v>60</v>
      </c>
      <c r="E1588">
        <v>53.225538860924097</v>
      </c>
      <c r="F1588">
        <v>0.91666666666666696</v>
      </c>
      <c r="G1588">
        <v>2225</v>
      </c>
      <c r="H1588">
        <v>237.27921843528699</v>
      </c>
      <c r="I1588">
        <v>0.57680757087104795</v>
      </c>
      <c r="J1588">
        <v>0.49661573174717399</v>
      </c>
      <c r="K1588">
        <v>0.80909090909090897</v>
      </c>
      <c r="L1588" t="s">
        <v>43</v>
      </c>
      <c r="M1588" t="s">
        <v>34</v>
      </c>
      <c r="N1588" t="s">
        <v>35</v>
      </c>
      <c r="O1588">
        <v>0.71446928486310102</v>
      </c>
      <c r="P1588" t="s">
        <v>36</v>
      </c>
    </row>
    <row r="1589" spans="1:16">
      <c r="A1589">
        <v>1588</v>
      </c>
      <c r="B1589" t="s">
        <v>1649</v>
      </c>
      <c r="C1589">
        <v>34</v>
      </c>
      <c r="D1589">
        <v>93</v>
      </c>
      <c r="E1589">
        <v>53.454448661968598</v>
      </c>
      <c r="F1589">
        <v>0.36257309941520499</v>
      </c>
      <c r="G1589">
        <v>2244.17949754253</v>
      </c>
      <c r="H1589">
        <v>360.44073823586803</v>
      </c>
      <c r="I1589">
        <v>0.82389103351485804</v>
      </c>
      <c r="J1589">
        <v>0.21706995358745901</v>
      </c>
      <c r="K1589">
        <v>0.77546094191361503</v>
      </c>
      <c r="L1589" t="s">
        <v>38</v>
      </c>
      <c r="M1589" t="s">
        <v>34</v>
      </c>
      <c r="N1589" t="s">
        <v>35</v>
      </c>
      <c r="O1589">
        <v>0.68955429489371101</v>
      </c>
      <c r="P1589" t="s">
        <v>36</v>
      </c>
    </row>
    <row r="1590" spans="1:16">
      <c r="A1590">
        <v>1589</v>
      </c>
      <c r="B1590" t="s">
        <v>1650</v>
      </c>
      <c r="C1590">
        <v>75</v>
      </c>
      <c r="D1590">
        <v>83</v>
      </c>
      <c r="E1590">
        <v>53.511062908232503</v>
      </c>
      <c r="F1590">
        <v>0.89542481574260602</v>
      </c>
      <c r="G1590">
        <v>2248.9356896030199</v>
      </c>
      <c r="H1590">
        <v>683.32130506380702</v>
      </c>
      <c r="I1590">
        <v>0.41837551377802101</v>
      </c>
      <c r="J1590">
        <v>6.0525303693582298E-2</v>
      </c>
      <c r="K1590">
        <v>0.44580301110751003</v>
      </c>
      <c r="L1590" t="s">
        <v>41</v>
      </c>
      <c r="M1590" t="s">
        <v>34</v>
      </c>
      <c r="N1590" t="s">
        <v>35</v>
      </c>
      <c r="O1590">
        <v>0.72106207513209397</v>
      </c>
      <c r="P1590" t="s">
        <v>36</v>
      </c>
    </row>
    <row r="1591" spans="1:16">
      <c r="A1591">
        <v>1590</v>
      </c>
      <c r="B1591" t="s">
        <v>1651</v>
      </c>
      <c r="C1591">
        <v>87</v>
      </c>
      <c r="D1591">
        <v>103</v>
      </c>
      <c r="E1591">
        <v>53.606463868684301</v>
      </c>
      <c r="F1591">
        <v>0.84656082178522696</v>
      </c>
      <c r="G1591">
        <v>2256.9617637051001</v>
      </c>
      <c r="H1591">
        <v>628.83166565304202</v>
      </c>
      <c r="I1591">
        <v>0.452234662887112</v>
      </c>
      <c r="J1591">
        <v>7.1724125113478004E-2</v>
      </c>
      <c r="K1591">
        <v>0.41067178710514901</v>
      </c>
      <c r="L1591" t="s">
        <v>38</v>
      </c>
      <c r="M1591" t="s">
        <v>34</v>
      </c>
      <c r="N1591" t="s">
        <v>35</v>
      </c>
      <c r="O1591">
        <v>0.86035548580906296</v>
      </c>
      <c r="P1591" t="s">
        <v>36</v>
      </c>
    </row>
    <row r="1592" spans="1:16">
      <c r="A1592">
        <v>1591</v>
      </c>
      <c r="B1592" t="s">
        <v>1652</v>
      </c>
      <c r="C1592">
        <v>57</v>
      </c>
      <c r="D1592">
        <v>77</v>
      </c>
      <c r="E1592">
        <v>53.858283474293501</v>
      </c>
      <c r="F1592">
        <v>0.73960825230094096</v>
      </c>
      <c r="G1592">
        <v>2278.2159969754298</v>
      </c>
      <c r="H1592">
        <v>327.14373002529101</v>
      </c>
      <c r="I1592">
        <v>0.81726529815358095</v>
      </c>
      <c r="J1592">
        <v>0.267502323632612</v>
      </c>
      <c r="K1592">
        <v>0.69085500518321497</v>
      </c>
      <c r="L1592" t="s">
        <v>33</v>
      </c>
      <c r="M1592" t="s">
        <v>34</v>
      </c>
      <c r="N1592" t="s">
        <v>35</v>
      </c>
      <c r="O1592">
        <v>0.75838966033276101</v>
      </c>
      <c r="P1592" t="s">
        <v>36</v>
      </c>
    </row>
    <row r="1593" spans="1:16">
      <c r="A1593">
        <v>1592</v>
      </c>
      <c r="B1593" t="s">
        <v>1653</v>
      </c>
      <c r="C1593">
        <v>98</v>
      </c>
      <c r="D1593">
        <v>49</v>
      </c>
      <c r="E1593">
        <v>53.8776054623657</v>
      </c>
      <c r="F1593">
        <v>2.0112359569825502</v>
      </c>
      <c r="G1593">
        <v>2279.8509379962202</v>
      </c>
      <c r="H1593">
        <v>553.78977320536296</v>
      </c>
      <c r="I1593">
        <v>0.81448610945975397</v>
      </c>
      <c r="J1593">
        <v>9.34171156696747E-2</v>
      </c>
      <c r="K1593">
        <v>0.568279490219324</v>
      </c>
      <c r="L1593" t="s">
        <v>33</v>
      </c>
      <c r="M1593" t="s">
        <v>34</v>
      </c>
      <c r="N1593" t="s">
        <v>35</v>
      </c>
      <c r="O1593">
        <v>0.77252669375861904</v>
      </c>
      <c r="P1593" t="s">
        <v>36</v>
      </c>
    </row>
    <row r="1594" spans="1:16">
      <c r="A1594">
        <v>1593</v>
      </c>
      <c r="B1594" t="s">
        <v>1654</v>
      </c>
      <c r="C1594">
        <v>65</v>
      </c>
      <c r="D1594">
        <v>69</v>
      </c>
      <c r="E1594">
        <v>54.330564818305199</v>
      </c>
      <c r="F1594">
        <v>0.94641144414168898</v>
      </c>
      <c r="G1594">
        <v>2318.3463674858199</v>
      </c>
      <c r="H1594">
        <v>304.61877775793499</v>
      </c>
      <c r="I1594">
        <v>0.74251755176925605</v>
      </c>
      <c r="J1594">
        <v>0.31396037766773399</v>
      </c>
      <c r="K1594">
        <v>0.72296639629200499</v>
      </c>
      <c r="L1594" t="s">
        <v>33</v>
      </c>
      <c r="M1594" t="s">
        <v>34</v>
      </c>
      <c r="N1594" t="s">
        <v>35</v>
      </c>
      <c r="O1594">
        <v>0.73584189422218305</v>
      </c>
      <c r="P1594" t="s">
        <v>36</v>
      </c>
    </row>
    <row r="1595" spans="1:16">
      <c r="A1595">
        <v>1594</v>
      </c>
      <c r="B1595" t="s">
        <v>1655</v>
      </c>
      <c r="C1595">
        <v>77</v>
      </c>
      <c r="D1595">
        <v>58</v>
      </c>
      <c r="E1595">
        <v>54.5252737253494</v>
      </c>
      <c r="F1595">
        <v>1.3255724135942899</v>
      </c>
      <c r="G1595">
        <v>2334.9930396975401</v>
      </c>
      <c r="H1595">
        <v>353.87543205903899</v>
      </c>
      <c r="I1595">
        <v>0.55579735423968202</v>
      </c>
      <c r="J1595">
        <v>0.23431205292277299</v>
      </c>
      <c r="K1595">
        <v>0.63369771287967402</v>
      </c>
      <c r="L1595" t="s">
        <v>33</v>
      </c>
      <c r="M1595" t="s">
        <v>34</v>
      </c>
      <c r="N1595" t="s">
        <v>35</v>
      </c>
      <c r="O1595">
        <v>0.67653430110030199</v>
      </c>
      <c r="P1595" t="s">
        <v>36</v>
      </c>
    </row>
    <row r="1596" spans="1:16">
      <c r="A1596">
        <v>1595</v>
      </c>
      <c r="B1596" t="s">
        <v>1656</v>
      </c>
      <c r="C1596">
        <v>75</v>
      </c>
      <c r="D1596">
        <v>40</v>
      </c>
      <c r="E1596">
        <v>54.554536345004699</v>
      </c>
      <c r="F1596">
        <v>1.875</v>
      </c>
      <c r="G1596">
        <v>2337.5</v>
      </c>
      <c r="H1596">
        <v>227.78174459934201</v>
      </c>
      <c r="I1596">
        <v>0.69612953080500195</v>
      </c>
      <c r="J1596">
        <v>0.56613975642179304</v>
      </c>
      <c r="K1596">
        <v>0.88207547169811296</v>
      </c>
      <c r="L1596" t="s">
        <v>144</v>
      </c>
      <c r="M1596" t="s">
        <v>34</v>
      </c>
      <c r="N1596" t="s">
        <v>35</v>
      </c>
      <c r="O1596">
        <v>0.76178927877048497</v>
      </c>
      <c r="P1596" t="s">
        <v>36</v>
      </c>
    </row>
    <row r="1597" spans="1:16">
      <c r="A1597">
        <v>1596</v>
      </c>
      <c r="B1597" t="s">
        <v>1657</v>
      </c>
      <c r="C1597">
        <v>63</v>
      </c>
      <c r="D1597">
        <v>68</v>
      </c>
      <c r="E1597">
        <v>54.559970053216503</v>
      </c>
      <c r="F1597">
        <v>0.91999999023437395</v>
      </c>
      <c r="G1597">
        <v>2337.9656597353501</v>
      </c>
      <c r="H1597">
        <v>476.95286837246101</v>
      </c>
      <c r="I1597">
        <v>0.66232513344888699</v>
      </c>
      <c r="J1597">
        <v>0.129150788505419</v>
      </c>
      <c r="K1597">
        <v>0.694972165768313</v>
      </c>
      <c r="L1597" t="s">
        <v>38</v>
      </c>
      <c r="M1597" t="s">
        <v>34</v>
      </c>
      <c r="N1597" t="s">
        <v>35</v>
      </c>
      <c r="O1597">
        <v>0.86282958675902599</v>
      </c>
      <c r="P1597" t="s">
        <v>36</v>
      </c>
    </row>
    <row r="1598" spans="1:16">
      <c r="A1598">
        <v>1597</v>
      </c>
      <c r="B1598" t="s">
        <v>1658</v>
      </c>
      <c r="C1598">
        <v>74</v>
      </c>
      <c r="D1598">
        <v>58</v>
      </c>
      <c r="E1598">
        <v>54.660464859168101</v>
      </c>
      <c r="F1598">
        <v>1.26168224299065</v>
      </c>
      <c r="G1598">
        <v>2346.5862578449901</v>
      </c>
      <c r="H1598">
        <v>333.499249637231</v>
      </c>
      <c r="I1598">
        <v>0.55713880722104303</v>
      </c>
      <c r="J1598">
        <v>0.26512865266845398</v>
      </c>
      <c r="K1598">
        <v>0.73092592592592598</v>
      </c>
      <c r="L1598" t="s">
        <v>38</v>
      </c>
      <c r="M1598" t="s">
        <v>34</v>
      </c>
      <c r="N1598" t="s">
        <v>35</v>
      </c>
      <c r="O1598">
        <v>0.70347257740403202</v>
      </c>
      <c r="P1598" t="s">
        <v>36</v>
      </c>
    </row>
    <row r="1599" spans="1:16">
      <c r="A1599">
        <v>1598</v>
      </c>
      <c r="B1599" t="s">
        <v>1659</v>
      </c>
      <c r="C1599">
        <v>92</v>
      </c>
      <c r="D1599">
        <v>68</v>
      </c>
      <c r="E1599">
        <v>54.810861590008201</v>
      </c>
      <c r="F1599">
        <v>1.35375200185117</v>
      </c>
      <c r="G1599">
        <v>2359.5171550094501</v>
      </c>
      <c r="H1599">
        <v>462.94160780108501</v>
      </c>
      <c r="I1599">
        <v>0.75673931090888202</v>
      </c>
      <c r="J1599">
        <v>0.13835044871483199</v>
      </c>
      <c r="K1599">
        <v>0.467337866878625</v>
      </c>
      <c r="L1599" t="s">
        <v>144</v>
      </c>
      <c r="M1599" t="s">
        <v>34</v>
      </c>
      <c r="N1599" t="s">
        <v>35</v>
      </c>
      <c r="O1599">
        <v>0.66953419719440599</v>
      </c>
      <c r="P1599" t="s">
        <v>36</v>
      </c>
    </row>
    <row r="1600" spans="1:16">
      <c r="A1600">
        <v>1599</v>
      </c>
      <c r="B1600" t="s">
        <v>1660</v>
      </c>
      <c r="C1600">
        <v>121</v>
      </c>
      <c r="D1600">
        <v>55</v>
      </c>
      <c r="E1600">
        <v>55.203060806554703</v>
      </c>
      <c r="F1600">
        <v>2.1915349189167301</v>
      </c>
      <c r="G1600">
        <v>2393.4050234404499</v>
      </c>
      <c r="H1600">
        <v>551.12513107102905</v>
      </c>
      <c r="I1600">
        <v>0.613459378997398</v>
      </c>
      <c r="J1600">
        <v>9.9020617888936097E-2</v>
      </c>
      <c r="K1600">
        <v>0.503769748162052</v>
      </c>
      <c r="L1600" t="s">
        <v>298</v>
      </c>
      <c r="M1600" t="s">
        <v>34</v>
      </c>
      <c r="N1600" t="s">
        <v>35</v>
      </c>
      <c r="O1600">
        <v>0.63052923387070703</v>
      </c>
      <c r="P1600" t="s">
        <v>36</v>
      </c>
    </row>
    <row r="1601" spans="1:16">
      <c r="A1601">
        <v>1600</v>
      </c>
      <c r="B1601" t="s">
        <v>1661</v>
      </c>
      <c r="C1601">
        <v>63</v>
      </c>
      <c r="D1601">
        <v>71</v>
      </c>
      <c r="E1601">
        <v>55.230478979627399</v>
      </c>
      <c r="F1601">
        <v>0.89249146898113796</v>
      </c>
      <c r="G1601">
        <v>2395.7831194707001</v>
      </c>
      <c r="H1601">
        <v>354.911069640802</v>
      </c>
      <c r="I1601">
        <v>0.74956005661121805</v>
      </c>
      <c r="J1601">
        <v>0.239011212070913</v>
      </c>
      <c r="K1601">
        <v>0.67675707448148503</v>
      </c>
      <c r="L1601" t="s">
        <v>188</v>
      </c>
      <c r="M1601" t="s">
        <v>34</v>
      </c>
      <c r="N1601" t="s">
        <v>35</v>
      </c>
      <c r="O1601">
        <v>0.66114745794545404</v>
      </c>
      <c r="P1601" t="s">
        <v>36</v>
      </c>
    </row>
    <row r="1602" spans="1:16">
      <c r="A1602">
        <v>1601</v>
      </c>
      <c r="B1602" t="s">
        <v>1662</v>
      </c>
      <c r="C1602">
        <v>58</v>
      </c>
      <c r="D1602">
        <v>63</v>
      </c>
      <c r="E1602">
        <v>55.271580737114697</v>
      </c>
      <c r="F1602">
        <v>0.92241379310344795</v>
      </c>
      <c r="G1602">
        <v>2399.3502635160698</v>
      </c>
      <c r="H1602">
        <v>316.66835756747599</v>
      </c>
      <c r="I1602">
        <v>0.51222943843498603</v>
      </c>
      <c r="J1602">
        <v>0.30067282423505498</v>
      </c>
      <c r="K1602">
        <v>0.83142768850432602</v>
      </c>
      <c r="L1602" t="s">
        <v>33</v>
      </c>
      <c r="M1602" t="s">
        <v>34</v>
      </c>
      <c r="N1602" t="s">
        <v>35</v>
      </c>
      <c r="O1602">
        <v>0.73957215309769797</v>
      </c>
      <c r="P1602" t="s">
        <v>36</v>
      </c>
    </row>
    <row r="1603" spans="1:16">
      <c r="A1603">
        <v>1602</v>
      </c>
      <c r="B1603" t="s">
        <v>1663</v>
      </c>
      <c r="C1603">
        <v>58</v>
      </c>
      <c r="D1603">
        <v>68</v>
      </c>
      <c r="E1603">
        <v>55.312651952692697</v>
      </c>
      <c r="F1603">
        <v>0.85599999999999998</v>
      </c>
      <c r="G1603">
        <v>2402.9174075614401</v>
      </c>
      <c r="H1603">
        <v>459.296125285833</v>
      </c>
      <c r="I1603">
        <v>0.67022391191155495</v>
      </c>
      <c r="J1603">
        <v>0.14314070251854</v>
      </c>
      <c r="K1603">
        <v>0.70604419599965096</v>
      </c>
      <c r="L1603" t="s">
        <v>33</v>
      </c>
      <c r="M1603" t="s">
        <v>34</v>
      </c>
      <c r="N1603" t="s">
        <v>35</v>
      </c>
      <c r="O1603">
        <v>0.73343662830364997</v>
      </c>
      <c r="P1603" t="s">
        <v>36</v>
      </c>
    </row>
    <row r="1604" spans="1:16">
      <c r="A1604">
        <v>1603</v>
      </c>
      <c r="B1604" t="s">
        <v>1664</v>
      </c>
      <c r="C1604">
        <v>51</v>
      </c>
      <c r="D1604">
        <v>99</v>
      </c>
      <c r="E1604">
        <v>55.862464256287502</v>
      </c>
      <c r="F1604">
        <v>0.51777686180560101</v>
      </c>
      <c r="G1604">
        <v>2450.92522117202</v>
      </c>
      <c r="H1604">
        <v>422.54072364371802</v>
      </c>
      <c r="I1604">
        <v>0.69802508811481001</v>
      </c>
      <c r="J1604">
        <v>0.172505434538647</v>
      </c>
      <c r="K1604">
        <v>0.62405389040266401</v>
      </c>
      <c r="L1604" t="s">
        <v>49</v>
      </c>
      <c r="M1604" t="s">
        <v>34</v>
      </c>
      <c r="N1604" t="s">
        <v>35</v>
      </c>
      <c r="O1604">
        <v>0.74656892807933095</v>
      </c>
      <c r="P1604" t="s">
        <v>36</v>
      </c>
    </row>
    <row r="1605" spans="1:16">
      <c r="A1605">
        <v>1604</v>
      </c>
      <c r="B1605" t="s">
        <v>1665</v>
      </c>
      <c r="C1605">
        <v>49</v>
      </c>
      <c r="D1605">
        <v>86</v>
      </c>
      <c r="E1605">
        <v>55.884479688768202</v>
      </c>
      <c r="F1605">
        <v>0.562336788222081</v>
      </c>
      <c r="G1605">
        <v>2452.8574241965998</v>
      </c>
      <c r="H1605">
        <v>344.00672181471498</v>
      </c>
      <c r="I1605">
        <v>0.82044720111103897</v>
      </c>
      <c r="J1605">
        <v>0.26046436333113698</v>
      </c>
      <c r="K1605">
        <v>0.73634660003569496</v>
      </c>
      <c r="L1605" t="s">
        <v>38</v>
      </c>
      <c r="M1605" t="s">
        <v>34</v>
      </c>
      <c r="N1605" t="s">
        <v>35</v>
      </c>
      <c r="O1605">
        <v>0.81971902754984005</v>
      </c>
      <c r="P1605" t="s">
        <v>36</v>
      </c>
    </row>
    <row r="1606" spans="1:16">
      <c r="A1606">
        <v>1605</v>
      </c>
      <c r="B1606" t="s">
        <v>1666</v>
      </c>
      <c r="C1606">
        <v>73</v>
      </c>
      <c r="D1606">
        <v>55</v>
      </c>
      <c r="E1606">
        <v>56.136154777643299</v>
      </c>
      <c r="F1606">
        <v>1.3214285528209</v>
      </c>
      <c r="G1606">
        <v>2475</v>
      </c>
      <c r="H1606">
        <v>228.99494767189</v>
      </c>
      <c r="I1606">
        <v>0.71777571183026301</v>
      </c>
      <c r="J1606">
        <v>0.59310729554505404</v>
      </c>
      <c r="K1606">
        <v>0.82157676348547704</v>
      </c>
      <c r="L1606" t="s">
        <v>38</v>
      </c>
      <c r="M1606" t="s">
        <v>34</v>
      </c>
      <c r="N1606" t="s">
        <v>35</v>
      </c>
      <c r="O1606">
        <v>0.65565261215023196</v>
      </c>
      <c r="P1606" t="s">
        <v>36</v>
      </c>
    </row>
    <row r="1607" spans="1:16">
      <c r="A1607">
        <v>1606</v>
      </c>
      <c r="B1607" t="s">
        <v>1667</v>
      </c>
      <c r="C1607">
        <v>54</v>
      </c>
      <c r="D1607">
        <v>85</v>
      </c>
      <c r="E1607">
        <v>56.166525878297598</v>
      </c>
      <c r="F1607">
        <v>0.64265133607601899</v>
      </c>
      <c r="G1607">
        <v>2477.6788015122902</v>
      </c>
      <c r="H1607">
        <v>361.02470296818302</v>
      </c>
      <c r="I1607">
        <v>0.84995639658653699</v>
      </c>
      <c r="J1607">
        <v>0.23888068209027699</v>
      </c>
      <c r="K1607">
        <v>0.73139698139698095</v>
      </c>
      <c r="L1607" t="s">
        <v>33</v>
      </c>
      <c r="M1607" t="s">
        <v>34</v>
      </c>
      <c r="N1607" t="s">
        <v>35</v>
      </c>
      <c r="O1607">
        <v>0.68501725146275205</v>
      </c>
      <c r="P1607" t="s">
        <v>36</v>
      </c>
    </row>
    <row r="1608" spans="1:16">
      <c r="A1608">
        <v>1607</v>
      </c>
      <c r="B1608" t="s">
        <v>1668</v>
      </c>
      <c r="C1608">
        <v>85</v>
      </c>
      <c r="D1608">
        <v>69</v>
      </c>
      <c r="E1608">
        <v>56.181685761999802</v>
      </c>
      <c r="F1608">
        <v>1.2204724409448799</v>
      </c>
      <c r="G1608">
        <v>2479.0164805293002</v>
      </c>
      <c r="H1608">
        <v>683.50839414752102</v>
      </c>
      <c r="I1608">
        <v>0.58751637406209301</v>
      </c>
      <c r="J1608">
        <v>6.6680918437592995E-2</v>
      </c>
      <c r="K1608">
        <v>0.48527785859761402</v>
      </c>
      <c r="L1608" t="s">
        <v>41</v>
      </c>
      <c r="M1608" t="s">
        <v>34</v>
      </c>
      <c r="N1608" t="s">
        <v>35</v>
      </c>
      <c r="O1608">
        <v>0.75307363905459002</v>
      </c>
      <c r="P1608" t="s">
        <v>36</v>
      </c>
    </row>
    <row r="1609" spans="1:16">
      <c r="A1609">
        <v>1608</v>
      </c>
      <c r="B1609" t="s">
        <v>1669</v>
      </c>
      <c r="C1609">
        <v>65</v>
      </c>
      <c r="D1609">
        <v>55</v>
      </c>
      <c r="E1609">
        <v>56.2777342074885</v>
      </c>
      <c r="F1609">
        <v>1.1818181818181801</v>
      </c>
      <c r="G1609">
        <v>2487.5</v>
      </c>
      <c r="H1609">
        <v>230.208150744438</v>
      </c>
      <c r="I1609">
        <v>0.62661260469784297</v>
      </c>
      <c r="J1609">
        <v>0.58983638754781298</v>
      </c>
      <c r="K1609">
        <v>0.89237668161435002</v>
      </c>
      <c r="L1609" t="s">
        <v>33</v>
      </c>
      <c r="M1609" t="s">
        <v>34</v>
      </c>
      <c r="N1609" t="s">
        <v>35</v>
      </c>
      <c r="O1609">
        <v>0.64518187889455003</v>
      </c>
      <c r="P1609" t="s">
        <v>36</v>
      </c>
    </row>
    <row r="1610" spans="1:16">
      <c r="A1610">
        <v>1609</v>
      </c>
      <c r="B1610" t="s">
        <v>1670</v>
      </c>
      <c r="C1610">
        <v>56</v>
      </c>
      <c r="D1610">
        <v>101</v>
      </c>
      <c r="E1610">
        <v>56.304498439381</v>
      </c>
      <c r="F1610">
        <v>0.557066063228703</v>
      </c>
      <c r="G1610">
        <v>2489.8665436673</v>
      </c>
      <c r="H1610">
        <v>471.08112132963902</v>
      </c>
      <c r="I1610">
        <v>0.60899750534261399</v>
      </c>
      <c r="J1610">
        <v>0.140992020197963</v>
      </c>
      <c r="K1610">
        <v>0.57458411936203102</v>
      </c>
      <c r="L1610" t="s">
        <v>38</v>
      </c>
      <c r="M1610" t="s">
        <v>34</v>
      </c>
      <c r="N1610" t="s">
        <v>35</v>
      </c>
      <c r="O1610">
        <v>0.70617223236952997</v>
      </c>
      <c r="P1610" t="s">
        <v>36</v>
      </c>
    </row>
    <row r="1611" spans="1:16">
      <c r="A1611">
        <v>1610</v>
      </c>
      <c r="B1611" t="s">
        <v>1671</v>
      </c>
      <c r="C1611">
        <v>85</v>
      </c>
      <c r="D1611">
        <v>68</v>
      </c>
      <c r="E1611">
        <v>56.307859400341499</v>
      </c>
      <c r="F1611">
        <v>1.26216499074373</v>
      </c>
      <c r="G1611">
        <v>2490.1638056710799</v>
      </c>
      <c r="H1611">
        <v>497.67112924202598</v>
      </c>
      <c r="I1611">
        <v>0.57102160962639403</v>
      </c>
      <c r="J1611">
        <v>0.12634349480613299</v>
      </c>
      <c r="K1611">
        <v>0.58771529799698297</v>
      </c>
      <c r="L1611" t="s">
        <v>38</v>
      </c>
      <c r="M1611" t="s">
        <v>34</v>
      </c>
      <c r="N1611" t="s">
        <v>35</v>
      </c>
      <c r="O1611">
        <v>0.76874804547933495</v>
      </c>
      <c r="P1611" t="s">
        <v>36</v>
      </c>
    </row>
    <row r="1612" spans="1:16">
      <c r="A1612">
        <v>1611</v>
      </c>
      <c r="B1612" t="s">
        <v>1672</v>
      </c>
      <c r="C1612">
        <v>66</v>
      </c>
      <c r="D1612">
        <v>60</v>
      </c>
      <c r="E1612">
        <v>56.465598907224802</v>
      </c>
      <c r="F1612">
        <v>1.0905263989820799</v>
      </c>
      <c r="G1612">
        <v>2504.13511984877</v>
      </c>
      <c r="H1612">
        <v>264.00810703567799</v>
      </c>
      <c r="I1612">
        <v>0.68324420137127495</v>
      </c>
      <c r="J1612">
        <v>0.45147436599025798</v>
      </c>
      <c r="K1612">
        <v>0.82378251515744205</v>
      </c>
      <c r="L1612" t="s">
        <v>38</v>
      </c>
      <c r="M1612" t="s">
        <v>34</v>
      </c>
      <c r="N1612" t="s">
        <v>35</v>
      </c>
      <c r="O1612">
        <v>0.66893011320815599</v>
      </c>
      <c r="P1612" t="s">
        <v>36</v>
      </c>
    </row>
    <row r="1613" spans="1:16">
      <c r="A1613">
        <v>1612</v>
      </c>
      <c r="B1613" t="s">
        <v>1673</v>
      </c>
      <c r="C1613">
        <v>60</v>
      </c>
      <c r="D1613">
        <v>62</v>
      </c>
      <c r="E1613">
        <v>56.530914832944397</v>
      </c>
      <c r="F1613">
        <v>0.95882978509300598</v>
      </c>
      <c r="G1613">
        <v>2509.9317289225</v>
      </c>
      <c r="H1613">
        <v>261.05618365443303</v>
      </c>
      <c r="I1613">
        <v>0.644242062846481</v>
      </c>
      <c r="J1613">
        <v>0.46281113896822501</v>
      </c>
      <c r="K1613">
        <v>0.82617416829745605</v>
      </c>
      <c r="L1613" t="s">
        <v>38</v>
      </c>
      <c r="M1613" t="s">
        <v>34</v>
      </c>
      <c r="N1613" t="s">
        <v>35</v>
      </c>
      <c r="O1613">
        <v>0.76729419630870399</v>
      </c>
      <c r="P1613" t="s">
        <v>36</v>
      </c>
    </row>
    <row r="1614" spans="1:16">
      <c r="A1614">
        <v>1613</v>
      </c>
      <c r="B1614" t="s">
        <v>1674</v>
      </c>
      <c r="C1614">
        <v>68</v>
      </c>
      <c r="D1614">
        <v>73</v>
      </c>
      <c r="E1614">
        <v>56.5811065456043</v>
      </c>
      <c r="F1614">
        <v>0.93283582089552197</v>
      </c>
      <c r="G1614">
        <v>2514.39065897921</v>
      </c>
      <c r="H1614">
        <v>509.90779813528098</v>
      </c>
      <c r="I1614">
        <v>0.74444573363044997</v>
      </c>
      <c r="J1614">
        <v>0.121523231906515</v>
      </c>
      <c r="K1614">
        <v>0.61523075244572101</v>
      </c>
      <c r="L1614" t="s">
        <v>38</v>
      </c>
      <c r="M1614" t="s">
        <v>34</v>
      </c>
      <c r="N1614" t="s">
        <v>35</v>
      </c>
      <c r="O1614">
        <v>0.68588938162009305</v>
      </c>
      <c r="P1614" t="s">
        <v>36</v>
      </c>
    </row>
    <row r="1615" spans="1:16">
      <c r="A1615">
        <v>1614</v>
      </c>
      <c r="B1615" t="s">
        <v>1675</v>
      </c>
      <c r="C1615">
        <v>54</v>
      </c>
      <c r="D1615">
        <v>106</v>
      </c>
      <c r="E1615">
        <v>56.597827225228698</v>
      </c>
      <c r="F1615">
        <v>0.50421176265442802</v>
      </c>
      <c r="G1615">
        <v>2515.87696899811</v>
      </c>
      <c r="H1615">
        <v>547.69883735915903</v>
      </c>
      <c r="I1615">
        <v>0.68639112123071899</v>
      </c>
      <c r="J1615">
        <v>0.10539393640583</v>
      </c>
      <c r="K1615">
        <v>0.57977120153445705</v>
      </c>
      <c r="L1615" t="s">
        <v>33</v>
      </c>
      <c r="M1615" t="s">
        <v>34</v>
      </c>
      <c r="N1615" t="s">
        <v>35</v>
      </c>
      <c r="O1615">
        <v>0.70997640292331898</v>
      </c>
      <c r="P1615" t="s">
        <v>36</v>
      </c>
    </row>
    <row r="1616" spans="1:16">
      <c r="A1616">
        <v>1615</v>
      </c>
      <c r="B1616" t="s">
        <v>1676</v>
      </c>
      <c r="C1616">
        <v>63</v>
      </c>
      <c r="D1616">
        <v>73</v>
      </c>
      <c r="E1616">
        <v>56.6162142692164</v>
      </c>
      <c r="F1616">
        <v>0.86567172507026402</v>
      </c>
      <c r="G1616">
        <v>2517.5119100188999</v>
      </c>
      <c r="H1616">
        <v>640.62768016545704</v>
      </c>
      <c r="I1616">
        <v>0.57790129410939295</v>
      </c>
      <c r="J1616">
        <v>7.7085021609250001E-2</v>
      </c>
      <c r="K1616">
        <v>0.56524060602015602</v>
      </c>
      <c r="L1616" t="s">
        <v>33</v>
      </c>
      <c r="M1616" t="s">
        <v>34</v>
      </c>
      <c r="N1616" t="s">
        <v>35</v>
      </c>
      <c r="O1616">
        <v>0.68121750371512102</v>
      </c>
      <c r="P1616" t="s">
        <v>36</v>
      </c>
    </row>
    <row r="1617" spans="1:16">
      <c r="A1617">
        <v>1616</v>
      </c>
      <c r="B1617" t="s">
        <v>1677</v>
      </c>
      <c r="C1617">
        <v>103</v>
      </c>
      <c r="D1617">
        <v>58</v>
      </c>
      <c r="E1617">
        <v>56.629582915038903</v>
      </c>
      <c r="F1617">
        <v>1.75700931114258</v>
      </c>
      <c r="G1617">
        <v>2518.70095803403</v>
      </c>
      <c r="H1617">
        <v>519.85400306162603</v>
      </c>
      <c r="I1617">
        <v>0.71925999573469801</v>
      </c>
      <c r="J1617">
        <v>0.117118010483771</v>
      </c>
      <c r="K1617">
        <v>0.50817164962365402</v>
      </c>
      <c r="L1617" t="s">
        <v>38</v>
      </c>
      <c r="M1617" t="s">
        <v>34</v>
      </c>
      <c r="N1617" t="s">
        <v>35</v>
      </c>
      <c r="O1617">
        <v>0.88156263375335797</v>
      </c>
      <c r="P1617" t="s">
        <v>36</v>
      </c>
    </row>
    <row r="1618" spans="1:16">
      <c r="A1618">
        <v>1617</v>
      </c>
      <c r="B1618" t="s">
        <v>1678</v>
      </c>
      <c r="C1618">
        <v>80</v>
      </c>
      <c r="D1618">
        <v>63</v>
      </c>
      <c r="E1618">
        <v>56.971084326289997</v>
      </c>
      <c r="F1618">
        <v>1.26203063092857</v>
      </c>
      <c r="G1618">
        <v>2549.17031342155</v>
      </c>
      <c r="H1618">
        <v>453.54726788738498</v>
      </c>
      <c r="I1618">
        <v>0.68323062875650498</v>
      </c>
      <c r="J1618">
        <v>0.15572688838401899</v>
      </c>
      <c r="K1618">
        <v>0.63524574984258697</v>
      </c>
      <c r="L1618" t="s">
        <v>38</v>
      </c>
      <c r="M1618" t="s">
        <v>34</v>
      </c>
      <c r="N1618" t="s">
        <v>35</v>
      </c>
      <c r="O1618">
        <v>0.70523249591720505</v>
      </c>
      <c r="P1618" t="s">
        <v>36</v>
      </c>
    </row>
    <row r="1619" spans="1:16">
      <c r="A1619">
        <v>1618</v>
      </c>
      <c r="B1619" t="s">
        <v>1679</v>
      </c>
      <c r="C1619">
        <v>97</v>
      </c>
      <c r="D1619">
        <v>58</v>
      </c>
      <c r="E1619">
        <v>57.024207325722799</v>
      </c>
      <c r="F1619">
        <v>1.6792452368459501</v>
      </c>
      <c r="G1619">
        <v>2553.9265054820398</v>
      </c>
      <c r="H1619">
        <v>502.19725997499802</v>
      </c>
      <c r="I1619">
        <v>0.80809741085931297</v>
      </c>
      <c r="J1619">
        <v>0.12725345477349501</v>
      </c>
      <c r="K1619">
        <v>0.52552221916383801</v>
      </c>
      <c r="L1619" t="s">
        <v>38</v>
      </c>
      <c r="M1619" t="s">
        <v>34</v>
      </c>
      <c r="N1619" t="s">
        <v>35</v>
      </c>
      <c r="O1619">
        <v>0.73860723622328595</v>
      </c>
      <c r="P1619" t="s">
        <v>36</v>
      </c>
    </row>
    <row r="1620" spans="1:16">
      <c r="A1620">
        <v>1619</v>
      </c>
      <c r="B1620" t="s">
        <v>1680</v>
      </c>
      <c r="C1620">
        <v>92</v>
      </c>
      <c r="D1620">
        <v>88</v>
      </c>
      <c r="E1620">
        <v>57.136929706025398</v>
      </c>
      <c r="F1620">
        <v>1.04968944099379</v>
      </c>
      <c r="G1620">
        <v>2564.0334136105898</v>
      </c>
      <c r="H1620">
        <v>683.70650169984197</v>
      </c>
      <c r="I1620">
        <v>0.58157453472797305</v>
      </c>
      <c r="J1620">
        <v>6.8927753603070893E-2</v>
      </c>
      <c r="K1620">
        <v>0.41862214564779499</v>
      </c>
      <c r="L1620" t="s">
        <v>33</v>
      </c>
      <c r="M1620" t="s">
        <v>34</v>
      </c>
      <c r="N1620" t="s">
        <v>35</v>
      </c>
      <c r="O1620">
        <v>0.69328029102684097</v>
      </c>
      <c r="P1620" t="s">
        <v>36</v>
      </c>
    </row>
    <row r="1621" spans="1:16">
      <c r="A1621">
        <v>1620</v>
      </c>
      <c r="B1621" t="s">
        <v>1681</v>
      </c>
      <c r="C1621">
        <v>65</v>
      </c>
      <c r="D1621">
        <v>94</v>
      </c>
      <c r="E1621">
        <v>57.171696113409801</v>
      </c>
      <c r="F1621">
        <v>0.69531248750499597</v>
      </c>
      <c r="G1621">
        <v>2567.1546646502802</v>
      </c>
      <c r="H1621">
        <v>441.52978779751299</v>
      </c>
      <c r="I1621">
        <v>0.79528560130524895</v>
      </c>
      <c r="J1621">
        <v>0.16547861658437499</v>
      </c>
      <c r="K1621">
        <v>0.58156840297653101</v>
      </c>
      <c r="L1621" t="s">
        <v>38</v>
      </c>
      <c r="M1621" t="s">
        <v>34</v>
      </c>
      <c r="N1621" t="s">
        <v>35</v>
      </c>
      <c r="O1621">
        <v>0.66209513240132301</v>
      </c>
      <c r="P1621" t="s">
        <v>36</v>
      </c>
    </row>
    <row r="1622" spans="1:16">
      <c r="A1622">
        <v>1621</v>
      </c>
      <c r="B1622" t="s">
        <v>1682</v>
      </c>
      <c r="C1622">
        <v>93</v>
      </c>
      <c r="D1622">
        <v>63</v>
      </c>
      <c r="E1622">
        <v>57.457304608311397</v>
      </c>
      <c r="F1622">
        <v>1.4655172413793101</v>
      </c>
      <c r="G1622">
        <v>2592.8678279773198</v>
      </c>
      <c r="H1622">
        <v>544.87920586078098</v>
      </c>
      <c r="I1622">
        <v>0.57752085876774994</v>
      </c>
      <c r="J1622">
        <v>0.109746271489106</v>
      </c>
      <c r="K1622">
        <v>0.54638561763968896</v>
      </c>
      <c r="L1622" t="s">
        <v>33</v>
      </c>
      <c r="M1622" t="s">
        <v>34</v>
      </c>
      <c r="N1622" t="s">
        <v>35</v>
      </c>
      <c r="O1622">
        <v>0.74509574669036904</v>
      </c>
      <c r="P1622" t="s">
        <v>36</v>
      </c>
    </row>
    <row r="1623" spans="1:16">
      <c r="A1623">
        <v>1622</v>
      </c>
      <c r="B1623" t="s">
        <v>1683</v>
      </c>
      <c r="C1623">
        <v>49</v>
      </c>
      <c r="D1623">
        <v>63</v>
      </c>
      <c r="E1623">
        <v>57.534652755567798</v>
      </c>
      <c r="F1623">
        <v>0.76724137931034497</v>
      </c>
      <c r="G1623">
        <v>2599.8534850661599</v>
      </c>
      <c r="H1623">
        <v>301.45706781180002</v>
      </c>
      <c r="I1623">
        <v>0.47076606200006799</v>
      </c>
      <c r="J1623">
        <v>0.35950736906810798</v>
      </c>
      <c r="K1623">
        <v>0.87582615661926699</v>
      </c>
      <c r="L1623" t="s">
        <v>43</v>
      </c>
      <c r="M1623" t="s">
        <v>34</v>
      </c>
      <c r="N1623" t="s">
        <v>35</v>
      </c>
      <c r="O1623">
        <v>0.73630782637845904</v>
      </c>
      <c r="P1623" t="s">
        <v>36</v>
      </c>
    </row>
    <row r="1624" spans="1:16">
      <c r="A1624">
        <v>1623</v>
      </c>
      <c r="B1624" t="s">
        <v>1684</v>
      </c>
      <c r="C1624">
        <v>75</v>
      </c>
      <c r="D1624">
        <v>50</v>
      </c>
      <c r="E1624">
        <v>57.536273917515899</v>
      </c>
      <c r="F1624">
        <v>1.5</v>
      </c>
      <c r="G1624">
        <v>2600</v>
      </c>
      <c r="H1624">
        <v>253.13708305358901</v>
      </c>
      <c r="I1624">
        <v>0.622257630806486</v>
      </c>
      <c r="J1624">
        <v>0.50988433479515405</v>
      </c>
      <c r="K1624">
        <v>0.81568627450980402</v>
      </c>
      <c r="L1624" t="s">
        <v>38</v>
      </c>
      <c r="M1624" t="s">
        <v>34</v>
      </c>
      <c r="N1624" t="s">
        <v>35</v>
      </c>
      <c r="O1624">
        <v>0.74397207040763103</v>
      </c>
      <c r="P1624" t="s">
        <v>36</v>
      </c>
    </row>
    <row r="1625" spans="1:16">
      <c r="A1625">
        <v>1624</v>
      </c>
      <c r="B1625" t="s">
        <v>1685</v>
      </c>
      <c r="C1625">
        <v>88</v>
      </c>
      <c r="D1625">
        <v>54</v>
      </c>
      <c r="E1625">
        <v>57.580683115440898</v>
      </c>
      <c r="F1625">
        <v>1.6262626262626301</v>
      </c>
      <c r="G1625">
        <v>2604.01515311909</v>
      </c>
      <c r="H1625">
        <v>460.70594103502202</v>
      </c>
      <c r="I1625">
        <v>0.72555164836550101</v>
      </c>
      <c r="J1625">
        <v>0.154172084963553</v>
      </c>
      <c r="K1625">
        <v>0.66155647018842301</v>
      </c>
      <c r="L1625" t="s">
        <v>49</v>
      </c>
      <c r="M1625" t="s">
        <v>34</v>
      </c>
      <c r="N1625" t="s">
        <v>35</v>
      </c>
      <c r="O1625">
        <v>0.68358466775356697</v>
      </c>
      <c r="P1625" t="s">
        <v>36</v>
      </c>
    </row>
    <row r="1626" spans="1:16">
      <c r="A1626">
        <v>1625</v>
      </c>
      <c r="B1626" t="s">
        <v>1686</v>
      </c>
      <c r="C1626">
        <v>55</v>
      </c>
      <c r="D1626">
        <v>78</v>
      </c>
      <c r="E1626">
        <v>57.690678105530203</v>
      </c>
      <c r="F1626">
        <v>0.70629370629370603</v>
      </c>
      <c r="G1626">
        <v>2613.97343024575</v>
      </c>
      <c r="H1626">
        <v>502.01017089128499</v>
      </c>
      <c r="I1626">
        <v>0.57621658996014302</v>
      </c>
      <c r="J1626">
        <v>0.130342486170928</v>
      </c>
      <c r="K1626">
        <v>0.68306987221812299</v>
      </c>
      <c r="L1626" t="s">
        <v>38</v>
      </c>
      <c r="M1626" t="s">
        <v>34</v>
      </c>
      <c r="N1626" t="s">
        <v>35</v>
      </c>
      <c r="O1626">
        <v>0.86541837602025995</v>
      </c>
      <c r="P1626" t="s">
        <v>36</v>
      </c>
    </row>
    <row r="1627" spans="1:16">
      <c r="A1627">
        <v>1626</v>
      </c>
      <c r="B1627" t="s">
        <v>1687</v>
      </c>
      <c r="C1627">
        <v>72</v>
      </c>
      <c r="D1627">
        <v>72</v>
      </c>
      <c r="E1627">
        <v>57.972097717565298</v>
      </c>
      <c r="F1627">
        <v>1.00537635094725</v>
      </c>
      <c r="G1627">
        <v>2639.5379625708902</v>
      </c>
      <c r="H1627">
        <v>445.41715659732398</v>
      </c>
      <c r="I1627">
        <v>0.63145711367463098</v>
      </c>
      <c r="J1627">
        <v>0.16718753482352</v>
      </c>
      <c r="K1627">
        <v>0.70455447115766101</v>
      </c>
      <c r="L1627" t="s">
        <v>33</v>
      </c>
      <c r="M1627" t="s">
        <v>34</v>
      </c>
      <c r="N1627" t="s">
        <v>35</v>
      </c>
      <c r="O1627">
        <v>0.816941216819704</v>
      </c>
      <c r="P1627" t="s">
        <v>36</v>
      </c>
    </row>
    <row r="1628" spans="1:16">
      <c r="A1628">
        <v>1627</v>
      </c>
      <c r="B1628" t="s">
        <v>1688</v>
      </c>
      <c r="C1628">
        <v>52</v>
      </c>
      <c r="D1628">
        <v>90</v>
      </c>
      <c r="E1628">
        <v>58.043869616169403</v>
      </c>
      <c r="F1628">
        <v>0.57510724068786301</v>
      </c>
      <c r="G1628">
        <v>2646.0777266540599</v>
      </c>
      <c r="H1628">
        <v>399.69639040978097</v>
      </c>
      <c r="I1628">
        <v>0.69306765631258505</v>
      </c>
      <c r="J1628">
        <v>0.20813830268393699</v>
      </c>
      <c r="K1628">
        <v>0.76266975110311397</v>
      </c>
      <c r="L1628" t="s">
        <v>49</v>
      </c>
      <c r="M1628" t="s">
        <v>34</v>
      </c>
      <c r="N1628" t="s">
        <v>35</v>
      </c>
      <c r="O1628">
        <v>0.66783045235678695</v>
      </c>
      <c r="P1628" t="s">
        <v>36</v>
      </c>
    </row>
    <row r="1629" spans="1:16">
      <c r="A1629">
        <v>1628</v>
      </c>
      <c r="B1629" t="s">
        <v>1689</v>
      </c>
      <c r="C1629">
        <v>59</v>
      </c>
      <c r="D1629">
        <v>61</v>
      </c>
      <c r="E1629">
        <v>58.086872816051802</v>
      </c>
      <c r="F1629">
        <v>0.98000000314568003</v>
      </c>
      <c r="G1629">
        <v>2650</v>
      </c>
      <c r="H1629">
        <v>217.27921843528699</v>
      </c>
      <c r="I1629">
        <v>0.67003089991760201</v>
      </c>
      <c r="J1629">
        <v>0.70537385305652101</v>
      </c>
      <c r="K1629">
        <v>0.90212765957446805</v>
      </c>
      <c r="L1629" t="s">
        <v>41</v>
      </c>
      <c r="M1629" t="s">
        <v>34</v>
      </c>
      <c r="N1629" t="s">
        <v>35</v>
      </c>
      <c r="O1629">
        <v>0.67678776662350004</v>
      </c>
      <c r="P1629" t="s">
        <v>36</v>
      </c>
    </row>
    <row r="1630" spans="1:16">
      <c r="A1630">
        <v>1629</v>
      </c>
      <c r="B1630" t="s">
        <v>1690</v>
      </c>
      <c r="C1630">
        <v>111</v>
      </c>
      <c r="D1630">
        <v>55</v>
      </c>
      <c r="E1630">
        <v>58.122065153773903</v>
      </c>
      <c r="F1630">
        <v>2.0064599694271701</v>
      </c>
      <c r="G1630">
        <v>2653.2120147447999</v>
      </c>
      <c r="H1630">
        <v>456.85067195488102</v>
      </c>
      <c r="I1630">
        <v>0.61401290554771004</v>
      </c>
      <c r="J1630">
        <v>0.15974721049516299</v>
      </c>
      <c r="K1630">
        <v>0.60816980103570495</v>
      </c>
      <c r="L1630" t="s">
        <v>38</v>
      </c>
      <c r="M1630" t="s">
        <v>34</v>
      </c>
      <c r="N1630" t="s">
        <v>35</v>
      </c>
      <c r="O1630">
        <v>0.71538562193743405</v>
      </c>
      <c r="P1630" t="s">
        <v>36</v>
      </c>
    </row>
    <row r="1631" spans="1:16">
      <c r="A1631">
        <v>1630</v>
      </c>
      <c r="B1631" t="s">
        <v>1691</v>
      </c>
      <c r="C1631">
        <v>83</v>
      </c>
      <c r="D1631">
        <v>64</v>
      </c>
      <c r="E1631">
        <v>58.128576700417</v>
      </c>
      <c r="F1631">
        <v>1.2991452991453001</v>
      </c>
      <c r="G1631">
        <v>2653.8065387523602</v>
      </c>
      <c r="H1631">
        <v>638.99867561288499</v>
      </c>
      <c r="I1631">
        <v>0.61018872645581101</v>
      </c>
      <c r="J1631">
        <v>8.1673131535860394E-2</v>
      </c>
      <c r="K1631">
        <v>0.56504952688376198</v>
      </c>
      <c r="L1631" t="s">
        <v>33</v>
      </c>
      <c r="M1631" t="s">
        <v>34</v>
      </c>
      <c r="N1631" t="s">
        <v>35</v>
      </c>
      <c r="O1631">
        <v>0.74653483988773395</v>
      </c>
      <c r="P1631" t="s">
        <v>36</v>
      </c>
    </row>
    <row r="1632" spans="1:16">
      <c r="A1632">
        <v>1631</v>
      </c>
      <c r="B1632" t="s">
        <v>1692</v>
      </c>
      <c r="C1632">
        <v>63</v>
      </c>
      <c r="D1632">
        <v>88</v>
      </c>
      <c r="E1632">
        <v>58.146479693763403</v>
      </c>
      <c r="F1632">
        <v>0.72049693620517097</v>
      </c>
      <c r="G1632">
        <v>2655.4414797731602</v>
      </c>
      <c r="H1632">
        <v>699.02738585720897</v>
      </c>
      <c r="I1632">
        <v>0.44612850828602402</v>
      </c>
      <c r="J1632">
        <v>6.8290173801930795E-2</v>
      </c>
      <c r="K1632">
        <v>0.58806490898917096</v>
      </c>
      <c r="L1632" t="s">
        <v>33</v>
      </c>
      <c r="M1632" t="s">
        <v>34</v>
      </c>
      <c r="N1632" t="s">
        <v>35</v>
      </c>
      <c r="O1632">
        <v>0.72922978210129796</v>
      </c>
      <c r="P1632" t="s">
        <v>36</v>
      </c>
    </row>
    <row r="1633" spans="1:16">
      <c r="A1633">
        <v>1632</v>
      </c>
      <c r="B1633" t="s">
        <v>1693</v>
      </c>
      <c r="C1633">
        <v>81</v>
      </c>
      <c r="D1633">
        <v>52</v>
      </c>
      <c r="E1633">
        <v>58.3024906519315</v>
      </c>
      <c r="F1633">
        <v>1.5573714148595299</v>
      </c>
      <c r="G1633">
        <v>2669.7100559546302</v>
      </c>
      <c r="H1633">
        <v>342.33232229979097</v>
      </c>
      <c r="I1633">
        <v>0.73128568024042395</v>
      </c>
      <c r="J1633">
        <v>0.28627152323467397</v>
      </c>
      <c r="K1633">
        <v>0.77586281370135202</v>
      </c>
      <c r="L1633" t="s">
        <v>49</v>
      </c>
      <c r="M1633" t="s">
        <v>34</v>
      </c>
      <c r="N1633" t="s">
        <v>35</v>
      </c>
      <c r="O1633">
        <v>0.82106904823257698</v>
      </c>
      <c r="P1633" t="s">
        <v>36</v>
      </c>
    </row>
    <row r="1634" spans="1:16">
      <c r="A1634">
        <v>1633</v>
      </c>
      <c r="B1634" t="s">
        <v>1694</v>
      </c>
      <c r="C1634">
        <v>79</v>
      </c>
      <c r="D1634">
        <v>49</v>
      </c>
      <c r="E1634">
        <v>58.336562432760402</v>
      </c>
      <c r="F1634">
        <v>1.61797752808989</v>
      </c>
      <c r="G1634">
        <v>2672.8313069943301</v>
      </c>
      <c r="H1634">
        <v>288.58163698538499</v>
      </c>
      <c r="I1634">
        <v>0.69554205487159304</v>
      </c>
      <c r="J1634">
        <v>0.403314678538503</v>
      </c>
      <c r="K1634">
        <v>0.85360991123558205</v>
      </c>
      <c r="L1634" t="s">
        <v>43</v>
      </c>
      <c r="M1634" t="s">
        <v>34</v>
      </c>
      <c r="N1634" t="s">
        <v>35</v>
      </c>
      <c r="O1634">
        <v>0.68286149337331103</v>
      </c>
      <c r="P1634" t="s">
        <v>36</v>
      </c>
    </row>
    <row r="1635" spans="1:16">
      <c r="A1635">
        <v>1634</v>
      </c>
      <c r="B1635" t="s">
        <v>1695</v>
      </c>
      <c r="C1635">
        <v>64</v>
      </c>
      <c r="D1635">
        <v>78</v>
      </c>
      <c r="E1635">
        <v>58.339806326467297</v>
      </c>
      <c r="F1635">
        <v>0.81818181818181801</v>
      </c>
      <c r="G1635">
        <v>2673.12856899811</v>
      </c>
      <c r="H1635">
        <v>408.41986867064998</v>
      </c>
      <c r="I1635">
        <v>0.59005080631079299</v>
      </c>
      <c r="J1635">
        <v>0.201379838758836</v>
      </c>
      <c r="K1635">
        <v>0.710897663939286</v>
      </c>
      <c r="L1635" t="s">
        <v>47</v>
      </c>
      <c r="M1635" t="s">
        <v>34</v>
      </c>
      <c r="N1635" t="s">
        <v>35</v>
      </c>
      <c r="O1635">
        <v>0.68581448066552197</v>
      </c>
      <c r="P1635" t="s">
        <v>36</v>
      </c>
    </row>
    <row r="1636" spans="1:16">
      <c r="A1636">
        <v>1635</v>
      </c>
      <c r="B1636" t="s">
        <v>1696</v>
      </c>
      <c r="C1636">
        <v>54</v>
      </c>
      <c r="D1636">
        <v>75</v>
      </c>
      <c r="E1636">
        <v>58.385201914070301</v>
      </c>
      <c r="F1636">
        <v>0.72672073637259604</v>
      </c>
      <c r="G1636">
        <v>2677.2902370510401</v>
      </c>
      <c r="H1636">
        <v>281.96153360771098</v>
      </c>
      <c r="I1636">
        <v>0.72500312683786605</v>
      </c>
      <c r="J1636">
        <v>0.423180444315088</v>
      </c>
      <c r="K1636">
        <v>0.83914096711078001</v>
      </c>
      <c r="L1636" t="s">
        <v>38</v>
      </c>
      <c r="M1636" t="s">
        <v>34</v>
      </c>
      <c r="N1636" t="s">
        <v>35</v>
      </c>
      <c r="O1636">
        <v>0.89340478239813703</v>
      </c>
      <c r="P1636" t="s">
        <v>36</v>
      </c>
    </row>
    <row r="1637" spans="1:16">
      <c r="A1637">
        <v>1636</v>
      </c>
      <c r="B1637" t="s">
        <v>1697</v>
      </c>
      <c r="C1637">
        <v>54</v>
      </c>
      <c r="D1637">
        <v>64</v>
      </c>
      <c r="E1637">
        <v>58.479123531044998</v>
      </c>
      <c r="F1637">
        <v>0.84615384615384603</v>
      </c>
      <c r="G1637">
        <v>2685.9108351606801</v>
      </c>
      <c r="H1637">
        <v>237.81497477189399</v>
      </c>
      <c r="I1637">
        <v>0.59693629192029596</v>
      </c>
      <c r="J1637">
        <v>0.59679209164583702</v>
      </c>
      <c r="K1637">
        <v>0.90704211213170705</v>
      </c>
      <c r="L1637" t="s">
        <v>38</v>
      </c>
      <c r="M1637" t="s">
        <v>34</v>
      </c>
      <c r="N1637" t="s">
        <v>35</v>
      </c>
      <c r="O1637">
        <v>0.709672709888724</v>
      </c>
      <c r="P1637" t="s">
        <v>36</v>
      </c>
    </row>
    <row r="1638" spans="1:16">
      <c r="A1638">
        <v>1637</v>
      </c>
      <c r="B1638" t="s">
        <v>1698</v>
      </c>
      <c r="C1638">
        <v>73</v>
      </c>
      <c r="D1638">
        <v>56</v>
      </c>
      <c r="E1638">
        <v>58.4964210569822</v>
      </c>
      <c r="F1638">
        <v>1.3086420546737001</v>
      </c>
      <c r="G1638">
        <v>2687.5</v>
      </c>
      <c r="H1638">
        <v>240.208150744438</v>
      </c>
      <c r="I1638">
        <v>0.57162171661445205</v>
      </c>
      <c r="J1638">
        <v>0.58530583993877205</v>
      </c>
      <c r="K1638">
        <v>0.86345381526104403</v>
      </c>
      <c r="L1638" t="s">
        <v>38</v>
      </c>
      <c r="M1638" t="s">
        <v>34</v>
      </c>
      <c r="N1638" t="s">
        <v>35</v>
      </c>
      <c r="O1638">
        <v>0.77214553725702895</v>
      </c>
      <c r="P1638" t="s">
        <v>36</v>
      </c>
    </row>
    <row r="1639" spans="1:16">
      <c r="A1639">
        <v>1638</v>
      </c>
      <c r="B1639" t="s">
        <v>1699</v>
      </c>
      <c r="C1639">
        <v>72</v>
      </c>
      <c r="D1639">
        <v>62</v>
      </c>
      <c r="E1639">
        <v>58.767867624188398</v>
      </c>
      <c r="F1639">
        <v>1.1447368330663501</v>
      </c>
      <c r="G1639">
        <v>2712.5</v>
      </c>
      <c r="H1639">
        <v>246.06601536273999</v>
      </c>
      <c r="I1639">
        <v>0.55826614855479695</v>
      </c>
      <c r="J1639">
        <v>0.56295844398777295</v>
      </c>
      <c r="K1639">
        <v>0.83783783783783805</v>
      </c>
      <c r="L1639" t="s">
        <v>38</v>
      </c>
      <c r="M1639" t="s">
        <v>34</v>
      </c>
      <c r="N1639" t="s">
        <v>35</v>
      </c>
      <c r="O1639">
        <v>0.82784722888932505</v>
      </c>
      <c r="P1639" t="s">
        <v>36</v>
      </c>
    </row>
    <row r="1640" spans="1:16">
      <c r="A1640">
        <v>1639</v>
      </c>
      <c r="B1640" t="s">
        <v>1700</v>
      </c>
      <c r="C1640">
        <v>96</v>
      </c>
      <c r="D1640">
        <v>53</v>
      </c>
      <c r="E1640">
        <v>58.880636574218101</v>
      </c>
      <c r="F1640">
        <v>1.7927092406992</v>
      </c>
      <c r="G1640">
        <v>2722.9199546313798</v>
      </c>
      <c r="H1640">
        <v>380.01376712197799</v>
      </c>
      <c r="I1640">
        <v>0.81673545870115805</v>
      </c>
      <c r="J1640">
        <v>0.236944197424345</v>
      </c>
      <c r="K1640">
        <v>0.69549371701909601</v>
      </c>
      <c r="L1640" t="s">
        <v>33</v>
      </c>
      <c r="M1640" t="s">
        <v>34</v>
      </c>
      <c r="N1640" t="s">
        <v>35</v>
      </c>
      <c r="O1640">
        <v>0.67539809476155199</v>
      </c>
      <c r="P1640" t="s">
        <v>36</v>
      </c>
    </row>
    <row r="1641" spans="1:16">
      <c r="A1641">
        <v>1640</v>
      </c>
      <c r="B1641" t="s">
        <v>1701</v>
      </c>
      <c r="C1641">
        <v>68</v>
      </c>
      <c r="D1641">
        <v>81</v>
      </c>
      <c r="E1641">
        <v>59.265062659111798</v>
      </c>
      <c r="F1641">
        <v>0.84255967058072501</v>
      </c>
      <c r="G1641">
        <v>2758.59139508507</v>
      </c>
      <c r="H1641">
        <v>513.84056189744399</v>
      </c>
      <c r="I1641">
        <v>0.55919903558983397</v>
      </c>
      <c r="J1641">
        <v>0.13129266789069699</v>
      </c>
      <c r="K1641">
        <v>0.60639722939196905</v>
      </c>
      <c r="L1641" t="s">
        <v>38</v>
      </c>
      <c r="M1641" t="s">
        <v>34</v>
      </c>
      <c r="N1641" t="s">
        <v>35</v>
      </c>
      <c r="O1641">
        <v>0.70829337742712395</v>
      </c>
      <c r="P1641" t="s">
        <v>36</v>
      </c>
    </row>
    <row r="1642" spans="1:16">
      <c r="A1642">
        <v>1641</v>
      </c>
      <c r="B1642" t="s">
        <v>1702</v>
      </c>
      <c r="C1642">
        <v>74</v>
      </c>
      <c r="D1642">
        <v>59</v>
      </c>
      <c r="E1642">
        <v>59.545397781559899</v>
      </c>
      <c r="F1642">
        <v>1.2565146255036499</v>
      </c>
      <c r="G1642">
        <v>2784.7504514177699</v>
      </c>
      <c r="H1642">
        <v>292.99817331666497</v>
      </c>
      <c r="I1642">
        <v>0.65566422340573705</v>
      </c>
      <c r="J1642">
        <v>0.40763017136887603</v>
      </c>
      <c r="K1642">
        <v>0.77520791096032104</v>
      </c>
      <c r="L1642" t="s">
        <v>33</v>
      </c>
      <c r="M1642" t="s">
        <v>34</v>
      </c>
      <c r="N1642" t="s">
        <v>35</v>
      </c>
      <c r="O1642">
        <v>0.72987553157413998</v>
      </c>
      <c r="P1642" t="s">
        <v>36</v>
      </c>
    </row>
    <row r="1643" spans="1:16">
      <c r="A1643">
        <v>1642</v>
      </c>
      <c r="B1643" t="s">
        <v>1703</v>
      </c>
      <c r="C1643">
        <v>93</v>
      </c>
      <c r="D1643">
        <v>58</v>
      </c>
      <c r="E1643">
        <v>59.734197059947697</v>
      </c>
      <c r="F1643">
        <v>1.60377358490566</v>
      </c>
      <c r="G1643">
        <v>2802.4375406427198</v>
      </c>
      <c r="H1643">
        <v>567.70084161354202</v>
      </c>
      <c r="I1643">
        <v>0.74516127789810704</v>
      </c>
      <c r="J1643">
        <v>0.109271456000477</v>
      </c>
      <c r="K1643">
        <v>0.589200337489453</v>
      </c>
      <c r="L1643" t="s">
        <v>49</v>
      </c>
      <c r="M1643" t="s">
        <v>34</v>
      </c>
      <c r="N1643" t="s">
        <v>35</v>
      </c>
      <c r="O1643">
        <v>0.67755283319175397</v>
      </c>
      <c r="P1643" t="s">
        <v>36</v>
      </c>
    </row>
    <row r="1644" spans="1:16">
      <c r="A1644">
        <v>1643</v>
      </c>
      <c r="B1644" t="s">
        <v>1704</v>
      </c>
      <c r="C1644">
        <v>58</v>
      </c>
      <c r="D1644">
        <v>79</v>
      </c>
      <c r="E1644">
        <v>59.9366113961389</v>
      </c>
      <c r="F1644">
        <v>0.73695198175879395</v>
      </c>
      <c r="G1644">
        <v>2821.4623088846902</v>
      </c>
      <c r="H1644">
        <v>323.02387717941502</v>
      </c>
      <c r="I1644">
        <v>0.56505707880272105</v>
      </c>
      <c r="J1644">
        <v>0.33979334277236301</v>
      </c>
      <c r="K1644">
        <v>0.77257742867608203</v>
      </c>
      <c r="L1644" t="s">
        <v>38</v>
      </c>
      <c r="M1644" t="s">
        <v>34</v>
      </c>
      <c r="N1644" t="s">
        <v>35</v>
      </c>
      <c r="O1644">
        <v>0.69415971276421995</v>
      </c>
      <c r="P1644" t="s">
        <v>36</v>
      </c>
    </row>
    <row r="1645" spans="1:16">
      <c r="A1645">
        <v>1644</v>
      </c>
      <c r="B1645" t="s">
        <v>1705</v>
      </c>
      <c r="C1645">
        <v>70</v>
      </c>
      <c r="D1645">
        <v>80</v>
      </c>
      <c r="E1645">
        <v>59.9760657044231</v>
      </c>
      <c r="F1645">
        <v>0.87463836122821303</v>
      </c>
      <c r="G1645">
        <v>2825.1780839319499</v>
      </c>
      <c r="H1645">
        <v>544.07605232508297</v>
      </c>
      <c r="I1645">
        <v>0.75489369686801</v>
      </c>
      <c r="J1645">
        <v>0.119932385258247</v>
      </c>
      <c r="K1645">
        <v>0.61415185783521797</v>
      </c>
      <c r="L1645" t="s">
        <v>33</v>
      </c>
      <c r="M1645" t="s">
        <v>34</v>
      </c>
      <c r="N1645" t="s">
        <v>35</v>
      </c>
      <c r="O1645">
        <v>0.76453232526560799</v>
      </c>
      <c r="P1645" t="s">
        <v>36</v>
      </c>
    </row>
    <row r="1646" spans="1:16">
      <c r="A1646">
        <v>1645</v>
      </c>
      <c r="B1646" t="s">
        <v>1706</v>
      </c>
      <c r="C1646">
        <v>69</v>
      </c>
      <c r="D1646">
        <v>102</v>
      </c>
      <c r="E1646">
        <v>59.977643336917197</v>
      </c>
      <c r="F1646">
        <v>0.67511574604667202</v>
      </c>
      <c r="G1646">
        <v>2825.3267149338399</v>
      </c>
      <c r="H1646">
        <v>710.85777686336803</v>
      </c>
      <c r="I1646">
        <v>0.65896056307157402</v>
      </c>
      <c r="J1646">
        <v>7.0260801868256798E-2</v>
      </c>
      <c r="K1646">
        <v>0.49860979960130097</v>
      </c>
      <c r="L1646" t="s">
        <v>188</v>
      </c>
      <c r="M1646" t="s">
        <v>34</v>
      </c>
      <c r="N1646" t="s">
        <v>35</v>
      </c>
      <c r="O1646">
        <v>0.65466219272731996</v>
      </c>
      <c r="P1646" t="s">
        <v>36</v>
      </c>
    </row>
    <row r="1647" spans="1:16">
      <c r="A1647">
        <v>1646</v>
      </c>
      <c r="B1647" t="s">
        <v>1707</v>
      </c>
      <c r="C1647">
        <v>49</v>
      </c>
      <c r="D1647">
        <v>92</v>
      </c>
      <c r="E1647">
        <v>60.183955636972598</v>
      </c>
      <c r="F1647">
        <v>0.52930978730652101</v>
      </c>
      <c r="G1647">
        <v>2844.7973761814701</v>
      </c>
      <c r="H1647">
        <v>334.24760597208302</v>
      </c>
      <c r="I1647">
        <v>0.88365462433775499</v>
      </c>
      <c r="J1647">
        <v>0.31998129527227998</v>
      </c>
      <c r="K1647">
        <v>0.78733031674208098</v>
      </c>
      <c r="L1647" t="s">
        <v>38</v>
      </c>
      <c r="M1647" t="s">
        <v>34</v>
      </c>
      <c r="N1647" t="s">
        <v>35</v>
      </c>
      <c r="O1647">
        <v>0.71843592982268001</v>
      </c>
      <c r="P1647" t="s">
        <v>36</v>
      </c>
    </row>
    <row r="1648" spans="1:16">
      <c r="A1648">
        <v>1647</v>
      </c>
      <c r="B1648" t="s">
        <v>1708</v>
      </c>
      <c r="C1648">
        <v>57</v>
      </c>
      <c r="D1648">
        <v>93</v>
      </c>
      <c r="E1648">
        <v>60.251522466140599</v>
      </c>
      <c r="F1648">
        <v>0.61520676081286296</v>
      </c>
      <c r="G1648">
        <v>2851.1885092627599</v>
      </c>
      <c r="H1648">
        <v>457.22485012230698</v>
      </c>
      <c r="I1648">
        <v>0.74171302823345797</v>
      </c>
      <c r="J1648">
        <v>0.17138631602705801</v>
      </c>
      <c r="K1648">
        <v>0.73560088963877601</v>
      </c>
      <c r="L1648" t="s">
        <v>49</v>
      </c>
      <c r="M1648" t="s">
        <v>34</v>
      </c>
      <c r="N1648" t="s">
        <v>35</v>
      </c>
      <c r="O1648">
        <v>0.77838442888770099</v>
      </c>
      <c r="P1648" t="s">
        <v>36</v>
      </c>
    </row>
    <row r="1649" spans="1:16">
      <c r="A1649">
        <v>1648</v>
      </c>
      <c r="B1649" t="s">
        <v>1709</v>
      </c>
      <c r="C1649">
        <v>78</v>
      </c>
      <c r="D1649">
        <v>88</v>
      </c>
      <c r="E1649">
        <v>60.259374157335401</v>
      </c>
      <c r="F1649">
        <v>0.88819875776397506</v>
      </c>
      <c r="G1649">
        <v>2851.9316642722101</v>
      </c>
      <c r="H1649">
        <v>642.21518275986602</v>
      </c>
      <c r="I1649">
        <v>0.68439038301545496</v>
      </c>
      <c r="J1649">
        <v>8.6893610300145904E-2</v>
      </c>
      <c r="K1649">
        <v>0.50988520408163296</v>
      </c>
      <c r="L1649" t="s">
        <v>38</v>
      </c>
      <c r="M1649" t="s">
        <v>34</v>
      </c>
      <c r="N1649" t="s">
        <v>35</v>
      </c>
      <c r="O1649">
        <v>0.87740005473321203</v>
      </c>
      <c r="P1649" t="s">
        <v>36</v>
      </c>
    </row>
    <row r="1650" spans="1:16">
      <c r="A1650">
        <v>1649</v>
      </c>
      <c r="B1650" t="s">
        <v>1710</v>
      </c>
      <c r="C1650">
        <v>72</v>
      </c>
      <c r="D1650">
        <v>65</v>
      </c>
      <c r="E1650">
        <v>60.480372174683097</v>
      </c>
      <c r="F1650">
        <v>1.1005917038875701</v>
      </c>
      <c r="G1650">
        <v>2872.8886355387499</v>
      </c>
      <c r="H1650">
        <v>307.38361205546801</v>
      </c>
      <c r="I1650">
        <v>0.60765022506256205</v>
      </c>
      <c r="J1650">
        <v>0.38209137642933899</v>
      </c>
      <c r="K1650">
        <v>0.822195754817304</v>
      </c>
      <c r="L1650" t="s">
        <v>33</v>
      </c>
      <c r="M1650" t="s">
        <v>34</v>
      </c>
      <c r="N1650" t="s">
        <v>35</v>
      </c>
      <c r="O1650">
        <v>0.72508421247475896</v>
      </c>
      <c r="P1650" t="s">
        <v>36</v>
      </c>
    </row>
    <row r="1651" spans="1:16">
      <c r="A1651">
        <v>1650</v>
      </c>
      <c r="B1651" t="s">
        <v>1711</v>
      </c>
      <c r="C1651">
        <v>47</v>
      </c>
      <c r="D1651">
        <v>96</v>
      </c>
      <c r="E1651">
        <v>60.633977153266002</v>
      </c>
      <c r="F1651">
        <v>0.49514562283845898</v>
      </c>
      <c r="G1651">
        <v>2887.5</v>
      </c>
      <c r="H1651">
        <v>266.06601536274002</v>
      </c>
      <c r="I1651">
        <v>0.81784585471079196</v>
      </c>
      <c r="J1651">
        <v>0.51256983681717905</v>
      </c>
      <c r="K1651">
        <v>0.81052631578947398</v>
      </c>
      <c r="L1651" t="s">
        <v>38</v>
      </c>
      <c r="M1651" t="s">
        <v>34</v>
      </c>
      <c r="N1651" t="s">
        <v>35</v>
      </c>
      <c r="O1651">
        <v>0.845303663172151</v>
      </c>
      <c r="P1651" t="s">
        <v>36</v>
      </c>
    </row>
    <row r="1652" spans="1:16">
      <c r="A1652">
        <v>1651</v>
      </c>
      <c r="B1652" t="s">
        <v>1712</v>
      </c>
      <c r="C1652">
        <v>83</v>
      </c>
      <c r="D1652">
        <v>53</v>
      </c>
      <c r="E1652">
        <v>60.773786107121097</v>
      </c>
      <c r="F1652">
        <v>1.5510203382562699</v>
      </c>
      <c r="G1652">
        <v>2900.8312638941402</v>
      </c>
      <c r="H1652">
        <v>491.10582306519802</v>
      </c>
      <c r="I1652">
        <v>0.65230421076077405</v>
      </c>
      <c r="J1652">
        <v>0.15114095576021699</v>
      </c>
      <c r="K1652">
        <v>0.73374938907477705</v>
      </c>
      <c r="L1652" t="s">
        <v>33</v>
      </c>
      <c r="M1652" t="s">
        <v>34</v>
      </c>
      <c r="N1652" t="s">
        <v>35</v>
      </c>
      <c r="O1652">
        <v>0.716063505700824</v>
      </c>
      <c r="P1652" t="s">
        <v>36</v>
      </c>
    </row>
    <row r="1653" spans="1:16">
      <c r="A1653">
        <v>1652</v>
      </c>
      <c r="B1653" t="s">
        <v>1713</v>
      </c>
      <c r="C1653">
        <v>82</v>
      </c>
      <c r="D1653">
        <v>54</v>
      </c>
      <c r="E1653">
        <v>60.985163015299399</v>
      </c>
      <c r="F1653">
        <v>1.52727276111044</v>
      </c>
      <c r="G1653">
        <v>2921.0450801512302</v>
      </c>
      <c r="H1653">
        <v>291.32377380174103</v>
      </c>
      <c r="I1653">
        <v>0.57188465498359797</v>
      </c>
      <c r="J1653">
        <v>0.43251011549215101</v>
      </c>
      <c r="K1653">
        <v>0.83740253099833795</v>
      </c>
      <c r="L1653" t="s">
        <v>38</v>
      </c>
      <c r="M1653" t="s">
        <v>34</v>
      </c>
      <c r="N1653" t="s">
        <v>35</v>
      </c>
      <c r="O1653">
        <v>0.74612361079971501</v>
      </c>
      <c r="P1653" t="s">
        <v>36</v>
      </c>
    </row>
    <row r="1654" spans="1:16">
      <c r="A1654">
        <v>1653</v>
      </c>
      <c r="B1654" t="s">
        <v>1714</v>
      </c>
      <c r="C1654">
        <v>68</v>
      </c>
      <c r="D1654">
        <v>73</v>
      </c>
      <c r="E1654">
        <v>61.728479415482099</v>
      </c>
      <c r="F1654">
        <v>0.93984972498607799</v>
      </c>
      <c r="G1654">
        <v>2992.6852230623799</v>
      </c>
      <c r="H1654">
        <v>478.175595037937</v>
      </c>
      <c r="I1654">
        <v>0.69437139464389097</v>
      </c>
      <c r="J1654">
        <v>0.16447355869828201</v>
      </c>
      <c r="K1654">
        <v>0.71990417962744502</v>
      </c>
      <c r="L1654" t="s">
        <v>38</v>
      </c>
      <c r="M1654" t="s">
        <v>34</v>
      </c>
      <c r="N1654" t="s">
        <v>35</v>
      </c>
      <c r="O1654">
        <v>0.76793945967838395</v>
      </c>
      <c r="P1654" t="s">
        <v>36</v>
      </c>
    </row>
    <row r="1655" spans="1:16">
      <c r="A1655">
        <v>1654</v>
      </c>
      <c r="B1655" t="s">
        <v>1715</v>
      </c>
      <c r="C1655">
        <v>57</v>
      </c>
      <c r="D1655">
        <v>97</v>
      </c>
      <c r="E1655">
        <v>61.8769886893189</v>
      </c>
      <c r="F1655">
        <v>0.59404809621133303</v>
      </c>
      <c r="G1655">
        <v>3007.1024302457499</v>
      </c>
      <c r="H1655">
        <v>492.85771726214398</v>
      </c>
      <c r="I1655">
        <v>0.56315398887242696</v>
      </c>
      <c r="J1655">
        <v>0.15556609965009999</v>
      </c>
      <c r="K1655">
        <v>0.65669122658963297</v>
      </c>
      <c r="L1655" t="s">
        <v>38</v>
      </c>
      <c r="M1655" t="s">
        <v>34</v>
      </c>
      <c r="N1655" t="s">
        <v>35</v>
      </c>
      <c r="O1655">
        <v>0.73468619228367704</v>
      </c>
      <c r="P1655" t="s">
        <v>36</v>
      </c>
    </row>
    <row r="1656" spans="1:16">
      <c r="A1656">
        <v>1655</v>
      </c>
      <c r="B1656" t="s">
        <v>1716</v>
      </c>
      <c r="C1656">
        <v>98</v>
      </c>
      <c r="D1656">
        <v>91</v>
      </c>
      <c r="E1656">
        <v>62.038870665021101</v>
      </c>
      <c r="F1656">
        <v>1.08037344482831</v>
      </c>
      <c r="G1656">
        <v>3022.85731644612</v>
      </c>
      <c r="H1656">
        <v>735.42028834446603</v>
      </c>
      <c r="I1656">
        <v>0.66009169554749003</v>
      </c>
      <c r="J1656">
        <v>7.0235438596900401E-2</v>
      </c>
      <c r="K1656">
        <v>0.480428979755746</v>
      </c>
      <c r="L1656" t="s">
        <v>893</v>
      </c>
      <c r="M1656" t="s">
        <v>34</v>
      </c>
      <c r="N1656" t="s">
        <v>35</v>
      </c>
      <c r="O1656">
        <v>0.64506726423870298</v>
      </c>
      <c r="P1656" t="s">
        <v>36</v>
      </c>
    </row>
    <row r="1657" spans="1:16">
      <c r="A1657">
        <v>1656</v>
      </c>
      <c r="B1657" t="s">
        <v>1717</v>
      </c>
      <c r="C1657">
        <v>78</v>
      </c>
      <c r="D1657">
        <v>79</v>
      </c>
      <c r="E1657">
        <v>62.095277272517997</v>
      </c>
      <c r="F1657">
        <v>0.99305555555555602</v>
      </c>
      <c r="G1657">
        <v>3028.3566635160701</v>
      </c>
      <c r="H1657">
        <v>438.764953499981</v>
      </c>
      <c r="I1657">
        <v>0.77058305544994699</v>
      </c>
      <c r="J1657">
        <v>0.19767558148039699</v>
      </c>
      <c r="K1657">
        <v>0.65131221430169695</v>
      </c>
      <c r="L1657" t="s">
        <v>38</v>
      </c>
      <c r="M1657" t="s">
        <v>34</v>
      </c>
      <c r="N1657" t="s">
        <v>35</v>
      </c>
      <c r="O1657">
        <v>0.82198119693522398</v>
      </c>
      <c r="P1657" t="s">
        <v>36</v>
      </c>
    </row>
    <row r="1658" spans="1:16">
      <c r="A1658">
        <v>1657</v>
      </c>
      <c r="B1658" t="s">
        <v>1718</v>
      </c>
      <c r="C1658">
        <v>79</v>
      </c>
      <c r="D1658">
        <v>73</v>
      </c>
      <c r="E1658">
        <v>62.334056421928899</v>
      </c>
      <c r="F1658">
        <v>1.08768451627794</v>
      </c>
      <c r="G1658">
        <v>3051.69173081285</v>
      </c>
      <c r="H1658">
        <v>447.775713007761</v>
      </c>
      <c r="I1658">
        <v>0.74314099060007999</v>
      </c>
      <c r="J1658">
        <v>0.1912623364104</v>
      </c>
      <c r="K1658">
        <v>0.640644013853786</v>
      </c>
      <c r="L1658" t="s">
        <v>38</v>
      </c>
      <c r="M1658" t="s">
        <v>34</v>
      </c>
      <c r="N1658" t="s">
        <v>35</v>
      </c>
      <c r="O1658">
        <v>0.87690104160269899</v>
      </c>
      <c r="P1658" t="s">
        <v>36</v>
      </c>
    </row>
    <row r="1659" spans="1:16">
      <c r="A1659">
        <v>1658</v>
      </c>
      <c r="B1659" t="s">
        <v>1719</v>
      </c>
      <c r="C1659">
        <v>69</v>
      </c>
      <c r="D1659">
        <v>73</v>
      </c>
      <c r="E1659">
        <v>62.671650288144299</v>
      </c>
      <c r="F1659">
        <v>0.94029850746268695</v>
      </c>
      <c r="G1659">
        <v>3084.83644423441</v>
      </c>
      <c r="H1659">
        <v>394.96047311192001</v>
      </c>
      <c r="I1659">
        <v>0.58413553013172304</v>
      </c>
      <c r="J1659">
        <v>0.24850477503485799</v>
      </c>
      <c r="K1659">
        <v>0.79716546320479298</v>
      </c>
      <c r="L1659" t="s">
        <v>1038</v>
      </c>
      <c r="M1659" t="s">
        <v>34</v>
      </c>
      <c r="N1659" t="s">
        <v>35</v>
      </c>
      <c r="O1659">
        <v>0.65293743006172</v>
      </c>
      <c r="P1659" t="s">
        <v>36</v>
      </c>
    </row>
    <row r="1660" spans="1:16">
      <c r="A1660">
        <v>1659</v>
      </c>
      <c r="B1660" t="s">
        <v>1720</v>
      </c>
      <c r="C1660">
        <v>51</v>
      </c>
      <c r="D1660">
        <v>86</v>
      </c>
      <c r="E1660">
        <v>62.837508428082202</v>
      </c>
      <c r="F1660">
        <v>0.58928567299900203</v>
      </c>
      <c r="G1660">
        <v>3101.1858544423399</v>
      </c>
      <c r="H1660">
        <v>301.40227061095402</v>
      </c>
      <c r="I1660">
        <v>0.86133752863803503</v>
      </c>
      <c r="J1660">
        <v>0.42898748137023801</v>
      </c>
      <c r="K1660">
        <v>0.83153993304638896</v>
      </c>
      <c r="L1660" t="s">
        <v>33</v>
      </c>
      <c r="M1660" t="s">
        <v>34</v>
      </c>
      <c r="N1660" t="s">
        <v>35</v>
      </c>
      <c r="O1660">
        <v>0.66680241319962497</v>
      </c>
      <c r="P1660" t="s">
        <v>36</v>
      </c>
    </row>
    <row r="1661" spans="1:16">
      <c r="A1661">
        <v>1660</v>
      </c>
      <c r="B1661" t="s">
        <v>1721</v>
      </c>
      <c r="C1661">
        <v>77</v>
      </c>
      <c r="D1661">
        <v>98</v>
      </c>
      <c r="E1661">
        <v>63.326500304391601</v>
      </c>
      <c r="F1661">
        <v>0.79329608938547502</v>
      </c>
      <c r="G1661">
        <v>3149.6395610586001</v>
      </c>
      <c r="H1661">
        <v>552.69933842275498</v>
      </c>
      <c r="I1661">
        <v>0.60086481322176</v>
      </c>
      <c r="J1661">
        <v>0.12956653104663701</v>
      </c>
      <c r="K1661">
        <v>0.62280675973548905</v>
      </c>
      <c r="L1661" t="s">
        <v>38</v>
      </c>
      <c r="M1661" t="s">
        <v>34</v>
      </c>
      <c r="N1661" t="s">
        <v>35</v>
      </c>
      <c r="O1661">
        <v>0.74549656825981803</v>
      </c>
      <c r="P1661" t="s">
        <v>36</v>
      </c>
    </row>
    <row r="1662" spans="1:16">
      <c r="A1662">
        <v>1661</v>
      </c>
      <c r="B1662" t="s">
        <v>1722</v>
      </c>
      <c r="C1662">
        <v>53</v>
      </c>
      <c r="D1662">
        <v>83</v>
      </c>
      <c r="E1662">
        <v>63.348909097472401</v>
      </c>
      <c r="F1662">
        <v>0.64473684210526305</v>
      </c>
      <c r="G1662">
        <v>3151.8690260869598</v>
      </c>
      <c r="H1662">
        <v>492.17356036663102</v>
      </c>
      <c r="I1662">
        <v>0.67067130660024199</v>
      </c>
      <c r="J1662">
        <v>0.16350892645664</v>
      </c>
      <c r="K1662">
        <v>0.77476160900222901</v>
      </c>
      <c r="L1662" t="s">
        <v>33</v>
      </c>
      <c r="M1662" t="s">
        <v>34</v>
      </c>
      <c r="N1662" t="s">
        <v>35</v>
      </c>
      <c r="O1662">
        <v>0.68794768077924295</v>
      </c>
      <c r="P1662" t="s">
        <v>36</v>
      </c>
    </row>
    <row r="1663" spans="1:16">
      <c r="A1663">
        <v>1662</v>
      </c>
      <c r="B1663" t="s">
        <v>1723</v>
      </c>
      <c r="C1663">
        <v>104</v>
      </c>
      <c r="D1663">
        <v>65</v>
      </c>
      <c r="E1663">
        <v>63.542787606724303</v>
      </c>
      <c r="F1663">
        <v>1.6106206380478201</v>
      </c>
      <c r="G1663">
        <v>3171.1910563327001</v>
      </c>
      <c r="H1663">
        <v>492.74812286045199</v>
      </c>
      <c r="I1663">
        <v>0.90386114869069301</v>
      </c>
      <c r="J1663">
        <v>0.164127863048497</v>
      </c>
      <c r="K1663">
        <v>0.66733391717752999</v>
      </c>
      <c r="L1663" t="s">
        <v>33</v>
      </c>
      <c r="M1663" t="s">
        <v>34</v>
      </c>
      <c r="N1663" t="s">
        <v>35</v>
      </c>
      <c r="O1663">
        <v>0.67938974536268704</v>
      </c>
      <c r="P1663" t="s">
        <v>36</v>
      </c>
    </row>
    <row r="1664" spans="1:16">
      <c r="A1664">
        <v>1663</v>
      </c>
      <c r="B1664" t="s">
        <v>1724</v>
      </c>
      <c r="C1664">
        <v>73</v>
      </c>
      <c r="D1664">
        <v>88</v>
      </c>
      <c r="E1664">
        <v>63.829536506111999</v>
      </c>
      <c r="F1664">
        <v>0.83229813664596297</v>
      </c>
      <c r="G1664">
        <v>3199.8768396975402</v>
      </c>
      <c r="H1664">
        <v>501.93267620926298</v>
      </c>
      <c r="I1664">
        <v>0.64241065952783805</v>
      </c>
      <c r="J1664">
        <v>0.15960709314329399</v>
      </c>
      <c r="K1664">
        <v>0.68930298082156705</v>
      </c>
      <c r="L1664" t="s">
        <v>33</v>
      </c>
      <c r="M1664" t="s">
        <v>34</v>
      </c>
      <c r="N1664" t="s">
        <v>35</v>
      </c>
      <c r="O1664">
        <v>0.68791773508592302</v>
      </c>
      <c r="P1664" t="s">
        <v>36</v>
      </c>
    </row>
    <row r="1665" spans="1:16">
      <c r="A1665">
        <v>1664</v>
      </c>
      <c r="B1665" t="s">
        <v>1725</v>
      </c>
      <c r="C1665">
        <v>75</v>
      </c>
      <c r="D1665">
        <v>66</v>
      </c>
      <c r="E1665">
        <v>63.934700861870802</v>
      </c>
      <c r="F1665">
        <v>1.1470588645970701</v>
      </c>
      <c r="G1665">
        <v>3210.42964083176</v>
      </c>
      <c r="H1665">
        <v>318.15566799868702</v>
      </c>
      <c r="I1665">
        <v>0.63571327154359403</v>
      </c>
      <c r="J1665">
        <v>0.39855998249424401</v>
      </c>
      <c r="K1665">
        <v>0.85133217720321597</v>
      </c>
      <c r="L1665" t="s">
        <v>74</v>
      </c>
      <c r="M1665" t="s">
        <v>34</v>
      </c>
      <c r="N1665" t="s">
        <v>35</v>
      </c>
      <c r="O1665">
        <v>0.66325896829478603</v>
      </c>
      <c r="P1665" t="s">
        <v>36</v>
      </c>
    </row>
    <row r="1666" spans="1:16">
      <c r="A1666">
        <v>1665</v>
      </c>
      <c r="B1666" t="s">
        <v>1726</v>
      </c>
      <c r="C1666">
        <v>98</v>
      </c>
      <c r="D1666">
        <v>67</v>
      </c>
      <c r="E1666">
        <v>63.937660733211501</v>
      </c>
      <c r="F1666">
        <v>1.46957412141855</v>
      </c>
      <c r="G1666">
        <v>3210.7269028355399</v>
      </c>
      <c r="H1666">
        <v>441.07811494806498</v>
      </c>
      <c r="I1666">
        <v>0.70650270261859105</v>
      </c>
      <c r="J1666">
        <v>0.207387325717176</v>
      </c>
      <c r="K1666">
        <v>0.67794376098418296</v>
      </c>
      <c r="L1666" t="s">
        <v>38</v>
      </c>
      <c r="M1666" t="s">
        <v>34</v>
      </c>
      <c r="N1666" t="s">
        <v>35</v>
      </c>
      <c r="O1666">
        <v>0.72063063895521695</v>
      </c>
      <c r="P1666" t="s">
        <v>36</v>
      </c>
    </row>
    <row r="1667" spans="1:16">
      <c r="A1667">
        <v>1666</v>
      </c>
      <c r="B1667" t="s">
        <v>1727</v>
      </c>
      <c r="C1667">
        <v>54</v>
      </c>
      <c r="D1667">
        <v>76</v>
      </c>
      <c r="E1667">
        <v>64.079618692458695</v>
      </c>
      <c r="F1667">
        <v>0.70833335689414001</v>
      </c>
      <c r="G1667">
        <v>3225</v>
      </c>
      <c r="H1667">
        <v>228.99494767189</v>
      </c>
      <c r="I1667">
        <v>0.74589848803636605</v>
      </c>
      <c r="J1667">
        <v>0.77283677904355597</v>
      </c>
      <c r="K1667">
        <v>0.94160583941605802</v>
      </c>
      <c r="L1667" t="s">
        <v>38</v>
      </c>
      <c r="M1667" t="s">
        <v>34</v>
      </c>
      <c r="N1667" t="s">
        <v>35</v>
      </c>
      <c r="O1667">
        <v>0.86105091640363896</v>
      </c>
      <c r="P1667" t="s">
        <v>36</v>
      </c>
    </row>
    <row r="1668" spans="1:16">
      <c r="A1668">
        <v>1667</v>
      </c>
      <c r="B1668" t="s">
        <v>1728</v>
      </c>
      <c r="C1668">
        <v>66</v>
      </c>
      <c r="D1668">
        <v>99</v>
      </c>
      <c r="E1668">
        <v>64.385979003709394</v>
      </c>
      <c r="F1668">
        <v>0.66748110132090299</v>
      </c>
      <c r="G1668">
        <v>3255.9107274102098</v>
      </c>
      <c r="H1668">
        <v>503.94915417194397</v>
      </c>
      <c r="I1668">
        <v>0.72417823432013295</v>
      </c>
      <c r="J1668">
        <v>0.161104959997071</v>
      </c>
      <c r="K1668">
        <v>0.65766009186706298</v>
      </c>
      <c r="L1668" t="s">
        <v>38</v>
      </c>
      <c r="M1668" t="s">
        <v>34</v>
      </c>
      <c r="N1668" t="s">
        <v>35</v>
      </c>
      <c r="O1668">
        <v>0.71415359726750605</v>
      </c>
      <c r="P1668" t="s">
        <v>36</v>
      </c>
    </row>
    <row r="1669" spans="1:16">
      <c r="A1669">
        <v>1668</v>
      </c>
      <c r="B1669" t="s">
        <v>1729</v>
      </c>
      <c r="C1669">
        <v>60</v>
      </c>
      <c r="D1669">
        <v>120</v>
      </c>
      <c r="E1669">
        <v>64.419770864675201</v>
      </c>
      <c r="F1669">
        <v>0.49642935075408701</v>
      </c>
      <c r="G1669">
        <v>3259.3292404536901</v>
      </c>
      <c r="H1669">
        <v>539.61412103145005</v>
      </c>
      <c r="I1669">
        <v>0.517715433342819</v>
      </c>
      <c r="J1669">
        <v>0.140660282295267</v>
      </c>
      <c r="K1669">
        <v>0.63658267533673896</v>
      </c>
      <c r="L1669" t="s">
        <v>38</v>
      </c>
      <c r="M1669" t="s">
        <v>34</v>
      </c>
      <c r="N1669" t="s">
        <v>35</v>
      </c>
      <c r="O1669">
        <v>0.81138887885829702</v>
      </c>
      <c r="P1669" t="s">
        <v>36</v>
      </c>
    </row>
    <row r="1670" spans="1:16">
      <c r="A1670">
        <v>1669</v>
      </c>
      <c r="B1670" t="s">
        <v>1730</v>
      </c>
      <c r="C1670">
        <v>73</v>
      </c>
      <c r="D1670">
        <v>93</v>
      </c>
      <c r="E1670">
        <v>64.475562093603401</v>
      </c>
      <c r="F1670">
        <v>0.78823529411764703</v>
      </c>
      <c r="G1670">
        <v>3264.9772185255201</v>
      </c>
      <c r="H1670">
        <v>670.93126303662405</v>
      </c>
      <c r="I1670">
        <v>0.744973187195758</v>
      </c>
      <c r="J1670">
        <v>9.1145233413414697E-2</v>
      </c>
      <c r="K1670">
        <v>0.61007581859083004</v>
      </c>
      <c r="L1670" t="s">
        <v>33</v>
      </c>
      <c r="M1670" t="s">
        <v>34</v>
      </c>
      <c r="N1670" t="s">
        <v>35</v>
      </c>
      <c r="O1670">
        <v>0.68178317935096799</v>
      </c>
      <c r="P1670" t="s">
        <v>36</v>
      </c>
    </row>
    <row r="1671" spans="1:16">
      <c r="A1671">
        <v>1670</v>
      </c>
      <c r="B1671" t="s">
        <v>1731</v>
      </c>
      <c r="C1671">
        <v>88</v>
      </c>
      <c r="D1671">
        <v>68</v>
      </c>
      <c r="E1671">
        <v>64.731874755739</v>
      </c>
      <c r="F1671">
        <v>1.29838709677419</v>
      </c>
      <c r="G1671">
        <v>3290.9876438563301</v>
      </c>
      <c r="H1671">
        <v>592.99062817843105</v>
      </c>
      <c r="I1671">
        <v>0.485618768378273</v>
      </c>
      <c r="J1671">
        <v>0.117608972671811</v>
      </c>
      <c r="K1671">
        <v>0.65106295392396096</v>
      </c>
      <c r="L1671" t="s">
        <v>33</v>
      </c>
      <c r="M1671" t="s">
        <v>34</v>
      </c>
      <c r="N1671" t="s">
        <v>35</v>
      </c>
      <c r="O1671">
        <v>0.70864182792031105</v>
      </c>
      <c r="P1671" t="s">
        <v>36</v>
      </c>
    </row>
    <row r="1672" spans="1:16">
      <c r="A1672">
        <v>1671</v>
      </c>
      <c r="B1672" t="s">
        <v>1732</v>
      </c>
      <c r="C1672">
        <v>89</v>
      </c>
      <c r="D1672">
        <v>66</v>
      </c>
      <c r="E1672">
        <v>64.931824881720402</v>
      </c>
      <c r="F1672">
        <v>1.3442795429969401</v>
      </c>
      <c r="G1672">
        <v>3311.3500911153101</v>
      </c>
      <c r="H1672">
        <v>415.22706113203702</v>
      </c>
      <c r="I1672">
        <v>0.69158724597421095</v>
      </c>
      <c r="J1672">
        <v>0.241347977456221</v>
      </c>
      <c r="K1672">
        <v>0.758382408006263</v>
      </c>
      <c r="L1672" t="s">
        <v>33</v>
      </c>
      <c r="M1672" t="s">
        <v>34</v>
      </c>
      <c r="N1672" t="s">
        <v>35</v>
      </c>
      <c r="O1672">
        <v>0.71057298729790597</v>
      </c>
      <c r="P1672" t="s">
        <v>36</v>
      </c>
    </row>
    <row r="1673" spans="1:16">
      <c r="A1673">
        <v>1672</v>
      </c>
      <c r="B1673" t="s">
        <v>1733</v>
      </c>
      <c r="C1673">
        <v>76</v>
      </c>
      <c r="D1673">
        <v>59</v>
      </c>
      <c r="E1673">
        <v>64.944938742699705</v>
      </c>
      <c r="F1673">
        <v>1.2933558344331599</v>
      </c>
      <c r="G1673">
        <v>3312.6877701323301</v>
      </c>
      <c r="H1673">
        <v>230.6053974276</v>
      </c>
      <c r="I1673">
        <v>0.60500476828517702</v>
      </c>
      <c r="J1673">
        <v>0.78280110945040304</v>
      </c>
      <c r="K1673">
        <v>0.95990352728368999</v>
      </c>
      <c r="L1673" t="s">
        <v>38</v>
      </c>
      <c r="M1673" t="s">
        <v>34</v>
      </c>
      <c r="N1673" t="s">
        <v>35</v>
      </c>
      <c r="O1673">
        <v>0.85441593032643404</v>
      </c>
      <c r="P1673" t="s">
        <v>36</v>
      </c>
    </row>
    <row r="1674" spans="1:16">
      <c r="A1674">
        <v>1673</v>
      </c>
      <c r="B1674" t="s">
        <v>1734</v>
      </c>
      <c r="C1674">
        <v>63</v>
      </c>
      <c r="D1674">
        <v>88</v>
      </c>
      <c r="E1674">
        <v>64.9609631998634</v>
      </c>
      <c r="F1674">
        <v>0.72049689440993803</v>
      </c>
      <c r="G1674">
        <v>3314.3227111531201</v>
      </c>
      <c r="H1674">
        <v>536.79448953307201</v>
      </c>
      <c r="I1674">
        <v>0.77372505215452902</v>
      </c>
      <c r="J1674">
        <v>0.14454016926692001</v>
      </c>
      <c r="K1674">
        <v>0.67358405074762095</v>
      </c>
      <c r="L1674" t="s">
        <v>331</v>
      </c>
      <c r="M1674" t="s">
        <v>34</v>
      </c>
      <c r="N1674" t="s">
        <v>35</v>
      </c>
      <c r="O1674">
        <v>0.64315689909141305</v>
      </c>
      <c r="P1674" t="s">
        <v>36</v>
      </c>
    </row>
    <row r="1675" spans="1:16">
      <c r="A1675">
        <v>1674</v>
      </c>
      <c r="B1675" t="s">
        <v>1735</v>
      </c>
      <c r="C1675">
        <v>104</v>
      </c>
      <c r="D1675">
        <v>73</v>
      </c>
      <c r="E1675">
        <v>65.186343543544197</v>
      </c>
      <c r="F1675">
        <v>1.4236479008212199</v>
      </c>
      <c r="G1675">
        <v>3337.3605164461301</v>
      </c>
      <c r="H1675">
        <v>576.976184887057</v>
      </c>
      <c r="I1675">
        <v>0.57462488018563995</v>
      </c>
      <c r="J1675">
        <v>0.12597872603455601</v>
      </c>
      <c r="K1675">
        <v>0.58493760908640902</v>
      </c>
      <c r="L1675" t="s">
        <v>33</v>
      </c>
      <c r="M1675" t="s">
        <v>34</v>
      </c>
      <c r="N1675" t="s">
        <v>35</v>
      </c>
      <c r="O1675">
        <v>0.72320229580975703</v>
      </c>
      <c r="P1675" t="s">
        <v>36</v>
      </c>
    </row>
    <row r="1676" spans="1:16">
      <c r="A1676">
        <v>1675</v>
      </c>
      <c r="B1676" t="s">
        <v>1736</v>
      </c>
      <c r="C1676">
        <v>65</v>
      </c>
      <c r="D1676">
        <v>100</v>
      </c>
      <c r="E1676">
        <v>65.187705746970494</v>
      </c>
      <c r="F1676">
        <v>0.65</v>
      </c>
      <c r="G1676">
        <v>3337.5</v>
      </c>
      <c r="H1676">
        <v>376.776692271233</v>
      </c>
      <c r="I1676">
        <v>0.76648817531078295</v>
      </c>
      <c r="J1676">
        <v>0.29543577246020503</v>
      </c>
      <c r="K1676">
        <v>0.64337349397590404</v>
      </c>
      <c r="L1676" t="s">
        <v>38</v>
      </c>
      <c r="M1676" t="s">
        <v>34</v>
      </c>
      <c r="N1676" t="s">
        <v>35</v>
      </c>
      <c r="O1676">
        <v>0.73223287245404001</v>
      </c>
      <c r="P1676" t="s">
        <v>36</v>
      </c>
    </row>
    <row r="1677" spans="1:16">
      <c r="A1677">
        <v>1676</v>
      </c>
      <c r="B1677" t="s">
        <v>1737</v>
      </c>
      <c r="C1677">
        <v>85</v>
      </c>
      <c r="D1677">
        <v>50</v>
      </c>
      <c r="E1677">
        <v>65.187705746970494</v>
      </c>
      <c r="F1677">
        <v>1.7</v>
      </c>
      <c r="G1677">
        <v>3337.5</v>
      </c>
      <c r="H1677">
        <v>241.92387998104101</v>
      </c>
      <c r="I1677">
        <v>0.677981227098432</v>
      </c>
      <c r="J1677">
        <v>0.71659481291048199</v>
      </c>
      <c r="K1677">
        <v>0.94680851063829796</v>
      </c>
      <c r="L1677" t="s">
        <v>331</v>
      </c>
      <c r="M1677" t="s">
        <v>34</v>
      </c>
      <c r="N1677" t="s">
        <v>35</v>
      </c>
      <c r="O1677">
        <v>0.65783091048223796</v>
      </c>
      <c r="P1677" t="s">
        <v>36</v>
      </c>
    </row>
    <row r="1678" spans="1:16">
      <c r="A1678">
        <v>1677</v>
      </c>
      <c r="B1678" t="s">
        <v>1738</v>
      </c>
      <c r="C1678">
        <v>62</v>
      </c>
      <c r="D1678">
        <v>97</v>
      </c>
      <c r="E1678">
        <v>65.715464501873598</v>
      </c>
      <c r="F1678">
        <v>0.64038229607243002</v>
      </c>
      <c r="G1678">
        <v>3391.7594631379998</v>
      </c>
      <c r="H1678">
        <v>410.46844635299999</v>
      </c>
      <c r="I1678">
        <v>0.84704250159043504</v>
      </c>
      <c r="J1678">
        <v>0.25297368924304497</v>
      </c>
      <c r="K1678">
        <v>0.72041924485414799</v>
      </c>
      <c r="L1678" t="s">
        <v>33</v>
      </c>
      <c r="M1678" t="s">
        <v>34</v>
      </c>
      <c r="N1678" t="s">
        <v>35</v>
      </c>
      <c r="O1678">
        <v>0.67237848228584396</v>
      </c>
      <c r="P1678" t="s">
        <v>36</v>
      </c>
    </row>
    <row r="1679" spans="1:16">
      <c r="A1679">
        <v>1678</v>
      </c>
      <c r="B1679" t="s">
        <v>1739</v>
      </c>
      <c r="C1679">
        <v>68</v>
      </c>
      <c r="D1679">
        <v>64</v>
      </c>
      <c r="E1679">
        <v>65.735619529031098</v>
      </c>
      <c r="F1679">
        <v>1.0683760772934701</v>
      </c>
      <c r="G1679">
        <v>3393.84029716446</v>
      </c>
      <c r="H1679">
        <v>318.15566799868702</v>
      </c>
      <c r="I1679">
        <v>0.60856782866631698</v>
      </c>
      <c r="J1679">
        <v>0.42132956667933102</v>
      </c>
      <c r="K1679">
        <v>0.88658512910114495</v>
      </c>
      <c r="L1679" t="s">
        <v>33</v>
      </c>
      <c r="M1679" t="s">
        <v>34</v>
      </c>
      <c r="N1679" t="s">
        <v>35</v>
      </c>
      <c r="O1679">
        <v>0.67766762054989105</v>
      </c>
      <c r="P1679" t="s">
        <v>36</v>
      </c>
    </row>
    <row r="1680" spans="1:16">
      <c r="A1680">
        <v>1679</v>
      </c>
      <c r="B1680" t="s">
        <v>1740</v>
      </c>
      <c r="C1680">
        <v>91</v>
      </c>
      <c r="D1680">
        <v>62</v>
      </c>
      <c r="E1680">
        <v>66.028609103769099</v>
      </c>
      <c r="F1680">
        <v>1.4609376504606799</v>
      </c>
      <c r="G1680">
        <v>3424.1610215501</v>
      </c>
      <c r="H1680">
        <v>418.28857891497398</v>
      </c>
      <c r="I1680">
        <v>0.67909282485664901</v>
      </c>
      <c r="J1680">
        <v>0.24593029458312099</v>
      </c>
      <c r="K1680">
        <v>0.74186900238294595</v>
      </c>
      <c r="L1680" t="s">
        <v>33</v>
      </c>
      <c r="M1680" t="s">
        <v>34</v>
      </c>
      <c r="N1680" t="s">
        <v>35</v>
      </c>
      <c r="O1680">
        <v>0.68476421162544099</v>
      </c>
      <c r="P1680" t="s">
        <v>36</v>
      </c>
    </row>
    <row r="1681" spans="1:16">
      <c r="A1681">
        <v>1680</v>
      </c>
      <c r="B1681" t="s">
        <v>1741</v>
      </c>
      <c r="C1681">
        <v>103</v>
      </c>
      <c r="D1681">
        <v>103</v>
      </c>
      <c r="E1681">
        <v>66.040072404047095</v>
      </c>
      <c r="F1681">
        <v>1.0053191489361699</v>
      </c>
      <c r="G1681">
        <v>3425.3500695652201</v>
      </c>
      <c r="H1681">
        <v>860.050850758553</v>
      </c>
      <c r="I1681">
        <v>0.451427127172776</v>
      </c>
      <c r="J1681">
        <v>5.8192439973626602E-2</v>
      </c>
      <c r="K1681">
        <v>0.41147693186687601</v>
      </c>
      <c r="L1681" t="s">
        <v>33</v>
      </c>
      <c r="M1681" t="s">
        <v>34</v>
      </c>
      <c r="N1681" t="s">
        <v>35</v>
      </c>
      <c r="O1681">
        <v>0.71315778865187696</v>
      </c>
      <c r="P1681" t="s">
        <v>36</v>
      </c>
    </row>
    <row r="1682" spans="1:16">
      <c r="A1682">
        <v>1681</v>
      </c>
      <c r="B1682" t="s">
        <v>1742</v>
      </c>
      <c r="C1682">
        <v>98</v>
      </c>
      <c r="D1682">
        <v>63</v>
      </c>
      <c r="E1682">
        <v>66.640546299206804</v>
      </c>
      <c r="F1682">
        <v>1.5517240789642399</v>
      </c>
      <c r="G1682">
        <v>3487.92372136106</v>
      </c>
      <c r="H1682">
        <v>637.34697357913706</v>
      </c>
      <c r="I1682">
        <v>0.53291459726115598</v>
      </c>
      <c r="J1682">
        <v>0.107900880041834</v>
      </c>
      <c r="K1682">
        <v>0.65638285970015697</v>
      </c>
      <c r="L1682" t="s">
        <v>74</v>
      </c>
      <c r="M1682" t="s">
        <v>34</v>
      </c>
      <c r="N1682" t="s">
        <v>35</v>
      </c>
      <c r="O1682">
        <v>0.72241408585337497</v>
      </c>
      <c r="P1682" t="s">
        <v>36</v>
      </c>
    </row>
    <row r="1683" spans="1:16">
      <c r="A1683">
        <v>1682</v>
      </c>
      <c r="B1683" t="s">
        <v>1743</v>
      </c>
      <c r="C1683">
        <v>156</v>
      </c>
      <c r="D1683">
        <v>78</v>
      </c>
      <c r="E1683">
        <v>66.755457330920507</v>
      </c>
      <c r="F1683">
        <v>2.00699300848538</v>
      </c>
      <c r="G1683">
        <v>3499.9628325141798</v>
      </c>
      <c r="H1683">
        <v>990.74480284732294</v>
      </c>
      <c r="I1683">
        <v>0.62190792632865</v>
      </c>
      <c r="J1683">
        <v>4.4807394487604298E-2</v>
      </c>
      <c r="K1683">
        <v>0.40798364461693098</v>
      </c>
      <c r="L1683" t="s">
        <v>33</v>
      </c>
      <c r="M1683" t="s">
        <v>34</v>
      </c>
      <c r="N1683" t="s">
        <v>35</v>
      </c>
      <c r="O1683">
        <v>0.78894419500945401</v>
      </c>
      <c r="P1683" t="s">
        <v>36</v>
      </c>
    </row>
    <row r="1684" spans="1:16">
      <c r="A1684">
        <v>1683</v>
      </c>
      <c r="B1684" t="s">
        <v>1744</v>
      </c>
      <c r="C1684">
        <v>70</v>
      </c>
      <c r="D1684">
        <v>70</v>
      </c>
      <c r="E1684">
        <v>66.755811781245498</v>
      </c>
      <c r="F1684">
        <v>1</v>
      </c>
      <c r="G1684">
        <v>3500</v>
      </c>
      <c r="H1684">
        <v>291.42135381698603</v>
      </c>
      <c r="I1684">
        <v>0.62746209074577897</v>
      </c>
      <c r="J1684">
        <v>0.51788718610845597</v>
      </c>
      <c r="K1684">
        <v>0.83832335329341301</v>
      </c>
      <c r="L1684" t="s">
        <v>33</v>
      </c>
      <c r="M1684" t="s">
        <v>34</v>
      </c>
      <c r="N1684" t="s">
        <v>35</v>
      </c>
      <c r="O1684">
        <v>0.68831139632060401</v>
      </c>
      <c r="P1684" t="s">
        <v>36</v>
      </c>
    </row>
    <row r="1685" spans="1:16">
      <c r="A1685">
        <v>1684</v>
      </c>
      <c r="B1685" t="s">
        <v>1745</v>
      </c>
      <c r="C1685">
        <v>85</v>
      </c>
      <c r="D1685">
        <v>60</v>
      </c>
      <c r="E1685">
        <v>66.755811781245498</v>
      </c>
      <c r="F1685">
        <v>1.4166666666666701</v>
      </c>
      <c r="G1685">
        <v>3500</v>
      </c>
      <c r="H1685">
        <v>267.27921843528702</v>
      </c>
      <c r="I1685">
        <v>0.76164216874733803</v>
      </c>
      <c r="J1685">
        <v>0.615669335029434</v>
      </c>
      <c r="K1685">
        <v>0.88888888888888895</v>
      </c>
      <c r="L1685" t="s">
        <v>38</v>
      </c>
      <c r="M1685" t="s">
        <v>34</v>
      </c>
      <c r="N1685" t="s">
        <v>35</v>
      </c>
      <c r="O1685">
        <v>0.75454890562132904</v>
      </c>
      <c r="P1685" t="s">
        <v>36</v>
      </c>
    </row>
    <row r="1686" spans="1:16">
      <c r="A1686">
        <v>1685</v>
      </c>
      <c r="B1686" t="s">
        <v>1746</v>
      </c>
      <c r="C1686">
        <v>61</v>
      </c>
      <c r="D1686">
        <v>109</v>
      </c>
      <c r="E1686">
        <v>66.766795837555307</v>
      </c>
      <c r="F1686">
        <v>0.55718094740436797</v>
      </c>
      <c r="G1686">
        <v>3501.1518805292999</v>
      </c>
      <c r="H1686">
        <v>575.20159320893504</v>
      </c>
      <c r="I1686">
        <v>0.76751581841064698</v>
      </c>
      <c r="J1686">
        <v>0.132978262568797</v>
      </c>
      <c r="K1686">
        <v>0.62938520319555402</v>
      </c>
      <c r="L1686" t="s">
        <v>38</v>
      </c>
      <c r="M1686" t="s">
        <v>34</v>
      </c>
      <c r="N1686" t="s">
        <v>35</v>
      </c>
      <c r="O1686">
        <v>0.77260370976193904</v>
      </c>
      <c r="P1686" t="s">
        <v>36</v>
      </c>
    </row>
    <row r="1687" spans="1:16">
      <c r="A1687">
        <v>1686</v>
      </c>
      <c r="B1687" t="s">
        <v>1747</v>
      </c>
      <c r="C1687">
        <v>64</v>
      </c>
      <c r="D1687">
        <v>107</v>
      </c>
      <c r="E1687">
        <v>66.923919377848804</v>
      </c>
      <c r="F1687">
        <v>0.60196592824870998</v>
      </c>
      <c r="G1687">
        <v>3517.6499217391301</v>
      </c>
      <c r="H1687">
        <v>610.83446034877204</v>
      </c>
      <c r="I1687">
        <v>0.81838584748877896</v>
      </c>
      <c r="J1687">
        <v>0.11847191821848201</v>
      </c>
      <c r="K1687">
        <v>0.62685736988478302</v>
      </c>
      <c r="L1687" t="s">
        <v>38</v>
      </c>
      <c r="M1687" t="s">
        <v>34</v>
      </c>
      <c r="N1687" t="s">
        <v>35</v>
      </c>
      <c r="O1687">
        <v>0.73806625141530502</v>
      </c>
      <c r="P1687" t="s">
        <v>36</v>
      </c>
    </row>
    <row r="1688" spans="1:16">
      <c r="A1688">
        <v>1687</v>
      </c>
      <c r="B1688" t="s">
        <v>1748</v>
      </c>
      <c r="C1688">
        <v>115</v>
      </c>
      <c r="D1688">
        <v>60</v>
      </c>
      <c r="E1688">
        <v>67.112479387224496</v>
      </c>
      <c r="F1688">
        <v>1.9166666666666701</v>
      </c>
      <c r="G1688">
        <v>3537.5</v>
      </c>
      <c r="H1688">
        <v>409.20309841632798</v>
      </c>
      <c r="I1688">
        <v>0.80242841107769902</v>
      </c>
      <c r="J1688">
        <v>0.26547796848917699</v>
      </c>
      <c r="K1688">
        <v>0.65813953488372101</v>
      </c>
      <c r="L1688" t="s">
        <v>38</v>
      </c>
      <c r="M1688" t="s">
        <v>34</v>
      </c>
      <c r="N1688" t="s">
        <v>35</v>
      </c>
      <c r="O1688">
        <v>0.74989955513939299</v>
      </c>
      <c r="P1688" t="s">
        <v>36</v>
      </c>
    </row>
    <row r="1689" spans="1:16">
      <c r="A1689">
        <v>1688</v>
      </c>
      <c r="B1689" t="s">
        <v>1749</v>
      </c>
      <c r="C1689">
        <v>83</v>
      </c>
      <c r="D1689">
        <v>59</v>
      </c>
      <c r="E1689">
        <v>67.194833252084607</v>
      </c>
      <c r="F1689">
        <v>1.4074073236828999</v>
      </c>
      <c r="G1689">
        <v>3546.1870741020798</v>
      </c>
      <c r="H1689">
        <v>306.66735544028501</v>
      </c>
      <c r="I1689">
        <v>0.74047280365190904</v>
      </c>
      <c r="J1689">
        <v>0.47384511790358802</v>
      </c>
      <c r="K1689">
        <v>0.90289498580889305</v>
      </c>
      <c r="L1689" t="s">
        <v>830</v>
      </c>
      <c r="M1689" t="s">
        <v>34</v>
      </c>
      <c r="N1689" t="s">
        <v>35</v>
      </c>
      <c r="O1689">
        <v>0.81499588695096803</v>
      </c>
      <c r="P1689" t="s">
        <v>36</v>
      </c>
    </row>
    <row r="1690" spans="1:16">
      <c r="A1690">
        <v>1689</v>
      </c>
      <c r="B1690" t="s">
        <v>1750</v>
      </c>
      <c r="C1690">
        <v>103</v>
      </c>
      <c r="D1690">
        <v>69</v>
      </c>
      <c r="E1690">
        <v>67.225805751195097</v>
      </c>
      <c r="F1690">
        <v>1.4920634920634901</v>
      </c>
      <c r="G1690">
        <v>3549.4569561436701</v>
      </c>
      <c r="H1690">
        <v>558.49359078355496</v>
      </c>
      <c r="I1690">
        <v>0.66147827417702498</v>
      </c>
      <c r="J1690">
        <v>0.142999787074407</v>
      </c>
      <c r="K1690">
        <v>0.64482246523558795</v>
      </c>
      <c r="L1690" t="s">
        <v>33</v>
      </c>
      <c r="M1690" t="s">
        <v>34</v>
      </c>
      <c r="N1690" t="s">
        <v>35</v>
      </c>
      <c r="O1690">
        <v>0.69665636793846397</v>
      </c>
      <c r="P1690" t="s">
        <v>36</v>
      </c>
    </row>
    <row r="1691" spans="1:16">
      <c r="A1691">
        <v>1690</v>
      </c>
      <c r="B1691" t="s">
        <v>1751</v>
      </c>
      <c r="C1691">
        <v>68</v>
      </c>
      <c r="D1691">
        <v>82</v>
      </c>
      <c r="E1691">
        <v>67.407130846978603</v>
      </c>
      <c r="F1691">
        <v>0.82781463578879999</v>
      </c>
      <c r="G1691">
        <v>3568.63035538752</v>
      </c>
      <c r="H1691">
        <v>367.03814413236501</v>
      </c>
      <c r="I1691">
        <v>0.75112068302894597</v>
      </c>
      <c r="J1691">
        <v>0.33288101636567602</v>
      </c>
      <c r="K1691">
        <v>0.78920553528580395</v>
      </c>
      <c r="L1691" t="s">
        <v>33</v>
      </c>
      <c r="M1691" t="s">
        <v>34</v>
      </c>
      <c r="N1691" t="s">
        <v>35</v>
      </c>
      <c r="O1691">
        <v>0.70056219203238201</v>
      </c>
      <c r="P1691" t="s">
        <v>36</v>
      </c>
    </row>
    <row r="1692" spans="1:16">
      <c r="A1692">
        <v>1691</v>
      </c>
      <c r="B1692" t="s">
        <v>1752</v>
      </c>
      <c r="C1692">
        <v>74</v>
      </c>
      <c r="D1692">
        <v>69</v>
      </c>
      <c r="E1692">
        <v>67.5739682899722</v>
      </c>
      <c r="F1692">
        <v>1.07816374328695</v>
      </c>
      <c r="G1692">
        <v>3586.3174446124799</v>
      </c>
      <c r="H1692">
        <v>340.81291214891098</v>
      </c>
      <c r="I1692">
        <v>0.72356641609189398</v>
      </c>
      <c r="J1692">
        <v>0.387995342435209</v>
      </c>
      <c r="K1692">
        <v>0.85676241877640902</v>
      </c>
      <c r="L1692" t="s">
        <v>38</v>
      </c>
      <c r="M1692" t="s">
        <v>34</v>
      </c>
      <c r="N1692" t="s">
        <v>35</v>
      </c>
      <c r="O1692">
        <v>0.73592541484067997</v>
      </c>
      <c r="P1692" t="s">
        <v>36</v>
      </c>
    </row>
    <row r="1693" spans="1:16">
      <c r="A1693">
        <v>1692</v>
      </c>
      <c r="B1693" t="s">
        <v>1753</v>
      </c>
      <c r="C1693">
        <v>68</v>
      </c>
      <c r="D1693">
        <v>74</v>
      </c>
      <c r="E1693">
        <v>67.606166704268304</v>
      </c>
      <c r="F1693">
        <v>0.92592602220911602</v>
      </c>
      <c r="G1693">
        <v>3589.7359576559602</v>
      </c>
      <c r="H1693">
        <v>276.37706781179998</v>
      </c>
      <c r="I1693">
        <v>0.77644925695479505</v>
      </c>
      <c r="J1693">
        <v>0.59056589023717498</v>
      </c>
      <c r="K1693">
        <v>0.91253258775078405</v>
      </c>
      <c r="L1693" t="s">
        <v>61</v>
      </c>
      <c r="M1693" t="s">
        <v>34</v>
      </c>
      <c r="N1693" t="s">
        <v>35</v>
      </c>
      <c r="O1693">
        <v>0.76736057172935801</v>
      </c>
      <c r="P1693" t="s">
        <v>36</v>
      </c>
    </row>
    <row r="1694" spans="1:16">
      <c r="A1694">
        <v>1693</v>
      </c>
      <c r="B1694" t="s">
        <v>1754</v>
      </c>
      <c r="C1694">
        <v>77</v>
      </c>
      <c r="D1694">
        <v>87</v>
      </c>
      <c r="E1694">
        <v>67.740394831198302</v>
      </c>
      <c r="F1694">
        <v>0.88749999999999996</v>
      </c>
      <c r="G1694">
        <v>3604.0045338374298</v>
      </c>
      <c r="H1694">
        <v>536.81718701424802</v>
      </c>
      <c r="I1694">
        <v>0.72786967204559305</v>
      </c>
      <c r="J1694">
        <v>0.15716012614056901</v>
      </c>
      <c r="K1694">
        <v>0.68068382786402004</v>
      </c>
      <c r="L1694" t="s">
        <v>33</v>
      </c>
      <c r="M1694" t="s">
        <v>34</v>
      </c>
      <c r="N1694" t="s">
        <v>35</v>
      </c>
      <c r="O1694">
        <v>0.65735740430796696</v>
      </c>
      <c r="P1694" t="s">
        <v>36</v>
      </c>
    </row>
    <row r="1695" spans="1:16">
      <c r="A1695">
        <v>1694</v>
      </c>
      <c r="B1695" t="s">
        <v>1755</v>
      </c>
      <c r="C1695">
        <v>82</v>
      </c>
      <c r="D1695">
        <v>73</v>
      </c>
      <c r="E1695">
        <v>67.785078473808696</v>
      </c>
      <c r="F1695">
        <v>1.12686567164179</v>
      </c>
      <c r="G1695">
        <v>3608.7607258979201</v>
      </c>
      <c r="H1695">
        <v>583.17671513495202</v>
      </c>
      <c r="I1695">
        <v>0.70001939063042395</v>
      </c>
      <c r="J1695">
        <v>0.13334219535535499</v>
      </c>
      <c r="K1695">
        <v>0.70197756447322801</v>
      </c>
      <c r="L1695" t="s">
        <v>38</v>
      </c>
      <c r="M1695" t="s">
        <v>34</v>
      </c>
      <c r="N1695" t="s">
        <v>35</v>
      </c>
      <c r="O1695">
        <v>0.682013600757992</v>
      </c>
      <c r="P1695" t="s">
        <v>36</v>
      </c>
    </row>
    <row r="1696" spans="1:16">
      <c r="A1696">
        <v>1695</v>
      </c>
      <c r="B1696" t="s">
        <v>1756</v>
      </c>
      <c r="C1696">
        <v>65</v>
      </c>
      <c r="D1696">
        <v>75</v>
      </c>
      <c r="E1696">
        <v>67.820187668243605</v>
      </c>
      <c r="F1696">
        <v>0.86666666666666703</v>
      </c>
      <c r="G1696">
        <v>3612.5</v>
      </c>
      <c r="H1696">
        <v>236.06601536273999</v>
      </c>
      <c r="I1696">
        <v>0.61659820832073498</v>
      </c>
      <c r="J1696">
        <v>0.81461195769246997</v>
      </c>
      <c r="K1696">
        <v>0.94136807817589596</v>
      </c>
      <c r="L1696" t="s">
        <v>33</v>
      </c>
      <c r="M1696" t="s">
        <v>34</v>
      </c>
      <c r="N1696" t="s">
        <v>35</v>
      </c>
      <c r="O1696">
        <v>0.73391825159820301</v>
      </c>
      <c r="P1696" t="s">
        <v>36</v>
      </c>
    </row>
    <row r="1697" spans="1:16">
      <c r="A1697">
        <v>1696</v>
      </c>
      <c r="B1697" t="s">
        <v>1757</v>
      </c>
      <c r="C1697">
        <v>95</v>
      </c>
      <c r="D1697">
        <v>66</v>
      </c>
      <c r="E1697">
        <v>68.049783312253695</v>
      </c>
      <c r="F1697">
        <v>1.4421992311466401</v>
      </c>
      <c r="G1697">
        <v>3637.0006162570899</v>
      </c>
      <c r="H1697">
        <v>351.772057175844</v>
      </c>
      <c r="I1697">
        <v>0.58474856222877702</v>
      </c>
      <c r="J1697">
        <v>0.36934358607597001</v>
      </c>
      <c r="K1697">
        <v>0.79293583927414102</v>
      </c>
      <c r="L1697" t="s">
        <v>38</v>
      </c>
      <c r="M1697" t="s">
        <v>34</v>
      </c>
      <c r="N1697" t="s">
        <v>35</v>
      </c>
      <c r="O1697">
        <v>0.72541970307853998</v>
      </c>
      <c r="P1697" t="s">
        <v>36</v>
      </c>
    </row>
    <row r="1698" spans="1:16">
      <c r="A1698">
        <v>1697</v>
      </c>
      <c r="B1698" t="s">
        <v>1758</v>
      </c>
      <c r="C1698">
        <v>71</v>
      </c>
      <c r="D1698">
        <v>85</v>
      </c>
      <c r="E1698">
        <v>68.098432502268295</v>
      </c>
      <c r="F1698">
        <v>0.83784373740598606</v>
      </c>
      <c r="G1698">
        <v>3642.20270132325</v>
      </c>
      <c r="H1698">
        <v>321.63124967709803</v>
      </c>
      <c r="I1698">
        <v>0.67808625932198796</v>
      </c>
      <c r="J1698">
        <v>0.44244317464937799</v>
      </c>
      <c r="K1698">
        <v>0.82500084166582499</v>
      </c>
      <c r="L1698" t="s">
        <v>33</v>
      </c>
      <c r="M1698" t="s">
        <v>34</v>
      </c>
      <c r="N1698" t="s">
        <v>35</v>
      </c>
      <c r="O1698">
        <v>0.68645526564415005</v>
      </c>
      <c r="P1698" t="s">
        <v>36</v>
      </c>
    </row>
    <row r="1699" spans="1:16">
      <c r="A1699">
        <v>1698</v>
      </c>
      <c r="B1699" t="s">
        <v>1759</v>
      </c>
      <c r="C1699">
        <v>71</v>
      </c>
      <c r="D1699">
        <v>111</v>
      </c>
      <c r="E1699">
        <v>68.147046962339502</v>
      </c>
      <c r="F1699">
        <v>0.64031830935544998</v>
      </c>
      <c r="G1699">
        <v>3647.4047863894102</v>
      </c>
      <c r="H1699">
        <v>729.41786564889196</v>
      </c>
      <c r="I1699">
        <v>0.790906742201123</v>
      </c>
      <c r="J1699">
        <v>8.6147173967771704E-2</v>
      </c>
      <c r="K1699">
        <v>0.57647583922572798</v>
      </c>
      <c r="L1699" t="s">
        <v>298</v>
      </c>
      <c r="M1699" t="s">
        <v>34</v>
      </c>
      <c r="N1699" t="s">
        <v>35</v>
      </c>
      <c r="O1699">
        <v>0.738897745833069</v>
      </c>
      <c r="P1699" t="s">
        <v>36</v>
      </c>
    </row>
    <row r="1700" spans="1:16">
      <c r="A1700">
        <v>1699</v>
      </c>
      <c r="B1700" t="s">
        <v>1760</v>
      </c>
      <c r="C1700">
        <v>72</v>
      </c>
      <c r="D1700">
        <v>70</v>
      </c>
      <c r="E1700">
        <v>68.569228410325096</v>
      </c>
      <c r="F1700">
        <v>1.0307121407355999</v>
      </c>
      <c r="G1700">
        <v>3692.73724196597</v>
      </c>
      <c r="H1700">
        <v>266.27036428710699</v>
      </c>
      <c r="I1700">
        <v>0.68056575409458597</v>
      </c>
      <c r="J1700">
        <v>0.65450445274941804</v>
      </c>
      <c r="K1700">
        <v>0.90243725255166896</v>
      </c>
      <c r="L1700" t="s">
        <v>33</v>
      </c>
      <c r="M1700" t="s">
        <v>34</v>
      </c>
      <c r="N1700" t="s">
        <v>35</v>
      </c>
      <c r="O1700">
        <v>0.74260192563737004</v>
      </c>
      <c r="P1700" t="s">
        <v>36</v>
      </c>
    </row>
    <row r="1701" spans="1:16">
      <c r="A1701">
        <v>1700</v>
      </c>
      <c r="B1701" t="s">
        <v>1761</v>
      </c>
      <c r="C1701">
        <v>127</v>
      </c>
      <c r="D1701">
        <v>63</v>
      </c>
      <c r="E1701">
        <v>68.667134267414596</v>
      </c>
      <c r="F1701">
        <v>2.0086206896551699</v>
      </c>
      <c r="G1701">
        <v>3703.2900431001899</v>
      </c>
      <c r="H1701">
        <v>589.65512439126599</v>
      </c>
      <c r="I1701">
        <v>0.81088939143598604</v>
      </c>
      <c r="J1701">
        <v>0.13384477971425501</v>
      </c>
      <c r="K1701">
        <v>0.62985995247484705</v>
      </c>
      <c r="L1701" t="s">
        <v>38</v>
      </c>
      <c r="M1701" t="s">
        <v>34</v>
      </c>
      <c r="N1701" t="s">
        <v>35</v>
      </c>
      <c r="O1701">
        <v>0.79724835612342504</v>
      </c>
      <c r="P1701" t="s">
        <v>36</v>
      </c>
    </row>
    <row r="1702" spans="1:16">
      <c r="A1702">
        <v>1701</v>
      </c>
      <c r="B1702" t="s">
        <v>1762</v>
      </c>
      <c r="C1702">
        <v>97</v>
      </c>
      <c r="D1702">
        <v>67</v>
      </c>
      <c r="E1702">
        <v>68.682290294224501</v>
      </c>
      <c r="F1702">
        <v>1.43810709205761</v>
      </c>
      <c r="G1702">
        <v>3704.9249841209798</v>
      </c>
      <c r="H1702">
        <v>393.79254364728899</v>
      </c>
      <c r="I1702">
        <v>0.75729723517016201</v>
      </c>
      <c r="J1702">
        <v>0.30023015172698397</v>
      </c>
      <c r="K1702">
        <v>0.74573685155268399</v>
      </c>
      <c r="L1702" t="s">
        <v>33</v>
      </c>
      <c r="M1702" t="s">
        <v>34</v>
      </c>
      <c r="N1702" t="s">
        <v>35</v>
      </c>
      <c r="O1702">
        <v>0.67257247955229604</v>
      </c>
      <c r="P1702" t="s">
        <v>36</v>
      </c>
    </row>
    <row r="1703" spans="1:16">
      <c r="A1703">
        <v>1702</v>
      </c>
      <c r="B1703" t="s">
        <v>1763</v>
      </c>
      <c r="C1703">
        <v>85</v>
      </c>
      <c r="D1703">
        <v>78</v>
      </c>
      <c r="E1703">
        <v>68.687800747562505</v>
      </c>
      <c r="F1703">
        <v>1.0885639241367699</v>
      </c>
      <c r="G1703">
        <v>3705.5195081285501</v>
      </c>
      <c r="H1703">
        <v>421.50508606195501</v>
      </c>
      <c r="I1703">
        <v>0.82046199286111898</v>
      </c>
      <c r="J1703">
        <v>0.26209173710011202</v>
      </c>
      <c r="K1703">
        <v>0.73647051872858305</v>
      </c>
      <c r="L1703" t="s">
        <v>38</v>
      </c>
      <c r="M1703" t="s">
        <v>34</v>
      </c>
      <c r="N1703" t="s">
        <v>35</v>
      </c>
      <c r="O1703">
        <v>0.874922570295668</v>
      </c>
      <c r="P1703" t="s">
        <v>36</v>
      </c>
    </row>
    <row r="1704" spans="1:16">
      <c r="A1704">
        <v>1703</v>
      </c>
      <c r="B1704" t="s">
        <v>1764</v>
      </c>
      <c r="C1704">
        <v>99</v>
      </c>
      <c r="D1704">
        <v>61</v>
      </c>
      <c r="E1704">
        <v>68.724984750851107</v>
      </c>
      <c r="F1704">
        <v>1.6312778377000501</v>
      </c>
      <c r="G1704">
        <v>3709.5325451795802</v>
      </c>
      <c r="H1704">
        <v>451.79537369043902</v>
      </c>
      <c r="I1704">
        <v>0.65970637392619702</v>
      </c>
      <c r="J1704">
        <v>0.22837338580722</v>
      </c>
      <c r="K1704">
        <v>0.74063742655350495</v>
      </c>
      <c r="L1704" t="s">
        <v>38</v>
      </c>
      <c r="M1704" t="s">
        <v>34</v>
      </c>
      <c r="N1704" t="s">
        <v>35</v>
      </c>
      <c r="O1704">
        <v>0.75096654101137295</v>
      </c>
      <c r="P1704" t="s">
        <v>36</v>
      </c>
    </row>
    <row r="1705" spans="1:16">
      <c r="A1705">
        <v>1704</v>
      </c>
      <c r="B1705" t="s">
        <v>1765</v>
      </c>
      <c r="C1705">
        <v>83</v>
      </c>
      <c r="D1705">
        <v>93</v>
      </c>
      <c r="E1705">
        <v>68.808919073218505</v>
      </c>
      <c r="F1705">
        <v>0.89411764705882402</v>
      </c>
      <c r="G1705">
        <v>3718.5990362949001</v>
      </c>
      <c r="H1705">
        <v>673.51841048893698</v>
      </c>
      <c r="I1705">
        <v>0.58231690967976601</v>
      </c>
      <c r="J1705">
        <v>0.103012582101823</v>
      </c>
      <c r="K1705">
        <v>0.61429483402082097</v>
      </c>
      <c r="L1705" t="s">
        <v>38</v>
      </c>
      <c r="M1705" t="s">
        <v>34</v>
      </c>
      <c r="N1705" t="s">
        <v>35</v>
      </c>
      <c r="O1705">
        <v>0.79086421835257703</v>
      </c>
      <c r="P1705" t="s">
        <v>36</v>
      </c>
    </row>
    <row r="1706" spans="1:16">
      <c r="A1706">
        <v>1705</v>
      </c>
      <c r="B1706" t="s">
        <v>1766</v>
      </c>
      <c r="C1706">
        <v>84</v>
      </c>
      <c r="D1706">
        <v>86</v>
      </c>
      <c r="E1706">
        <v>68.931197286727794</v>
      </c>
      <c r="F1706">
        <v>0.97784636102929801</v>
      </c>
      <c r="G1706">
        <v>3731.82719546314</v>
      </c>
      <c r="H1706">
        <v>639.39555126148696</v>
      </c>
      <c r="I1706">
        <v>0.54088865293618005</v>
      </c>
      <c r="J1706">
        <v>0.114707593551385</v>
      </c>
      <c r="K1706">
        <v>0.65479201982005497</v>
      </c>
      <c r="L1706" t="s">
        <v>33</v>
      </c>
      <c r="M1706" t="s">
        <v>34</v>
      </c>
      <c r="N1706" t="s">
        <v>35</v>
      </c>
      <c r="O1706">
        <v>0.75744093496632803</v>
      </c>
      <c r="P1706" t="s">
        <v>36</v>
      </c>
    </row>
    <row r="1707" spans="1:16">
      <c r="A1707">
        <v>1706</v>
      </c>
      <c r="B1707" t="s">
        <v>1767</v>
      </c>
      <c r="C1707">
        <v>89</v>
      </c>
      <c r="D1707">
        <v>71</v>
      </c>
      <c r="E1707">
        <v>69.017622823016396</v>
      </c>
      <c r="F1707">
        <v>1.2486110469012</v>
      </c>
      <c r="G1707">
        <v>3741.1909485822298</v>
      </c>
      <c r="H1707">
        <v>389.16622075112002</v>
      </c>
      <c r="I1707">
        <v>0.76349844696926406</v>
      </c>
      <c r="J1707">
        <v>0.310419836033545</v>
      </c>
      <c r="K1707">
        <v>0.74978403979625297</v>
      </c>
      <c r="L1707" t="s">
        <v>33</v>
      </c>
      <c r="M1707" t="s">
        <v>34</v>
      </c>
      <c r="N1707" t="s">
        <v>35</v>
      </c>
      <c r="O1707">
        <v>0.66805210173197005</v>
      </c>
      <c r="P1707" t="s">
        <v>36</v>
      </c>
    </row>
    <row r="1708" spans="1:16">
      <c r="A1708">
        <v>1707</v>
      </c>
      <c r="B1708" t="s">
        <v>1768</v>
      </c>
      <c r="C1708">
        <v>92</v>
      </c>
      <c r="D1708">
        <v>59</v>
      </c>
      <c r="E1708">
        <v>69.098829894267098</v>
      </c>
      <c r="F1708">
        <v>1.5593218273992899</v>
      </c>
      <c r="G1708">
        <v>3750</v>
      </c>
      <c r="H1708">
        <v>271.42135381698603</v>
      </c>
      <c r="I1708">
        <v>0.72852056285018796</v>
      </c>
      <c r="J1708">
        <v>0.63966576376892303</v>
      </c>
      <c r="K1708">
        <v>0.89020771513353103</v>
      </c>
      <c r="L1708" t="s">
        <v>38</v>
      </c>
      <c r="M1708" t="s">
        <v>34</v>
      </c>
      <c r="N1708" t="s">
        <v>35</v>
      </c>
      <c r="O1708">
        <v>0.77649271323981095</v>
      </c>
      <c r="P1708" t="s">
        <v>36</v>
      </c>
    </row>
    <row r="1709" spans="1:16">
      <c r="A1709">
        <v>1708</v>
      </c>
      <c r="B1709" t="s">
        <v>1769</v>
      </c>
      <c r="C1709">
        <v>107</v>
      </c>
      <c r="D1709">
        <v>100</v>
      </c>
      <c r="E1709">
        <v>69.138163358799403</v>
      </c>
      <c r="F1709">
        <v>1.0765027322404399</v>
      </c>
      <c r="G1709">
        <v>3754.2704767485802</v>
      </c>
      <c r="H1709">
        <v>778.99617769065105</v>
      </c>
      <c r="I1709">
        <v>0.31821247899743299</v>
      </c>
      <c r="J1709">
        <v>7.7743621758882706E-2</v>
      </c>
      <c r="K1709">
        <v>0.462814005899921</v>
      </c>
      <c r="L1709" t="s">
        <v>33</v>
      </c>
      <c r="M1709" t="s">
        <v>34</v>
      </c>
      <c r="N1709" t="s">
        <v>35</v>
      </c>
      <c r="O1709">
        <v>0.73677316266641302</v>
      </c>
      <c r="P1709" t="s">
        <v>36</v>
      </c>
    </row>
    <row r="1710" spans="1:16">
      <c r="A1710">
        <v>1709</v>
      </c>
      <c r="B1710" t="s">
        <v>1770</v>
      </c>
      <c r="C1710">
        <v>84</v>
      </c>
      <c r="D1710">
        <v>118</v>
      </c>
      <c r="E1710">
        <v>69.232531302859897</v>
      </c>
      <c r="F1710">
        <v>0.70967737852560697</v>
      </c>
      <c r="G1710">
        <v>3764.5260158790202</v>
      </c>
      <c r="H1710">
        <v>581.42320470789195</v>
      </c>
      <c r="I1710">
        <v>0.82098103248185506</v>
      </c>
      <c r="J1710">
        <v>0.139937930097357</v>
      </c>
      <c r="K1710">
        <v>0.59198317167231496</v>
      </c>
      <c r="L1710" t="s">
        <v>33</v>
      </c>
      <c r="M1710" t="s">
        <v>34</v>
      </c>
      <c r="N1710" t="s">
        <v>35</v>
      </c>
      <c r="O1710">
        <v>0.72438527519252405</v>
      </c>
      <c r="P1710" t="s">
        <v>36</v>
      </c>
    </row>
    <row r="1711" spans="1:16">
      <c r="A1711">
        <v>1710</v>
      </c>
      <c r="B1711" t="s">
        <v>1771</v>
      </c>
      <c r="C1711">
        <v>82</v>
      </c>
      <c r="D1711">
        <v>105</v>
      </c>
      <c r="E1711">
        <v>69.300833574066701</v>
      </c>
      <c r="F1711">
        <v>0.77720203730956405</v>
      </c>
      <c r="G1711">
        <v>3771.9575659735401</v>
      </c>
      <c r="H1711">
        <v>665.27708856707</v>
      </c>
      <c r="I1711">
        <v>0.66532167895422101</v>
      </c>
      <c r="J1711">
        <v>0.10709557532234699</v>
      </c>
      <c r="K1711">
        <v>0.54789611174679897</v>
      </c>
      <c r="L1711" t="s">
        <v>38</v>
      </c>
      <c r="M1711" t="s">
        <v>34</v>
      </c>
      <c r="N1711" t="s">
        <v>35</v>
      </c>
      <c r="O1711">
        <v>0.77156898448530398</v>
      </c>
      <c r="P1711" t="s">
        <v>36</v>
      </c>
    </row>
    <row r="1712" spans="1:16">
      <c r="A1712">
        <v>1711</v>
      </c>
      <c r="B1712" t="s">
        <v>1772</v>
      </c>
      <c r="C1712">
        <v>103</v>
      </c>
      <c r="D1712">
        <v>78</v>
      </c>
      <c r="E1712">
        <v>69.375888404152505</v>
      </c>
      <c r="F1712">
        <v>1.3146853146853099</v>
      </c>
      <c r="G1712">
        <v>3780.1322710775098</v>
      </c>
      <c r="H1712">
        <v>657.34897783352005</v>
      </c>
      <c r="I1712">
        <v>0.69244784350045296</v>
      </c>
      <c r="J1712">
        <v>0.109932189210576</v>
      </c>
      <c r="K1712">
        <v>0.62122618466047896</v>
      </c>
      <c r="L1712" t="s">
        <v>38</v>
      </c>
      <c r="M1712" t="s">
        <v>34</v>
      </c>
      <c r="N1712" t="s">
        <v>35</v>
      </c>
      <c r="O1712">
        <v>0.69121319435399697</v>
      </c>
      <c r="P1712" t="s">
        <v>36</v>
      </c>
    </row>
    <row r="1713" spans="1:16">
      <c r="A1713">
        <v>1712</v>
      </c>
      <c r="B1713" t="s">
        <v>1773</v>
      </c>
      <c r="C1713">
        <v>126</v>
      </c>
      <c r="D1713">
        <v>69</v>
      </c>
      <c r="E1713">
        <v>69.488999489180998</v>
      </c>
      <c r="F1713">
        <v>1.84126982204738</v>
      </c>
      <c r="G1713">
        <v>3792.46864423441</v>
      </c>
      <c r="H1713">
        <v>843.242656169974</v>
      </c>
      <c r="I1713">
        <v>0.690241575833624</v>
      </c>
      <c r="J1713">
        <v>6.7023442041668102E-2</v>
      </c>
      <c r="K1713">
        <v>0.54869578306775901</v>
      </c>
      <c r="L1713" t="s">
        <v>33</v>
      </c>
      <c r="M1713" t="s">
        <v>34</v>
      </c>
      <c r="N1713" t="s">
        <v>35</v>
      </c>
      <c r="O1713">
        <v>0.71575406664235497</v>
      </c>
      <c r="P1713" t="s">
        <v>36</v>
      </c>
    </row>
    <row r="1714" spans="1:16">
      <c r="A1714">
        <v>1713</v>
      </c>
      <c r="B1714" t="s">
        <v>1774</v>
      </c>
      <c r="C1714">
        <v>77</v>
      </c>
      <c r="D1714">
        <v>112</v>
      </c>
      <c r="E1714">
        <v>69.503976300413001</v>
      </c>
      <c r="F1714">
        <v>0.68932038834951503</v>
      </c>
      <c r="G1714">
        <v>3794.1035852552</v>
      </c>
      <c r="H1714">
        <v>611.62821164597597</v>
      </c>
      <c r="I1714">
        <v>0.60585276380865805</v>
      </c>
      <c r="J1714">
        <v>0.12745122944434201</v>
      </c>
      <c r="K1714">
        <v>0.58583100013769696</v>
      </c>
      <c r="L1714" t="s">
        <v>33</v>
      </c>
      <c r="M1714" t="s">
        <v>34</v>
      </c>
      <c r="N1714" t="s">
        <v>35</v>
      </c>
      <c r="O1714">
        <v>0.67853516714300499</v>
      </c>
      <c r="P1714" t="s">
        <v>36</v>
      </c>
    </row>
    <row r="1715" spans="1:16">
      <c r="A1715">
        <v>1714</v>
      </c>
      <c r="B1715" t="s">
        <v>1775</v>
      </c>
      <c r="C1715">
        <v>66</v>
      </c>
      <c r="D1715">
        <v>74</v>
      </c>
      <c r="E1715">
        <v>69.509421613512899</v>
      </c>
      <c r="F1715">
        <v>0.89789088531623995</v>
      </c>
      <c r="G1715">
        <v>3794.6981092627602</v>
      </c>
      <c r="H1715">
        <v>242.65497723714199</v>
      </c>
      <c r="I1715">
        <v>0.68387035477757896</v>
      </c>
      <c r="J1715">
        <v>0.80985764696261198</v>
      </c>
      <c r="K1715">
        <v>0.95869475423378803</v>
      </c>
      <c r="L1715" t="s">
        <v>38</v>
      </c>
      <c r="M1715" t="s">
        <v>34</v>
      </c>
      <c r="N1715" t="s">
        <v>35</v>
      </c>
      <c r="O1715">
        <v>0.81369491586904896</v>
      </c>
      <c r="P1715" t="s">
        <v>36</v>
      </c>
    </row>
    <row r="1716" spans="1:16">
      <c r="A1716">
        <v>1715</v>
      </c>
      <c r="B1716" t="s">
        <v>1776</v>
      </c>
      <c r="C1716">
        <v>93</v>
      </c>
      <c r="D1716">
        <v>74</v>
      </c>
      <c r="E1716">
        <v>69.531198601433502</v>
      </c>
      <c r="F1716">
        <v>1.2666667269483201</v>
      </c>
      <c r="G1716">
        <v>3797.0762052930099</v>
      </c>
      <c r="H1716">
        <v>604.66602982054599</v>
      </c>
      <c r="I1716">
        <v>0.67218186072972697</v>
      </c>
      <c r="J1716">
        <v>0.13050526597860801</v>
      </c>
      <c r="K1716">
        <v>0.66021449799715703</v>
      </c>
      <c r="L1716" t="s">
        <v>38</v>
      </c>
      <c r="M1716" t="s">
        <v>34</v>
      </c>
      <c r="N1716" t="s">
        <v>35</v>
      </c>
      <c r="O1716">
        <v>0.78072333728821597</v>
      </c>
      <c r="P1716" t="s">
        <v>36</v>
      </c>
    </row>
    <row r="1717" spans="1:16">
      <c r="A1717">
        <v>1716</v>
      </c>
      <c r="B1717" t="s">
        <v>1777</v>
      </c>
      <c r="C1717">
        <v>82</v>
      </c>
      <c r="D1717">
        <v>82</v>
      </c>
      <c r="E1717">
        <v>69.8814155494902</v>
      </c>
      <c r="F1717">
        <v>1.0013262396829901</v>
      </c>
      <c r="G1717">
        <v>3835.4230037807201</v>
      </c>
      <c r="H1717">
        <v>405.14856432282397</v>
      </c>
      <c r="I1717">
        <v>0.57661867148205304</v>
      </c>
      <c r="J1717">
        <v>0.29362601033146002</v>
      </c>
      <c r="K1717">
        <v>0.76876098549170302</v>
      </c>
      <c r="L1717" t="s">
        <v>38</v>
      </c>
      <c r="M1717" t="s">
        <v>34</v>
      </c>
      <c r="N1717" t="s">
        <v>35</v>
      </c>
      <c r="O1717">
        <v>0.76790951856131295</v>
      </c>
      <c r="P1717" t="s">
        <v>36</v>
      </c>
    </row>
    <row r="1718" spans="1:16">
      <c r="A1718">
        <v>1717</v>
      </c>
      <c r="B1718" t="s">
        <v>1778</v>
      </c>
      <c r="C1718">
        <v>96</v>
      </c>
      <c r="D1718">
        <v>68</v>
      </c>
      <c r="E1718">
        <v>70.220454280535805</v>
      </c>
      <c r="F1718">
        <v>1.4027565379370699</v>
      </c>
      <c r="G1718">
        <v>3872.7293852552002</v>
      </c>
      <c r="H1718">
        <v>452.62122470731299</v>
      </c>
      <c r="I1718">
        <v>0.60336129598408195</v>
      </c>
      <c r="J1718">
        <v>0.237551175621735</v>
      </c>
      <c r="K1718">
        <v>0.77589184682270296</v>
      </c>
      <c r="L1718" t="s">
        <v>38</v>
      </c>
      <c r="M1718" t="s">
        <v>34</v>
      </c>
      <c r="N1718" t="s">
        <v>35</v>
      </c>
      <c r="O1718">
        <v>0.82249982951324996</v>
      </c>
      <c r="P1718" t="s">
        <v>36</v>
      </c>
    </row>
    <row r="1719" spans="1:16">
      <c r="A1719">
        <v>1718</v>
      </c>
      <c r="B1719" t="s">
        <v>1779</v>
      </c>
      <c r="C1719">
        <v>142</v>
      </c>
      <c r="D1719">
        <v>76</v>
      </c>
      <c r="E1719">
        <v>70.548475954090193</v>
      </c>
      <c r="F1719">
        <v>1.86666679834316</v>
      </c>
      <c r="G1719">
        <v>3908.9953497164502</v>
      </c>
      <c r="H1719">
        <v>687.45217637829205</v>
      </c>
      <c r="I1719">
        <v>0.72899524825677597</v>
      </c>
      <c r="J1719">
        <v>0.10394175260418299</v>
      </c>
      <c r="K1719">
        <v>0.55756959019695096</v>
      </c>
      <c r="L1719" t="s">
        <v>38</v>
      </c>
      <c r="M1719" t="s">
        <v>34</v>
      </c>
      <c r="N1719" t="s">
        <v>35</v>
      </c>
      <c r="O1719">
        <v>0.68223580005228501</v>
      </c>
      <c r="P1719" t="s">
        <v>36</v>
      </c>
    </row>
    <row r="1720" spans="1:16">
      <c r="A1720">
        <v>1719</v>
      </c>
      <c r="B1720" t="s">
        <v>1780</v>
      </c>
      <c r="C1720">
        <v>101</v>
      </c>
      <c r="D1720">
        <v>54</v>
      </c>
      <c r="E1720">
        <v>70.726634028814303</v>
      </c>
      <c r="F1720">
        <v>1.8584904667628099</v>
      </c>
      <c r="G1720">
        <v>3928.7632729678598</v>
      </c>
      <c r="H1720">
        <v>372.89497970239</v>
      </c>
      <c r="I1720">
        <v>0.55456207046065598</v>
      </c>
      <c r="J1720">
        <v>0.35505256324504503</v>
      </c>
      <c r="K1720">
        <v>0.88092381523695296</v>
      </c>
      <c r="L1720" t="s">
        <v>47</v>
      </c>
      <c r="M1720" t="s">
        <v>34</v>
      </c>
      <c r="N1720" t="s">
        <v>35</v>
      </c>
      <c r="O1720">
        <v>0.87293343524337896</v>
      </c>
      <c r="P1720" t="s">
        <v>36</v>
      </c>
    </row>
    <row r="1721" spans="1:16">
      <c r="A1721">
        <v>1720</v>
      </c>
      <c r="B1721" t="s">
        <v>1781</v>
      </c>
      <c r="C1721">
        <v>59</v>
      </c>
      <c r="D1721">
        <v>97</v>
      </c>
      <c r="E1721">
        <v>70.911016612319997</v>
      </c>
      <c r="F1721">
        <v>0.61396372297046298</v>
      </c>
      <c r="G1721">
        <v>3949.2743512287302</v>
      </c>
      <c r="H1721">
        <v>365.97040683093297</v>
      </c>
      <c r="I1721">
        <v>0.70732009409742402</v>
      </c>
      <c r="J1721">
        <v>0.37054011425239303</v>
      </c>
      <c r="K1721">
        <v>0.87488064271838295</v>
      </c>
      <c r="L1721" t="s">
        <v>298</v>
      </c>
      <c r="M1721" t="s">
        <v>34</v>
      </c>
      <c r="N1721" t="s">
        <v>35</v>
      </c>
      <c r="O1721">
        <v>0.66846068713923101</v>
      </c>
      <c r="P1721" t="s">
        <v>36</v>
      </c>
    </row>
    <row r="1722" spans="1:16">
      <c r="A1722">
        <v>1721</v>
      </c>
      <c r="B1722" t="s">
        <v>1782</v>
      </c>
      <c r="C1722">
        <v>113</v>
      </c>
      <c r="D1722">
        <v>92</v>
      </c>
      <c r="E1722">
        <v>71.218588723544698</v>
      </c>
      <c r="F1722">
        <v>1.2308194230943099</v>
      </c>
      <c r="G1722">
        <v>3983.6081126654099</v>
      </c>
      <c r="H1722">
        <v>697.26608942176995</v>
      </c>
      <c r="I1722">
        <v>0.63458877809173797</v>
      </c>
      <c r="J1722">
        <v>0.102964942988146</v>
      </c>
      <c r="K1722">
        <v>0.50905982905982905</v>
      </c>
      <c r="L1722" t="s">
        <v>33</v>
      </c>
      <c r="M1722" t="s">
        <v>34</v>
      </c>
      <c r="N1722" t="s">
        <v>35</v>
      </c>
      <c r="O1722">
        <v>0.68938739788627901</v>
      </c>
      <c r="P1722" t="s">
        <v>36</v>
      </c>
    </row>
    <row r="1723" spans="1:16">
      <c r="A1723">
        <v>1722</v>
      </c>
      <c r="B1723" t="s">
        <v>1783</v>
      </c>
      <c r="C1723">
        <v>181</v>
      </c>
      <c r="D1723">
        <v>58</v>
      </c>
      <c r="E1723">
        <v>71.361933897876497</v>
      </c>
      <c r="F1723">
        <v>3.10280361037261</v>
      </c>
      <c r="G1723">
        <v>3999.6602608695698</v>
      </c>
      <c r="H1723">
        <v>1066.49839836204</v>
      </c>
      <c r="I1723">
        <v>0.85925270567743095</v>
      </c>
      <c r="J1723">
        <v>4.4188835000845299E-2</v>
      </c>
      <c r="K1723">
        <v>0.436687600408938</v>
      </c>
      <c r="L1723" t="s">
        <v>33</v>
      </c>
      <c r="M1723" t="s">
        <v>34</v>
      </c>
      <c r="N1723" t="s">
        <v>35</v>
      </c>
      <c r="O1723">
        <v>0.714252453121061</v>
      </c>
      <c r="P1723" t="s">
        <v>36</v>
      </c>
    </row>
    <row r="1724" spans="1:16">
      <c r="A1724">
        <v>1723</v>
      </c>
      <c r="B1724" t="s">
        <v>1784</v>
      </c>
      <c r="C1724">
        <v>106</v>
      </c>
      <c r="D1724">
        <v>68</v>
      </c>
      <c r="E1724">
        <v>71.387122257164293</v>
      </c>
      <c r="F1724">
        <v>1.55730938115281</v>
      </c>
      <c r="G1724">
        <v>4002.4842499054798</v>
      </c>
      <c r="H1724">
        <v>331.367668038555</v>
      </c>
      <c r="I1724">
        <v>0.73954116891244204</v>
      </c>
      <c r="J1724">
        <v>0.45805669230046497</v>
      </c>
      <c r="K1724">
        <v>0.78583518151044696</v>
      </c>
      <c r="L1724" t="s">
        <v>49</v>
      </c>
      <c r="M1724" t="s">
        <v>34</v>
      </c>
      <c r="N1724" t="s">
        <v>35</v>
      </c>
      <c r="O1724">
        <v>0.73678823995466602</v>
      </c>
      <c r="P1724" t="s">
        <v>36</v>
      </c>
    </row>
    <row r="1725" spans="1:16">
      <c r="A1725">
        <v>1724</v>
      </c>
      <c r="B1725" t="s">
        <v>1785</v>
      </c>
      <c r="C1725">
        <v>71</v>
      </c>
      <c r="D1725">
        <v>131</v>
      </c>
      <c r="E1725">
        <v>71.498374982725807</v>
      </c>
      <c r="F1725">
        <v>0.53867758563657298</v>
      </c>
      <c r="G1725">
        <v>4014.96925406427</v>
      </c>
      <c r="H1725">
        <v>657.878145364989</v>
      </c>
      <c r="I1725">
        <v>0.68574125347630899</v>
      </c>
      <c r="J1725">
        <v>0.116573857841028</v>
      </c>
      <c r="K1725">
        <v>0.57369494117147302</v>
      </c>
      <c r="L1725" t="s">
        <v>38</v>
      </c>
      <c r="M1725" t="s">
        <v>34</v>
      </c>
      <c r="N1725" t="s">
        <v>35</v>
      </c>
      <c r="O1725">
        <v>0.71255923085607598</v>
      </c>
      <c r="P1725" t="s">
        <v>36</v>
      </c>
    </row>
    <row r="1726" spans="1:16">
      <c r="A1726">
        <v>1725</v>
      </c>
      <c r="B1726" t="s">
        <v>1786</v>
      </c>
      <c r="C1726">
        <v>60</v>
      </c>
      <c r="D1726">
        <v>94</v>
      </c>
      <c r="E1726">
        <v>71.506314982563296</v>
      </c>
      <c r="F1726">
        <v>0.64220836056022201</v>
      </c>
      <c r="G1726">
        <v>4015.8610400756102</v>
      </c>
      <c r="H1726">
        <v>296.50585471474602</v>
      </c>
      <c r="I1726">
        <v>0.71622804819594499</v>
      </c>
      <c r="J1726">
        <v>0.57401335149323596</v>
      </c>
      <c r="K1726">
        <v>0.86880607093475704</v>
      </c>
      <c r="L1726" t="s">
        <v>43</v>
      </c>
      <c r="M1726" t="s">
        <v>34</v>
      </c>
      <c r="N1726" t="s">
        <v>35</v>
      </c>
      <c r="O1726">
        <v>0.69231965571552001</v>
      </c>
      <c r="P1726" t="s">
        <v>36</v>
      </c>
    </row>
    <row r="1727" spans="1:16">
      <c r="A1727">
        <v>1726</v>
      </c>
      <c r="B1727" t="s">
        <v>1787</v>
      </c>
      <c r="C1727">
        <v>154</v>
      </c>
      <c r="D1727">
        <v>83</v>
      </c>
      <c r="E1727">
        <v>71.512930975673598</v>
      </c>
      <c r="F1727">
        <v>1.85422643698296</v>
      </c>
      <c r="G1727">
        <v>4016.6041950850699</v>
      </c>
      <c r="H1727">
        <v>829.76996536856097</v>
      </c>
      <c r="I1727">
        <v>0.53087617196236703</v>
      </c>
      <c r="J1727">
        <v>7.3308355918279805E-2</v>
      </c>
      <c r="K1727">
        <v>0.46589087147659702</v>
      </c>
      <c r="L1727" t="s">
        <v>33</v>
      </c>
      <c r="M1727" t="s">
        <v>34</v>
      </c>
      <c r="N1727" t="s">
        <v>35</v>
      </c>
      <c r="O1727">
        <v>0.67938287835201205</v>
      </c>
      <c r="P1727" t="s">
        <v>36</v>
      </c>
    </row>
    <row r="1728" spans="1:16">
      <c r="A1728">
        <v>1727</v>
      </c>
      <c r="B1728" t="s">
        <v>1788</v>
      </c>
      <c r="C1728">
        <v>70</v>
      </c>
      <c r="D1728">
        <v>105</v>
      </c>
      <c r="E1728">
        <v>71.526161126005206</v>
      </c>
      <c r="F1728">
        <v>0.66812488418962301</v>
      </c>
      <c r="G1728">
        <v>4018.0905051039699</v>
      </c>
      <c r="H1728">
        <v>475.78493890783102</v>
      </c>
      <c r="I1728">
        <v>0.81610010781652498</v>
      </c>
      <c r="J1728">
        <v>0.22305306655187301</v>
      </c>
      <c r="K1728">
        <v>0.71232082630691396</v>
      </c>
      <c r="L1728" t="s">
        <v>43</v>
      </c>
      <c r="M1728" t="s">
        <v>34</v>
      </c>
      <c r="N1728" t="s">
        <v>35</v>
      </c>
      <c r="O1728">
        <v>0.69740942354759095</v>
      </c>
      <c r="P1728" t="s">
        <v>36</v>
      </c>
    </row>
    <row r="1729" spans="1:16">
      <c r="A1729">
        <v>1728</v>
      </c>
      <c r="B1729" t="s">
        <v>1789</v>
      </c>
      <c r="C1729">
        <v>102</v>
      </c>
      <c r="D1729">
        <v>83</v>
      </c>
      <c r="E1729">
        <v>71.642481098236203</v>
      </c>
      <c r="F1729">
        <v>1.2302632041254999</v>
      </c>
      <c r="G1729">
        <v>4031.1700332703199</v>
      </c>
      <c r="H1729">
        <v>687.26508729457896</v>
      </c>
      <c r="I1729">
        <v>0.67923780579828297</v>
      </c>
      <c r="J1729">
        <v>0.107248793647663</v>
      </c>
      <c r="K1729">
        <v>0.64906906619441895</v>
      </c>
      <c r="L1729" t="s">
        <v>33</v>
      </c>
      <c r="M1729" t="s">
        <v>34</v>
      </c>
      <c r="N1729" t="s">
        <v>35</v>
      </c>
      <c r="O1729">
        <v>0.72144519560669695</v>
      </c>
      <c r="P1729" t="s">
        <v>36</v>
      </c>
    </row>
    <row r="1730" spans="1:16">
      <c r="A1730">
        <v>1729</v>
      </c>
      <c r="B1730" t="s">
        <v>1790</v>
      </c>
      <c r="C1730">
        <v>117</v>
      </c>
      <c r="D1730">
        <v>73</v>
      </c>
      <c r="E1730">
        <v>71.647763882677197</v>
      </c>
      <c r="F1730">
        <v>1.6044776119402999</v>
      </c>
      <c r="G1730">
        <v>4031.7645572778802</v>
      </c>
      <c r="H1730">
        <v>934.57459414336995</v>
      </c>
      <c r="I1730">
        <v>0.734333101559007</v>
      </c>
      <c r="J1730">
        <v>5.8006556543379398E-2</v>
      </c>
      <c r="K1730">
        <v>0.55957587259674901</v>
      </c>
      <c r="L1730" t="s">
        <v>873</v>
      </c>
      <c r="M1730" t="s">
        <v>34</v>
      </c>
      <c r="N1730" t="s">
        <v>35</v>
      </c>
      <c r="O1730">
        <v>0.71571093222422</v>
      </c>
      <c r="P1730" t="s">
        <v>36</v>
      </c>
    </row>
    <row r="1731" spans="1:16">
      <c r="A1731">
        <v>1730</v>
      </c>
      <c r="B1731" t="s">
        <v>1791</v>
      </c>
      <c r="C1731">
        <v>83</v>
      </c>
      <c r="D1731">
        <v>139</v>
      </c>
      <c r="E1731">
        <v>72.033674278476994</v>
      </c>
      <c r="F1731">
        <v>0.60038558595465497</v>
      </c>
      <c r="G1731">
        <v>4075.3134408317601</v>
      </c>
      <c r="H1731">
        <v>589.00145098530697</v>
      </c>
      <c r="I1731">
        <v>0.77408638553805298</v>
      </c>
      <c r="J1731">
        <v>0.14761760386339401</v>
      </c>
      <c r="K1731">
        <v>0.54113955278375303</v>
      </c>
      <c r="L1731" t="s">
        <v>38</v>
      </c>
      <c r="M1731" t="s">
        <v>34</v>
      </c>
      <c r="N1731" t="s">
        <v>35</v>
      </c>
      <c r="O1731">
        <v>0.737647492921227</v>
      </c>
      <c r="P1731" t="s">
        <v>36</v>
      </c>
    </row>
    <row r="1732" spans="1:16">
      <c r="A1732">
        <v>1731</v>
      </c>
      <c r="B1732" t="s">
        <v>1792</v>
      </c>
      <c r="C1732">
        <v>117</v>
      </c>
      <c r="D1732">
        <v>63</v>
      </c>
      <c r="E1732">
        <v>72.145241519715299</v>
      </c>
      <c r="F1732">
        <v>1.8755012102383399</v>
      </c>
      <c r="G1732">
        <v>4087.9470759924402</v>
      </c>
      <c r="H1732">
        <v>530.91334025175695</v>
      </c>
      <c r="I1732">
        <v>0.80796831720897999</v>
      </c>
      <c r="J1732">
        <v>0.182250132476687</v>
      </c>
      <c r="K1732">
        <v>0.74508316627837701</v>
      </c>
      <c r="L1732" t="s">
        <v>38</v>
      </c>
      <c r="M1732" t="s">
        <v>34</v>
      </c>
      <c r="N1732" t="s">
        <v>35</v>
      </c>
      <c r="O1732">
        <v>0.77028668031731296</v>
      </c>
      <c r="P1732" t="s">
        <v>36</v>
      </c>
    </row>
    <row r="1733" spans="1:16">
      <c r="A1733">
        <v>1732</v>
      </c>
      <c r="B1733" t="s">
        <v>1793</v>
      </c>
      <c r="C1733">
        <v>132</v>
      </c>
      <c r="D1733">
        <v>79</v>
      </c>
      <c r="E1733">
        <v>72.425367433950001</v>
      </c>
      <c r="F1733">
        <v>1.67332160188602</v>
      </c>
      <c r="G1733">
        <v>4119.7541103969797</v>
      </c>
      <c r="H1733">
        <v>767.05391550872605</v>
      </c>
      <c r="I1733">
        <v>0.538676594683137</v>
      </c>
      <c r="J1733">
        <v>8.7989201678494597E-2</v>
      </c>
      <c r="K1733">
        <v>0.53640128497890605</v>
      </c>
      <c r="L1733" t="s">
        <v>38</v>
      </c>
      <c r="M1733" t="s">
        <v>34</v>
      </c>
      <c r="N1733" t="s">
        <v>35</v>
      </c>
      <c r="O1733">
        <v>0.64853636974192397</v>
      </c>
      <c r="P1733" t="s">
        <v>36</v>
      </c>
    </row>
    <row r="1734" spans="1:16">
      <c r="A1734">
        <v>1733</v>
      </c>
      <c r="B1734" t="s">
        <v>1794</v>
      </c>
      <c r="C1734">
        <v>93</v>
      </c>
      <c r="D1734">
        <v>68</v>
      </c>
      <c r="E1734">
        <v>72.524591043317002</v>
      </c>
      <c r="F1734">
        <v>1.37096774193548</v>
      </c>
      <c r="G1734">
        <v>4131.0500665406398</v>
      </c>
      <c r="H1734">
        <v>439.08433446656102</v>
      </c>
      <c r="I1734">
        <v>0.69439258522254599</v>
      </c>
      <c r="J1734">
        <v>0.26926160923585202</v>
      </c>
      <c r="K1734">
        <v>0.78857175282301495</v>
      </c>
      <c r="L1734" t="s">
        <v>38</v>
      </c>
      <c r="M1734" t="s">
        <v>34</v>
      </c>
      <c r="N1734" t="s">
        <v>35</v>
      </c>
      <c r="O1734">
        <v>0.705421591754119</v>
      </c>
      <c r="P1734" t="s">
        <v>36</v>
      </c>
    </row>
    <row r="1735" spans="1:16">
      <c r="A1735">
        <v>1734</v>
      </c>
      <c r="B1735" t="s">
        <v>1795</v>
      </c>
      <c r="C1735">
        <v>88</v>
      </c>
      <c r="D1735">
        <v>72</v>
      </c>
      <c r="E1735">
        <v>72.674474445682193</v>
      </c>
      <c r="F1735">
        <v>1.2251154046039601</v>
      </c>
      <c r="G1735">
        <v>4148.1426317580299</v>
      </c>
      <c r="H1735">
        <v>379.69438615539798</v>
      </c>
      <c r="I1735">
        <v>0.72249092718464403</v>
      </c>
      <c r="J1735">
        <v>0.36157233413827999</v>
      </c>
      <c r="K1735">
        <v>0.84796281104730697</v>
      </c>
      <c r="L1735" t="s">
        <v>43</v>
      </c>
      <c r="M1735" t="s">
        <v>34</v>
      </c>
      <c r="N1735" t="s">
        <v>35</v>
      </c>
      <c r="O1735">
        <v>0.73005704247825098</v>
      </c>
      <c r="P1735" t="s">
        <v>36</v>
      </c>
    </row>
    <row r="1736" spans="1:16">
      <c r="A1736">
        <v>1735</v>
      </c>
      <c r="B1736" t="s">
        <v>1796</v>
      </c>
      <c r="C1736">
        <v>68</v>
      </c>
      <c r="D1736">
        <v>135</v>
      </c>
      <c r="E1736">
        <v>72.691398344339603</v>
      </c>
      <c r="F1736">
        <v>0.50804021119432796</v>
      </c>
      <c r="G1736">
        <v>4150.0748347826102</v>
      </c>
      <c r="H1736">
        <v>586.33842508108705</v>
      </c>
      <c r="I1736">
        <v>0.67083733312967497</v>
      </c>
      <c r="J1736">
        <v>0.15169423626407399</v>
      </c>
      <c r="K1736">
        <v>0.58097001726971997</v>
      </c>
      <c r="L1736" t="s">
        <v>33</v>
      </c>
      <c r="M1736" t="s">
        <v>34</v>
      </c>
      <c r="N1736" t="s">
        <v>35</v>
      </c>
      <c r="O1736">
        <v>0.76411593754794904</v>
      </c>
      <c r="P1736" t="s">
        <v>36</v>
      </c>
    </row>
    <row r="1737" spans="1:16">
      <c r="A1737">
        <v>1736</v>
      </c>
      <c r="B1737" t="s">
        <v>1797</v>
      </c>
      <c r="C1737">
        <v>83</v>
      </c>
      <c r="D1737">
        <v>117</v>
      </c>
      <c r="E1737">
        <v>72.731739441594996</v>
      </c>
      <c r="F1737">
        <v>0.710280373831776</v>
      </c>
      <c r="G1737">
        <v>4154.6823958412097</v>
      </c>
      <c r="H1737">
        <v>703.70850595422405</v>
      </c>
      <c r="I1737">
        <v>0.75584936414646098</v>
      </c>
      <c r="J1737">
        <v>0.105429486869191</v>
      </c>
      <c r="K1737">
        <v>0.49897359918602002</v>
      </c>
      <c r="L1737" t="s">
        <v>1038</v>
      </c>
      <c r="M1737" t="s">
        <v>34</v>
      </c>
      <c r="N1737" t="s">
        <v>35</v>
      </c>
      <c r="O1737">
        <v>0.65314555270140995</v>
      </c>
      <c r="P1737" t="s">
        <v>36</v>
      </c>
    </row>
    <row r="1738" spans="1:16">
      <c r="A1738">
        <v>1737</v>
      </c>
      <c r="B1738" t="s">
        <v>1798</v>
      </c>
      <c r="C1738">
        <v>93</v>
      </c>
      <c r="D1738">
        <v>117</v>
      </c>
      <c r="E1738">
        <v>72.8837933829886</v>
      </c>
      <c r="F1738">
        <v>0.79069767441860495</v>
      </c>
      <c r="G1738">
        <v>4172.0722230623796</v>
      </c>
      <c r="H1738">
        <v>700.38240440555296</v>
      </c>
      <c r="I1738">
        <v>0.72876731721783505</v>
      </c>
      <c r="J1738">
        <v>0.106878716136717</v>
      </c>
      <c r="K1738">
        <v>0.53239511417950103</v>
      </c>
      <c r="L1738" t="s">
        <v>873</v>
      </c>
      <c r="M1738" t="s">
        <v>34</v>
      </c>
      <c r="N1738" t="s">
        <v>35</v>
      </c>
      <c r="O1738">
        <v>0.635089704641841</v>
      </c>
      <c r="P1738" t="s">
        <v>36</v>
      </c>
    </row>
    <row r="1739" spans="1:16">
      <c r="A1739">
        <v>1738</v>
      </c>
      <c r="B1739" t="s">
        <v>1799</v>
      </c>
      <c r="C1739">
        <v>63</v>
      </c>
      <c r="D1739">
        <v>98</v>
      </c>
      <c r="E1739">
        <v>73.359993959600104</v>
      </c>
      <c r="F1739">
        <v>0.64722759355612303</v>
      </c>
      <c r="G1739">
        <v>4226.7684317580297</v>
      </c>
      <c r="H1739">
        <v>379.48459959050899</v>
      </c>
      <c r="I1739">
        <v>0.636803339885195</v>
      </c>
      <c r="J1739">
        <v>0.36883320078567799</v>
      </c>
      <c r="K1739">
        <v>0.85220257716511805</v>
      </c>
      <c r="L1739" t="s">
        <v>43</v>
      </c>
      <c r="M1739" t="s">
        <v>34</v>
      </c>
      <c r="N1739" t="s">
        <v>35</v>
      </c>
      <c r="O1739">
        <v>0.72322404296443099</v>
      </c>
      <c r="P1739" t="s">
        <v>36</v>
      </c>
    </row>
    <row r="1740" spans="1:16">
      <c r="A1740">
        <v>1739</v>
      </c>
      <c r="B1740" t="s">
        <v>1800</v>
      </c>
      <c r="C1740">
        <v>62</v>
      </c>
      <c r="D1740">
        <v>107</v>
      </c>
      <c r="E1740">
        <v>73.4669712993161</v>
      </c>
      <c r="F1740">
        <v>0.58106844499239796</v>
      </c>
      <c r="G1740">
        <v>4239.1048049149304</v>
      </c>
      <c r="H1740">
        <v>336.97483131564201</v>
      </c>
      <c r="I1740">
        <v>0.73127378741585203</v>
      </c>
      <c r="J1740">
        <v>0.46912555236435799</v>
      </c>
      <c r="K1740">
        <v>0.87541436464088396</v>
      </c>
      <c r="L1740" t="s">
        <v>72</v>
      </c>
      <c r="M1740" t="s">
        <v>34</v>
      </c>
      <c r="N1740" t="s">
        <v>35</v>
      </c>
      <c r="O1740">
        <v>0.69605387934770802</v>
      </c>
      <c r="P1740" t="s">
        <v>36</v>
      </c>
    </row>
    <row r="1741" spans="1:16">
      <c r="A1741">
        <v>1740</v>
      </c>
      <c r="B1741" t="s">
        <v>1801</v>
      </c>
      <c r="C1741">
        <v>83</v>
      </c>
      <c r="D1741">
        <v>83</v>
      </c>
      <c r="E1741">
        <v>73.804923592460796</v>
      </c>
      <c r="F1741">
        <v>0.99346405228758194</v>
      </c>
      <c r="G1741">
        <v>4278.1947584120999</v>
      </c>
      <c r="H1741">
        <v>386.47888113560902</v>
      </c>
      <c r="I1741">
        <v>0.60224418097992505</v>
      </c>
      <c r="J1741">
        <v>0.359930691633147</v>
      </c>
      <c r="K1741">
        <v>0.82700761384858501</v>
      </c>
      <c r="L1741" t="s">
        <v>33</v>
      </c>
      <c r="M1741" t="s">
        <v>34</v>
      </c>
      <c r="N1741" t="s">
        <v>35</v>
      </c>
      <c r="O1741">
        <v>0.71500164454427295</v>
      </c>
      <c r="P1741" t="s">
        <v>36</v>
      </c>
    </row>
    <row r="1742" spans="1:16">
      <c r="A1742">
        <v>1741</v>
      </c>
      <c r="B1742" t="s">
        <v>1802</v>
      </c>
      <c r="C1742">
        <v>111</v>
      </c>
      <c r="D1742">
        <v>107</v>
      </c>
      <c r="E1742">
        <v>74.1668556598366</v>
      </c>
      <c r="F1742">
        <v>1.03571428571429</v>
      </c>
      <c r="G1742">
        <v>4320.2573319470703</v>
      </c>
      <c r="H1742">
        <v>591.66609311964203</v>
      </c>
      <c r="I1742">
        <v>0.52704747811713004</v>
      </c>
      <c r="J1742">
        <v>0.155083686677189</v>
      </c>
      <c r="K1742">
        <v>0.50752549238720501</v>
      </c>
      <c r="L1742" t="s">
        <v>33</v>
      </c>
      <c r="M1742" t="s">
        <v>34</v>
      </c>
      <c r="N1742" t="s">
        <v>35</v>
      </c>
      <c r="O1742">
        <v>0.69818176112598995</v>
      </c>
      <c r="P1742" t="s">
        <v>36</v>
      </c>
    </row>
    <row r="1743" spans="1:16">
      <c r="A1743">
        <v>1742</v>
      </c>
      <c r="B1743" t="s">
        <v>1803</v>
      </c>
      <c r="C1743">
        <v>81</v>
      </c>
      <c r="D1743">
        <v>95</v>
      </c>
      <c r="E1743">
        <v>74.189816350441802</v>
      </c>
      <c r="F1743">
        <v>0.85065676671536095</v>
      </c>
      <c r="G1743">
        <v>4322.9326899811003</v>
      </c>
      <c r="H1743">
        <v>582.483156000946</v>
      </c>
      <c r="I1743">
        <v>0.67302893483347503</v>
      </c>
      <c r="J1743">
        <v>0.16011115675141799</v>
      </c>
      <c r="K1743">
        <v>0.65166248431618601</v>
      </c>
      <c r="L1743" t="s">
        <v>38</v>
      </c>
      <c r="M1743" t="s">
        <v>34</v>
      </c>
      <c r="N1743" t="s">
        <v>35</v>
      </c>
      <c r="O1743">
        <v>0.71295896915788903</v>
      </c>
      <c r="P1743" t="s">
        <v>36</v>
      </c>
    </row>
    <row r="1744" spans="1:16">
      <c r="A1744">
        <v>1743</v>
      </c>
      <c r="B1744" t="s">
        <v>1804</v>
      </c>
      <c r="C1744">
        <v>76</v>
      </c>
      <c r="D1744">
        <v>115</v>
      </c>
      <c r="E1744">
        <v>74.208944832479503</v>
      </c>
      <c r="F1744">
        <v>0.66295815677985204</v>
      </c>
      <c r="G1744">
        <v>4325.1621550094496</v>
      </c>
      <c r="H1744">
        <v>662.217187014248</v>
      </c>
      <c r="I1744">
        <v>0.65971320271894496</v>
      </c>
      <c r="J1744">
        <v>0.123939962964721</v>
      </c>
      <c r="K1744">
        <v>0.59091093692888796</v>
      </c>
      <c r="L1744" t="s">
        <v>38</v>
      </c>
      <c r="M1744" t="s">
        <v>34</v>
      </c>
      <c r="N1744" t="s">
        <v>35</v>
      </c>
      <c r="O1744">
        <v>0.68116314018274504</v>
      </c>
      <c r="P1744" t="s">
        <v>36</v>
      </c>
    </row>
    <row r="1745" spans="1:16">
      <c r="A1745">
        <v>1744</v>
      </c>
      <c r="B1745" t="s">
        <v>1805</v>
      </c>
      <c r="C1745">
        <v>121</v>
      </c>
      <c r="D1745">
        <v>90</v>
      </c>
      <c r="E1745">
        <v>74.6361380109837</v>
      </c>
      <c r="F1745">
        <v>1.3472222453727201</v>
      </c>
      <c r="G1745">
        <v>4375.1021716446103</v>
      </c>
      <c r="H1745">
        <v>705.24121134778704</v>
      </c>
      <c r="I1745">
        <v>0.56246375683764305</v>
      </c>
      <c r="J1745">
        <v>0.110540824132248</v>
      </c>
      <c r="K1745">
        <v>0.53406390042999397</v>
      </c>
      <c r="L1745" t="s">
        <v>33</v>
      </c>
      <c r="M1745" t="s">
        <v>34</v>
      </c>
      <c r="N1745" t="s">
        <v>35</v>
      </c>
      <c r="O1745">
        <v>0.70170488195851</v>
      </c>
      <c r="P1745" t="s">
        <v>36</v>
      </c>
    </row>
    <row r="1746" spans="1:16">
      <c r="A1746">
        <v>1745</v>
      </c>
      <c r="B1746" t="s">
        <v>1806</v>
      </c>
      <c r="C1746">
        <v>88</v>
      </c>
      <c r="D1746">
        <v>92</v>
      </c>
      <c r="E1746">
        <v>74.874099370880799</v>
      </c>
      <c r="F1746">
        <v>0.95650263327130902</v>
      </c>
      <c r="G1746">
        <v>4403.0447999999997</v>
      </c>
      <c r="H1746">
        <v>537.83012711483502</v>
      </c>
      <c r="I1746">
        <v>0.79219593948593903</v>
      </c>
      <c r="J1746">
        <v>0.191281388792572</v>
      </c>
      <c r="K1746">
        <v>0.65016240891932198</v>
      </c>
      <c r="L1746" t="s">
        <v>38</v>
      </c>
      <c r="M1746" t="s">
        <v>34</v>
      </c>
      <c r="N1746" t="s">
        <v>35</v>
      </c>
      <c r="O1746">
        <v>0.70899980828536402</v>
      </c>
      <c r="P1746" t="s">
        <v>36</v>
      </c>
    </row>
    <row r="1747" spans="1:16">
      <c r="A1747">
        <v>1746</v>
      </c>
      <c r="B1747" t="s">
        <v>1807</v>
      </c>
      <c r="C1747">
        <v>82</v>
      </c>
      <c r="D1747">
        <v>99</v>
      </c>
      <c r="E1747">
        <v>75.098708293249899</v>
      </c>
      <c r="F1747">
        <v>0.82366499008731897</v>
      </c>
      <c r="G1747">
        <v>4429.5011183364804</v>
      </c>
      <c r="H1747">
        <v>559.63882276700895</v>
      </c>
      <c r="I1747">
        <v>0.71394616447490999</v>
      </c>
      <c r="J1747">
        <v>0.177725199735457</v>
      </c>
      <c r="K1747">
        <v>0.71243814396022098</v>
      </c>
      <c r="L1747" t="s">
        <v>33</v>
      </c>
      <c r="M1747" t="s">
        <v>34</v>
      </c>
      <c r="N1747" t="s">
        <v>35</v>
      </c>
      <c r="O1747">
        <v>0.74360162216875403</v>
      </c>
      <c r="P1747" t="s">
        <v>36</v>
      </c>
    </row>
    <row r="1748" spans="1:16">
      <c r="A1748">
        <v>1747</v>
      </c>
      <c r="B1748" t="s">
        <v>1808</v>
      </c>
      <c r="C1748">
        <v>106</v>
      </c>
      <c r="D1748">
        <v>83</v>
      </c>
      <c r="E1748">
        <v>75.130200712124804</v>
      </c>
      <c r="F1748">
        <v>1.2710315754281301</v>
      </c>
      <c r="G1748">
        <v>4433.2168933837402</v>
      </c>
      <c r="H1748">
        <v>458.47806027733799</v>
      </c>
      <c r="I1748">
        <v>0.63486000193598902</v>
      </c>
      <c r="J1748">
        <v>0.265027980595613</v>
      </c>
      <c r="K1748">
        <v>0.65309831399167895</v>
      </c>
      <c r="L1748" t="s">
        <v>33</v>
      </c>
      <c r="M1748" t="s">
        <v>34</v>
      </c>
      <c r="N1748" t="s">
        <v>35</v>
      </c>
      <c r="O1748">
        <v>0.70529848782322802</v>
      </c>
      <c r="P1748" t="s">
        <v>36</v>
      </c>
    </row>
    <row r="1749" spans="1:16">
      <c r="A1749">
        <v>1748</v>
      </c>
      <c r="B1749" t="s">
        <v>1809</v>
      </c>
      <c r="C1749">
        <v>81</v>
      </c>
      <c r="D1749">
        <v>97</v>
      </c>
      <c r="E1749">
        <v>75.133978915346205</v>
      </c>
      <c r="F1749">
        <v>0.83901765863732902</v>
      </c>
      <c r="G1749">
        <v>4433.66278638941</v>
      </c>
      <c r="H1749">
        <v>506.20751841918297</v>
      </c>
      <c r="I1749">
        <v>0.63223899374492698</v>
      </c>
      <c r="J1749">
        <v>0.217427934527542</v>
      </c>
      <c r="K1749">
        <v>0.69564609034304203</v>
      </c>
      <c r="L1749" t="s">
        <v>38</v>
      </c>
      <c r="M1749" t="s">
        <v>34</v>
      </c>
      <c r="N1749" t="s">
        <v>35</v>
      </c>
      <c r="O1749">
        <v>0.82876593939088905</v>
      </c>
      <c r="P1749" t="s">
        <v>36</v>
      </c>
    </row>
    <row r="1750" spans="1:16">
      <c r="A1750">
        <v>1749</v>
      </c>
      <c r="B1750" t="s">
        <v>1810</v>
      </c>
      <c r="C1750">
        <v>147</v>
      </c>
      <c r="D1750">
        <v>78</v>
      </c>
      <c r="E1750">
        <v>75.186853825368104</v>
      </c>
      <c r="F1750">
        <v>1.8811188811188799</v>
      </c>
      <c r="G1750">
        <v>4439.9052884688099</v>
      </c>
      <c r="H1750">
        <v>702.03410643929999</v>
      </c>
      <c r="I1750">
        <v>0.76995770706192102</v>
      </c>
      <c r="J1750">
        <v>0.11320540077871</v>
      </c>
      <c r="K1750">
        <v>0.59671201134615803</v>
      </c>
      <c r="L1750" t="s">
        <v>33</v>
      </c>
      <c r="M1750" t="s">
        <v>34</v>
      </c>
      <c r="N1750" t="s">
        <v>35</v>
      </c>
      <c r="O1750">
        <v>0.75684663690515097</v>
      </c>
      <c r="P1750" t="s">
        <v>36</v>
      </c>
    </row>
    <row r="1751" spans="1:16">
      <c r="A1751">
        <v>1750</v>
      </c>
      <c r="B1751" t="s">
        <v>1811</v>
      </c>
      <c r="C1751">
        <v>69</v>
      </c>
      <c r="D1751">
        <v>107</v>
      </c>
      <c r="E1751">
        <v>75.222083117222397</v>
      </c>
      <c r="F1751">
        <v>0.64308125224599799</v>
      </c>
      <c r="G1751">
        <v>4444.0669565217404</v>
      </c>
      <c r="H1751">
        <v>641.73141019074797</v>
      </c>
      <c r="I1751">
        <v>0.70187596475054703</v>
      </c>
      <c r="J1751">
        <v>0.135607548233625</v>
      </c>
      <c r="K1751">
        <v>0.71423452690920397</v>
      </c>
      <c r="L1751" t="s">
        <v>38</v>
      </c>
      <c r="M1751" t="s">
        <v>34</v>
      </c>
      <c r="N1751" t="s">
        <v>35</v>
      </c>
      <c r="O1751">
        <v>0.69370405682738201</v>
      </c>
      <c r="P1751" t="s">
        <v>36</v>
      </c>
    </row>
    <row r="1752" spans="1:16">
      <c r="A1752">
        <v>1751</v>
      </c>
      <c r="B1752" t="s">
        <v>1812</v>
      </c>
      <c r="C1752">
        <v>60</v>
      </c>
      <c r="D1752">
        <v>108</v>
      </c>
      <c r="E1752">
        <v>75.335208546340098</v>
      </c>
      <c r="F1752">
        <v>0.55656930448131103</v>
      </c>
      <c r="G1752">
        <v>4457.4437466918698</v>
      </c>
      <c r="H1752">
        <v>398.36406934261299</v>
      </c>
      <c r="I1752">
        <v>0.83264528748635602</v>
      </c>
      <c r="J1752">
        <v>0.35296806562350302</v>
      </c>
      <c r="K1752">
        <v>0.81973486401530704</v>
      </c>
      <c r="L1752" t="s">
        <v>38</v>
      </c>
      <c r="M1752" t="s">
        <v>34</v>
      </c>
      <c r="N1752" t="s">
        <v>35</v>
      </c>
      <c r="O1752">
        <v>0.87740232815098795</v>
      </c>
      <c r="P1752" t="s">
        <v>36</v>
      </c>
    </row>
    <row r="1753" spans="1:16">
      <c r="A1753">
        <v>1752</v>
      </c>
      <c r="B1753" t="s">
        <v>1813</v>
      </c>
      <c r="C1753">
        <v>111</v>
      </c>
      <c r="D1753">
        <v>85</v>
      </c>
      <c r="E1753">
        <v>75.3452559201573</v>
      </c>
      <c r="F1753">
        <v>1.3112391446281599</v>
      </c>
      <c r="G1753">
        <v>4458.6327947069904</v>
      </c>
      <c r="H1753">
        <v>618.44480634585705</v>
      </c>
      <c r="I1753">
        <v>0.38968890606950302</v>
      </c>
      <c r="J1753">
        <v>0.14649057264476401</v>
      </c>
      <c r="K1753">
        <v>0.63984813258537199</v>
      </c>
      <c r="L1753" t="s">
        <v>33</v>
      </c>
      <c r="M1753" t="s">
        <v>34</v>
      </c>
      <c r="N1753" t="s">
        <v>35</v>
      </c>
      <c r="O1753">
        <v>0.71899279695872198</v>
      </c>
      <c r="P1753" t="s">
        <v>36</v>
      </c>
    </row>
    <row r="1754" spans="1:16">
      <c r="A1754">
        <v>1753</v>
      </c>
      <c r="B1754" t="s">
        <v>1814</v>
      </c>
      <c r="C1754">
        <v>60</v>
      </c>
      <c r="D1754">
        <v>109</v>
      </c>
      <c r="E1754">
        <v>75.495806068785399</v>
      </c>
      <c r="F1754">
        <v>0.55269480326119003</v>
      </c>
      <c r="G1754">
        <v>4476.4685149338402</v>
      </c>
      <c r="H1754">
        <v>343.52684224978702</v>
      </c>
      <c r="I1754">
        <v>0.80211431445203796</v>
      </c>
      <c r="J1754">
        <v>0.47667683123036603</v>
      </c>
      <c r="K1754">
        <v>0.80413306989907596</v>
      </c>
      <c r="L1754" t="s">
        <v>38</v>
      </c>
      <c r="M1754" t="s">
        <v>34</v>
      </c>
      <c r="N1754" t="s">
        <v>35</v>
      </c>
      <c r="O1754">
        <v>0.813253656507128</v>
      </c>
      <c r="P1754" t="s">
        <v>36</v>
      </c>
    </row>
    <row r="1755" spans="1:16">
      <c r="A1755">
        <v>1754</v>
      </c>
      <c r="B1755" t="s">
        <v>1815</v>
      </c>
      <c r="C1755">
        <v>76</v>
      </c>
      <c r="D1755">
        <v>108</v>
      </c>
      <c r="E1755">
        <v>75.983033980988196</v>
      </c>
      <c r="F1755">
        <v>0.70035879225235698</v>
      </c>
      <c r="G1755">
        <v>4534.4346056710801</v>
      </c>
      <c r="H1755">
        <v>518.38939011159198</v>
      </c>
      <c r="I1755">
        <v>0.78063327915606995</v>
      </c>
      <c r="J1755">
        <v>0.21204146618988601</v>
      </c>
      <c r="K1755">
        <v>0.67251565117714496</v>
      </c>
      <c r="L1755" t="s">
        <v>38</v>
      </c>
      <c r="M1755" t="s">
        <v>34</v>
      </c>
      <c r="N1755" t="s">
        <v>35</v>
      </c>
      <c r="O1755">
        <v>0.68993824642246004</v>
      </c>
      <c r="P1755" t="s">
        <v>36</v>
      </c>
    </row>
    <row r="1756" spans="1:16">
      <c r="A1756">
        <v>1755</v>
      </c>
      <c r="B1756" t="s">
        <v>1816</v>
      </c>
      <c r="C1756">
        <v>146</v>
      </c>
      <c r="D1756">
        <v>105</v>
      </c>
      <c r="E1756">
        <v>76.113336075519598</v>
      </c>
      <c r="F1756">
        <v>1.3927855232697599</v>
      </c>
      <c r="G1756">
        <v>4550</v>
      </c>
      <c r="H1756">
        <v>599.41124916076706</v>
      </c>
      <c r="I1756">
        <v>0.48258409422911502</v>
      </c>
      <c r="J1756">
        <v>0.15913711574044501</v>
      </c>
      <c r="K1756">
        <v>0.41316685584563001</v>
      </c>
      <c r="L1756" t="s">
        <v>38</v>
      </c>
      <c r="M1756" t="s">
        <v>34</v>
      </c>
      <c r="N1756" t="s">
        <v>35</v>
      </c>
      <c r="O1756">
        <v>0.65964847210605204</v>
      </c>
      <c r="P1756" t="s">
        <v>36</v>
      </c>
    </row>
    <row r="1757" spans="1:16">
      <c r="A1757">
        <v>1756</v>
      </c>
      <c r="B1757" t="s">
        <v>1817</v>
      </c>
      <c r="C1757">
        <v>121</v>
      </c>
      <c r="D1757">
        <v>64</v>
      </c>
      <c r="E1757">
        <v>76.134808616007007</v>
      </c>
      <c r="F1757">
        <v>1.8943794754521801</v>
      </c>
      <c r="G1757">
        <v>4552.5675879016999</v>
      </c>
      <c r="H1757">
        <v>519.74440865993495</v>
      </c>
      <c r="I1757">
        <v>0.56667857218192597</v>
      </c>
      <c r="J1757">
        <v>0.211780814487288</v>
      </c>
      <c r="K1757">
        <v>0.74135927969793802</v>
      </c>
      <c r="L1757" t="s">
        <v>74</v>
      </c>
      <c r="M1757" t="s">
        <v>34</v>
      </c>
      <c r="N1757" t="s">
        <v>35</v>
      </c>
      <c r="O1757">
        <v>0.67262146274796597</v>
      </c>
      <c r="P1757" t="s">
        <v>36</v>
      </c>
    </row>
    <row r="1758" spans="1:16">
      <c r="A1758">
        <v>1757</v>
      </c>
      <c r="B1758" t="s">
        <v>1818</v>
      </c>
      <c r="C1758">
        <v>66</v>
      </c>
      <c r="D1758">
        <v>129</v>
      </c>
      <c r="E1758">
        <v>76.437453797703398</v>
      </c>
      <c r="F1758">
        <v>0.51442626405121195</v>
      </c>
      <c r="G1758">
        <v>4588.8335523629503</v>
      </c>
      <c r="H1758">
        <v>566.44601522839605</v>
      </c>
      <c r="I1758">
        <v>0.88905997800177305</v>
      </c>
      <c r="J1758">
        <v>0.17971946500531499</v>
      </c>
      <c r="K1758">
        <v>0.66823947015280705</v>
      </c>
      <c r="L1758" t="s">
        <v>33</v>
      </c>
      <c r="M1758" t="s">
        <v>34</v>
      </c>
      <c r="N1758" t="s">
        <v>35</v>
      </c>
      <c r="O1758">
        <v>0.729580292604878</v>
      </c>
      <c r="P1758" t="s">
        <v>36</v>
      </c>
    </row>
    <row r="1759" spans="1:16">
      <c r="A1759">
        <v>1758</v>
      </c>
      <c r="B1759" t="s">
        <v>1819</v>
      </c>
      <c r="C1759">
        <v>113</v>
      </c>
      <c r="D1759">
        <v>83</v>
      </c>
      <c r="E1759">
        <v>76.478293376349598</v>
      </c>
      <c r="F1759">
        <v>1.36184210526316</v>
      </c>
      <c r="G1759">
        <v>4593.7383754253297</v>
      </c>
      <c r="H1759">
        <v>822.45630285688105</v>
      </c>
      <c r="I1759">
        <v>0.51315660951500897</v>
      </c>
      <c r="J1759">
        <v>8.5339570964875905E-2</v>
      </c>
      <c r="K1759">
        <v>0.61050864197530896</v>
      </c>
      <c r="L1759" t="s">
        <v>38</v>
      </c>
      <c r="M1759" t="s">
        <v>34</v>
      </c>
      <c r="N1759" t="s">
        <v>35</v>
      </c>
      <c r="O1759">
        <v>0.74823441265174195</v>
      </c>
      <c r="P1759" t="s">
        <v>36</v>
      </c>
    </row>
    <row r="1760" spans="1:16">
      <c r="A1760">
        <v>1759</v>
      </c>
      <c r="B1760" t="s">
        <v>1820</v>
      </c>
      <c r="C1760">
        <v>67</v>
      </c>
      <c r="D1760">
        <v>123</v>
      </c>
      <c r="E1760">
        <v>76.668590437106502</v>
      </c>
      <c r="F1760">
        <v>0.54683626749501602</v>
      </c>
      <c r="G1760">
        <v>4616.6275497164497</v>
      </c>
      <c r="H1760">
        <v>406.310984553151</v>
      </c>
      <c r="I1760">
        <v>0.78445568402331201</v>
      </c>
      <c r="J1760">
        <v>0.35141279952923499</v>
      </c>
      <c r="K1760">
        <v>0.722147307728076</v>
      </c>
      <c r="L1760" t="s">
        <v>33</v>
      </c>
      <c r="M1760" t="s">
        <v>34</v>
      </c>
      <c r="N1760" t="s">
        <v>35</v>
      </c>
      <c r="O1760">
        <v>0.67203674645676903</v>
      </c>
      <c r="P1760" t="s">
        <v>36</v>
      </c>
    </row>
    <row r="1761" spans="1:16">
      <c r="A1761">
        <v>1760</v>
      </c>
      <c r="B1761" t="s">
        <v>1821</v>
      </c>
      <c r="C1761">
        <v>99</v>
      </c>
      <c r="D1761">
        <v>74</v>
      </c>
      <c r="E1761">
        <v>76.996177585739701</v>
      </c>
      <c r="F1761">
        <v>1.3294290867358201</v>
      </c>
      <c r="G1761">
        <v>4656.16339621928</v>
      </c>
      <c r="H1761">
        <v>492.77082034162902</v>
      </c>
      <c r="I1761">
        <v>0.68388722750434905</v>
      </c>
      <c r="J1761">
        <v>0.24096175102193201</v>
      </c>
      <c r="K1761">
        <v>0.76732964287463901</v>
      </c>
      <c r="L1761" t="s">
        <v>74</v>
      </c>
      <c r="M1761" t="s">
        <v>34</v>
      </c>
      <c r="N1761" t="s">
        <v>35</v>
      </c>
      <c r="O1761">
        <v>0.70485968499102503</v>
      </c>
      <c r="P1761" t="s">
        <v>36</v>
      </c>
    </row>
    <row r="1762" spans="1:16">
      <c r="A1762">
        <v>1761</v>
      </c>
      <c r="B1762" t="s">
        <v>1822</v>
      </c>
      <c r="C1762">
        <v>132</v>
      </c>
      <c r="D1762">
        <v>109</v>
      </c>
      <c r="E1762">
        <v>77.114062778821904</v>
      </c>
      <c r="F1762">
        <v>1.2150000000000001</v>
      </c>
      <c r="G1762">
        <v>4670.4319724007601</v>
      </c>
      <c r="H1762">
        <v>765.11720900214198</v>
      </c>
      <c r="I1762">
        <v>0.63315190889232797</v>
      </c>
      <c r="J1762">
        <v>0.100256138760977</v>
      </c>
      <c r="K1762">
        <v>0.437670622318792</v>
      </c>
      <c r="L1762" t="s">
        <v>43</v>
      </c>
      <c r="M1762" t="s">
        <v>34</v>
      </c>
      <c r="N1762" t="s">
        <v>35</v>
      </c>
      <c r="O1762">
        <v>0.71149114841449801</v>
      </c>
      <c r="P1762" t="s">
        <v>36</v>
      </c>
    </row>
    <row r="1763" spans="1:16">
      <c r="A1763">
        <v>1762</v>
      </c>
      <c r="B1763" t="s">
        <v>1823</v>
      </c>
      <c r="C1763">
        <v>107</v>
      </c>
      <c r="D1763">
        <v>88</v>
      </c>
      <c r="E1763">
        <v>77.370087488090604</v>
      </c>
      <c r="F1763">
        <v>1.2236024844720499</v>
      </c>
      <c r="G1763">
        <v>4701.4958517958403</v>
      </c>
      <c r="H1763">
        <v>667.66936092729202</v>
      </c>
      <c r="I1763">
        <v>0.58735034075373005</v>
      </c>
      <c r="J1763">
        <v>0.13253269433651699</v>
      </c>
      <c r="K1763">
        <v>0.67833247555326803</v>
      </c>
      <c r="L1763" t="s">
        <v>38</v>
      </c>
      <c r="M1763" t="s">
        <v>34</v>
      </c>
      <c r="N1763" t="s">
        <v>35</v>
      </c>
      <c r="O1763">
        <v>0.67614268172164704</v>
      </c>
      <c r="P1763" t="s">
        <v>36</v>
      </c>
    </row>
    <row r="1764" spans="1:16">
      <c r="A1764">
        <v>1763</v>
      </c>
      <c r="B1764" t="s">
        <v>1824</v>
      </c>
      <c r="C1764">
        <v>107</v>
      </c>
      <c r="D1764">
        <v>93</v>
      </c>
      <c r="E1764">
        <v>77.461756067774004</v>
      </c>
      <c r="F1764">
        <v>1.1529411764705899</v>
      </c>
      <c r="G1764">
        <v>4712.6431769376204</v>
      </c>
      <c r="H1764">
        <v>721.23295715798497</v>
      </c>
      <c r="I1764">
        <v>0.66324635415893596</v>
      </c>
      <c r="J1764">
        <v>0.113847446510305</v>
      </c>
      <c r="K1764">
        <v>0.59444309042164301</v>
      </c>
      <c r="L1764" t="s">
        <v>33</v>
      </c>
      <c r="M1764" t="s">
        <v>34</v>
      </c>
      <c r="N1764" t="s">
        <v>35</v>
      </c>
      <c r="O1764">
        <v>0.81355440699882897</v>
      </c>
      <c r="P1764" t="s">
        <v>36</v>
      </c>
    </row>
    <row r="1765" spans="1:16">
      <c r="A1765">
        <v>1764</v>
      </c>
      <c r="B1765" t="s">
        <v>1825</v>
      </c>
      <c r="C1765">
        <v>89</v>
      </c>
      <c r="D1765">
        <v>74</v>
      </c>
      <c r="E1765">
        <v>77.500834994966993</v>
      </c>
      <c r="F1765">
        <v>1.20860925655906</v>
      </c>
      <c r="G1765">
        <v>4717.3993689981098</v>
      </c>
      <c r="H1765">
        <v>347.729699011989</v>
      </c>
      <c r="I1765">
        <v>0.72286878252001396</v>
      </c>
      <c r="J1765">
        <v>0.490262797891661</v>
      </c>
      <c r="K1765">
        <v>0.87447306791569102</v>
      </c>
      <c r="L1765" t="s">
        <v>74</v>
      </c>
      <c r="M1765" t="s">
        <v>34</v>
      </c>
      <c r="N1765" t="s">
        <v>35</v>
      </c>
      <c r="O1765">
        <v>0.651579125897082</v>
      </c>
      <c r="P1765" t="s">
        <v>36</v>
      </c>
    </row>
    <row r="1766" spans="1:16">
      <c r="A1766">
        <v>1765</v>
      </c>
      <c r="B1766" t="s">
        <v>1826</v>
      </c>
      <c r="C1766">
        <v>85</v>
      </c>
      <c r="D1766">
        <v>111</v>
      </c>
      <c r="E1766">
        <v>77.5606364434108</v>
      </c>
      <c r="F1766">
        <v>0.76480712196532596</v>
      </c>
      <c r="G1766">
        <v>4724.6822880907403</v>
      </c>
      <c r="H1766">
        <v>431.83325516410503</v>
      </c>
      <c r="I1766">
        <v>0.65160765909292695</v>
      </c>
      <c r="J1766">
        <v>0.31838331895113797</v>
      </c>
      <c r="K1766">
        <v>0.68799238161198195</v>
      </c>
      <c r="L1766" t="s">
        <v>49</v>
      </c>
      <c r="M1766" t="s">
        <v>34</v>
      </c>
      <c r="N1766" t="s">
        <v>35</v>
      </c>
      <c r="O1766">
        <v>0.74657322471317999</v>
      </c>
      <c r="P1766" t="s">
        <v>36</v>
      </c>
    </row>
    <row r="1767" spans="1:16">
      <c r="A1767">
        <v>1766</v>
      </c>
      <c r="B1767" t="s">
        <v>1827</v>
      </c>
      <c r="C1767">
        <v>198</v>
      </c>
      <c r="D1767">
        <v>64</v>
      </c>
      <c r="E1767">
        <v>77.756803094295094</v>
      </c>
      <c r="F1767">
        <v>3.0885827774529</v>
      </c>
      <c r="G1767">
        <v>4748.61187939509</v>
      </c>
      <c r="H1767">
        <v>875.29424023389799</v>
      </c>
      <c r="I1767">
        <v>0.48606639570306498</v>
      </c>
      <c r="J1767">
        <v>7.7887613538067196E-2</v>
      </c>
      <c r="K1767">
        <v>0.50039155494299004</v>
      </c>
      <c r="L1767" t="s">
        <v>33</v>
      </c>
      <c r="M1767" t="s">
        <v>34</v>
      </c>
      <c r="N1767" t="s">
        <v>35</v>
      </c>
      <c r="O1767">
        <v>0.68871910151161098</v>
      </c>
      <c r="P1767" t="s">
        <v>36</v>
      </c>
    </row>
    <row r="1768" spans="1:16">
      <c r="A1768">
        <v>1767</v>
      </c>
      <c r="B1768" t="s">
        <v>1828</v>
      </c>
      <c r="C1768">
        <v>99</v>
      </c>
      <c r="D1768">
        <v>69</v>
      </c>
      <c r="E1768">
        <v>77.822487382380203</v>
      </c>
      <c r="F1768">
        <v>1.4278660281153099</v>
      </c>
      <c r="G1768">
        <v>4756.6379534971602</v>
      </c>
      <c r="H1768">
        <v>328.03216425138999</v>
      </c>
      <c r="I1768">
        <v>0.65705890254339905</v>
      </c>
      <c r="J1768">
        <v>0.55549109630280002</v>
      </c>
      <c r="K1768">
        <v>0.86214978448275903</v>
      </c>
      <c r="L1768" t="s">
        <v>38</v>
      </c>
      <c r="M1768" t="s">
        <v>34</v>
      </c>
      <c r="N1768" t="s">
        <v>35</v>
      </c>
      <c r="O1768">
        <v>0.85758264169116305</v>
      </c>
      <c r="P1768" t="s">
        <v>36</v>
      </c>
    </row>
    <row r="1769" spans="1:16">
      <c r="A1769">
        <v>1768</v>
      </c>
      <c r="B1769" t="s">
        <v>1829</v>
      </c>
      <c r="C1769">
        <v>83</v>
      </c>
      <c r="D1769">
        <v>132</v>
      </c>
      <c r="E1769">
        <v>77.885686564208399</v>
      </c>
      <c r="F1769">
        <v>0.63223140495867802</v>
      </c>
      <c r="G1769">
        <v>4764.3667655954596</v>
      </c>
      <c r="H1769">
        <v>886.60486594708095</v>
      </c>
      <c r="I1769">
        <v>0.62590133720413499</v>
      </c>
      <c r="J1769">
        <v>7.6164891810576896E-2</v>
      </c>
      <c r="K1769">
        <v>0.55942408376963304</v>
      </c>
      <c r="L1769" t="s">
        <v>33</v>
      </c>
      <c r="M1769" t="s">
        <v>34</v>
      </c>
      <c r="N1769" t="s">
        <v>35</v>
      </c>
      <c r="O1769">
        <v>0.67450519650996399</v>
      </c>
      <c r="P1769" t="s">
        <v>36</v>
      </c>
    </row>
    <row r="1770" spans="1:16">
      <c r="A1770">
        <v>1769</v>
      </c>
      <c r="B1770" t="s">
        <v>1830</v>
      </c>
      <c r="C1770">
        <v>95</v>
      </c>
      <c r="D1770">
        <v>129</v>
      </c>
      <c r="E1770">
        <v>78.315779956131195</v>
      </c>
      <c r="F1770">
        <v>0.73728810162147895</v>
      </c>
      <c r="G1770">
        <v>4817.1307712665403</v>
      </c>
      <c r="H1770">
        <v>710.34028834446599</v>
      </c>
      <c r="I1770">
        <v>0.63824445080297698</v>
      </c>
      <c r="J1770">
        <v>0.119967996445664</v>
      </c>
      <c r="K1770">
        <v>0.51978252850704898</v>
      </c>
      <c r="L1770" t="s">
        <v>33</v>
      </c>
      <c r="M1770" t="s">
        <v>34</v>
      </c>
      <c r="N1770" t="s">
        <v>35</v>
      </c>
      <c r="O1770">
        <v>0.78663144210034397</v>
      </c>
      <c r="P1770" t="s">
        <v>36</v>
      </c>
    </row>
    <row r="1771" spans="1:16">
      <c r="A1771">
        <v>1770</v>
      </c>
      <c r="B1771" t="s">
        <v>1831</v>
      </c>
      <c r="C1771">
        <v>88</v>
      </c>
      <c r="D1771">
        <v>89</v>
      </c>
      <c r="E1771">
        <v>78.472689281880804</v>
      </c>
      <c r="F1771">
        <v>0.99514869569998798</v>
      </c>
      <c r="G1771">
        <v>4836.4528015122896</v>
      </c>
      <c r="H1771">
        <v>479.58541078712602</v>
      </c>
      <c r="I1771">
        <v>0.68650234324623505</v>
      </c>
      <c r="J1771">
        <v>0.26424385194389199</v>
      </c>
      <c r="K1771">
        <v>0.81933778169457405</v>
      </c>
      <c r="L1771" t="s">
        <v>38</v>
      </c>
      <c r="M1771" t="s">
        <v>34</v>
      </c>
      <c r="N1771" t="s">
        <v>35</v>
      </c>
      <c r="O1771">
        <v>0.81181478555011299</v>
      </c>
      <c r="P1771" t="s">
        <v>36</v>
      </c>
    </row>
    <row r="1772" spans="1:16">
      <c r="A1772">
        <v>1771</v>
      </c>
      <c r="B1772" t="s">
        <v>1832</v>
      </c>
      <c r="C1772">
        <v>139</v>
      </c>
      <c r="D1772">
        <v>83</v>
      </c>
      <c r="E1772">
        <v>78.910375537772495</v>
      </c>
      <c r="F1772">
        <v>1.6776315789473699</v>
      </c>
      <c r="G1772">
        <v>4890.5544862003799</v>
      </c>
      <c r="H1772">
        <v>907.57830834388699</v>
      </c>
      <c r="I1772">
        <v>0.64620262331803302</v>
      </c>
      <c r="J1772">
        <v>7.4610465729378406E-2</v>
      </c>
      <c r="K1772">
        <v>0.56990439240681701</v>
      </c>
      <c r="L1772" t="s">
        <v>33</v>
      </c>
      <c r="M1772" t="s">
        <v>34</v>
      </c>
      <c r="N1772" t="s">
        <v>35</v>
      </c>
      <c r="O1772">
        <v>0.72050358320110697</v>
      </c>
      <c r="P1772" t="s">
        <v>36</v>
      </c>
    </row>
    <row r="1773" spans="1:16">
      <c r="A1773">
        <v>1772</v>
      </c>
      <c r="B1773" t="s">
        <v>1833</v>
      </c>
      <c r="C1773">
        <v>79</v>
      </c>
      <c r="D1773">
        <v>100</v>
      </c>
      <c r="E1773">
        <v>78.996663563047207</v>
      </c>
      <c r="F1773">
        <v>0.78646346951284596</v>
      </c>
      <c r="G1773">
        <v>4901.2559183364801</v>
      </c>
      <c r="H1773">
        <v>493.30939011159199</v>
      </c>
      <c r="I1773">
        <v>0.80452386366264605</v>
      </c>
      <c r="J1773">
        <v>0.25309203578016098</v>
      </c>
      <c r="K1773">
        <v>0.77861730260672501</v>
      </c>
      <c r="L1773" t="s">
        <v>38</v>
      </c>
      <c r="M1773" t="s">
        <v>34</v>
      </c>
      <c r="N1773" t="s">
        <v>35</v>
      </c>
      <c r="O1773">
        <v>0.678288134101941</v>
      </c>
      <c r="P1773" t="s">
        <v>36</v>
      </c>
    </row>
    <row r="1774" spans="1:16">
      <c r="A1774">
        <v>1773</v>
      </c>
      <c r="B1774" t="s">
        <v>1834</v>
      </c>
      <c r="C1774">
        <v>98</v>
      </c>
      <c r="D1774">
        <v>132</v>
      </c>
      <c r="E1774">
        <v>79.017023373886602</v>
      </c>
      <c r="F1774">
        <v>0.73662551440329205</v>
      </c>
      <c r="G1774">
        <v>4903.7826453686203</v>
      </c>
      <c r="H1774">
        <v>961.63897238638106</v>
      </c>
      <c r="I1774">
        <v>0.68208793208209495</v>
      </c>
      <c r="J1774">
        <v>6.6637234465691794E-2</v>
      </c>
      <c r="K1774">
        <v>0.53971863242270601</v>
      </c>
      <c r="L1774" t="s">
        <v>38</v>
      </c>
      <c r="M1774" t="s">
        <v>34</v>
      </c>
      <c r="N1774" t="s">
        <v>35</v>
      </c>
      <c r="O1774">
        <v>0.77941863904364805</v>
      </c>
      <c r="P1774" t="s">
        <v>36</v>
      </c>
    </row>
    <row r="1775" spans="1:16">
      <c r="A1775">
        <v>1774</v>
      </c>
      <c r="B1775" t="s">
        <v>1835</v>
      </c>
      <c r="C1775">
        <v>92</v>
      </c>
      <c r="D1775">
        <v>90</v>
      </c>
      <c r="E1775">
        <v>79.363533281549707</v>
      </c>
      <c r="F1775">
        <v>1.02515734819259</v>
      </c>
      <c r="G1775">
        <v>4946.8856359168203</v>
      </c>
      <c r="H1775">
        <v>474.11053939290701</v>
      </c>
      <c r="I1775">
        <v>0.68222064767425905</v>
      </c>
      <c r="J1775">
        <v>0.27655563687954299</v>
      </c>
      <c r="K1775">
        <v>0.79326453273589603</v>
      </c>
      <c r="L1775" t="s">
        <v>33</v>
      </c>
      <c r="M1775" t="s">
        <v>34</v>
      </c>
      <c r="N1775" t="s">
        <v>35</v>
      </c>
      <c r="O1775">
        <v>0.66941748480126795</v>
      </c>
      <c r="P1775" t="s">
        <v>36</v>
      </c>
    </row>
    <row r="1776" spans="1:16">
      <c r="A1776">
        <v>1775</v>
      </c>
      <c r="B1776" t="s">
        <v>1836</v>
      </c>
      <c r="C1776">
        <v>123</v>
      </c>
      <c r="D1776">
        <v>82</v>
      </c>
      <c r="E1776">
        <v>79.562390449789703</v>
      </c>
      <c r="F1776">
        <v>1.4986732392147699</v>
      </c>
      <c r="G1776">
        <v>4971.7070132325198</v>
      </c>
      <c r="H1776">
        <v>605.51457831859602</v>
      </c>
      <c r="I1776">
        <v>0.57368931309537496</v>
      </c>
      <c r="J1776">
        <v>0.170398663507668</v>
      </c>
      <c r="K1776">
        <v>0.70017164147862898</v>
      </c>
      <c r="L1776" t="s">
        <v>38</v>
      </c>
      <c r="M1776" t="s">
        <v>34</v>
      </c>
      <c r="N1776" t="s">
        <v>35</v>
      </c>
      <c r="O1776">
        <v>0.73110381400949997</v>
      </c>
      <c r="P1776" t="s">
        <v>36</v>
      </c>
    </row>
    <row r="1777" spans="1:16">
      <c r="A1777">
        <v>1776</v>
      </c>
      <c r="B1777" t="s">
        <v>1837</v>
      </c>
      <c r="C1777">
        <v>73</v>
      </c>
      <c r="D1777">
        <v>186</v>
      </c>
      <c r="E1777">
        <v>79.584983436570596</v>
      </c>
      <c r="F1777">
        <v>0.392961876832845</v>
      </c>
      <c r="G1777">
        <v>4974.5310022684298</v>
      </c>
      <c r="H1777">
        <v>905.82641414694206</v>
      </c>
      <c r="I1777">
        <v>0.831440654087789</v>
      </c>
      <c r="J1777">
        <v>7.6185451293432294E-2</v>
      </c>
      <c r="K1777">
        <v>0.48967797626885501</v>
      </c>
      <c r="L1777" t="s">
        <v>33</v>
      </c>
      <c r="M1777" t="s">
        <v>34</v>
      </c>
      <c r="N1777" t="s">
        <v>35</v>
      </c>
      <c r="O1777">
        <v>0.69591570402918801</v>
      </c>
      <c r="P1777" t="s">
        <v>36</v>
      </c>
    </row>
    <row r="1778" spans="1:16">
      <c r="A1778">
        <v>1777</v>
      </c>
      <c r="B1778" t="s">
        <v>1838</v>
      </c>
      <c r="C1778">
        <v>119</v>
      </c>
      <c r="D1778">
        <v>72</v>
      </c>
      <c r="E1778">
        <v>79.598060655773494</v>
      </c>
      <c r="F1778">
        <v>1.66248135208549</v>
      </c>
      <c r="G1778">
        <v>4976.1659432892302</v>
      </c>
      <c r="H1778">
        <v>555.27708363657405</v>
      </c>
      <c r="I1778">
        <v>0.78849454407605901</v>
      </c>
      <c r="J1778">
        <v>0.20280806326773099</v>
      </c>
      <c r="K1778">
        <v>0.73247571541086898</v>
      </c>
      <c r="L1778" t="s">
        <v>33</v>
      </c>
      <c r="M1778" t="s">
        <v>34</v>
      </c>
      <c r="N1778" t="s">
        <v>35</v>
      </c>
      <c r="O1778">
        <v>0.714582102913768</v>
      </c>
      <c r="P1778" t="s">
        <v>36</v>
      </c>
    </row>
    <row r="1779" spans="1:16">
      <c r="A1779">
        <v>1778</v>
      </c>
      <c r="B1779" t="s">
        <v>1839</v>
      </c>
      <c r="C1779">
        <v>113</v>
      </c>
      <c r="D1779">
        <v>76</v>
      </c>
      <c r="E1779">
        <v>79.611135726864106</v>
      </c>
      <c r="F1779">
        <v>1.4986671669512901</v>
      </c>
      <c r="G1779">
        <v>4977.8008843100197</v>
      </c>
      <c r="H1779">
        <v>828.96681183286296</v>
      </c>
      <c r="I1779">
        <v>0.73263416739746401</v>
      </c>
      <c r="J1779">
        <v>9.1027601000981007E-2</v>
      </c>
      <c r="K1779">
        <v>0.63556314640857803</v>
      </c>
      <c r="L1779" t="s">
        <v>33</v>
      </c>
      <c r="M1779" t="s">
        <v>34</v>
      </c>
      <c r="N1779" t="s">
        <v>35</v>
      </c>
      <c r="O1779">
        <v>0.67727766521030597</v>
      </c>
      <c r="P1779" t="s">
        <v>36</v>
      </c>
    </row>
    <row r="1780" spans="1:16">
      <c r="A1780">
        <v>1779</v>
      </c>
      <c r="B1780" t="s">
        <v>1840</v>
      </c>
      <c r="C1780">
        <v>116</v>
      </c>
      <c r="D1780">
        <v>86</v>
      </c>
      <c r="E1780">
        <v>79.820045581902093</v>
      </c>
      <c r="F1780">
        <v>1.3492957607000899</v>
      </c>
      <c r="G1780">
        <v>5003.9599406427196</v>
      </c>
      <c r="H1780">
        <v>531.07773185429403</v>
      </c>
      <c r="I1780">
        <v>0.67457245804861898</v>
      </c>
      <c r="J1780">
        <v>0.22295001439438</v>
      </c>
      <c r="K1780">
        <v>0.67198259515778103</v>
      </c>
      <c r="L1780" t="s">
        <v>33</v>
      </c>
      <c r="M1780" t="s">
        <v>34</v>
      </c>
      <c r="N1780" t="s">
        <v>35</v>
      </c>
      <c r="O1780">
        <v>0.72460689379706</v>
      </c>
      <c r="P1780" t="s">
        <v>36</v>
      </c>
    </row>
    <row r="1781" spans="1:16">
      <c r="A1781">
        <v>1780</v>
      </c>
      <c r="B1781" t="s">
        <v>1841</v>
      </c>
      <c r="C1781">
        <v>69</v>
      </c>
      <c r="D1781">
        <v>126</v>
      </c>
      <c r="E1781">
        <v>79.852045898428898</v>
      </c>
      <c r="F1781">
        <v>0.55099521832694998</v>
      </c>
      <c r="G1781">
        <v>5007.9729776937602</v>
      </c>
      <c r="H1781">
        <v>687.00050352884398</v>
      </c>
      <c r="I1781">
        <v>0.78424873256410199</v>
      </c>
      <c r="J1781">
        <v>0.133339164677857</v>
      </c>
      <c r="K1781">
        <v>0.68806796136331105</v>
      </c>
      <c r="L1781" t="s">
        <v>288</v>
      </c>
      <c r="M1781" t="s">
        <v>34</v>
      </c>
      <c r="N1781" t="s">
        <v>35</v>
      </c>
      <c r="O1781">
        <v>0.73945581113436398</v>
      </c>
      <c r="P1781" t="s">
        <v>36</v>
      </c>
    </row>
    <row r="1782" spans="1:16">
      <c r="A1782">
        <v>1781</v>
      </c>
      <c r="B1782" t="s">
        <v>1842</v>
      </c>
      <c r="C1782">
        <v>96</v>
      </c>
      <c r="D1782">
        <v>92</v>
      </c>
      <c r="E1782">
        <v>80.166625458271596</v>
      </c>
      <c r="F1782">
        <v>1.0442042125404101</v>
      </c>
      <c r="G1782">
        <v>5047.5088241965996</v>
      </c>
      <c r="H1782">
        <v>605.32748923488305</v>
      </c>
      <c r="I1782">
        <v>0.66063662668294798</v>
      </c>
      <c r="J1782">
        <v>0.17310362301885901</v>
      </c>
      <c r="K1782">
        <v>0.67288830767401797</v>
      </c>
      <c r="L1782" t="s">
        <v>38</v>
      </c>
      <c r="M1782" t="s">
        <v>34</v>
      </c>
      <c r="N1782" t="s">
        <v>35</v>
      </c>
      <c r="O1782">
        <v>0.74783521237135797</v>
      </c>
      <c r="P1782" t="s">
        <v>36</v>
      </c>
    </row>
    <row r="1783" spans="1:16">
      <c r="A1783">
        <v>1782</v>
      </c>
      <c r="B1783" t="s">
        <v>1843</v>
      </c>
      <c r="C1783">
        <v>91</v>
      </c>
      <c r="D1783">
        <v>145</v>
      </c>
      <c r="E1783">
        <v>80.476448181820501</v>
      </c>
      <c r="F1783">
        <v>0.62471810335355005</v>
      </c>
      <c r="G1783">
        <v>5086.59877769376</v>
      </c>
      <c r="H1783">
        <v>806.14517608010306</v>
      </c>
      <c r="I1783">
        <v>0.64137344681404695</v>
      </c>
      <c r="J1783">
        <v>9.8358257788583398E-2</v>
      </c>
      <c r="K1783">
        <v>0.51544544016868699</v>
      </c>
      <c r="L1783" t="s">
        <v>38</v>
      </c>
      <c r="M1783" t="s">
        <v>34</v>
      </c>
      <c r="N1783" t="s">
        <v>35</v>
      </c>
      <c r="O1783">
        <v>0.68606922208385401</v>
      </c>
      <c r="P1783" t="s">
        <v>36</v>
      </c>
    </row>
    <row r="1784" spans="1:16">
      <c r="A1784">
        <v>1783</v>
      </c>
      <c r="B1784" t="s">
        <v>1844</v>
      </c>
      <c r="C1784">
        <v>77</v>
      </c>
      <c r="D1784">
        <v>129</v>
      </c>
      <c r="E1784">
        <v>80.626805711353398</v>
      </c>
      <c r="F1784">
        <v>0.59311429312309505</v>
      </c>
      <c r="G1784">
        <v>5105.6235459357304</v>
      </c>
      <c r="H1784">
        <v>682.80315600094605</v>
      </c>
      <c r="I1784">
        <v>0.60476995047413495</v>
      </c>
      <c r="J1784">
        <v>0.13761558293217899</v>
      </c>
      <c r="K1784">
        <v>0.66303151962014295</v>
      </c>
      <c r="L1784" t="s">
        <v>74</v>
      </c>
      <c r="M1784" t="s">
        <v>34</v>
      </c>
      <c r="N1784" t="s">
        <v>35</v>
      </c>
      <c r="O1784">
        <v>0.778458418469126</v>
      </c>
      <c r="P1784" t="s">
        <v>36</v>
      </c>
    </row>
    <row r="1785" spans="1:16">
      <c r="A1785">
        <v>1784</v>
      </c>
      <c r="B1785" t="s">
        <v>1845</v>
      </c>
      <c r="C1785">
        <v>103</v>
      </c>
      <c r="D1785">
        <v>93</v>
      </c>
      <c r="E1785">
        <v>80.829578840821299</v>
      </c>
      <c r="F1785">
        <v>1.0994152046783601</v>
      </c>
      <c r="G1785">
        <v>5131.3367092627605</v>
      </c>
      <c r="H1785">
        <v>642.402271843579</v>
      </c>
      <c r="I1785">
        <v>0.67222135235133096</v>
      </c>
      <c r="J1785">
        <v>0.15625223602001401</v>
      </c>
      <c r="K1785">
        <v>0.66978368415947198</v>
      </c>
      <c r="L1785" t="s">
        <v>38</v>
      </c>
      <c r="M1785" t="s">
        <v>34</v>
      </c>
      <c r="N1785" t="s">
        <v>35</v>
      </c>
      <c r="O1785">
        <v>0.74090185928045904</v>
      </c>
      <c r="P1785" t="s">
        <v>36</v>
      </c>
    </row>
    <row r="1786" spans="1:16">
      <c r="A1786">
        <v>1785</v>
      </c>
      <c r="B1786" t="s">
        <v>1846</v>
      </c>
      <c r="C1786">
        <v>74</v>
      </c>
      <c r="D1786">
        <v>105</v>
      </c>
      <c r="E1786">
        <v>80.892768097774294</v>
      </c>
      <c r="F1786">
        <v>0.70577807180901497</v>
      </c>
      <c r="G1786">
        <v>5139.3627833648397</v>
      </c>
      <c r="H1786">
        <v>440.06517484747798</v>
      </c>
      <c r="I1786">
        <v>0.74146412374322301</v>
      </c>
      <c r="J1786">
        <v>0.33349178201399299</v>
      </c>
      <c r="K1786">
        <v>0.82222856327578797</v>
      </c>
      <c r="L1786" t="s">
        <v>38</v>
      </c>
      <c r="M1786" t="s">
        <v>34</v>
      </c>
      <c r="N1786" t="s">
        <v>35</v>
      </c>
      <c r="O1786">
        <v>0.76721744920072898</v>
      </c>
      <c r="P1786" t="s">
        <v>36</v>
      </c>
    </row>
    <row r="1787" spans="1:16">
      <c r="A1787">
        <v>1786</v>
      </c>
      <c r="B1787" t="s">
        <v>1847</v>
      </c>
      <c r="C1787">
        <v>103</v>
      </c>
      <c r="D1787">
        <v>91</v>
      </c>
      <c r="E1787">
        <v>80.910311911140198</v>
      </c>
      <c r="F1787">
        <v>1.12323056055325</v>
      </c>
      <c r="G1787">
        <v>5141.5922483932</v>
      </c>
      <c r="H1787">
        <v>583.19941261612905</v>
      </c>
      <c r="I1787">
        <v>0.64982951521729104</v>
      </c>
      <c r="J1787">
        <v>0.18996488994888699</v>
      </c>
      <c r="K1787">
        <v>0.73058078141499505</v>
      </c>
      <c r="L1787" t="s">
        <v>33</v>
      </c>
      <c r="M1787" t="s">
        <v>34</v>
      </c>
      <c r="N1787" t="s">
        <v>35</v>
      </c>
      <c r="O1787">
        <v>0.69515593272637299</v>
      </c>
      <c r="P1787" t="s">
        <v>36</v>
      </c>
    </row>
    <row r="1788" spans="1:16">
      <c r="A1788">
        <v>1787</v>
      </c>
      <c r="B1788" t="s">
        <v>1848</v>
      </c>
      <c r="C1788">
        <v>82</v>
      </c>
      <c r="D1788">
        <v>114</v>
      </c>
      <c r="E1788">
        <v>81.085541275464493</v>
      </c>
      <c r="F1788">
        <v>0.71770334928229695</v>
      </c>
      <c r="G1788">
        <v>5163.8868986767502</v>
      </c>
      <c r="H1788">
        <v>495.42995324165901</v>
      </c>
      <c r="I1788">
        <v>0.63690984620447999</v>
      </c>
      <c r="J1788">
        <v>0.26437602314874598</v>
      </c>
      <c r="K1788">
        <v>0.75886245986501499</v>
      </c>
      <c r="L1788" t="s">
        <v>47</v>
      </c>
      <c r="M1788" t="s">
        <v>34</v>
      </c>
      <c r="N1788" t="s">
        <v>35</v>
      </c>
      <c r="O1788">
        <v>0.75226612437336104</v>
      </c>
      <c r="P1788" t="s">
        <v>36</v>
      </c>
    </row>
    <row r="1789" spans="1:16">
      <c r="A1789">
        <v>1788</v>
      </c>
      <c r="B1789" t="s">
        <v>1849</v>
      </c>
      <c r="C1789">
        <v>106</v>
      </c>
      <c r="D1789">
        <v>132</v>
      </c>
      <c r="E1789">
        <v>81.273200416084904</v>
      </c>
      <c r="F1789">
        <v>0.80578509947533705</v>
      </c>
      <c r="G1789">
        <v>5187.8164899810999</v>
      </c>
      <c r="H1789">
        <v>775.46969181558404</v>
      </c>
      <c r="I1789">
        <v>0.55941968350786697</v>
      </c>
      <c r="J1789">
        <v>0.108408868596665</v>
      </c>
      <c r="K1789">
        <v>0.480658798903838</v>
      </c>
      <c r="L1789" t="s">
        <v>49</v>
      </c>
      <c r="M1789" t="s">
        <v>34</v>
      </c>
      <c r="N1789" t="s">
        <v>35</v>
      </c>
      <c r="O1789">
        <v>0.64391454181854901</v>
      </c>
      <c r="P1789" t="s">
        <v>36</v>
      </c>
    </row>
    <row r="1790" spans="1:16">
      <c r="A1790">
        <v>1789</v>
      </c>
      <c r="B1790" t="s">
        <v>1850</v>
      </c>
      <c r="C1790">
        <v>118</v>
      </c>
      <c r="D1790">
        <v>97</v>
      </c>
      <c r="E1790">
        <v>81.280185550281502</v>
      </c>
      <c r="F1790">
        <v>1.21396275275649</v>
      </c>
      <c r="G1790">
        <v>5188.7082759924397</v>
      </c>
      <c r="H1790">
        <v>754.12368748146605</v>
      </c>
      <c r="I1790">
        <v>0.77017422429248905</v>
      </c>
      <c r="J1790">
        <v>0.11465261200021599</v>
      </c>
      <c r="K1790">
        <v>0.62854467870582098</v>
      </c>
      <c r="L1790" t="s">
        <v>33</v>
      </c>
      <c r="M1790" t="s">
        <v>34</v>
      </c>
      <c r="N1790" t="s">
        <v>35</v>
      </c>
      <c r="O1790">
        <v>0.67489698539700105</v>
      </c>
      <c r="P1790" t="s">
        <v>36</v>
      </c>
    </row>
    <row r="1791" spans="1:16">
      <c r="A1791">
        <v>1790</v>
      </c>
      <c r="B1791" t="s">
        <v>1851</v>
      </c>
      <c r="C1791">
        <v>112</v>
      </c>
      <c r="D1791">
        <v>79</v>
      </c>
      <c r="E1791">
        <v>81.299973504695899</v>
      </c>
      <c r="F1791">
        <v>1.4204776312775</v>
      </c>
      <c r="G1791">
        <v>5191.2350030245798</v>
      </c>
      <c r="H1791">
        <v>387.70939380946402</v>
      </c>
      <c r="I1791">
        <v>0.59868229204800505</v>
      </c>
      <c r="J1791">
        <v>0.43397819203211502</v>
      </c>
      <c r="K1791">
        <v>0.79352493468135898</v>
      </c>
      <c r="L1791" t="s">
        <v>38</v>
      </c>
      <c r="M1791" t="s">
        <v>34</v>
      </c>
      <c r="N1791" t="s">
        <v>35</v>
      </c>
      <c r="O1791">
        <v>0.72850200694413803</v>
      </c>
      <c r="P1791" t="s">
        <v>36</v>
      </c>
    </row>
    <row r="1792" spans="1:16">
      <c r="A1792">
        <v>1791</v>
      </c>
      <c r="B1792" t="s">
        <v>1852</v>
      </c>
      <c r="C1792">
        <v>135</v>
      </c>
      <c r="D1792">
        <v>85</v>
      </c>
      <c r="E1792">
        <v>81.487138824493599</v>
      </c>
      <c r="F1792">
        <v>1.58084904647089</v>
      </c>
      <c r="G1792">
        <v>5215.1645943289204</v>
      </c>
      <c r="H1792">
        <v>713.09344362943102</v>
      </c>
      <c r="I1792">
        <v>0.60474627175030105</v>
      </c>
      <c r="J1792">
        <v>0.12887984252290999</v>
      </c>
      <c r="K1792">
        <v>0.63001400509929295</v>
      </c>
      <c r="L1792" t="s">
        <v>38</v>
      </c>
      <c r="M1792" t="s">
        <v>34</v>
      </c>
      <c r="N1792" t="s">
        <v>35</v>
      </c>
      <c r="O1792">
        <v>0.73149685314597501</v>
      </c>
      <c r="P1792" t="s">
        <v>36</v>
      </c>
    </row>
    <row r="1793" spans="1:16">
      <c r="A1793">
        <v>1792</v>
      </c>
      <c r="B1793" t="s">
        <v>1853</v>
      </c>
      <c r="C1793">
        <v>107</v>
      </c>
      <c r="D1793">
        <v>73</v>
      </c>
      <c r="E1793">
        <v>81.855561974747104</v>
      </c>
      <c r="F1793">
        <v>1.47112878113727</v>
      </c>
      <c r="G1793">
        <v>5262.4292529300601</v>
      </c>
      <c r="H1793">
        <v>379.22780183315302</v>
      </c>
      <c r="I1793">
        <v>0.65677243879238401</v>
      </c>
      <c r="J1793">
        <v>0.45982840657251101</v>
      </c>
      <c r="K1793">
        <v>0.83994021777809402</v>
      </c>
      <c r="L1793" t="s">
        <v>38</v>
      </c>
      <c r="M1793" t="s">
        <v>34</v>
      </c>
      <c r="N1793" t="s">
        <v>35</v>
      </c>
      <c r="O1793">
        <v>0.73951743016629401</v>
      </c>
      <c r="P1793" t="s">
        <v>36</v>
      </c>
    </row>
    <row r="1794" spans="1:16">
      <c r="A1794">
        <v>1793</v>
      </c>
      <c r="B1794" t="s">
        <v>1854</v>
      </c>
      <c r="C1794">
        <v>78</v>
      </c>
      <c r="D1794">
        <v>108</v>
      </c>
      <c r="E1794">
        <v>81.863653267405098</v>
      </c>
      <c r="F1794">
        <v>0.72222222222222199</v>
      </c>
      <c r="G1794">
        <v>5263.4696699432898</v>
      </c>
      <c r="H1794">
        <v>617.90623657589401</v>
      </c>
      <c r="I1794">
        <v>0.64602235753512305</v>
      </c>
      <c r="J1794">
        <v>0.17323547512586199</v>
      </c>
      <c r="K1794">
        <v>0.68922364298086802</v>
      </c>
      <c r="L1794" t="s">
        <v>288</v>
      </c>
      <c r="M1794" t="s">
        <v>34</v>
      </c>
      <c r="N1794" t="s">
        <v>35</v>
      </c>
      <c r="O1794">
        <v>0.64477992251897398</v>
      </c>
      <c r="P1794" t="s">
        <v>36</v>
      </c>
    </row>
    <row r="1795" spans="1:16">
      <c r="A1795">
        <v>1794</v>
      </c>
      <c r="B1795" t="s">
        <v>1855</v>
      </c>
      <c r="C1795">
        <v>139</v>
      </c>
      <c r="D1795">
        <v>82</v>
      </c>
      <c r="E1795">
        <v>82.025311507919298</v>
      </c>
      <c r="F1795">
        <v>1.69211816614912</v>
      </c>
      <c r="G1795">
        <v>5284.2780102079396</v>
      </c>
      <c r="H1795">
        <v>868.29995868879803</v>
      </c>
      <c r="I1795">
        <v>0.66573287289625005</v>
      </c>
      <c r="J1795">
        <v>8.8075671186286397E-2</v>
      </c>
      <c r="K1795">
        <v>0.55487405187751704</v>
      </c>
      <c r="L1795" t="s">
        <v>33</v>
      </c>
      <c r="M1795" t="s">
        <v>34</v>
      </c>
      <c r="N1795" t="s">
        <v>35</v>
      </c>
      <c r="O1795">
        <v>0.67513704425893994</v>
      </c>
      <c r="P1795" t="s">
        <v>36</v>
      </c>
    </row>
    <row r="1796" spans="1:16">
      <c r="A1796">
        <v>1795</v>
      </c>
      <c r="B1796" t="s">
        <v>1856</v>
      </c>
      <c r="C1796">
        <v>75</v>
      </c>
      <c r="D1796">
        <v>173</v>
      </c>
      <c r="E1796">
        <v>82.103716377978003</v>
      </c>
      <c r="F1796">
        <v>0.432760889543987</v>
      </c>
      <c r="G1796">
        <v>5294.38491833648</v>
      </c>
      <c r="H1796">
        <v>999.43001161025904</v>
      </c>
      <c r="I1796">
        <v>0.59482392174117604</v>
      </c>
      <c r="J1796">
        <v>6.6607111980126504E-2</v>
      </c>
      <c r="K1796">
        <v>0.50364788055312004</v>
      </c>
      <c r="L1796" t="s">
        <v>33</v>
      </c>
      <c r="M1796" t="s">
        <v>34</v>
      </c>
      <c r="N1796" t="s">
        <v>35</v>
      </c>
      <c r="O1796">
        <v>0.68955362288346</v>
      </c>
      <c r="P1796" t="s">
        <v>36</v>
      </c>
    </row>
    <row r="1797" spans="1:16">
      <c r="A1797">
        <v>1796</v>
      </c>
      <c r="B1797" t="s">
        <v>1857</v>
      </c>
      <c r="C1797">
        <v>152</v>
      </c>
      <c r="D1797">
        <v>71</v>
      </c>
      <c r="E1797">
        <v>82.398218534053498</v>
      </c>
      <c r="F1797">
        <v>2.13307222129129</v>
      </c>
      <c r="G1797">
        <v>5332.4344548204199</v>
      </c>
      <c r="H1797">
        <v>658.43941261612895</v>
      </c>
      <c r="I1797">
        <v>0.65977997440915803</v>
      </c>
      <c r="J1797">
        <v>0.15456236425543499</v>
      </c>
      <c r="K1797">
        <v>0.66135157056481297</v>
      </c>
      <c r="L1797" t="s">
        <v>33</v>
      </c>
      <c r="M1797" t="s">
        <v>34</v>
      </c>
      <c r="N1797" t="s">
        <v>35</v>
      </c>
      <c r="O1797">
        <v>0.71626749741116003</v>
      </c>
      <c r="P1797" t="s">
        <v>36</v>
      </c>
    </row>
    <row r="1798" spans="1:16">
      <c r="A1798">
        <v>1797</v>
      </c>
      <c r="B1798" t="s">
        <v>1858</v>
      </c>
      <c r="C1798">
        <v>124</v>
      </c>
      <c r="D1798">
        <v>91</v>
      </c>
      <c r="E1798">
        <v>82.742004316669593</v>
      </c>
      <c r="F1798">
        <v>1.36827947620042</v>
      </c>
      <c r="G1798">
        <v>5377.0237553875204</v>
      </c>
      <c r="H1798">
        <v>548.22800489062899</v>
      </c>
      <c r="I1798">
        <v>0.79774462170684202</v>
      </c>
      <c r="J1798">
        <v>0.22481712304440199</v>
      </c>
      <c r="K1798">
        <v>0.67030442274554902</v>
      </c>
      <c r="L1798" t="s">
        <v>33</v>
      </c>
      <c r="M1798" t="s">
        <v>34</v>
      </c>
      <c r="N1798" t="s">
        <v>35</v>
      </c>
      <c r="O1798">
        <v>0.73971312459190697</v>
      </c>
      <c r="P1798" t="s">
        <v>36</v>
      </c>
    </row>
    <row r="1799" spans="1:16">
      <c r="A1799">
        <v>1798</v>
      </c>
      <c r="B1799" t="s">
        <v>1859</v>
      </c>
      <c r="C1799">
        <v>92</v>
      </c>
      <c r="D1799">
        <v>98</v>
      </c>
      <c r="E1799">
        <v>82.7763043655319</v>
      </c>
      <c r="F1799">
        <v>0.94440405935969995</v>
      </c>
      <c r="G1799">
        <v>5381.4826854442399</v>
      </c>
      <c r="H1799">
        <v>439.67608520725503</v>
      </c>
      <c r="I1799">
        <v>0.60278567580020004</v>
      </c>
      <c r="J1799">
        <v>0.34982119817214302</v>
      </c>
      <c r="K1799">
        <v>0.77854470390917296</v>
      </c>
      <c r="L1799" t="s">
        <v>33</v>
      </c>
      <c r="M1799" t="s">
        <v>34</v>
      </c>
      <c r="N1799" t="s">
        <v>35</v>
      </c>
      <c r="O1799">
        <v>0.64742266092546497</v>
      </c>
      <c r="P1799" t="s">
        <v>36</v>
      </c>
    </row>
    <row r="1800" spans="1:16">
      <c r="A1800">
        <v>1799</v>
      </c>
      <c r="B1800" t="s">
        <v>1860</v>
      </c>
      <c r="C1800">
        <v>78</v>
      </c>
      <c r="D1800">
        <v>117</v>
      </c>
      <c r="E1800">
        <v>83.041079653777601</v>
      </c>
      <c r="F1800">
        <v>0.665116279069767</v>
      </c>
      <c r="G1800">
        <v>5415.9650778828</v>
      </c>
      <c r="H1800">
        <v>859.42149106388501</v>
      </c>
      <c r="I1800">
        <v>0.744892091787693</v>
      </c>
      <c r="J1800">
        <v>9.21453237167075E-2</v>
      </c>
      <c r="K1800">
        <v>0.65627476406598995</v>
      </c>
      <c r="L1800" t="s">
        <v>38</v>
      </c>
      <c r="M1800" t="s">
        <v>34</v>
      </c>
      <c r="N1800" t="s">
        <v>35</v>
      </c>
      <c r="O1800">
        <v>0.833432822112392</v>
      </c>
      <c r="P1800" t="s">
        <v>36</v>
      </c>
    </row>
    <row r="1801" spans="1:16">
      <c r="A1801">
        <v>1800</v>
      </c>
      <c r="B1801" t="s">
        <v>1861</v>
      </c>
      <c r="C1801">
        <v>147</v>
      </c>
      <c r="D1801">
        <v>84</v>
      </c>
      <c r="E1801">
        <v>83.574906871499607</v>
      </c>
      <c r="F1801">
        <v>1.7580240507468301</v>
      </c>
      <c r="G1801">
        <v>5485.8216487712698</v>
      </c>
      <c r="H1801">
        <v>819.04330438769398</v>
      </c>
      <c r="I1801">
        <v>0.66469659077156396</v>
      </c>
      <c r="J1801">
        <v>0.102763247277411</v>
      </c>
      <c r="K1801">
        <v>0.57731652380654397</v>
      </c>
      <c r="L1801" t="s">
        <v>33</v>
      </c>
      <c r="M1801" t="s">
        <v>34</v>
      </c>
      <c r="N1801" t="s">
        <v>35</v>
      </c>
      <c r="O1801">
        <v>0.70630420126609095</v>
      </c>
      <c r="P1801" t="s">
        <v>36</v>
      </c>
    </row>
    <row r="1802" spans="1:16">
      <c r="A1802">
        <v>1801</v>
      </c>
      <c r="B1802" t="s">
        <v>1862</v>
      </c>
      <c r="C1802">
        <v>130</v>
      </c>
      <c r="D1802">
        <v>81</v>
      </c>
      <c r="E1802">
        <v>83.588491869455297</v>
      </c>
      <c r="F1802">
        <v>1.61966825219741</v>
      </c>
      <c r="G1802">
        <v>5487.6052207939501</v>
      </c>
      <c r="H1802">
        <v>597.11048102430698</v>
      </c>
      <c r="I1802">
        <v>0.74081559492792703</v>
      </c>
      <c r="J1802">
        <v>0.19341196439140501</v>
      </c>
      <c r="K1802">
        <v>0.66587912781575198</v>
      </c>
      <c r="L1802" t="s">
        <v>38</v>
      </c>
      <c r="M1802" t="s">
        <v>34</v>
      </c>
      <c r="N1802" t="s">
        <v>35</v>
      </c>
      <c r="O1802">
        <v>0.72876360079718905</v>
      </c>
      <c r="P1802" t="s">
        <v>36</v>
      </c>
    </row>
    <row r="1803" spans="1:16">
      <c r="A1803">
        <v>1802</v>
      </c>
      <c r="B1803" t="s">
        <v>1863</v>
      </c>
      <c r="C1803">
        <v>108</v>
      </c>
      <c r="D1803">
        <v>116</v>
      </c>
      <c r="E1803">
        <v>83.872811355419401</v>
      </c>
      <c r="F1803">
        <v>0.93069316600938101</v>
      </c>
      <c r="G1803">
        <v>5525</v>
      </c>
      <c r="H1803">
        <v>748.40619683265697</v>
      </c>
      <c r="I1803">
        <v>0.54126527107662303</v>
      </c>
      <c r="J1803">
        <v>0.123955955309571</v>
      </c>
      <c r="K1803">
        <v>0.54299754299754299</v>
      </c>
      <c r="L1803" t="s">
        <v>38</v>
      </c>
      <c r="M1803" t="s">
        <v>34</v>
      </c>
      <c r="N1803" t="s">
        <v>35</v>
      </c>
      <c r="O1803">
        <v>0.77332871850763996</v>
      </c>
      <c r="P1803" t="s">
        <v>36</v>
      </c>
    </row>
    <row r="1804" spans="1:16">
      <c r="A1804">
        <v>1803</v>
      </c>
      <c r="B1804" t="s">
        <v>1864</v>
      </c>
      <c r="C1804">
        <v>127</v>
      </c>
      <c r="D1804">
        <v>136</v>
      </c>
      <c r="E1804">
        <v>84.196424386658094</v>
      </c>
      <c r="F1804">
        <v>0.93199999169921799</v>
      </c>
      <c r="G1804">
        <v>5567.7173308128504</v>
      </c>
      <c r="H1804">
        <v>1042.5886046007399</v>
      </c>
      <c r="I1804">
        <v>0.58978032082796905</v>
      </c>
      <c r="J1804">
        <v>6.4366677879746301E-2</v>
      </c>
      <c r="K1804">
        <v>0.38548612826212197</v>
      </c>
      <c r="L1804" t="s">
        <v>74</v>
      </c>
      <c r="M1804" t="s">
        <v>34</v>
      </c>
      <c r="N1804" t="s">
        <v>35</v>
      </c>
      <c r="O1804">
        <v>0.71711587073091698</v>
      </c>
      <c r="P1804" t="s">
        <v>36</v>
      </c>
    </row>
    <row r="1805" spans="1:16">
      <c r="A1805">
        <v>1804</v>
      </c>
      <c r="B1805" t="s">
        <v>1865</v>
      </c>
      <c r="C1805">
        <v>127</v>
      </c>
      <c r="D1805">
        <v>83</v>
      </c>
      <c r="E1805">
        <v>84.345871008649397</v>
      </c>
      <c r="F1805">
        <v>1.5271740854105</v>
      </c>
      <c r="G1805">
        <v>5587.5</v>
      </c>
      <c r="H1805">
        <v>489.91377532482102</v>
      </c>
      <c r="I1805">
        <v>0.66679580830996099</v>
      </c>
      <c r="J1805">
        <v>0.29254191369273902</v>
      </c>
      <c r="K1805">
        <v>0.69302325581395396</v>
      </c>
      <c r="L1805" t="s">
        <v>38</v>
      </c>
      <c r="M1805" t="s">
        <v>34</v>
      </c>
      <c r="N1805" t="s">
        <v>35</v>
      </c>
      <c r="O1805">
        <v>0.70792759282967999</v>
      </c>
      <c r="P1805" t="s">
        <v>36</v>
      </c>
    </row>
    <row r="1806" spans="1:16">
      <c r="A1806">
        <v>1805</v>
      </c>
      <c r="B1806" t="s">
        <v>1866</v>
      </c>
      <c r="C1806">
        <v>132</v>
      </c>
      <c r="D1806">
        <v>150</v>
      </c>
      <c r="E1806">
        <v>84.610096904718205</v>
      </c>
      <c r="F1806">
        <v>0.88</v>
      </c>
      <c r="G1806">
        <v>5622.5621705104004</v>
      </c>
      <c r="H1806">
        <v>1562.1897029091999</v>
      </c>
      <c r="I1806">
        <v>0.60780012223256197</v>
      </c>
      <c r="J1806">
        <v>2.8951867904204499E-2</v>
      </c>
      <c r="K1806">
        <v>0.35245504518773901</v>
      </c>
      <c r="L1806" t="s">
        <v>144</v>
      </c>
      <c r="M1806" t="s">
        <v>34</v>
      </c>
      <c r="N1806" t="s">
        <v>35</v>
      </c>
      <c r="O1806">
        <v>0.76703862604394102</v>
      </c>
      <c r="P1806" t="s">
        <v>36</v>
      </c>
    </row>
    <row r="1807" spans="1:16">
      <c r="A1807">
        <v>1806</v>
      </c>
      <c r="B1807" t="s">
        <v>1867</v>
      </c>
      <c r="C1807">
        <v>72</v>
      </c>
      <c r="D1807">
        <v>121</v>
      </c>
      <c r="E1807">
        <v>84.664877008211903</v>
      </c>
      <c r="F1807">
        <v>0.59544160719130401</v>
      </c>
      <c r="G1807">
        <v>5629.8450896030299</v>
      </c>
      <c r="H1807">
        <v>422.727812727431</v>
      </c>
      <c r="I1807">
        <v>0.697999930356762</v>
      </c>
      <c r="J1807">
        <v>0.39589923631852098</v>
      </c>
      <c r="K1807">
        <v>0.86717032967033003</v>
      </c>
      <c r="L1807" t="s">
        <v>67</v>
      </c>
      <c r="M1807" t="s">
        <v>34</v>
      </c>
      <c r="N1807" t="s">
        <v>35</v>
      </c>
      <c r="O1807">
        <v>0.65030397016028696</v>
      </c>
      <c r="P1807" t="s">
        <v>36</v>
      </c>
    </row>
    <row r="1808" spans="1:16">
      <c r="A1808">
        <v>1807</v>
      </c>
      <c r="B1808" t="s">
        <v>1868</v>
      </c>
      <c r="C1808">
        <v>115</v>
      </c>
      <c r="D1808">
        <v>84</v>
      </c>
      <c r="E1808">
        <v>84.745305978541595</v>
      </c>
      <c r="F1808">
        <v>1.3658058827703099</v>
      </c>
      <c r="G1808">
        <v>5640.5465217391302</v>
      </c>
      <c r="H1808">
        <v>503.89274074098302</v>
      </c>
      <c r="I1808">
        <v>0.53225897053312798</v>
      </c>
      <c r="J1808">
        <v>0.27916106464907098</v>
      </c>
      <c r="K1808">
        <v>0.706164753167972</v>
      </c>
      <c r="L1808" t="s">
        <v>33</v>
      </c>
      <c r="M1808" t="s">
        <v>34</v>
      </c>
      <c r="N1808" t="s">
        <v>35</v>
      </c>
      <c r="O1808">
        <v>0.69364327208485999</v>
      </c>
      <c r="P1808" t="s">
        <v>36</v>
      </c>
    </row>
    <row r="1809" spans="1:16">
      <c r="A1809">
        <v>1808</v>
      </c>
      <c r="B1809" t="s">
        <v>1869</v>
      </c>
      <c r="C1809">
        <v>81</v>
      </c>
      <c r="D1809">
        <v>118</v>
      </c>
      <c r="E1809">
        <v>84.768750053598296</v>
      </c>
      <c r="F1809">
        <v>0.68831168923082597</v>
      </c>
      <c r="G1809">
        <v>5643.6677727788301</v>
      </c>
      <c r="H1809">
        <v>497.91301552658501</v>
      </c>
      <c r="I1809">
        <v>0.87403967261785698</v>
      </c>
      <c r="J1809">
        <v>0.28606475037301599</v>
      </c>
      <c r="K1809">
        <v>0.75808576904647795</v>
      </c>
      <c r="L1809" t="s">
        <v>72</v>
      </c>
      <c r="M1809" t="s">
        <v>34</v>
      </c>
      <c r="N1809" t="s">
        <v>35</v>
      </c>
      <c r="O1809">
        <v>0.84560049653095204</v>
      </c>
      <c r="P1809" t="s">
        <v>36</v>
      </c>
    </row>
    <row r="1810" spans="1:16">
      <c r="A1810">
        <v>1809</v>
      </c>
      <c r="B1810" t="s">
        <v>1870</v>
      </c>
      <c r="C1810">
        <v>128</v>
      </c>
      <c r="D1810">
        <v>91</v>
      </c>
      <c r="E1810">
        <v>84.861346582477694</v>
      </c>
      <c r="F1810">
        <v>1.4052908015713901</v>
      </c>
      <c r="G1810">
        <v>5656.0041459357299</v>
      </c>
      <c r="H1810">
        <v>580.036086439879</v>
      </c>
      <c r="I1810">
        <v>0.55004809783993103</v>
      </c>
      <c r="J1810">
        <v>0.21125624487387501</v>
      </c>
      <c r="K1810">
        <v>0.63929441411171795</v>
      </c>
      <c r="L1810" t="s">
        <v>41</v>
      </c>
      <c r="M1810" t="s">
        <v>34</v>
      </c>
      <c r="N1810" t="s">
        <v>35</v>
      </c>
      <c r="O1810">
        <v>0.66786382710832204</v>
      </c>
      <c r="P1810" t="s">
        <v>36</v>
      </c>
    </row>
    <row r="1811" spans="1:16">
      <c r="A1811">
        <v>1810</v>
      </c>
      <c r="B1811" t="s">
        <v>1871</v>
      </c>
      <c r="C1811">
        <v>68</v>
      </c>
      <c r="D1811">
        <v>143</v>
      </c>
      <c r="E1811">
        <v>84.909278569342206</v>
      </c>
      <c r="F1811">
        <v>0.47672477648853701</v>
      </c>
      <c r="G1811">
        <v>5662.3952790170097</v>
      </c>
      <c r="H1811">
        <v>546.34381881081504</v>
      </c>
      <c r="I1811">
        <v>0.62747016248605403</v>
      </c>
      <c r="J1811">
        <v>0.23838448112218399</v>
      </c>
      <c r="K1811">
        <v>0.75025108804820895</v>
      </c>
      <c r="L1811" t="s">
        <v>33</v>
      </c>
      <c r="M1811" t="s">
        <v>34</v>
      </c>
      <c r="N1811" t="s">
        <v>35</v>
      </c>
      <c r="O1811">
        <v>0.64154227134524699</v>
      </c>
      <c r="P1811" t="s">
        <v>36</v>
      </c>
    </row>
    <row r="1812" spans="1:16">
      <c r="A1812">
        <v>1811</v>
      </c>
      <c r="B1812" t="s">
        <v>1872</v>
      </c>
      <c r="C1812">
        <v>103</v>
      </c>
      <c r="D1812">
        <v>122</v>
      </c>
      <c r="E1812">
        <v>85.116301381308304</v>
      </c>
      <c r="F1812">
        <v>0.84375</v>
      </c>
      <c r="G1812">
        <v>5690.0406453686201</v>
      </c>
      <c r="H1812">
        <v>992.687018588211</v>
      </c>
      <c r="I1812">
        <v>0.68241086790667205</v>
      </c>
      <c r="J1812">
        <v>7.2560546905901593E-2</v>
      </c>
      <c r="K1812">
        <v>0.601725818113231</v>
      </c>
      <c r="L1812" t="s">
        <v>74</v>
      </c>
      <c r="M1812" t="s">
        <v>34</v>
      </c>
      <c r="N1812" t="s">
        <v>35</v>
      </c>
      <c r="O1812">
        <v>0.63994231480427999</v>
      </c>
      <c r="P1812" t="s">
        <v>36</v>
      </c>
    </row>
    <row r="1813" spans="1:16">
      <c r="A1813">
        <v>1812</v>
      </c>
      <c r="B1813" t="s">
        <v>1873</v>
      </c>
      <c r="C1813">
        <v>103</v>
      </c>
      <c r="D1813">
        <v>91</v>
      </c>
      <c r="E1813">
        <v>85.313949571847999</v>
      </c>
      <c r="F1813">
        <v>1.13855421686747</v>
      </c>
      <c r="G1813">
        <v>5716.4969637050999</v>
      </c>
      <c r="H1813">
        <v>418.11867807813297</v>
      </c>
      <c r="I1813">
        <v>0.62131797888732598</v>
      </c>
      <c r="J1813">
        <v>0.41090431683489398</v>
      </c>
      <c r="K1813">
        <v>0.79198154973951396</v>
      </c>
      <c r="L1813" t="s">
        <v>38</v>
      </c>
      <c r="M1813" t="s">
        <v>34</v>
      </c>
      <c r="N1813" t="s">
        <v>35</v>
      </c>
      <c r="O1813">
        <v>0.83672239629223499</v>
      </c>
      <c r="P1813" t="s">
        <v>36</v>
      </c>
    </row>
    <row r="1814" spans="1:16">
      <c r="A1814">
        <v>1813</v>
      </c>
      <c r="B1814" t="s">
        <v>1874</v>
      </c>
      <c r="C1814">
        <v>119</v>
      </c>
      <c r="D1814">
        <v>88</v>
      </c>
      <c r="E1814">
        <v>85.326148765245506</v>
      </c>
      <c r="F1814">
        <v>1.35801503658231</v>
      </c>
      <c r="G1814">
        <v>5718.1319047259003</v>
      </c>
      <c r="H1814">
        <v>572.80153484033497</v>
      </c>
      <c r="I1814">
        <v>0.67120285999453599</v>
      </c>
      <c r="J1814">
        <v>0.21900583570913701</v>
      </c>
      <c r="K1814">
        <v>0.76031620553359702</v>
      </c>
      <c r="L1814" t="s">
        <v>38</v>
      </c>
      <c r="M1814" t="s">
        <v>34</v>
      </c>
      <c r="N1814" t="s">
        <v>35</v>
      </c>
      <c r="O1814">
        <v>0.72005183062094602</v>
      </c>
      <c r="P1814" t="s">
        <v>36</v>
      </c>
    </row>
    <row r="1815" spans="1:16">
      <c r="A1815">
        <v>1814</v>
      </c>
      <c r="B1815" t="s">
        <v>1875</v>
      </c>
      <c r="C1815">
        <v>93</v>
      </c>
      <c r="D1815">
        <v>107</v>
      </c>
      <c r="E1815">
        <v>85.498968126527501</v>
      </c>
      <c r="F1815">
        <v>0.86294416243654803</v>
      </c>
      <c r="G1815">
        <v>5741.3183410207903</v>
      </c>
      <c r="H1815">
        <v>680.11581638543498</v>
      </c>
      <c r="I1815">
        <v>0.69147513201545197</v>
      </c>
      <c r="J1815">
        <v>0.15597526878721299</v>
      </c>
      <c r="K1815">
        <v>0.69885839379082004</v>
      </c>
      <c r="L1815" t="s">
        <v>43</v>
      </c>
      <c r="M1815" t="s">
        <v>34</v>
      </c>
      <c r="N1815" t="s">
        <v>35</v>
      </c>
      <c r="O1815">
        <v>0.68279327067215301</v>
      </c>
      <c r="P1815" t="s">
        <v>36</v>
      </c>
    </row>
    <row r="1816" spans="1:16">
      <c r="A1816">
        <v>1815</v>
      </c>
      <c r="B1816" t="s">
        <v>1876</v>
      </c>
      <c r="C1816">
        <v>68</v>
      </c>
      <c r="D1816">
        <v>181</v>
      </c>
      <c r="E1816">
        <v>85.964725565170596</v>
      </c>
      <c r="F1816">
        <v>0.37349399860685401</v>
      </c>
      <c r="G1816">
        <v>5804.0406238185296</v>
      </c>
      <c r="H1816">
        <v>1000.77562792011</v>
      </c>
      <c r="I1816">
        <v>0.75591969275161397</v>
      </c>
      <c r="J1816">
        <v>7.2822715067602198E-2</v>
      </c>
      <c r="K1816">
        <v>0.54273046934719504</v>
      </c>
      <c r="L1816" t="s">
        <v>74</v>
      </c>
      <c r="M1816" t="s">
        <v>34</v>
      </c>
      <c r="N1816" t="s">
        <v>35</v>
      </c>
      <c r="O1816">
        <v>0.66056056197033797</v>
      </c>
      <c r="P1816" t="s">
        <v>36</v>
      </c>
    </row>
    <row r="1817" spans="1:16">
      <c r="A1817">
        <v>1816</v>
      </c>
      <c r="B1817" t="s">
        <v>1877</v>
      </c>
      <c r="C1817">
        <v>125</v>
      </c>
      <c r="D1817">
        <v>77</v>
      </c>
      <c r="E1817">
        <v>86.130771009792596</v>
      </c>
      <c r="F1817">
        <v>1.6248578671206699</v>
      </c>
      <c r="G1817">
        <v>5826.4839051039698</v>
      </c>
      <c r="H1817">
        <v>521.98007542599805</v>
      </c>
      <c r="I1817">
        <v>0.66517533666180995</v>
      </c>
      <c r="J1817">
        <v>0.26872530441092202</v>
      </c>
      <c r="K1817">
        <v>0.76852650564617297</v>
      </c>
      <c r="L1817" t="s">
        <v>33</v>
      </c>
      <c r="M1817" t="s">
        <v>34</v>
      </c>
      <c r="N1817" t="s">
        <v>35</v>
      </c>
      <c r="O1817">
        <v>0.69310027067530799</v>
      </c>
      <c r="P1817" t="s">
        <v>36</v>
      </c>
    </row>
    <row r="1818" spans="1:16">
      <c r="A1818">
        <v>1817</v>
      </c>
      <c r="B1818" t="s">
        <v>1878</v>
      </c>
      <c r="C1818">
        <v>97</v>
      </c>
      <c r="D1818">
        <v>135</v>
      </c>
      <c r="E1818">
        <v>86.311846163525601</v>
      </c>
      <c r="F1818">
        <v>0.72084643830060502</v>
      </c>
      <c r="G1818">
        <v>5851.0080204158803</v>
      </c>
      <c r="H1818">
        <v>977.89530196231397</v>
      </c>
      <c r="I1818">
        <v>0.63599186527345697</v>
      </c>
      <c r="J1818">
        <v>7.6887517360375801E-2</v>
      </c>
      <c r="K1818">
        <v>0.57806167400881103</v>
      </c>
      <c r="L1818" t="s">
        <v>33</v>
      </c>
      <c r="M1818" t="s">
        <v>34</v>
      </c>
      <c r="N1818" t="s">
        <v>35</v>
      </c>
      <c r="O1818">
        <v>0.71753035524762998</v>
      </c>
      <c r="P1818" t="s">
        <v>36</v>
      </c>
    </row>
    <row r="1819" spans="1:16">
      <c r="A1819">
        <v>1818</v>
      </c>
      <c r="B1819" t="s">
        <v>1879</v>
      </c>
      <c r="C1819">
        <v>148</v>
      </c>
      <c r="D1819">
        <v>77</v>
      </c>
      <c r="E1819">
        <v>86.339248664124995</v>
      </c>
      <c r="F1819">
        <v>1.9140973019615</v>
      </c>
      <c r="G1819">
        <v>5854.72379546314</v>
      </c>
      <c r="H1819">
        <v>695.21751173942005</v>
      </c>
      <c r="I1819">
        <v>0.62689384964677897</v>
      </c>
      <c r="J1819">
        <v>0.15222110476124601</v>
      </c>
      <c r="K1819">
        <v>0.69100956056486296</v>
      </c>
      <c r="L1819" t="s">
        <v>38</v>
      </c>
      <c r="M1819" t="s">
        <v>34</v>
      </c>
      <c r="N1819" t="s">
        <v>35</v>
      </c>
      <c r="O1819">
        <v>0.75122750619420697</v>
      </c>
      <c r="P1819" t="s">
        <v>36</v>
      </c>
    </row>
    <row r="1820" spans="1:16">
      <c r="A1820">
        <v>1819</v>
      </c>
      <c r="B1820" t="s">
        <v>1880</v>
      </c>
      <c r="C1820">
        <v>118</v>
      </c>
      <c r="D1820">
        <v>147</v>
      </c>
      <c r="E1820">
        <v>86.671769868374398</v>
      </c>
      <c r="F1820">
        <v>0.80000006781685595</v>
      </c>
      <c r="G1820">
        <v>5899.9076200378104</v>
      </c>
      <c r="H1820">
        <v>1025.3225673844499</v>
      </c>
      <c r="I1820">
        <v>0.58105133372418205</v>
      </c>
      <c r="J1820">
        <v>7.05235300845765E-2</v>
      </c>
      <c r="K1820">
        <v>0.46017853002550402</v>
      </c>
      <c r="L1820" t="s">
        <v>331</v>
      </c>
      <c r="M1820" t="s">
        <v>34</v>
      </c>
      <c r="N1820" t="s">
        <v>35</v>
      </c>
      <c r="O1820">
        <v>0.750525611515652</v>
      </c>
      <c r="P1820" t="s">
        <v>36</v>
      </c>
    </row>
    <row r="1821" spans="1:16">
      <c r="A1821">
        <v>1820</v>
      </c>
      <c r="B1821" t="s">
        <v>1881</v>
      </c>
      <c r="C1821">
        <v>151</v>
      </c>
      <c r="D1821">
        <v>93</v>
      </c>
      <c r="E1821">
        <v>86.914882798883696</v>
      </c>
      <c r="F1821">
        <v>1.6162043428061601</v>
      </c>
      <c r="G1821">
        <v>5933.0523334593599</v>
      </c>
      <c r="H1821">
        <v>780.43581638543503</v>
      </c>
      <c r="I1821">
        <v>0.60671780352447302</v>
      </c>
      <c r="J1821">
        <v>0.122409087023058</v>
      </c>
      <c r="K1821">
        <v>0.57491394581827104</v>
      </c>
      <c r="L1821" t="s">
        <v>33</v>
      </c>
      <c r="M1821" t="s">
        <v>34</v>
      </c>
      <c r="N1821" t="s">
        <v>35</v>
      </c>
      <c r="O1821">
        <v>0.68236880081297702</v>
      </c>
      <c r="P1821" t="s">
        <v>36</v>
      </c>
    </row>
    <row r="1822" spans="1:16">
      <c r="A1822">
        <v>1821</v>
      </c>
      <c r="B1822" t="s">
        <v>1882</v>
      </c>
      <c r="C1822">
        <v>103</v>
      </c>
      <c r="D1822">
        <v>115</v>
      </c>
      <c r="E1822">
        <v>86.975826829170103</v>
      </c>
      <c r="F1822">
        <v>0.89182433123407001</v>
      </c>
      <c r="G1822">
        <v>5941.3756695652201</v>
      </c>
      <c r="H1822">
        <v>567.65383042107499</v>
      </c>
      <c r="I1822">
        <v>0.633481654090716</v>
      </c>
      <c r="J1822">
        <v>0.23170197301943601</v>
      </c>
      <c r="K1822">
        <v>0.640989047993201</v>
      </c>
      <c r="L1822" t="s">
        <v>33</v>
      </c>
      <c r="M1822" t="s">
        <v>34</v>
      </c>
      <c r="N1822" t="s">
        <v>35</v>
      </c>
      <c r="O1822">
        <v>0.77530086973412404</v>
      </c>
      <c r="P1822" t="s">
        <v>36</v>
      </c>
    </row>
    <row r="1823" spans="1:16">
      <c r="A1823">
        <v>1822</v>
      </c>
      <c r="B1823" t="s">
        <v>1883</v>
      </c>
      <c r="C1823">
        <v>94</v>
      </c>
      <c r="D1823">
        <v>109</v>
      </c>
      <c r="E1823">
        <v>87.014982594426101</v>
      </c>
      <c r="F1823">
        <v>0.85774111030068301</v>
      </c>
      <c r="G1823">
        <v>5946.7263856332702</v>
      </c>
      <c r="H1823">
        <v>523.38989117518702</v>
      </c>
      <c r="I1823">
        <v>0.74447759541909597</v>
      </c>
      <c r="J1823">
        <v>0.27279547361349599</v>
      </c>
      <c r="K1823">
        <v>0.76656320649883103</v>
      </c>
      <c r="L1823" t="s">
        <v>298</v>
      </c>
      <c r="M1823" t="s">
        <v>34</v>
      </c>
      <c r="N1823" t="s">
        <v>35</v>
      </c>
      <c r="O1823">
        <v>0.662438639265859</v>
      </c>
      <c r="P1823" t="s">
        <v>36</v>
      </c>
    </row>
    <row r="1824" spans="1:16">
      <c r="A1824">
        <v>1823</v>
      </c>
      <c r="B1824" t="s">
        <v>1884</v>
      </c>
      <c r="C1824">
        <v>230</v>
      </c>
      <c r="D1824">
        <v>111</v>
      </c>
      <c r="E1824">
        <v>87.057381466515096</v>
      </c>
      <c r="F1824">
        <v>2.0755789559066402</v>
      </c>
      <c r="G1824">
        <v>5952.5229947069902</v>
      </c>
      <c r="H1824">
        <v>1012.06583292619</v>
      </c>
      <c r="I1824">
        <v>0.61653541093017705</v>
      </c>
      <c r="J1824">
        <v>7.3028674637738503E-2</v>
      </c>
      <c r="K1824">
        <v>0.32295497064705497</v>
      </c>
      <c r="L1824" t="s">
        <v>38</v>
      </c>
      <c r="M1824" t="s">
        <v>34</v>
      </c>
      <c r="N1824" t="s">
        <v>35</v>
      </c>
      <c r="O1824">
        <v>0.81156224190694004</v>
      </c>
      <c r="P1824" t="s">
        <v>36</v>
      </c>
    </row>
    <row r="1825" spans="1:16">
      <c r="A1825">
        <v>1824</v>
      </c>
      <c r="B1825" t="s">
        <v>1885</v>
      </c>
      <c r="C1825">
        <v>136</v>
      </c>
      <c r="D1825">
        <v>78</v>
      </c>
      <c r="E1825">
        <v>87.078029848640597</v>
      </c>
      <c r="F1825">
        <v>1.74590760554667</v>
      </c>
      <c r="G1825">
        <v>5955.3469837429102</v>
      </c>
      <c r="H1825">
        <v>705.91207300061797</v>
      </c>
      <c r="I1825">
        <v>0.66408637731600495</v>
      </c>
      <c r="J1825">
        <v>0.15018125018047199</v>
      </c>
      <c r="K1825">
        <v>0.709343908225047</v>
      </c>
      <c r="L1825" t="s">
        <v>33</v>
      </c>
      <c r="M1825" t="s">
        <v>34</v>
      </c>
      <c r="N1825" t="s">
        <v>35</v>
      </c>
      <c r="O1825">
        <v>0.69877826983852698</v>
      </c>
      <c r="P1825" t="s">
        <v>36</v>
      </c>
    </row>
    <row r="1826" spans="1:16">
      <c r="A1826">
        <v>1825</v>
      </c>
      <c r="B1826" t="s">
        <v>1886</v>
      </c>
      <c r="C1826">
        <v>93</v>
      </c>
      <c r="D1826">
        <v>107</v>
      </c>
      <c r="E1826">
        <v>87.335181011528803</v>
      </c>
      <c r="F1826">
        <v>0.87244897959183698</v>
      </c>
      <c r="G1826">
        <v>5990.57253119093</v>
      </c>
      <c r="H1826">
        <v>554.58352450256803</v>
      </c>
      <c r="I1826">
        <v>0.75529721436310304</v>
      </c>
      <c r="J1826">
        <v>0.24476215477080501</v>
      </c>
      <c r="K1826">
        <v>0.76654621529098499</v>
      </c>
      <c r="L1826" t="s">
        <v>33</v>
      </c>
      <c r="M1826" t="s">
        <v>34</v>
      </c>
      <c r="N1826" t="s">
        <v>35</v>
      </c>
      <c r="O1826">
        <v>0.73851522776460299</v>
      </c>
      <c r="P1826" t="s">
        <v>36</v>
      </c>
    </row>
    <row r="1827" spans="1:16">
      <c r="A1827">
        <v>1826</v>
      </c>
      <c r="B1827" t="s">
        <v>1887</v>
      </c>
      <c r="C1827">
        <v>120</v>
      </c>
      <c r="D1827">
        <v>142</v>
      </c>
      <c r="E1827">
        <v>87.374175736352498</v>
      </c>
      <c r="F1827">
        <v>0.84632067117216603</v>
      </c>
      <c r="G1827">
        <v>5995.9232472589802</v>
      </c>
      <c r="H1827">
        <v>965.47154398534599</v>
      </c>
      <c r="I1827">
        <v>0.54734857235508205</v>
      </c>
      <c r="J1827">
        <v>8.0832679031469706E-2</v>
      </c>
      <c r="K1827">
        <v>0.51731832112950604</v>
      </c>
      <c r="L1827" t="s">
        <v>33</v>
      </c>
      <c r="M1827" t="s">
        <v>34</v>
      </c>
      <c r="N1827" t="s">
        <v>35</v>
      </c>
      <c r="O1827">
        <v>0.67610187918781095</v>
      </c>
      <c r="P1827" t="s">
        <v>36</v>
      </c>
    </row>
    <row r="1828" spans="1:16">
      <c r="A1828">
        <v>1827</v>
      </c>
      <c r="B1828" t="s">
        <v>1888</v>
      </c>
      <c r="C1828">
        <v>95</v>
      </c>
      <c r="D1828">
        <v>90</v>
      </c>
      <c r="E1828">
        <v>87.585776568055607</v>
      </c>
      <c r="F1828">
        <v>1.05555555555556</v>
      </c>
      <c r="G1828">
        <v>6025</v>
      </c>
      <c r="H1828">
        <v>357.98989534378097</v>
      </c>
      <c r="I1828">
        <v>0.60726480485010403</v>
      </c>
      <c r="J1828">
        <v>0.59077944774990898</v>
      </c>
      <c r="K1828">
        <v>0.86225402504472304</v>
      </c>
      <c r="L1828" t="s">
        <v>33</v>
      </c>
      <c r="M1828" t="s">
        <v>34</v>
      </c>
      <c r="N1828" t="s">
        <v>35</v>
      </c>
      <c r="O1828">
        <v>0.73123472185798999</v>
      </c>
      <c r="P1828" t="s">
        <v>36</v>
      </c>
    </row>
    <row r="1829" spans="1:16">
      <c r="A1829">
        <v>1828</v>
      </c>
      <c r="B1829" t="s">
        <v>1889</v>
      </c>
      <c r="C1829">
        <v>152</v>
      </c>
      <c r="D1829">
        <v>135</v>
      </c>
      <c r="E1829">
        <v>87.609939682026507</v>
      </c>
      <c r="F1829">
        <v>1.1255060728744899</v>
      </c>
      <c r="G1829">
        <v>6028.32480567108</v>
      </c>
      <c r="H1829">
        <v>1382.98972962825</v>
      </c>
      <c r="I1829">
        <v>0.58723413857390006</v>
      </c>
      <c r="J1829">
        <v>3.9606694464487398E-2</v>
      </c>
      <c r="K1829">
        <v>0.35749605563537301</v>
      </c>
      <c r="L1829" t="s">
        <v>49</v>
      </c>
      <c r="M1829" t="s">
        <v>34</v>
      </c>
      <c r="N1829" t="s">
        <v>35</v>
      </c>
      <c r="O1829">
        <v>0.81955621663917799</v>
      </c>
      <c r="P1829" t="s">
        <v>36</v>
      </c>
    </row>
    <row r="1830" spans="1:16">
      <c r="A1830">
        <v>1829</v>
      </c>
      <c r="B1830" t="s">
        <v>1890</v>
      </c>
      <c r="C1830">
        <v>79</v>
      </c>
      <c r="D1830">
        <v>124</v>
      </c>
      <c r="E1830">
        <v>87.634776870141494</v>
      </c>
      <c r="F1830">
        <v>0.63974632758265204</v>
      </c>
      <c r="G1830">
        <v>6031.7433187145598</v>
      </c>
      <c r="H1830">
        <v>571.446516291992</v>
      </c>
      <c r="I1830">
        <v>0.73957604031254598</v>
      </c>
      <c r="J1830">
        <v>0.23211410748080399</v>
      </c>
      <c r="K1830">
        <v>0.75509824352485899</v>
      </c>
      <c r="L1830" t="s">
        <v>38</v>
      </c>
      <c r="M1830" t="s">
        <v>34</v>
      </c>
      <c r="N1830" t="s">
        <v>35</v>
      </c>
      <c r="O1830">
        <v>0.708895571005136</v>
      </c>
      <c r="P1830" t="s">
        <v>36</v>
      </c>
    </row>
    <row r="1831" spans="1:16">
      <c r="A1831">
        <v>1830</v>
      </c>
      <c r="B1831" t="s">
        <v>1891</v>
      </c>
      <c r="C1831">
        <v>101</v>
      </c>
      <c r="D1831">
        <v>147</v>
      </c>
      <c r="E1831">
        <v>87.672559090634493</v>
      </c>
      <c r="F1831">
        <v>0.69144981412639395</v>
      </c>
      <c r="G1831">
        <v>6036.94540378072</v>
      </c>
      <c r="H1831">
        <v>1022.03473533371</v>
      </c>
      <c r="I1831">
        <v>0.69346542169192604</v>
      </c>
      <c r="J1831">
        <v>7.2626614497038999E-2</v>
      </c>
      <c r="K1831">
        <v>0.503939254829464</v>
      </c>
      <c r="L1831" t="s">
        <v>33</v>
      </c>
      <c r="M1831" t="s">
        <v>34</v>
      </c>
      <c r="N1831" t="s">
        <v>35</v>
      </c>
      <c r="O1831">
        <v>0.69910478304954904</v>
      </c>
      <c r="P1831" t="s">
        <v>36</v>
      </c>
    </row>
    <row r="1832" spans="1:16">
      <c r="A1832">
        <v>1831</v>
      </c>
      <c r="B1832" t="s">
        <v>1892</v>
      </c>
      <c r="C1832">
        <v>142</v>
      </c>
      <c r="D1832">
        <v>147</v>
      </c>
      <c r="E1832">
        <v>87.807362881186407</v>
      </c>
      <c r="F1832">
        <v>0.96654275092936803</v>
      </c>
      <c r="G1832">
        <v>6055.5242790170096</v>
      </c>
      <c r="H1832">
        <v>1102.6079126065699</v>
      </c>
      <c r="I1832">
        <v>0.50115269413683905</v>
      </c>
      <c r="J1832">
        <v>6.2592082935407606E-2</v>
      </c>
      <c r="K1832">
        <v>0.44682064442543501</v>
      </c>
      <c r="L1832" t="s">
        <v>43</v>
      </c>
      <c r="M1832" t="s">
        <v>34</v>
      </c>
      <c r="N1832" t="s">
        <v>35</v>
      </c>
      <c r="O1832">
        <v>0.77920910727165804</v>
      </c>
      <c r="P1832" t="s">
        <v>36</v>
      </c>
    </row>
    <row r="1833" spans="1:16">
      <c r="A1833">
        <v>1832</v>
      </c>
      <c r="B1833" t="s">
        <v>1893</v>
      </c>
      <c r="C1833">
        <v>117</v>
      </c>
      <c r="D1833">
        <v>81</v>
      </c>
      <c r="E1833">
        <v>88.035518198137495</v>
      </c>
      <c r="F1833">
        <v>1.4527027027027</v>
      </c>
      <c r="G1833">
        <v>6087.0340514177697</v>
      </c>
      <c r="H1833">
        <v>473.64395507066098</v>
      </c>
      <c r="I1833">
        <v>0.73647683331103797</v>
      </c>
      <c r="J1833">
        <v>0.34096641031255298</v>
      </c>
      <c r="K1833">
        <v>0.77542364858468205</v>
      </c>
      <c r="L1833" t="s">
        <v>49</v>
      </c>
      <c r="M1833" t="s">
        <v>34</v>
      </c>
      <c r="N1833" t="s">
        <v>35</v>
      </c>
      <c r="O1833">
        <v>0.74432777558069096</v>
      </c>
      <c r="P1833" t="s">
        <v>36</v>
      </c>
    </row>
    <row r="1834" spans="1:16">
      <c r="A1834">
        <v>1833</v>
      </c>
      <c r="B1834" t="s">
        <v>1894</v>
      </c>
      <c r="C1834">
        <v>88</v>
      </c>
      <c r="D1834">
        <v>97</v>
      </c>
      <c r="E1834">
        <v>88.253434872860396</v>
      </c>
      <c r="F1834">
        <v>0.90707337129140597</v>
      </c>
      <c r="G1834">
        <v>6117.2061448015102</v>
      </c>
      <c r="H1834">
        <v>440.11997204832397</v>
      </c>
      <c r="I1834">
        <v>0.68918283455928997</v>
      </c>
      <c r="J1834">
        <v>0.39684492131094301</v>
      </c>
      <c r="K1834">
        <v>0.83886024091474198</v>
      </c>
      <c r="L1834" t="s">
        <v>49</v>
      </c>
      <c r="M1834" t="s">
        <v>34</v>
      </c>
      <c r="N1834" t="s">
        <v>35</v>
      </c>
      <c r="O1834">
        <v>0.64402875059949305</v>
      </c>
      <c r="P1834" t="s">
        <v>36</v>
      </c>
    </row>
    <row r="1835" spans="1:16">
      <c r="A1835">
        <v>1834</v>
      </c>
      <c r="B1835" t="s">
        <v>1895</v>
      </c>
      <c r="C1835">
        <v>78</v>
      </c>
      <c r="D1835">
        <v>128</v>
      </c>
      <c r="E1835">
        <v>88.283450131920404</v>
      </c>
      <c r="F1835">
        <v>0.60992240006105403</v>
      </c>
      <c r="G1835">
        <v>6121.3678128544398</v>
      </c>
      <c r="H1835">
        <v>520.96713532541105</v>
      </c>
      <c r="I1835">
        <v>0.65450237867862004</v>
      </c>
      <c r="J1835">
        <v>0.28342469329638398</v>
      </c>
      <c r="K1835">
        <v>0.76071296638344998</v>
      </c>
      <c r="L1835" t="s">
        <v>33</v>
      </c>
      <c r="M1835" t="s">
        <v>34</v>
      </c>
      <c r="N1835" t="s">
        <v>35</v>
      </c>
      <c r="O1835">
        <v>0.66377484817321897</v>
      </c>
      <c r="P1835" t="s">
        <v>36</v>
      </c>
    </row>
    <row r="1836" spans="1:16">
      <c r="A1836">
        <v>1835</v>
      </c>
      <c r="B1836" t="s">
        <v>1896</v>
      </c>
      <c r="C1836">
        <v>73</v>
      </c>
      <c r="D1836">
        <v>156</v>
      </c>
      <c r="E1836">
        <v>88.536031559596395</v>
      </c>
      <c r="F1836">
        <v>0.46341463414634099</v>
      </c>
      <c r="G1836">
        <v>6156.4447293005696</v>
      </c>
      <c r="H1836">
        <v>784.22688602623703</v>
      </c>
      <c r="I1836">
        <v>0.71760944818373495</v>
      </c>
      <c r="J1836">
        <v>0.125792976707856</v>
      </c>
      <c r="K1836">
        <v>0.694342469197888</v>
      </c>
      <c r="L1836" t="s">
        <v>38</v>
      </c>
      <c r="M1836" t="s">
        <v>34</v>
      </c>
      <c r="N1836" t="s">
        <v>35</v>
      </c>
      <c r="O1836">
        <v>0.64814512239893296</v>
      </c>
      <c r="P1836" t="s">
        <v>36</v>
      </c>
    </row>
    <row r="1837" spans="1:16">
      <c r="A1837">
        <v>1836</v>
      </c>
      <c r="B1837" t="s">
        <v>1897</v>
      </c>
      <c r="C1837">
        <v>114</v>
      </c>
      <c r="D1837">
        <v>98</v>
      </c>
      <c r="E1837">
        <v>88.596928433581297</v>
      </c>
      <c r="F1837">
        <v>1.1666666949236899</v>
      </c>
      <c r="G1837">
        <v>6164.9166964083197</v>
      </c>
      <c r="H1837">
        <v>496.77556955150902</v>
      </c>
      <c r="I1837">
        <v>0.44509637585672601</v>
      </c>
      <c r="J1837">
        <v>0.31391828762153201</v>
      </c>
      <c r="K1837">
        <v>0.73116042941000203</v>
      </c>
      <c r="L1837" t="s">
        <v>43</v>
      </c>
      <c r="M1837" t="s">
        <v>34</v>
      </c>
      <c r="N1837" t="s">
        <v>35</v>
      </c>
      <c r="O1837">
        <v>0.70015398048261202</v>
      </c>
      <c r="P1837" t="s">
        <v>36</v>
      </c>
    </row>
    <row r="1838" spans="1:16">
      <c r="A1838">
        <v>1837</v>
      </c>
      <c r="B1838" t="s">
        <v>1898</v>
      </c>
      <c r="C1838">
        <v>112</v>
      </c>
      <c r="D1838">
        <v>113</v>
      </c>
      <c r="E1838">
        <v>88.602268267866805</v>
      </c>
      <c r="F1838">
        <v>0.99516908212560395</v>
      </c>
      <c r="G1838">
        <v>6165.6598514177704</v>
      </c>
      <c r="H1838">
        <v>564.66980732015998</v>
      </c>
      <c r="I1838">
        <v>0.61315097292310605</v>
      </c>
      <c r="J1838">
        <v>0.24299665327270201</v>
      </c>
      <c r="K1838">
        <v>0.66414242487312103</v>
      </c>
      <c r="L1838" t="s">
        <v>41</v>
      </c>
      <c r="M1838" t="s">
        <v>34</v>
      </c>
      <c r="N1838" t="s">
        <v>35</v>
      </c>
      <c r="O1838">
        <v>0.761546263995315</v>
      </c>
      <c r="P1838" t="s">
        <v>36</v>
      </c>
    </row>
    <row r="1839" spans="1:16">
      <c r="A1839">
        <v>1838</v>
      </c>
      <c r="B1839" t="s">
        <v>1899</v>
      </c>
      <c r="C1839">
        <v>132</v>
      </c>
      <c r="D1839">
        <v>127</v>
      </c>
      <c r="E1839">
        <v>88.635368060135093</v>
      </c>
      <c r="F1839">
        <v>1.0386266145012499</v>
      </c>
      <c r="G1839">
        <v>6170.2674124763698</v>
      </c>
      <c r="H1839">
        <v>1457.3711183477501</v>
      </c>
      <c r="I1839">
        <v>0.62415957035912495</v>
      </c>
      <c r="J1839">
        <v>3.6506780376605798E-2</v>
      </c>
      <c r="K1839">
        <v>0.46627131208302403</v>
      </c>
      <c r="L1839" t="s">
        <v>38</v>
      </c>
      <c r="M1839" t="s">
        <v>34</v>
      </c>
      <c r="N1839" t="s">
        <v>35</v>
      </c>
      <c r="O1839">
        <v>0.75442012395383096</v>
      </c>
      <c r="P1839" t="s">
        <v>36</v>
      </c>
    </row>
    <row r="1840" spans="1:16">
      <c r="A1840">
        <v>1839</v>
      </c>
      <c r="B1840" t="s">
        <v>1900</v>
      </c>
      <c r="C1840">
        <v>132</v>
      </c>
      <c r="D1840">
        <v>103</v>
      </c>
      <c r="E1840">
        <v>88.766577854870704</v>
      </c>
      <c r="F1840">
        <v>1.2872340425531901</v>
      </c>
      <c r="G1840">
        <v>6188.5490257088904</v>
      </c>
      <c r="H1840">
        <v>1048.4541818652999</v>
      </c>
      <c r="I1840">
        <v>0.51292310362185001</v>
      </c>
      <c r="J1840">
        <v>7.0745657509599699E-2</v>
      </c>
      <c r="K1840">
        <v>0.516363861846593</v>
      </c>
      <c r="L1840" t="s">
        <v>33</v>
      </c>
      <c r="M1840" t="s">
        <v>34</v>
      </c>
      <c r="N1840" t="s">
        <v>35</v>
      </c>
      <c r="O1840">
        <v>0.70137748118429399</v>
      </c>
      <c r="P1840" t="s">
        <v>36</v>
      </c>
    </row>
    <row r="1841" spans="1:16">
      <c r="A1841">
        <v>1840</v>
      </c>
      <c r="B1841" t="s">
        <v>1901</v>
      </c>
      <c r="C1841">
        <v>104</v>
      </c>
      <c r="D1841">
        <v>96</v>
      </c>
      <c r="E1841">
        <v>88.888013990365295</v>
      </c>
      <c r="F1841">
        <v>1.08798493296049</v>
      </c>
      <c r="G1841">
        <v>6205.4929599243897</v>
      </c>
      <c r="H1841">
        <v>966.03281123648503</v>
      </c>
      <c r="I1841">
        <v>0.56388552659506597</v>
      </c>
      <c r="J1841">
        <v>8.3560762898288093E-2</v>
      </c>
      <c r="K1841">
        <v>0.684633422429202</v>
      </c>
      <c r="L1841" t="s">
        <v>38</v>
      </c>
      <c r="M1841" t="s">
        <v>34</v>
      </c>
      <c r="N1841" t="s">
        <v>35</v>
      </c>
      <c r="O1841">
        <v>0.78482950607938395</v>
      </c>
      <c r="P1841" t="s">
        <v>36</v>
      </c>
    </row>
    <row r="1842" spans="1:16">
      <c r="A1842">
        <v>1841</v>
      </c>
      <c r="B1842" t="s">
        <v>1902</v>
      </c>
      <c r="C1842">
        <v>191</v>
      </c>
      <c r="D1842">
        <v>74</v>
      </c>
      <c r="E1842">
        <v>89.178149422589101</v>
      </c>
      <c r="F1842">
        <v>2.5925925925925899</v>
      </c>
      <c r="G1842">
        <v>6246.0692234404496</v>
      </c>
      <c r="H1842">
        <v>942.55199284346202</v>
      </c>
      <c r="I1842">
        <v>0.85506357140477895</v>
      </c>
      <c r="J1842">
        <v>8.8349892439969394E-2</v>
      </c>
      <c r="K1842">
        <v>0.56698777624868502</v>
      </c>
      <c r="L1842" t="s">
        <v>38</v>
      </c>
      <c r="M1842" t="s">
        <v>34</v>
      </c>
      <c r="N1842" t="s">
        <v>35</v>
      </c>
      <c r="O1842">
        <v>0.73804898186447299</v>
      </c>
      <c r="P1842" t="s">
        <v>36</v>
      </c>
    </row>
    <row r="1843" spans="1:16">
      <c r="A1843">
        <v>1842</v>
      </c>
      <c r="B1843" t="s">
        <v>1903</v>
      </c>
      <c r="C1843">
        <v>88</v>
      </c>
      <c r="D1843">
        <v>112</v>
      </c>
      <c r="E1843">
        <v>89.304323724387004</v>
      </c>
      <c r="F1843">
        <v>0.78155339805825197</v>
      </c>
      <c r="G1843">
        <v>6263.7563126654104</v>
      </c>
      <c r="H1843">
        <v>508.89485803469398</v>
      </c>
      <c r="I1843">
        <v>0.596926699344554</v>
      </c>
      <c r="J1843">
        <v>0.30394051292874003</v>
      </c>
      <c r="K1843">
        <v>0.78267248583898197</v>
      </c>
      <c r="L1843" t="s">
        <v>33</v>
      </c>
      <c r="M1843" t="s">
        <v>34</v>
      </c>
      <c r="N1843" t="s">
        <v>35</v>
      </c>
      <c r="O1843">
        <v>0.670815891327601</v>
      </c>
      <c r="P1843" t="s">
        <v>36</v>
      </c>
    </row>
    <row r="1844" spans="1:16">
      <c r="A1844">
        <v>1843</v>
      </c>
      <c r="B1844" t="s">
        <v>1904</v>
      </c>
      <c r="C1844">
        <v>111</v>
      </c>
      <c r="D1844">
        <v>84</v>
      </c>
      <c r="E1844">
        <v>89.605783594512005</v>
      </c>
      <c r="F1844">
        <v>1.32352958394151</v>
      </c>
      <c r="G1844">
        <v>6306.1161482041598</v>
      </c>
      <c r="H1844">
        <v>415.65603650030903</v>
      </c>
      <c r="I1844">
        <v>0.71879898889003802</v>
      </c>
      <c r="J1844">
        <v>0.45867349577144201</v>
      </c>
      <c r="K1844">
        <v>0.86344580569009699</v>
      </c>
      <c r="L1844" t="s">
        <v>38</v>
      </c>
      <c r="M1844" t="s">
        <v>34</v>
      </c>
      <c r="N1844" t="s">
        <v>35</v>
      </c>
      <c r="O1844">
        <v>0.78561272639615998</v>
      </c>
      <c r="P1844" t="s">
        <v>36</v>
      </c>
    </row>
    <row r="1845" spans="1:16">
      <c r="A1845">
        <v>1844</v>
      </c>
      <c r="B1845" t="s">
        <v>1905</v>
      </c>
      <c r="C1845">
        <v>117</v>
      </c>
      <c r="D1845">
        <v>122</v>
      </c>
      <c r="E1845">
        <v>90.078668406279903</v>
      </c>
      <c r="F1845">
        <v>0.96412555562869395</v>
      </c>
      <c r="G1845">
        <v>6372.8514680529297</v>
      </c>
      <c r="H1845">
        <v>688.41031927803294</v>
      </c>
      <c r="I1845">
        <v>0.59650935593381904</v>
      </c>
      <c r="J1845">
        <v>0.168985296069597</v>
      </c>
      <c r="K1845">
        <v>0.63238547535470901</v>
      </c>
      <c r="L1845" t="s">
        <v>33</v>
      </c>
      <c r="M1845" t="s">
        <v>34</v>
      </c>
      <c r="N1845" t="s">
        <v>35</v>
      </c>
      <c r="O1845">
        <v>0.654609111750036</v>
      </c>
      <c r="P1845" t="s">
        <v>36</v>
      </c>
    </row>
    <row r="1846" spans="1:16">
      <c r="A1846">
        <v>1845</v>
      </c>
      <c r="B1846" t="s">
        <v>1906</v>
      </c>
      <c r="C1846">
        <v>157</v>
      </c>
      <c r="D1846">
        <v>79</v>
      </c>
      <c r="E1846">
        <v>90.107025582450504</v>
      </c>
      <c r="F1846">
        <v>1.99333848773495</v>
      </c>
      <c r="G1846">
        <v>6376.8645051039703</v>
      </c>
      <c r="H1846">
        <v>626.12324478646997</v>
      </c>
      <c r="I1846">
        <v>0.74010772009819004</v>
      </c>
      <c r="J1846">
        <v>0.20440776929347401</v>
      </c>
      <c r="K1846">
        <v>0.68320647154367997</v>
      </c>
      <c r="L1846" t="s">
        <v>38</v>
      </c>
      <c r="M1846" t="s">
        <v>34</v>
      </c>
      <c r="N1846" t="s">
        <v>35</v>
      </c>
      <c r="O1846">
        <v>0.75252642172352402</v>
      </c>
      <c r="P1846" t="s">
        <v>36</v>
      </c>
    </row>
    <row r="1847" spans="1:16">
      <c r="A1847">
        <v>1846</v>
      </c>
      <c r="B1847" t="s">
        <v>1907</v>
      </c>
      <c r="C1847">
        <v>113</v>
      </c>
      <c r="D1847">
        <v>88</v>
      </c>
      <c r="E1847">
        <v>90.3398471123039</v>
      </c>
      <c r="F1847">
        <v>1.2839506172839501</v>
      </c>
      <c r="G1847">
        <v>6409.8605875236299</v>
      </c>
      <c r="H1847">
        <v>437.27764306876998</v>
      </c>
      <c r="I1847">
        <v>0.67753247724718701</v>
      </c>
      <c r="J1847">
        <v>0.42125386725276598</v>
      </c>
      <c r="K1847">
        <v>0.83713797655097399</v>
      </c>
      <c r="L1847" t="s">
        <v>38</v>
      </c>
      <c r="M1847" t="s">
        <v>34</v>
      </c>
      <c r="N1847" t="s">
        <v>35</v>
      </c>
      <c r="O1847">
        <v>0.69603179247285596</v>
      </c>
      <c r="P1847" t="s">
        <v>36</v>
      </c>
    </row>
    <row r="1848" spans="1:16">
      <c r="A1848">
        <v>1847</v>
      </c>
      <c r="B1848" t="s">
        <v>1908</v>
      </c>
      <c r="C1848">
        <v>124</v>
      </c>
      <c r="D1848">
        <v>85</v>
      </c>
      <c r="E1848">
        <v>90.701521536360502</v>
      </c>
      <c r="F1848">
        <v>1.4608240774127701</v>
      </c>
      <c r="G1848">
        <v>6461.2869141776901</v>
      </c>
      <c r="H1848">
        <v>497.93571300776102</v>
      </c>
      <c r="I1848">
        <v>0.62987849128874396</v>
      </c>
      <c r="J1848">
        <v>0.32747815773657002</v>
      </c>
      <c r="K1848">
        <v>0.81298623578695395</v>
      </c>
      <c r="L1848" t="s">
        <v>1038</v>
      </c>
      <c r="M1848" t="s">
        <v>34</v>
      </c>
      <c r="N1848" t="s">
        <v>35</v>
      </c>
      <c r="O1848">
        <v>0.64091082504029995</v>
      </c>
      <c r="P1848" t="s">
        <v>36</v>
      </c>
    </row>
    <row r="1849" spans="1:16">
      <c r="A1849">
        <v>1848</v>
      </c>
      <c r="B1849" t="s">
        <v>1909</v>
      </c>
      <c r="C1849">
        <v>94</v>
      </c>
      <c r="D1849">
        <v>149</v>
      </c>
      <c r="E1849">
        <v>90.919292609817305</v>
      </c>
      <c r="F1849">
        <v>0.63130799101121204</v>
      </c>
      <c r="G1849">
        <v>6492.3507935727803</v>
      </c>
      <c r="H1849">
        <v>902.74219888282903</v>
      </c>
      <c r="I1849">
        <v>0.66946506082227197</v>
      </c>
      <c r="J1849">
        <v>0.100111588678944</v>
      </c>
      <c r="K1849">
        <v>0.58956674315022295</v>
      </c>
      <c r="L1849" t="s">
        <v>38</v>
      </c>
      <c r="M1849" t="s">
        <v>34</v>
      </c>
      <c r="N1849" t="s">
        <v>35</v>
      </c>
      <c r="O1849">
        <v>0.68302727850301803</v>
      </c>
      <c r="P1849" t="s">
        <v>36</v>
      </c>
    </row>
    <row r="1850" spans="1:16">
      <c r="A1850">
        <v>1849</v>
      </c>
      <c r="B1850" t="s">
        <v>1910</v>
      </c>
      <c r="C1850">
        <v>132</v>
      </c>
      <c r="D1850">
        <v>147</v>
      </c>
      <c r="E1850">
        <v>90.985874245935193</v>
      </c>
      <c r="F1850">
        <v>0.89962825278810399</v>
      </c>
      <c r="G1850">
        <v>6501.86317769376</v>
      </c>
      <c r="H1850">
        <v>1057.6293329756199</v>
      </c>
      <c r="I1850">
        <v>0.69843271209765601</v>
      </c>
      <c r="J1850">
        <v>7.3043355457208706E-2</v>
      </c>
      <c r="K1850">
        <v>0.49318481606331499</v>
      </c>
      <c r="L1850" t="s">
        <v>74</v>
      </c>
      <c r="M1850" t="s">
        <v>34</v>
      </c>
      <c r="N1850" t="s">
        <v>35</v>
      </c>
      <c r="O1850">
        <v>0.70523964289062302</v>
      </c>
      <c r="P1850" t="s">
        <v>36</v>
      </c>
    </row>
    <row r="1851" spans="1:16">
      <c r="A1851">
        <v>1850</v>
      </c>
      <c r="B1851" t="s">
        <v>1911</v>
      </c>
      <c r="C1851">
        <v>91</v>
      </c>
      <c r="D1851">
        <v>120</v>
      </c>
      <c r="E1851">
        <v>91.647997827030593</v>
      </c>
      <c r="F1851">
        <v>0.757356176059091</v>
      </c>
      <c r="G1851">
        <v>6596.8383879017001</v>
      </c>
      <c r="H1851">
        <v>791.19847009016098</v>
      </c>
      <c r="I1851">
        <v>0.62281888952023901</v>
      </c>
      <c r="J1851">
        <v>0.13242647870930699</v>
      </c>
      <c r="K1851">
        <v>0.73208306530093803</v>
      </c>
      <c r="L1851" t="s">
        <v>38</v>
      </c>
      <c r="M1851" t="s">
        <v>34</v>
      </c>
      <c r="N1851" t="s">
        <v>35</v>
      </c>
      <c r="O1851">
        <v>0.65607978574525705</v>
      </c>
      <c r="P1851" t="s">
        <v>36</v>
      </c>
    </row>
    <row r="1852" spans="1:16">
      <c r="A1852">
        <v>1851</v>
      </c>
      <c r="B1852" t="s">
        <v>1912</v>
      </c>
      <c r="C1852">
        <v>95</v>
      </c>
      <c r="D1852">
        <v>95</v>
      </c>
      <c r="E1852">
        <v>91.669956884750803</v>
      </c>
      <c r="F1852">
        <v>1</v>
      </c>
      <c r="G1852">
        <v>6600</v>
      </c>
      <c r="H1852">
        <v>397.98989534378097</v>
      </c>
      <c r="I1852">
        <v>0.68182296981750201</v>
      </c>
      <c r="J1852">
        <v>0.52361214094445996</v>
      </c>
      <c r="K1852">
        <v>0.84615384615384603</v>
      </c>
      <c r="L1852" t="s">
        <v>33</v>
      </c>
      <c r="M1852" t="s">
        <v>34</v>
      </c>
      <c r="N1852" t="s">
        <v>35</v>
      </c>
      <c r="O1852">
        <v>0.68054693133053801</v>
      </c>
      <c r="P1852" t="s">
        <v>36</v>
      </c>
    </row>
    <row r="1853" spans="1:16">
      <c r="A1853">
        <v>1852</v>
      </c>
      <c r="B1853" t="s">
        <v>1913</v>
      </c>
      <c r="C1853">
        <v>122</v>
      </c>
      <c r="D1853">
        <v>98</v>
      </c>
      <c r="E1853">
        <v>91.694446041276294</v>
      </c>
      <c r="F1853">
        <v>1.2513966909051299</v>
      </c>
      <c r="G1853">
        <v>6603.5267829867698</v>
      </c>
      <c r="H1853">
        <v>552.85432778679797</v>
      </c>
      <c r="I1853">
        <v>0.63503027167612403</v>
      </c>
      <c r="J1853">
        <v>0.27149659072434701</v>
      </c>
      <c r="K1853">
        <v>0.758873364533871</v>
      </c>
      <c r="L1853" t="s">
        <v>38</v>
      </c>
      <c r="M1853" t="s">
        <v>34</v>
      </c>
      <c r="N1853" t="s">
        <v>35</v>
      </c>
      <c r="O1853">
        <v>0.72610976627365997</v>
      </c>
      <c r="P1853" t="s">
        <v>36</v>
      </c>
    </row>
    <row r="1854" spans="1:16">
      <c r="A1854">
        <v>1853</v>
      </c>
      <c r="B1854" t="s">
        <v>1914</v>
      </c>
      <c r="C1854">
        <v>123</v>
      </c>
      <c r="D1854">
        <v>139</v>
      </c>
      <c r="E1854">
        <v>91.813040276271593</v>
      </c>
      <c r="F1854">
        <v>0.89054724606507896</v>
      </c>
      <c r="G1854">
        <v>6620.6193482041599</v>
      </c>
      <c r="H1854">
        <v>1038.5533719012999</v>
      </c>
      <c r="I1854">
        <v>0.58295930922124695</v>
      </c>
      <c r="J1854">
        <v>7.7134886122616098E-2</v>
      </c>
      <c r="K1854">
        <v>0.525977706404685</v>
      </c>
      <c r="L1854" t="s">
        <v>33</v>
      </c>
      <c r="M1854" t="s">
        <v>34</v>
      </c>
      <c r="N1854" t="s">
        <v>35</v>
      </c>
      <c r="O1854">
        <v>0.68221184338979102</v>
      </c>
      <c r="P1854" t="s">
        <v>36</v>
      </c>
    </row>
    <row r="1855" spans="1:16">
      <c r="A1855">
        <v>1854</v>
      </c>
      <c r="B1855" t="s">
        <v>1915</v>
      </c>
      <c r="C1855">
        <v>132</v>
      </c>
      <c r="D1855">
        <v>74</v>
      </c>
      <c r="E1855">
        <v>91.982930145690901</v>
      </c>
      <c r="F1855">
        <v>1.8</v>
      </c>
      <c r="G1855">
        <v>6645.1434635160704</v>
      </c>
      <c r="H1855">
        <v>491.89957436240201</v>
      </c>
      <c r="I1855">
        <v>0.79657164934878999</v>
      </c>
      <c r="J1855">
        <v>0.34511301032188701</v>
      </c>
      <c r="K1855">
        <v>0.84562425526280904</v>
      </c>
      <c r="L1855" t="s">
        <v>74</v>
      </c>
      <c r="M1855" t="s">
        <v>34</v>
      </c>
      <c r="N1855" t="s">
        <v>35</v>
      </c>
      <c r="O1855">
        <v>0.69084362101158703</v>
      </c>
      <c r="P1855" t="s">
        <v>36</v>
      </c>
    </row>
    <row r="1856" spans="1:16">
      <c r="A1856">
        <v>1855</v>
      </c>
      <c r="B1856" t="s">
        <v>1916</v>
      </c>
      <c r="C1856">
        <v>126</v>
      </c>
      <c r="D1856">
        <v>161</v>
      </c>
      <c r="E1856">
        <v>92.019955343814104</v>
      </c>
      <c r="F1856">
        <v>0.78378378378378399</v>
      </c>
      <c r="G1856">
        <v>6650.4941795841196</v>
      </c>
      <c r="H1856">
        <v>1431.94970044395</v>
      </c>
      <c r="I1856">
        <v>0.64478259781547498</v>
      </c>
      <c r="J1856">
        <v>4.0757567441379497E-2</v>
      </c>
      <c r="K1856">
        <v>0.35025988665184599</v>
      </c>
      <c r="L1856" t="s">
        <v>38</v>
      </c>
      <c r="M1856" t="s">
        <v>34</v>
      </c>
      <c r="N1856" t="s">
        <v>35</v>
      </c>
      <c r="O1856">
        <v>0.72724992075313699</v>
      </c>
      <c r="P1856" t="s">
        <v>36</v>
      </c>
    </row>
    <row r="1857" spans="1:16">
      <c r="A1857">
        <v>1856</v>
      </c>
      <c r="B1857" t="s">
        <v>1917</v>
      </c>
      <c r="C1857">
        <v>107</v>
      </c>
      <c r="D1857">
        <v>87</v>
      </c>
      <c r="E1857">
        <v>92.271537780762799</v>
      </c>
      <c r="F1857">
        <v>1.23125</v>
      </c>
      <c r="G1857">
        <v>6686.90877504726</v>
      </c>
      <c r="H1857">
        <v>582.58334816414401</v>
      </c>
      <c r="I1857">
        <v>0.63152346265060399</v>
      </c>
      <c r="J1857">
        <v>0.24758203494571801</v>
      </c>
      <c r="K1857">
        <v>0.821150230885762</v>
      </c>
      <c r="L1857" t="s">
        <v>288</v>
      </c>
      <c r="M1857" t="s">
        <v>34</v>
      </c>
      <c r="N1857" t="s">
        <v>35</v>
      </c>
      <c r="O1857">
        <v>0.68665099116407702</v>
      </c>
      <c r="P1857" t="s">
        <v>36</v>
      </c>
    </row>
    <row r="1858" spans="1:16">
      <c r="A1858">
        <v>1857</v>
      </c>
      <c r="B1858" t="s">
        <v>1918</v>
      </c>
      <c r="C1858">
        <v>127</v>
      </c>
      <c r="D1858">
        <v>117</v>
      </c>
      <c r="E1858">
        <v>92.378124806804195</v>
      </c>
      <c r="F1858">
        <v>1.08372094211609</v>
      </c>
      <c r="G1858">
        <v>6702.3663992438596</v>
      </c>
      <c r="H1858">
        <v>897.31272245096102</v>
      </c>
      <c r="I1858">
        <v>0.68163663721486201</v>
      </c>
      <c r="J1858">
        <v>0.104604502673633</v>
      </c>
      <c r="K1858">
        <v>0.609205495737696</v>
      </c>
      <c r="L1858" t="s">
        <v>33</v>
      </c>
      <c r="M1858" t="s">
        <v>34</v>
      </c>
      <c r="N1858" t="s">
        <v>35</v>
      </c>
      <c r="O1858">
        <v>0.74656182987637298</v>
      </c>
      <c r="P1858" t="s">
        <v>36</v>
      </c>
    </row>
    <row r="1859" spans="1:16">
      <c r="A1859">
        <v>1858</v>
      </c>
      <c r="B1859" t="s">
        <v>1919</v>
      </c>
      <c r="C1859">
        <v>139</v>
      </c>
      <c r="D1859">
        <v>82</v>
      </c>
      <c r="E1859">
        <v>92.443655739315304</v>
      </c>
      <c r="F1859">
        <v>1.6982888445819699</v>
      </c>
      <c r="G1859">
        <v>6711.8787833648403</v>
      </c>
      <c r="H1859">
        <v>628.67829251911303</v>
      </c>
      <c r="I1859">
        <v>0.71935524786918204</v>
      </c>
      <c r="J1859">
        <v>0.21340128913727899</v>
      </c>
      <c r="K1859">
        <v>0.73997968079179399</v>
      </c>
      <c r="L1859" t="s">
        <v>288</v>
      </c>
      <c r="M1859" t="s">
        <v>34</v>
      </c>
      <c r="N1859" t="s">
        <v>35</v>
      </c>
      <c r="O1859">
        <v>0.65906304865061005</v>
      </c>
      <c r="P1859" t="s">
        <v>36</v>
      </c>
    </row>
    <row r="1860" spans="1:16">
      <c r="A1860">
        <v>1859</v>
      </c>
      <c r="B1860" t="s">
        <v>1920</v>
      </c>
      <c r="C1860">
        <v>142</v>
      </c>
      <c r="D1860">
        <v>156</v>
      </c>
      <c r="E1860">
        <v>93.0232198762412</v>
      </c>
      <c r="F1860">
        <v>0.90592334494773497</v>
      </c>
      <c r="G1860">
        <v>6796.3011924385601</v>
      </c>
      <c r="H1860">
        <v>1010.76561157869</v>
      </c>
      <c r="I1860">
        <v>0.63299323460856205</v>
      </c>
      <c r="J1860">
        <v>8.3595243200428604E-2</v>
      </c>
      <c r="K1860">
        <v>0.41908550165430902</v>
      </c>
      <c r="L1860" t="s">
        <v>41</v>
      </c>
      <c r="M1860" t="s">
        <v>34</v>
      </c>
      <c r="N1860" t="s">
        <v>35</v>
      </c>
      <c r="O1860">
        <v>0.73003082051287704</v>
      </c>
      <c r="P1860" t="s">
        <v>36</v>
      </c>
    </row>
    <row r="1861" spans="1:16">
      <c r="A1861">
        <v>1860</v>
      </c>
      <c r="B1861" t="s">
        <v>1921</v>
      </c>
      <c r="C1861">
        <v>101</v>
      </c>
      <c r="D1861">
        <v>104</v>
      </c>
      <c r="E1861">
        <v>93.075081640961898</v>
      </c>
      <c r="F1861">
        <v>0.96463413487803695</v>
      </c>
      <c r="G1861">
        <v>6803.8813735349704</v>
      </c>
      <c r="H1861">
        <v>512.03225426953804</v>
      </c>
      <c r="I1861">
        <v>0.66348447345961803</v>
      </c>
      <c r="J1861">
        <v>0.32611588874746</v>
      </c>
      <c r="K1861">
        <v>0.76591152456163802</v>
      </c>
      <c r="L1861" t="s">
        <v>38</v>
      </c>
      <c r="M1861" t="s">
        <v>34</v>
      </c>
      <c r="N1861" t="s">
        <v>35</v>
      </c>
      <c r="O1861">
        <v>0.71952809162739295</v>
      </c>
      <c r="P1861" t="s">
        <v>36</v>
      </c>
    </row>
    <row r="1862" spans="1:16">
      <c r="A1862">
        <v>1861</v>
      </c>
      <c r="B1862" t="s">
        <v>1922</v>
      </c>
      <c r="C1862">
        <v>142</v>
      </c>
      <c r="D1862">
        <v>107</v>
      </c>
      <c r="E1862">
        <v>93.214253714490695</v>
      </c>
      <c r="F1862">
        <v>1.3197969543147201</v>
      </c>
      <c r="G1862">
        <v>6824.2438207939504</v>
      </c>
      <c r="H1862">
        <v>1291.6892308305701</v>
      </c>
      <c r="I1862">
        <v>0.61236720549245904</v>
      </c>
      <c r="J1862">
        <v>5.1398248725096997E-2</v>
      </c>
      <c r="K1862">
        <v>0.55800104517336502</v>
      </c>
      <c r="L1862" t="s">
        <v>33</v>
      </c>
      <c r="M1862" t="s">
        <v>34</v>
      </c>
      <c r="N1862" t="s">
        <v>35</v>
      </c>
      <c r="O1862">
        <v>0.66993842432005501</v>
      </c>
      <c r="P1862" t="s">
        <v>36</v>
      </c>
    </row>
    <row r="1863" spans="1:16">
      <c r="A1863">
        <v>1862</v>
      </c>
      <c r="B1863" t="s">
        <v>1923</v>
      </c>
      <c r="C1863">
        <v>145</v>
      </c>
      <c r="D1863">
        <v>95</v>
      </c>
      <c r="E1863">
        <v>93.233538547369704</v>
      </c>
      <c r="F1863">
        <v>1.53693406159081</v>
      </c>
      <c r="G1863">
        <v>6827.0678098298704</v>
      </c>
      <c r="H1863">
        <v>656.78771058238101</v>
      </c>
      <c r="I1863">
        <v>0.63905474765848802</v>
      </c>
      <c r="J1863">
        <v>0.198881343305119</v>
      </c>
      <c r="K1863">
        <v>0.65317179301224304</v>
      </c>
      <c r="L1863" t="s">
        <v>33</v>
      </c>
      <c r="M1863" t="s">
        <v>34</v>
      </c>
      <c r="N1863" t="s">
        <v>35</v>
      </c>
      <c r="O1863">
        <v>0.71166028423521099</v>
      </c>
      <c r="P1863" t="s">
        <v>36</v>
      </c>
    </row>
    <row r="1864" spans="1:16">
      <c r="A1864">
        <v>1863</v>
      </c>
      <c r="B1864" t="s">
        <v>1924</v>
      </c>
      <c r="C1864">
        <v>154</v>
      </c>
      <c r="D1864">
        <v>82</v>
      </c>
      <c r="E1864">
        <v>93.369434262685999</v>
      </c>
      <c r="F1864">
        <v>1.8786602617738699</v>
      </c>
      <c r="G1864">
        <v>6846.9843640831796</v>
      </c>
      <c r="H1864">
        <v>793.43413685622397</v>
      </c>
      <c r="I1864">
        <v>0.70439465173626603</v>
      </c>
      <c r="J1864">
        <v>0.136674482042872</v>
      </c>
      <c r="K1864">
        <v>0.74278850029829602</v>
      </c>
      <c r="L1864" t="s">
        <v>33</v>
      </c>
      <c r="M1864" t="s">
        <v>34</v>
      </c>
      <c r="N1864" t="s">
        <v>35</v>
      </c>
      <c r="O1864">
        <v>0.67800256181758201</v>
      </c>
      <c r="P1864" t="s">
        <v>36</v>
      </c>
    </row>
    <row r="1865" spans="1:16">
      <c r="A1865">
        <v>1864</v>
      </c>
      <c r="B1865" t="s">
        <v>1925</v>
      </c>
      <c r="C1865">
        <v>97</v>
      </c>
      <c r="D1865">
        <v>140</v>
      </c>
      <c r="E1865">
        <v>93.376527856942204</v>
      </c>
      <c r="F1865">
        <v>0.69766924493598204</v>
      </c>
      <c r="G1865">
        <v>6848.0247810964102</v>
      </c>
      <c r="H1865">
        <v>816.38806449185302</v>
      </c>
      <c r="I1865">
        <v>0.77609428368177902</v>
      </c>
      <c r="J1865">
        <v>0.12911654423795299</v>
      </c>
      <c r="K1865">
        <v>0.64395930005031599</v>
      </c>
      <c r="L1865" t="s">
        <v>38</v>
      </c>
      <c r="M1865" t="s">
        <v>34</v>
      </c>
      <c r="N1865" t="s">
        <v>35</v>
      </c>
      <c r="O1865">
        <v>0.75990308039991405</v>
      </c>
      <c r="P1865" t="s">
        <v>36</v>
      </c>
    </row>
    <row r="1866" spans="1:16">
      <c r="A1866">
        <v>1865</v>
      </c>
      <c r="B1866" t="s">
        <v>1926</v>
      </c>
      <c r="C1866">
        <v>130</v>
      </c>
      <c r="D1866">
        <v>121</v>
      </c>
      <c r="E1866">
        <v>93.692154046123804</v>
      </c>
      <c r="F1866">
        <v>1.0757169527066699</v>
      </c>
      <c r="G1866">
        <v>6894.3976536862001</v>
      </c>
      <c r="H1866">
        <v>770.40271453857395</v>
      </c>
      <c r="I1866">
        <v>0.64402749490386302</v>
      </c>
      <c r="J1866">
        <v>0.14597234477941101</v>
      </c>
      <c r="K1866">
        <v>0.59718056002574804</v>
      </c>
      <c r="L1866" t="s">
        <v>33</v>
      </c>
      <c r="M1866" t="s">
        <v>34</v>
      </c>
      <c r="N1866" t="s">
        <v>35</v>
      </c>
      <c r="O1866">
        <v>0.74860312057357403</v>
      </c>
      <c r="P1866" t="s">
        <v>36</v>
      </c>
    </row>
    <row r="1867" spans="1:16">
      <c r="A1867">
        <v>1866</v>
      </c>
      <c r="B1867" t="s">
        <v>1927</v>
      </c>
      <c r="C1867">
        <v>171</v>
      </c>
      <c r="D1867">
        <v>85</v>
      </c>
      <c r="E1867">
        <v>93.8193174741712</v>
      </c>
      <c r="F1867">
        <v>2.0047819305897598</v>
      </c>
      <c r="G1867">
        <v>6913.1251599243897</v>
      </c>
      <c r="H1867">
        <v>845.00395260541302</v>
      </c>
      <c r="I1867">
        <v>0.60159627385001901</v>
      </c>
      <c r="J1867">
        <v>0.12166532004986599</v>
      </c>
      <c r="K1867">
        <v>0.57717221353585002</v>
      </c>
      <c r="L1867" t="s">
        <v>33</v>
      </c>
      <c r="M1867" t="s">
        <v>34</v>
      </c>
      <c r="N1867" t="s">
        <v>35</v>
      </c>
      <c r="O1867">
        <v>0.70227159645800497</v>
      </c>
      <c r="P1867" t="s">
        <v>36</v>
      </c>
    </row>
    <row r="1868" spans="1:16">
      <c r="A1868">
        <v>1867</v>
      </c>
      <c r="B1868" t="s">
        <v>1928</v>
      </c>
      <c r="C1868">
        <v>107</v>
      </c>
      <c r="D1868">
        <v>107</v>
      </c>
      <c r="E1868">
        <v>93.917095832600296</v>
      </c>
      <c r="F1868">
        <v>1</v>
      </c>
      <c r="G1868">
        <v>6927.5423671077497</v>
      </c>
      <c r="H1868">
        <v>947.030451840007</v>
      </c>
      <c r="I1868">
        <v>0.58361800234387495</v>
      </c>
      <c r="J1868">
        <v>9.7064666457306395E-2</v>
      </c>
      <c r="K1868">
        <v>0.65593819046680801</v>
      </c>
      <c r="L1868" t="s">
        <v>38</v>
      </c>
      <c r="M1868" t="s">
        <v>34</v>
      </c>
      <c r="N1868" t="s">
        <v>35</v>
      </c>
      <c r="O1868">
        <v>0.89042244228702205</v>
      </c>
      <c r="P1868" t="s">
        <v>36</v>
      </c>
    </row>
    <row r="1869" spans="1:16">
      <c r="A1869">
        <v>1868</v>
      </c>
      <c r="B1869" t="s">
        <v>1929</v>
      </c>
      <c r="C1869">
        <v>139</v>
      </c>
      <c r="D1869">
        <v>77</v>
      </c>
      <c r="E1869">
        <v>94.025842827923199</v>
      </c>
      <c r="F1869">
        <v>1.8146481777735399</v>
      </c>
      <c r="G1869">
        <v>6943.5945153119101</v>
      </c>
      <c r="H1869">
        <v>463.52395630328601</v>
      </c>
      <c r="I1869">
        <v>0.71751974328142398</v>
      </c>
      <c r="J1869">
        <v>0.40611576255034498</v>
      </c>
      <c r="K1869">
        <v>0.80145822611082496</v>
      </c>
      <c r="L1869" t="s">
        <v>58</v>
      </c>
      <c r="M1869" t="s">
        <v>34</v>
      </c>
      <c r="N1869" t="s">
        <v>35</v>
      </c>
      <c r="O1869">
        <v>0.67499631978825203</v>
      </c>
      <c r="P1869" t="s">
        <v>36</v>
      </c>
    </row>
    <row r="1870" spans="1:16">
      <c r="A1870">
        <v>1869</v>
      </c>
      <c r="B1870" t="s">
        <v>1930</v>
      </c>
      <c r="C1870">
        <v>100</v>
      </c>
      <c r="D1870">
        <v>154</v>
      </c>
      <c r="E1870">
        <v>94.049991750991893</v>
      </c>
      <c r="F1870">
        <v>0.65351795062684903</v>
      </c>
      <c r="G1870">
        <v>6947.1616593572799</v>
      </c>
      <c r="H1870">
        <v>1053.37718824687</v>
      </c>
      <c r="I1870">
        <v>0.66163060666251505</v>
      </c>
      <c r="J1870">
        <v>7.8677300560776903E-2</v>
      </c>
      <c r="K1870">
        <v>0.54764554944990596</v>
      </c>
      <c r="L1870" t="s">
        <v>33</v>
      </c>
      <c r="M1870" t="s">
        <v>34</v>
      </c>
      <c r="N1870" t="s">
        <v>35</v>
      </c>
      <c r="O1870">
        <v>0.67045259250101896</v>
      </c>
      <c r="P1870" t="s">
        <v>36</v>
      </c>
    </row>
    <row r="1871" spans="1:16">
      <c r="A1871">
        <v>1870</v>
      </c>
      <c r="B1871" t="s">
        <v>1931</v>
      </c>
      <c r="C1871">
        <v>91</v>
      </c>
      <c r="D1871">
        <v>133</v>
      </c>
      <c r="E1871">
        <v>94.212835076590594</v>
      </c>
      <c r="F1871">
        <v>0.68013366538281805</v>
      </c>
      <c r="G1871">
        <v>6971.2398816635196</v>
      </c>
      <c r="H1871">
        <v>545.67295715798502</v>
      </c>
      <c r="I1871">
        <v>0.62911188585404898</v>
      </c>
      <c r="J1871">
        <v>0.29420837322978999</v>
      </c>
      <c r="K1871">
        <v>0.80758634939219698</v>
      </c>
      <c r="L1871" t="s">
        <v>38</v>
      </c>
      <c r="M1871" t="s">
        <v>34</v>
      </c>
      <c r="N1871" t="s">
        <v>35</v>
      </c>
      <c r="O1871">
        <v>0.71264585270480396</v>
      </c>
      <c r="P1871" t="s">
        <v>36</v>
      </c>
    </row>
    <row r="1872" spans="1:16">
      <c r="A1872">
        <v>1871</v>
      </c>
      <c r="B1872" t="s">
        <v>1932</v>
      </c>
      <c r="C1872">
        <v>87</v>
      </c>
      <c r="D1872">
        <v>161</v>
      </c>
      <c r="E1872">
        <v>95.365789500597302</v>
      </c>
      <c r="F1872">
        <v>0.53716216982499598</v>
      </c>
      <c r="G1872">
        <v>7142.9086888468801</v>
      </c>
      <c r="H1872">
        <v>892.72077604853598</v>
      </c>
      <c r="I1872">
        <v>0.68861787594427504</v>
      </c>
      <c r="J1872">
        <v>0.112629894723595</v>
      </c>
      <c r="K1872">
        <v>0.57753689371725203</v>
      </c>
      <c r="L1872" t="s">
        <v>49</v>
      </c>
      <c r="M1872" t="s">
        <v>34</v>
      </c>
      <c r="N1872" t="s">
        <v>35</v>
      </c>
      <c r="O1872">
        <v>0.74764259715249104</v>
      </c>
      <c r="P1872" t="s">
        <v>36</v>
      </c>
    </row>
    <row r="1873" spans="1:16">
      <c r="A1873">
        <v>1872</v>
      </c>
      <c r="B1873" t="s">
        <v>1933</v>
      </c>
      <c r="C1873">
        <v>95</v>
      </c>
      <c r="D1873">
        <v>132</v>
      </c>
      <c r="E1873">
        <v>95.402493642629295</v>
      </c>
      <c r="F1873">
        <v>0.71903609791796996</v>
      </c>
      <c r="G1873">
        <v>7148.4080359168202</v>
      </c>
      <c r="H1873">
        <v>673.67339985298099</v>
      </c>
      <c r="I1873">
        <v>0.48098467181722998</v>
      </c>
      <c r="J1873">
        <v>0.19793399914840701</v>
      </c>
      <c r="K1873">
        <v>0.74382529887563997</v>
      </c>
      <c r="L1873" t="s">
        <v>38</v>
      </c>
      <c r="M1873" t="s">
        <v>34</v>
      </c>
      <c r="N1873" t="s">
        <v>35</v>
      </c>
      <c r="O1873">
        <v>0.69471746701344195</v>
      </c>
      <c r="P1873" t="s">
        <v>36</v>
      </c>
    </row>
    <row r="1874" spans="1:16">
      <c r="A1874">
        <v>1873</v>
      </c>
      <c r="B1874" t="s">
        <v>1934</v>
      </c>
      <c r="C1874">
        <v>137</v>
      </c>
      <c r="D1874">
        <v>113</v>
      </c>
      <c r="E1874">
        <v>95.610547513126406</v>
      </c>
      <c r="F1874">
        <v>1.2067307692307701</v>
      </c>
      <c r="G1874">
        <v>7179.6205463138003</v>
      </c>
      <c r="H1874">
        <v>1064.93587002288</v>
      </c>
      <c r="I1874">
        <v>0.59888548213012405</v>
      </c>
      <c r="J1874">
        <v>7.95544439725967E-2</v>
      </c>
      <c r="K1874">
        <v>0.53295011970828698</v>
      </c>
      <c r="L1874" t="s">
        <v>298</v>
      </c>
      <c r="M1874" t="s">
        <v>34</v>
      </c>
      <c r="N1874" t="s">
        <v>35</v>
      </c>
      <c r="O1874">
        <v>0.73266459135269002</v>
      </c>
      <c r="P1874" t="s">
        <v>36</v>
      </c>
    </row>
    <row r="1875" spans="1:16">
      <c r="A1875">
        <v>1874</v>
      </c>
      <c r="B1875" t="s">
        <v>1935</v>
      </c>
      <c r="C1875">
        <v>137</v>
      </c>
      <c r="D1875">
        <v>117</v>
      </c>
      <c r="E1875">
        <v>95.849744757622901</v>
      </c>
      <c r="F1875">
        <v>1.1674418842321901</v>
      </c>
      <c r="G1875">
        <v>7215.5892487712699</v>
      </c>
      <c r="H1875">
        <v>1356.4350538957599</v>
      </c>
      <c r="I1875">
        <v>0.74114942353548297</v>
      </c>
      <c r="J1875">
        <v>4.9281470441595303E-2</v>
      </c>
      <c r="K1875">
        <v>0.55356389468523004</v>
      </c>
      <c r="L1875" t="s">
        <v>38</v>
      </c>
      <c r="M1875" t="s">
        <v>34</v>
      </c>
      <c r="N1875" t="s">
        <v>35</v>
      </c>
      <c r="O1875">
        <v>0.77795595375900395</v>
      </c>
      <c r="P1875" t="s">
        <v>36</v>
      </c>
    </row>
    <row r="1876" spans="1:16">
      <c r="A1876">
        <v>1875</v>
      </c>
      <c r="B1876" t="s">
        <v>1936</v>
      </c>
      <c r="C1876">
        <v>138</v>
      </c>
      <c r="D1876">
        <v>99</v>
      </c>
      <c r="E1876">
        <v>96.257571743433004</v>
      </c>
      <c r="F1876">
        <v>1.38653686405465</v>
      </c>
      <c r="G1876">
        <v>7277.1224835538796</v>
      </c>
      <c r="H1876">
        <v>699.20507270242899</v>
      </c>
      <c r="I1876">
        <v>0.65534098697566701</v>
      </c>
      <c r="J1876">
        <v>0.18705116089470999</v>
      </c>
      <c r="K1876">
        <v>0.698953589630116</v>
      </c>
      <c r="L1876" t="s">
        <v>38</v>
      </c>
      <c r="M1876" t="s">
        <v>34</v>
      </c>
      <c r="N1876" t="s">
        <v>35</v>
      </c>
      <c r="O1876">
        <v>0.77413480796351897</v>
      </c>
      <c r="P1876" t="s">
        <v>36</v>
      </c>
    </row>
    <row r="1877" spans="1:16">
      <c r="A1877">
        <v>1876</v>
      </c>
      <c r="B1877" t="s">
        <v>1937</v>
      </c>
      <c r="C1877">
        <v>126</v>
      </c>
      <c r="D1877">
        <v>88</v>
      </c>
      <c r="E1877">
        <v>96.571620241559003</v>
      </c>
      <c r="F1877">
        <v>1.43080257878706</v>
      </c>
      <c r="G1877">
        <v>7324.6844041587901</v>
      </c>
      <c r="H1877">
        <v>390.63861970953297</v>
      </c>
      <c r="I1877">
        <v>0.535073430123572</v>
      </c>
      <c r="J1877">
        <v>0.60318207604548102</v>
      </c>
      <c r="K1877">
        <v>0.89353253676137301</v>
      </c>
      <c r="L1877" t="s">
        <v>47</v>
      </c>
      <c r="M1877" t="s">
        <v>34</v>
      </c>
      <c r="N1877" t="s">
        <v>35</v>
      </c>
      <c r="O1877">
        <v>0.87601378864534396</v>
      </c>
      <c r="P1877" t="s">
        <v>36</v>
      </c>
    </row>
    <row r="1878" spans="1:16">
      <c r="A1878">
        <v>1877</v>
      </c>
      <c r="B1878" t="s">
        <v>1938</v>
      </c>
      <c r="C1878">
        <v>112</v>
      </c>
      <c r="D1878">
        <v>110</v>
      </c>
      <c r="E1878">
        <v>96.947135583498095</v>
      </c>
      <c r="F1878">
        <v>1.0199004975124399</v>
      </c>
      <c r="G1878">
        <v>7381.7587088846903</v>
      </c>
      <c r="H1878">
        <v>478.80884773679401</v>
      </c>
      <c r="I1878">
        <v>0.57544491270812304</v>
      </c>
      <c r="J1878">
        <v>0.40461816406190099</v>
      </c>
      <c r="K1878">
        <v>0.84309431656141798</v>
      </c>
      <c r="L1878" t="s">
        <v>74</v>
      </c>
      <c r="M1878" t="s">
        <v>34</v>
      </c>
      <c r="N1878" t="s">
        <v>35</v>
      </c>
      <c r="O1878">
        <v>0.69094551000495597</v>
      </c>
      <c r="P1878" t="s">
        <v>36</v>
      </c>
    </row>
    <row r="1879" spans="1:16">
      <c r="A1879">
        <v>1878</v>
      </c>
      <c r="B1879" t="s">
        <v>1939</v>
      </c>
      <c r="C1879">
        <v>117</v>
      </c>
      <c r="D1879">
        <v>118</v>
      </c>
      <c r="E1879">
        <v>97.255065906646607</v>
      </c>
      <c r="F1879">
        <v>0.99537037037037002</v>
      </c>
      <c r="G1879">
        <v>7428.7261054820401</v>
      </c>
      <c r="H1879">
        <v>867.20952390619004</v>
      </c>
      <c r="I1879">
        <v>0.63950987261592895</v>
      </c>
      <c r="J1879">
        <v>0.12412982207571301</v>
      </c>
      <c r="K1879">
        <v>0.69707535459756498</v>
      </c>
      <c r="L1879" t="s">
        <v>1072</v>
      </c>
      <c r="M1879" t="s">
        <v>34</v>
      </c>
      <c r="N1879" t="s">
        <v>35</v>
      </c>
      <c r="O1879">
        <v>0.76282254114135095</v>
      </c>
      <c r="P1879" t="s">
        <v>36</v>
      </c>
    </row>
    <row r="1880" spans="1:16">
      <c r="A1880">
        <v>1879</v>
      </c>
      <c r="B1880" t="s">
        <v>1940</v>
      </c>
      <c r="C1880">
        <v>106</v>
      </c>
      <c r="D1880">
        <v>109</v>
      </c>
      <c r="E1880">
        <v>97.532924210708302</v>
      </c>
      <c r="F1880">
        <v>0.96497740128151199</v>
      </c>
      <c r="G1880">
        <v>7471.2345720226804</v>
      </c>
      <c r="H1880">
        <v>457.72970394248603</v>
      </c>
      <c r="I1880">
        <v>0.59807294868394101</v>
      </c>
      <c r="J1880">
        <v>0.44810938853265397</v>
      </c>
      <c r="K1880">
        <v>0.78660177766649997</v>
      </c>
      <c r="L1880" t="s">
        <v>43</v>
      </c>
      <c r="M1880" t="s">
        <v>34</v>
      </c>
      <c r="N1880" t="s">
        <v>35</v>
      </c>
      <c r="O1880">
        <v>0.66922834466903003</v>
      </c>
      <c r="P1880" t="s">
        <v>36</v>
      </c>
    </row>
    <row r="1881" spans="1:16">
      <c r="A1881">
        <v>1880</v>
      </c>
      <c r="B1881" t="s">
        <v>1941</v>
      </c>
      <c r="C1881">
        <v>108</v>
      </c>
      <c r="D1881">
        <v>163</v>
      </c>
      <c r="E1881">
        <v>97.741283611202704</v>
      </c>
      <c r="F1881">
        <v>0.66245595996117201</v>
      </c>
      <c r="G1881">
        <v>7503.1902374291103</v>
      </c>
      <c r="H1881">
        <v>733.78188155340104</v>
      </c>
      <c r="I1881">
        <v>0.63840891427291302</v>
      </c>
      <c r="J1881">
        <v>0.17511439731734399</v>
      </c>
      <c r="K1881">
        <v>0.62290389052725104</v>
      </c>
      <c r="L1881" t="s">
        <v>47</v>
      </c>
      <c r="M1881" t="s">
        <v>34</v>
      </c>
      <c r="N1881" t="s">
        <v>35</v>
      </c>
      <c r="O1881">
        <v>0.90269434947787197</v>
      </c>
      <c r="P1881" t="s">
        <v>36</v>
      </c>
    </row>
    <row r="1882" spans="1:16">
      <c r="A1882">
        <v>1881</v>
      </c>
      <c r="B1882" t="s">
        <v>1942</v>
      </c>
      <c r="C1882">
        <v>88</v>
      </c>
      <c r="D1882">
        <v>185</v>
      </c>
      <c r="E1882">
        <v>97.964499021029496</v>
      </c>
      <c r="F1882">
        <v>0.47681148972367199</v>
      </c>
      <c r="G1882">
        <v>7537.5</v>
      </c>
      <c r="H1882">
        <v>704.76658761501301</v>
      </c>
      <c r="I1882">
        <v>0.86795107922722403</v>
      </c>
      <c r="J1882">
        <v>0.19069819239937399</v>
      </c>
      <c r="K1882">
        <v>0.59643916913946604</v>
      </c>
      <c r="L1882" t="s">
        <v>33</v>
      </c>
      <c r="M1882" t="s">
        <v>34</v>
      </c>
      <c r="N1882" t="s">
        <v>35</v>
      </c>
      <c r="O1882">
        <v>0.65972915385089403</v>
      </c>
      <c r="P1882" t="s">
        <v>36</v>
      </c>
    </row>
    <row r="1883" spans="1:16">
      <c r="A1883">
        <v>1882</v>
      </c>
      <c r="B1883" t="s">
        <v>1943</v>
      </c>
      <c r="C1883">
        <v>91</v>
      </c>
      <c r="D1883">
        <v>145</v>
      </c>
      <c r="E1883">
        <v>98.047684885956102</v>
      </c>
      <c r="F1883">
        <v>0.62903861312641396</v>
      </c>
      <c r="G1883">
        <v>7550.30626502836</v>
      </c>
      <c r="H1883">
        <v>881.05639287502902</v>
      </c>
      <c r="I1883">
        <v>0.73092404639613895</v>
      </c>
      <c r="J1883">
        <v>0.122226962446739</v>
      </c>
      <c r="K1883">
        <v>0.72700861550791396</v>
      </c>
      <c r="L1883" t="s">
        <v>38</v>
      </c>
      <c r="M1883" t="s">
        <v>34</v>
      </c>
      <c r="N1883" t="s">
        <v>35</v>
      </c>
      <c r="O1883">
        <v>0.79364765110603497</v>
      </c>
      <c r="P1883" t="s">
        <v>36</v>
      </c>
    </row>
    <row r="1884" spans="1:16">
      <c r="A1884">
        <v>1883</v>
      </c>
      <c r="B1884" t="s">
        <v>1944</v>
      </c>
      <c r="C1884">
        <v>140</v>
      </c>
      <c r="D1884">
        <v>103</v>
      </c>
      <c r="E1884">
        <v>98.138358154183095</v>
      </c>
      <c r="F1884">
        <v>1.3610191414008399</v>
      </c>
      <c r="G1884">
        <v>7564.2775792060502</v>
      </c>
      <c r="H1884">
        <v>683.22272913072402</v>
      </c>
      <c r="I1884">
        <v>0.77509692780366701</v>
      </c>
      <c r="J1884">
        <v>0.20363513353500401</v>
      </c>
      <c r="K1884">
        <v>0.714929901947012</v>
      </c>
      <c r="L1884" t="s">
        <v>33</v>
      </c>
      <c r="M1884" t="s">
        <v>34</v>
      </c>
      <c r="N1884" t="s">
        <v>35</v>
      </c>
      <c r="O1884">
        <v>0.74200264344672295</v>
      </c>
      <c r="P1884" t="s">
        <v>36</v>
      </c>
    </row>
    <row r="1885" spans="1:16">
      <c r="A1885">
        <v>1884</v>
      </c>
      <c r="B1885" t="s">
        <v>1945</v>
      </c>
      <c r="C1885">
        <v>123</v>
      </c>
      <c r="D1885">
        <v>120</v>
      </c>
      <c r="E1885">
        <v>98.418529841337303</v>
      </c>
      <c r="F1885">
        <v>1.02727272727273</v>
      </c>
      <c r="G1885">
        <v>7607.5292007561402</v>
      </c>
      <c r="H1885">
        <v>620.41427311607004</v>
      </c>
      <c r="I1885">
        <v>0.66876346012538201</v>
      </c>
      <c r="J1885">
        <v>0.24836473501252099</v>
      </c>
      <c r="K1885">
        <v>0.68004145298009699</v>
      </c>
      <c r="L1885" t="s">
        <v>188</v>
      </c>
      <c r="M1885" t="s">
        <v>34</v>
      </c>
      <c r="N1885" t="s">
        <v>35</v>
      </c>
      <c r="O1885">
        <v>0.67037227185017501</v>
      </c>
      <c r="P1885" t="s">
        <v>36</v>
      </c>
    </row>
    <row r="1886" spans="1:16">
      <c r="A1886">
        <v>1885</v>
      </c>
      <c r="B1886" t="s">
        <v>1946</v>
      </c>
      <c r="C1886">
        <v>107</v>
      </c>
      <c r="D1886">
        <v>117</v>
      </c>
      <c r="E1886">
        <v>98.439678784787702</v>
      </c>
      <c r="F1886">
        <v>0.91588785046729004</v>
      </c>
      <c r="G1886">
        <v>7610.7990827977301</v>
      </c>
      <c r="H1886">
        <v>469.96637283574</v>
      </c>
      <c r="I1886">
        <v>0.65298439719212498</v>
      </c>
      <c r="J1886">
        <v>0.43301860105286299</v>
      </c>
      <c r="K1886">
        <v>0.77817120799963502</v>
      </c>
      <c r="L1886" t="s">
        <v>38</v>
      </c>
      <c r="M1886" t="s">
        <v>34</v>
      </c>
      <c r="N1886" t="s">
        <v>35</v>
      </c>
      <c r="O1886">
        <v>0.86553942195803701</v>
      </c>
      <c r="P1886" t="s">
        <v>36</v>
      </c>
    </row>
    <row r="1887" spans="1:16">
      <c r="A1887">
        <v>1886</v>
      </c>
      <c r="B1887" t="s">
        <v>1947</v>
      </c>
      <c r="C1887">
        <v>147</v>
      </c>
      <c r="D1887">
        <v>152</v>
      </c>
      <c r="E1887">
        <v>98.677771513187906</v>
      </c>
      <c r="F1887">
        <v>0.96762589928057596</v>
      </c>
      <c r="G1887">
        <v>7647.6595712665403</v>
      </c>
      <c r="H1887">
        <v>1265.0959904579499</v>
      </c>
      <c r="I1887">
        <v>0.50574081217273104</v>
      </c>
      <c r="J1887">
        <v>6.0047019126257997E-2</v>
      </c>
      <c r="K1887">
        <v>0.40722420520288399</v>
      </c>
      <c r="L1887" t="s">
        <v>33</v>
      </c>
      <c r="M1887" t="s">
        <v>34</v>
      </c>
      <c r="N1887" t="s">
        <v>35</v>
      </c>
      <c r="O1887">
        <v>0.71037505273476598</v>
      </c>
      <c r="P1887" t="s">
        <v>36</v>
      </c>
    </row>
    <row r="1888" spans="1:16">
      <c r="A1888">
        <v>1887</v>
      </c>
      <c r="B1888" t="s">
        <v>1948</v>
      </c>
      <c r="C1888">
        <v>122</v>
      </c>
      <c r="D1888">
        <v>112</v>
      </c>
      <c r="E1888">
        <v>98.885632391268402</v>
      </c>
      <c r="F1888">
        <v>1.08801194926784</v>
      </c>
      <c r="G1888">
        <v>7679.9124986767501</v>
      </c>
      <c r="H1888">
        <v>823.03086535070304</v>
      </c>
      <c r="I1888">
        <v>0.56128796709456896</v>
      </c>
      <c r="J1888">
        <v>0.14247343364279999</v>
      </c>
      <c r="K1888">
        <v>0.68794685057716098</v>
      </c>
      <c r="L1888" t="s">
        <v>38</v>
      </c>
      <c r="M1888" t="s">
        <v>34</v>
      </c>
      <c r="N1888" t="s">
        <v>35</v>
      </c>
      <c r="O1888">
        <v>0.73815596913803405</v>
      </c>
      <c r="P1888" t="s">
        <v>36</v>
      </c>
    </row>
    <row r="1889" spans="1:16">
      <c r="A1889">
        <v>1888</v>
      </c>
      <c r="B1889" t="s">
        <v>1949</v>
      </c>
      <c r="C1889">
        <v>95</v>
      </c>
      <c r="D1889">
        <v>141</v>
      </c>
      <c r="E1889">
        <v>99.102605539536796</v>
      </c>
      <c r="F1889">
        <v>0.676570116952672</v>
      </c>
      <c r="G1889">
        <v>7713.6517361058604</v>
      </c>
      <c r="H1889">
        <v>625.594077255</v>
      </c>
      <c r="I1889">
        <v>0.62778855660454103</v>
      </c>
      <c r="J1889">
        <v>0.247676404341995</v>
      </c>
      <c r="K1889">
        <v>0.73353026812341904</v>
      </c>
      <c r="L1889" t="s">
        <v>33</v>
      </c>
      <c r="M1889" t="s">
        <v>34</v>
      </c>
      <c r="N1889" t="s">
        <v>35</v>
      </c>
      <c r="O1889">
        <v>0.70450188617186005</v>
      </c>
      <c r="P1889" t="s">
        <v>36</v>
      </c>
    </row>
    <row r="1890" spans="1:16">
      <c r="A1890">
        <v>1889</v>
      </c>
      <c r="B1890" t="s">
        <v>1950</v>
      </c>
      <c r="C1890">
        <v>172</v>
      </c>
      <c r="D1890">
        <v>86</v>
      </c>
      <c r="E1890">
        <v>99.670980820024695</v>
      </c>
      <c r="F1890">
        <v>1.9950346031214099</v>
      </c>
      <c r="G1890">
        <v>7802.3844442344098</v>
      </c>
      <c r="H1890">
        <v>843.40704777251096</v>
      </c>
      <c r="I1890">
        <v>0.78076699632997504</v>
      </c>
      <c r="J1890">
        <v>0.13783603058951599</v>
      </c>
      <c r="K1890">
        <v>0.65359761943299699</v>
      </c>
      <c r="L1890" t="s">
        <v>38</v>
      </c>
      <c r="M1890" t="s">
        <v>34</v>
      </c>
      <c r="N1890" t="s">
        <v>35</v>
      </c>
      <c r="O1890">
        <v>0.72367580829558797</v>
      </c>
      <c r="P1890" t="s">
        <v>36</v>
      </c>
    </row>
    <row r="1891" spans="1:16">
      <c r="A1891">
        <v>1890</v>
      </c>
      <c r="B1891" t="s">
        <v>1951</v>
      </c>
      <c r="C1891">
        <v>87</v>
      </c>
      <c r="D1891">
        <v>183</v>
      </c>
      <c r="E1891">
        <v>99.8474015249936</v>
      </c>
      <c r="F1891">
        <v>0.47588309781723198</v>
      </c>
      <c r="G1891">
        <v>7830.0298105860102</v>
      </c>
      <c r="H1891">
        <v>907.29102709697599</v>
      </c>
      <c r="I1891">
        <v>0.71067155810913596</v>
      </c>
      <c r="J1891">
        <v>0.119530861021269</v>
      </c>
      <c r="K1891">
        <v>0.67274956261892305</v>
      </c>
      <c r="L1891" t="s">
        <v>38</v>
      </c>
      <c r="M1891" t="s">
        <v>34</v>
      </c>
      <c r="N1891" t="s">
        <v>35</v>
      </c>
      <c r="O1891">
        <v>0.70565526839411097</v>
      </c>
      <c r="P1891" t="s">
        <v>36</v>
      </c>
    </row>
    <row r="1892" spans="1:16">
      <c r="A1892">
        <v>1891</v>
      </c>
      <c r="B1892" t="s">
        <v>1952</v>
      </c>
      <c r="C1892">
        <v>97</v>
      </c>
      <c r="D1892">
        <v>153</v>
      </c>
      <c r="E1892">
        <v>100.340860914213</v>
      </c>
      <c r="F1892">
        <v>0.63481924989881799</v>
      </c>
      <c r="G1892">
        <v>7907.6151935727803</v>
      </c>
      <c r="H1892">
        <v>641.38771551287698</v>
      </c>
      <c r="I1892">
        <v>0.61676800408935595</v>
      </c>
      <c r="J1892">
        <v>0.24155393457667801</v>
      </c>
      <c r="K1892">
        <v>0.65926072787202095</v>
      </c>
      <c r="L1892" t="s">
        <v>38</v>
      </c>
      <c r="M1892" t="s">
        <v>34</v>
      </c>
      <c r="N1892" t="s">
        <v>35</v>
      </c>
      <c r="O1892">
        <v>0.69271766673156798</v>
      </c>
      <c r="P1892" t="s">
        <v>36</v>
      </c>
    </row>
    <row r="1893" spans="1:16">
      <c r="A1893">
        <v>1892</v>
      </c>
      <c r="B1893" t="s">
        <v>1953</v>
      </c>
      <c r="C1893">
        <v>160</v>
      </c>
      <c r="D1893">
        <v>120</v>
      </c>
      <c r="E1893">
        <v>100.43040596143</v>
      </c>
      <c r="F1893">
        <v>1.3380738758311099</v>
      </c>
      <c r="G1893">
        <v>7921.7351387523604</v>
      </c>
      <c r="H1893">
        <v>1048.58647374817</v>
      </c>
      <c r="I1893">
        <v>0.53177711714413101</v>
      </c>
      <c r="J1893">
        <v>9.0536078481512905E-2</v>
      </c>
      <c r="K1893">
        <v>0.54765158598863595</v>
      </c>
      <c r="L1893" t="s">
        <v>47</v>
      </c>
      <c r="M1893" t="s">
        <v>34</v>
      </c>
      <c r="N1893" t="s">
        <v>35</v>
      </c>
      <c r="O1893">
        <v>0.85068027359265896</v>
      </c>
      <c r="P1893" t="s">
        <v>36</v>
      </c>
    </row>
    <row r="1894" spans="1:16">
      <c r="A1894">
        <v>1893</v>
      </c>
      <c r="B1894" t="s">
        <v>1954</v>
      </c>
      <c r="C1894">
        <v>122</v>
      </c>
      <c r="D1894">
        <v>135</v>
      </c>
      <c r="E1894">
        <v>100.475619427293</v>
      </c>
      <c r="F1894">
        <v>0.90767818088584296</v>
      </c>
      <c r="G1894">
        <v>7928.8694268431</v>
      </c>
      <c r="H1894">
        <v>535.88952760406198</v>
      </c>
      <c r="I1894">
        <v>0.61878482290774095</v>
      </c>
      <c r="J1894">
        <v>0.34695295419557198</v>
      </c>
      <c r="K1894">
        <v>0.73956080519048395</v>
      </c>
      <c r="L1894" t="s">
        <v>38</v>
      </c>
      <c r="M1894" t="s">
        <v>34</v>
      </c>
      <c r="N1894" t="s">
        <v>35</v>
      </c>
      <c r="O1894">
        <v>0.748359314084873</v>
      </c>
      <c r="P1894" t="s">
        <v>36</v>
      </c>
    </row>
    <row r="1895" spans="1:16">
      <c r="A1895">
        <v>1894</v>
      </c>
      <c r="B1895" t="s">
        <v>1955</v>
      </c>
      <c r="C1895">
        <v>142</v>
      </c>
      <c r="D1895">
        <v>137</v>
      </c>
      <c r="E1895">
        <v>100.97444262204699</v>
      </c>
      <c r="F1895">
        <v>1.0398406374502001</v>
      </c>
      <c r="G1895">
        <v>8007.7924888468797</v>
      </c>
      <c r="H1895">
        <v>920.19143217864303</v>
      </c>
      <c r="I1895">
        <v>0.57804439220610904</v>
      </c>
      <c r="J1895">
        <v>0.118841001745745</v>
      </c>
      <c r="K1895">
        <v>0.492986357023251</v>
      </c>
      <c r="L1895" t="s">
        <v>38</v>
      </c>
      <c r="M1895" t="s">
        <v>34</v>
      </c>
      <c r="N1895" t="s">
        <v>35</v>
      </c>
      <c r="O1895">
        <v>0.71595368755586097</v>
      </c>
      <c r="P1895" t="s">
        <v>36</v>
      </c>
    </row>
    <row r="1896" spans="1:16">
      <c r="A1896">
        <v>1895</v>
      </c>
      <c r="B1896" t="s">
        <v>1956</v>
      </c>
      <c r="C1896">
        <v>63</v>
      </c>
      <c r="D1896">
        <v>245</v>
      </c>
      <c r="E1896">
        <v>101.218725795621</v>
      </c>
      <c r="F1896">
        <v>0.25777777777777799</v>
      </c>
      <c r="G1896">
        <v>8046.5851803402702</v>
      </c>
      <c r="H1896">
        <v>1526.6751718655901</v>
      </c>
      <c r="I1896">
        <v>0.92204520749052499</v>
      </c>
      <c r="J1896">
        <v>4.33838601560372E-2</v>
      </c>
      <c r="K1896">
        <v>0.54894445458416996</v>
      </c>
      <c r="L1896" t="s">
        <v>58</v>
      </c>
      <c r="M1896" t="s">
        <v>34</v>
      </c>
      <c r="N1896" t="s">
        <v>35</v>
      </c>
      <c r="O1896">
        <v>0.79228740772094797</v>
      </c>
      <c r="P1896" t="s">
        <v>36</v>
      </c>
    </row>
    <row r="1897" spans="1:16">
      <c r="A1897">
        <v>1896</v>
      </c>
      <c r="B1897" t="s">
        <v>1957</v>
      </c>
      <c r="C1897">
        <v>98</v>
      </c>
      <c r="D1897">
        <v>147</v>
      </c>
      <c r="E1897">
        <v>101.218725795621</v>
      </c>
      <c r="F1897">
        <v>0.66669064868933403</v>
      </c>
      <c r="G1897">
        <v>8046.5851803402702</v>
      </c>
      <c r="H1897">
        <v>544.767995228975</v>
      </c>
      <c r="I1897">
        <v>0.63696594510965499</v>
      </c>
      <c r="J1897">
        <v>0.34072053327771701</v>
      </c>
      <c r="K1897">
        <v>0.71915515409139197</v>
      </c>
      <c r="L1897" t="s">
        <v>38</v>
      </c>
      <c r="M1897" t="s">
        <v>34</v>
      </c>
      <c r="N1897" t="s">
        <v>35</v>
      </c>
      <c r="O1897">
        <v>0.66390211807100996</v>
      </c>
      <c r="P1897" t="s">
        <v>36</v>
      </c>
    </row>
    <row r="1898" spans="1:16">
      <c r="A1898">
        <v>1897</v>
      </c>
      <c r="B1898" t="s">
        <v>1958</v>
      </c>
      <c r="C1898">
        <v>134</v>
      </c>
      <c r="D1898">
        <v>90</v>
      </c>
      <c r="E1898">
        <v>101.234616512659</v>
      </c>
      <c r="F1898">
        <v>1.4922362339894799</v>
      </c>
      <c r="G1898">
        <v>8049.1119073724003</v>
      </c>
      <c r="H1898">
        <v>602.11098208790202</v>
      </c>
      <c r="I1898">
        <v>0.56884250386368795</v>
      </c>
      <c r="J1898">
        <v>0.279000339961956</v>
      </c>
      <c r="K1898">
        <v>0.79455089644649202</v>
      </c>
      <c r="L1898" t="s">
        <v>38</v>
      </c>
      <c r="M1898" t="s">
        <v>34</v>
      </c>
      <c r="N1898" t="s">
        <v>35</v>
      </c>
      <c r="O1898">
        <v>0.73407050560399101</v>
      </c>
      <c r="P1898" t="s">
        <v>36</v>
      </c>
    </row>
    <row r="1899" spans="1:16">
      <c r="A1899">
        <v>1898</v>
      </c>
      <c r="B1899" t="s">
        <v>1959</v>
      </c>
      <c r="C1899">
        <v>194</v>
      </c>
      <c r="D1899">
        <v>98</v>
      </c>
      <c r="E1899">
        <v>101.368186877136</v>
      </c>
      <c r="F1899">
        <v>1.98504732826404</v>
      </c>
      <c r="G1899">
        <v>8070.36614064272</v>
      </c>
      <c r="H1899">
        <v>1020.15767471832</v>
      </c>
      <c r="I1899">
        <v>0.59510392508906895</v>
      </c>
      <c r="J1899">
        <v>9.7447005996366201E-2</v>
      </c>
      <c r="K1899">
        <v>0.54805498919999196</v>
      </c>
      <c r="L1899" t="s">
        <v>33</v>
      </c>
      <c r="M1899" t="s">
        <v>34</v>
      </c>
      <c r="N1899" t="s">
        <v>35</v>
      </c>
      <c r="O1899">
        <v>0.75492485121916197</v>
      </c>
      <c r="P1899" t="s">
        <v>36</v>
      </c>
    </row>
    <row r="1900" spans="1:16">
      <c r="A1900">
        <v>1899</v>
      </c>
      <c r="B1900" t="s">
        <v>1960</v>
      </c>
      <c r="C1900">
        <v>109</v>
      </c>
      <c r="D1900">
        <v>105</v>
      </c>
      <c r="E1900">
        <v>101.401785260658</v>
      </c>
      <c r="F1900">
        <v>1.0444810396980799</v>
      </c>
      <c r="G1900">
        <v>8075.7168567107801</v>
      </c>
      <c r="H1900">
        <v>450.62744422580897</v>
      </c>
      <c r="I1900">
        <v>0.65425991070307099</v>
      </c>
      <c r="J1900">
        <v>0.49975330202829998</v>
      </c>
      <c r="K1900">
        <v>0.89086735530414796</v>
      </c>
      <c r="L1900" t="s">
        <v>33</v>
      </c>
      <c r="M1900" t="s">
        <v>34</v>
      </c>
      <c r="N1900" t="s">
        <v>35</v>
      </c>
      <c r="O1900">
        <v>0.77154189138660001</v>
      </c>
      <c r="P1900" t="s">
        <v>36</v>
      </c>
    </row>
    <row r="1901" spans="1:16">
      <c r="A1901">
        <v>1900</v>
      </c>
      <c r="B1901" t="s">
        <v>1961</v>
      </c>
      <c r="C1901">
        <v>126</v>
      </c>
      <c r="D1901">
        <v>122</v>
      </c>
      <c r="E1901">
        <v>101.572405204901</v>
      </c>
      <c r="F1901">
        <v>1.0357142905799701</v>
      </c>
      <c r="G1901">
        <v>8102.9163300567097</v>
      </c>
      <c r="H1901">
        <v>918.91163153824596</v>
      </c>
      <c r="I1901">
        <v>0.65733298670631601</v>
      </c>
      <c r="J1901">
        <v>0.120587896852711</v>
      </c>
      <c r="K1901">
        <v>0.70932108563844998</v>
      </c>
      <c r="L1901" t="s">
        <v>38</v>
      </c>
      <c r="M1901" t="s">
        <v>34</v>
      </c>
      <c r="N1901" t="s">
        <v>35</v>
      </c>
      <c r="O1901">
        <v>0.67943294510119601</v>
      </c>
      <c r="P1901" t="s">
        <v>36</v>
      </c>
    </row>
    <row r="1902" spans="1:16">
      <c r="A1902">
        <v>1901</v>
      </c>
      <c r="B1902" t="s">
        <v>1962</v>
      </c>
      <c r="C1902">
        <v>122</v>
      </c>
      <c r="D1902">
        <v>117</v>
      </c>
      <c r="E1902">
        <v>101.686923308839</v>
      </c>
      <c r="F1902">
        <v>1.03720930760715</v>
      </c>
      <c r="G1902">
        <v>8121.1979432892304</v>
      </c>
      <c r="H1902">
        <v>850.53362120047905</v>
      </c>
      <c r="I1902">
        <v>0.59117427570300196</v>
      </c>
      <c r="J1902">
        <v>0.14107400260654901</v>
      </c>
      <c r="K1902">
        <v>0.72106311941618195</v>
      </c>
      <c r="L1902" t="s">
        <v>33</v>
      </c>
      <c r="M1902" t="s">
        <v>34</v>
      </c>
      <c r="N1902" t="s">
        <v>35</v>
      </c>
      <c r="O1902">
        <v>0.712198698554382</v>
      </c>
      <c r="P1902" t="s">
        <v>36</v>
      </c>
    </row>
    <row r="1903" spans="1:16">
      <c r="A1903">
        <v>1902</v>
      </c>
      <c r="B1903" t="s">
        <v>1963</v>
      </c>
      <c r="C1903">
        <v>98</v>
      </c>
      <c r="D1903">
        <v>152</v>
      </c>
      <c r="E1903">
        <v>102.25203802051399</v>
      </c>
      <c r="F1903">
        <v>0.64516499533352301</v>
      </c>
      <c r="G1903">
        <v>8211.7142234404491</v>
      </c>
      <c r="H1903">
        <v>745.75168990684597</v>
      </c>
      <c r="I1903">
        <v>0.82165802103019503</v>
      </c>
      <c r="J1903">
        <v>0.18554753910750499</v>
      </c>
      <c r="K1903">
        <v>0.70050716368707999</v>
      </c>
      <c r="L1903" t="s">
        <v>33</v>
      </c>
      <c r="M1903" t="s">
        <v>34</v>
      </c>
      <c r="N1903" t="s">
        <v>35</v>
      </c>
      <c r="O1903">
        <v>0.71338823137715401</v>
      </c>
      <c r="P1903" t="s">
        <v>36</v>
      </c>
    </row>
    <row r="1904" spans="1:16">
      <c r="A1904">
        <v>1903</v>
      </c>
      <c r="B1904" t="s">
        <v>1964</v>
      </c>
      <c r="C1904">
        <v>107</v>
      </c>
      <c r="D1904">
        <v>113</v>
      </c>
      <c r="E1904">
        <v>102.399066868543</v>
      </c>
      <c r="F1904">
        <v>0.95169082125603899</v>
      </c>
      <c r="G1904">
        <v>8235.3465527410208</v>
      </c>
      <c r="H1904">
        <v>618.818984513283</v>
      </c>
      <c r="I1904">
        <v>0.536271678284159</v>
      </c>
      <c r="J1904">
        <v>0.27024924289135799</v>
      </c>
      <c r="K1904">
        <v>0.79539484072867195</v>
      </c>
      <c r="L1904" t="s">
        <v>74</v>
      </c>
      <c r="M1904" t="s">
        <v>34</v>
      </c>
      <c r="N1904" t="s">
        <v>35</v>
      </c>
      <c r="O1904">
        <v>0.68114497342133096</v>
      </c>
      <c r="P1904" t="s">
        <v>36</v>
      </c>
    </row>
    <row r="1905" spans="1:16">
      <c r="A1905">
        <v>1904</v>
      </c>
      <c r="B1905" t="s">
        <v>1965</v>
      </c>
      <c r="C1905">
        <v>126</v>
      </c>
      <c r="D1905">
        <v>119</v>
      </c>
      <c r="E1905">
        <v>102.516353524373</v>
      </c>
      <c r="F1905">
        <v>1.0593607305936099</v>
      </c>
      <c r="G1905">
        <v>8254.2226899810994</v>
      </c>
      <c r="H1905">
        <v>960.79982612682397</v>
      </c>
      <c r="I1905">
        <v>0.58174576892275698</v>
      </c>
      <c r="J1905">
        <v>0.11236219482915601</v>
      </c>
      <c r="K1905">
        <v>0.66715119771269304</v>
      </c>
      <c r="L1905" t="s">
        <v>38</v>
      </c>
      <c r="M1905" t="s">
        <v>34</v>
      </c>
      <c r="N1905" t="s">
        <v>35</v>
      </c>
      <c r="O1905">
        <v>0.84508816823598198</v>
      </c>
      <c r="P1905" t="s">
        <v>36</v>
      </c>
    </row>
    <row r="1906" spans="1:16">
      <c r="A1906">
        <v>1905</v>
      </c>
      <c r="B1906" t="s">
        <v>1966</v>
      </c>
      <c r="C1906">
        <v>104</v>
      </c>
      <c r="D1906">
        <v>120</v>
      </c>
      <c r="E1906">
        <v>102.582787184377</v>
      </c>
      <c r="F1906">
        <v>0.87408757917323099</v>
      </c>
      <c r="G1906">
        <v>8264.9241221171997</v>
      </c>
      <c r="H1906">
        <v>626.55222015474203</v>
      </c>
      <c r="I1906">
        <v>0.77309240557353598</v>
      </c>
      <c r="J1906">
        <v>0.26456609572685202</v>
      </c>
      <c r="K1906">
        <v>0.79125460677035198</v>
      </c>
      <c r="L1906" t="s">
        <v>38</v>
      </c>
      <c r="M1906" t="s">
        <v>34</v>
      </c>
      <c r="N1906" t="s">
        <v>35</v>
      </c>
      <c r="O1906">
        <v>0.70350460212360999</v>
      </c>
      <c r="P1906" t="s">
        <v>36</v>
      </c>
    </row>
    <row r="1907" spans="1:16">
      <c r="A1907">
        <v>1906</v>
      </c>
      <c r="B1907" t="s">
        <v>1967</v>
      </c>
      <c r="C1907">
        <v>118</v>
      </c>
      <c r="D1907">
        <v>128</v>
      </c>
      <c r="E1907">
        <v>102.622442330564</v>
      </c>
      <c r="F1907">
        <v>0.91930484388571798</v>
      </c>
      <c r="G1907">
        <v>8271.3152551984895</v>
      </c>
      <c r="H1907">
        <v>628.97725277859195</v>
      </c>
      <c r="I1907">
        <v>0.73106382174787299</v>
      </c>
      <c r="J1907">
        <v>0.26273296042792699</v>
      </c>
      <c r="K1907">
        <v>0.67151752099623496</v>
      </c>
      <c r="L1907" t="s">
        <v>38</v>
      </c>
      <c r="M1907" t="s">
        <v>34</v>
      </c>
      <c r="N1907" t="s">
        <v>35</v>
      </c>
      <c r="O1907">
        <v>0.90508987108210404</v>
      </c>
      <c r="P1907" t="s">
        <v>36</v>
      </c>
    </row>
    <row r="1908" spans="1:16">
      <c r="A1908">
        <v>1907</v>
      </c>
      <c r="B1908" t="s">
        <v>1968</v>
      </c>
      <c r="C1908">
        <v>88</v>
      </c>
      <c r="D1908">
        <v>155</v>
      </c>
      <c r="E1908">
        <v>102.76986196818</v>
      </c>
      <c r="F1908">
        <v>0.56982942620125498</v>
      </c>
      <c r="G1908">
        <v>8295.0962155009493</v>
      </c>
      <c r="H1908">
        <v>579.26664885396599</v>
      </c>
      <c r="I1908">
        <v>0.64765909338341499</v>
      </c>
      <c r="J1908">
        <v>0.310652063108798</v>
      </c>
      <c r="K1908">
        <v>0.816986766600304</v>
      </c>
      <c r="L1908" t="s">
        <v>38</v>
      </c>
      <c r="M1908" t="s">
        <v>34</v>
      </c>
      <c r="N1908" t="s">
        <v>35</v>
      </c>
      <c r="O1908">
        <v>0.65528211765954003</v>
      </c>
      <c r="P1908" t="s">
        <v>36</v>
      </c>
    </row>
    <row r="1909" spans="1:16">
      <c r="A1909">
        <v>1908</v>
      </c>
      <c r="B1909" t="s">
        <v>1969</v>
      </c>
      <c r="C1909">
        <v>151</v>
      </c>
      <c r="D1909">
        <v>98</v>
      </c>
      <c r="E1909">
        <v>102.778148041213</v>
      </c>
      <c r="F1909">
        <v>1.5388888888888901</v>
      </c>
      <c r="G1909">
        <v>8296.4338945179607</v>
      </c>
      <c r="H1909">
        <v>671.99738410794203</v>
      </c>
      <c r="I1909">
        <v>0.67948285036359901</v>
      </c>
      <c r="J1909">
        <v>0.23086928406500301</v>
      </c>
      <c r="K1909">
        <v>0.75310990582584503</v>
      </c>
      <c r="L1909" t="s">
        <v>33</v>
      </c>
      <c r="M1909" t="s">
        <v>34</v>
      </c>
      <c r="N1909" t="s">
        <v>35</v>
      </c>
      <c r="O1909">
        <v>0.77570028674997404</v>
      </c>
      <c r="P1909" t="s">
        <v>36</v>
      </c>
    </row>
    <row r="1910" spans="1:16">
      <c r="A1910">
        <v>1909</v>
      </c>
      <c r="B1910" t="s">
        <v>1970</v>
      </c>
      <c r="C1910">
        <v>206</v>
      </c>
      <c r="D1910">
        <v>116</v>
      </c>
      <c r="E1910">
        <v>102.933618219088</v>
      </c>
      <c r="F1910">
        <v>1.77864322917509</v>
      </c>
      <c r="G1910">
        <v>8321.55253383743</v>
      </c>
      <c r="H1910">
        <v>1131.24032842304</v>
      </c>
      <c r="I1910">
        <v>0.71735935331157596</v>
      </c>
      <c r="J1910">
        <v>8.1715504216090307E-2</v>
      </c>
      <c r="K1910">
        <v>0.50573591313930599</v>
      </c>
      <c r="L1910" t="s">
        <v>38</v>
      </c>
      <c r="M1910" t="s">
        <v>34</v>
      </c>
      <c r="N1910" t="s">
        <v>35</v>
      </c>
      <c r="O1910">
        <v>0.67411558662373405</v>
      </c>
      <c r="P1910" t="s">
        <v>36</v>
      </c>
    </row>
    <row r="1911" spans="1:16">
      <c r="A1911">
        <v>1910</v>
      </c>
      <c r="B1911" t="s">
        <v>1971</v>
      </c>
      <c r="C1911">
        <v>133</v>
      </c>
      <c r="D1911">
        <v>119</v>
      </c>
      <c r="E1911">
        <v>103.13198446367601</v>
      </c>
      <c r="F1911">
        <v>1.11988516808161</v>
      </c>
      <c r="G1911">
        <v>8353.6568302457508</v>
      </c>
      <c r="H1911">
        <v>610.27157686751798</v>
      </c>
      <c r="I1911">
        <v>0.577649451773525</v>
      </c>
      <c r="J1911">
        <v>0.28186438740014602</v>
      </c>
      <c r="K1911">
        <v>0.68703167210629901</v>
      </c>
      <c r="L1911" t="s">
        <v>38</v>
      </c>
      <c r="M1911" t="s">
        <v>34</v>
      </c>
      <c r="N1911" t="s">
        <v>35</v>
      </c>
      <c r="O1911">
        <v>0.855108947949903</v>
      </c>
      <c r="P1911" t="s">
        <v>36</v>
      </c>
    </row>
    <row r="1912" spans="1:16">
      <c r="A1912">
        <v>1911</v>
      </c>
      <c r="B1912" t="s">
        <v>1972</v>
      </c>
      <c r="C1912">
        <v>88</v>
      </c>
      <c r="D1912">
        <v>177</v>
      </c>
      <c r="E1912">
        <v>103.19893870028901</v>
      </c>
      <c r="F1912">
        <v>0.49954245451898999</v>
      </c>
      <c r="G1912">
        <v>8364.5068933837392</v>
      </c>
      <c r="H1912">
        <v>826.94093163168998</v>
      </c>
      <c r="I1912">
        <v>0.77411144152183298</v>
      </c>
      <c r="J1912">
        <v>0.153709683881225</v>
      </c>
      <c r="K1912">
        <v>0.67500269871541096</v>
      </c>
      <c r="L1912" t="s">
        <v>33</v>
      </c>
      <c r="M1912" t="s">
        <v>34</v>
      </c>
      <c r="N1912" t="s">
        <v>35</v>
      </c>
      <c r="O1912">
        <v>0.70911672766050504</v>
      </c>
      <c r="P1912" t="s">
        <v>36</v>
      </c>
    </row>
    <row r="1913" spans="1:16">
      <c r="A1913">
        <v>1912</v>
      </c>
      <c r="B1913" t="s">
        <v>1973</v>
      </c>
      <c r="C1913">
        <v>178</v>
      </c>
      <c r="D1913">
        <v>86</v>
      </c>
      <c r="E1913">
        <v>103.340042339452</v>
      </c>
      <c r="F1913">
        <v>2.0579025359781302</v>
      </c>
      <c r="G1913">
        <v>8387.3960676748593</v>
      </c>
      <c r="H1913">
        <v>830.47681974525005</v>
      </c>
      <c r="I1913">
        <v>0.54309254146332298</v>
      </c>
      <c r="J1913">
        <v>0.152820630029221</v>
      </c>
      <c r="K1913">
        <v>0.73043219384651203</v>
      </c>
      <c r="L1913" t="s">
        <v>38</v>
      </c>
      <c r="M1913" t="s">
        <v>34</v>
      </c>
      <c r="N1913" t="s">
        <v>35</v>
      </c>
      <c r="O1913">
        <v>0.722226270378443</v>
      </c>
      <c r="P1913" t="s">
        <v>36</v>
      </c>
    </row>
    <row r="1914" spans="1:16">
      <c r="A1914">
        <v>1913</v>
      </c>
      <c r="B1914" t="s">
        <v>1974</v>
      </c>
      <c r="C1914">
        <v>127</v>
      </c>
      <c r="D1914">
        <v>105</v>
      </c>
      <c r="E1914">
        <v>103.49466844051101</v>
      </c>
      <c r="F1914">
        <v>1.21350367215063</v>
      </c>
      <c r="G1914">
        <v>8412.5147069943305</v>
      </c>
      <c r="H1914">
        <v>476.78686053980999</v>
      </c>
      <c r="I1914">
        <v>0.57361471153556198</v>
      </c>
      <c r="J1914">
        <v>0.46503660949102199</v>
      </c>
      <c r="K1914">
        <v>0.79128744984551702</v>
      </c>
      <c r="L1914" t="s">
        <v>38</v>
      </c>
      <c r="M1914" t="s">
        <v>34</v>
      </c>
      <c r="N1914" t="s">
        <v>35</v>
      </c>
      <c r="O1914">
        <v>0.78245117989616797</v>
      </c>
      <c r="P1914" t="s">
        <v>36</v>
      </c>
    </row>
    <row r="1915" spans="1:16">
      <c r="A1915">
        <v>1914</v>
      </c>
      <c r="B1915" t="s">
        <v>1975</v>
      </c>
      <c r="C1915">
        <v>163</v>
      </c>
      <c r="D1915">
        <v>87</v>
      </c>
      <c r="E1915">
        <v>103.563215529453</v>
      </c>
      <c r="F1915">
        <v>1.86735642920307</v>
      </c>
      <c r="G1915">
        <v>8423.6620321361097</v>
      </c>
      <c r="H1915">
        <v>710.74818246167604</v>
      </c>
      <c r="I1915">
        <v>0.69868900678115597</v>
      </c>
      <c r="J1915">
        <v>0.20954595537102799</v>
      </c>
      <c r="K1915">
        <v>0.75484137343171498</v>
      </c>
      <c r="L1915" t="s">
        <v>38</v>
      </c>
      <c r="M1915" t="s">
        <v>34</v>
      </c>
      <c r="N1915" t="s">
        <v>35</v>
      </c>
      <c r="O1915">
        <v>0.69871671362258103</v>
      </c>
      <c r="P1915" t="s">
        <v>36</v>
      </c>
    </row>
    <row r="1916" spans="1:16">
      <c r="A1916">
        <v>1915</v>
      </c>
      <c r="B1916" t="s">
        <v>1976</v>
      </c>
      <c r="C1916">
        <v>136</v>
      </c>
      <c r="D1916">
        <v>96</v>
      </c>
      <c r="E1916">
        <v>103.63902145882</v>
      </c>
      <c r="F1916">
        <v>1.4154868257061</v>
      </c>
      <c r="G1916">
        <v>8435.9984052930104</v>
      </c>
      <c r="H1916">
        <v>668.27602314078297</v>
      </c>
      <c r="I1916">
        <v>0.75147632099349104</v>
      </c>
      <c r="J1916">
        <v>0.237374790258705</v>
      </c>
      <c r="K1916">
        <v>0.78697207509497802</v>
      </c>
      <c r="L1916" t="s">
        <v>33</v>
      </c>
      <c r="M1916" t="s">
        <v>34</v>
      </c>
      <c r="N1916" t="s">
        <v>35</v>
      </c>
      <c r="O1916">
        <v>0.69839563911926505</v>
      </c>
      <c r="P1916" t="s">
        <v>36</v>
      </c>
    </row>
    <row r="1917" spans="1:16">
      <c r="A1917">
        <v>1916</v>
      </c>
      <c r="B1917" t="s">
        <v>1977</v>
      </c>
      <c r="C1917">
        <v>144</v>
      </c>
      <c r="D1917">
        <v>124</v>
      </c>
      <c r="E1917">
        <v>103.79229051795799</v>
      </c>
      <c r="F1917">
        <v>1.156674052209</v>
      </c>
      <c r="G1917">
        <v>8460.9684136105898</v>
      </c>
      <c r="H1917">
        <v>884.150010377635</v>
      </c>
      <c r="I1917">
        <v>0.62428133428117605</v>
      </c>
      <c r="J1917">
        <v>0.13601225000116601</v>
      </c>
      <c r="K1917">
        <v>0.66035612783481201</v>
      </c>
      <c r="L1917" t="s">
        <v>38</v>
      </c>
      <c r="M1917" t="s">
        <v>34</v>
      </c>
      <c r="N1917" t="s">
        <v>35</v>
      </c>
      <c r="O1917">
        <v>0.70300531311203196</v>
      </c>
      <c r="P1917" t="s">
        <v>36</v>
      </c>
    </row>
    <row r="1918" spans="1:16">
      <c r="A1918">
        <v>1917</v>
      </c>
      <c r="B1918" t="s">
        <v>1978</v>
      </c>
      <c r="C1918">
        <v>105</v>
      </c>
      <c r="D1918">
        <v>116</v>
      </c>
      <c r="E1918">
        <v>103.819636182369</v>
      </c>
      <c r="F1918">
        <v>0.91076117259246403</v>
      </c>
      <c r="G1918">
        <v>8465.4273436672993</v>
      </c>
      <c r="H1918">
        <v>542.19186624527003</v>
      </c>
      <c r="I1918">
        <v>0.79063905103309795</v>
      </c>
      <c r="J1918">
        <v>0.36187014489907898</v>
      </c>
      <c r="K1918">
        <v>0.86809937509526003</v>
      </c>
      <c r="L1918" t="s">
        <v>38</v>
      </c>
      <c r="M1918" t="s">
        <v>34</v>
      </c>
      <c r="N1918" t="s">
        <v>35</v>
      </c>
      <c r="O1918">
        <v>0.75411467333262705</v>
      </c>
      <c r="P1918" t="s">
        <v>36</v>
      </c>
    </row>
    <row r="1919" spans="1:16">
      <c r="A1919">
        <v>1918</v>
      </c>
      <c r="B1919" t="s">
        <v>1979</v>
      </c>
      <c r="C1919">
        <v>127</v>
      </c>
      <c r="D1919">
        <v>170</v>
      </c>
      <c r="E1919">
        <v>103.990838617858</v>
      </c>
      <c r="F1919">
        <v>0.74670635304069599</v>
      </c>
      <c r="G1919">
        <v>8493.3699720226905</v>
      </c>
      <c r="H1919">
        <v>1252.47897361901</v>
      </c>
      <c r="I1919">
        <v>0.74226226567688802</v>
      </c>
      <c r="J1919">
        <v>6.8037605216025504E-2</v>
      </c>
      <c r="K1919">
        <v>0.55331880900508401</v>
      </c>
      <c r="L1919" t="s">
        <v>74</v>
      </c>
      <c r="M1919" t="s">
        <v>34</v>
      </c>
      <c r="N1919" t="s">
        <v>35</v>
      </c>
      <c r="O1919">
        <v>0.72517000229996398</v>
      </c>
      <c r="P1919" t="s">
        <v>36</v>
      </c>
    </row>
    <row r="1920" spans="1:16">
      <c r="A1920">
        <v>1919</v>
      </c>
      <c r="B1920" t="s">
        <v>1980</v>
      </c>
      <c r="C1920">
        <v>456</v>
      </c>
      <c r="D1920">
        <v>114</v>
      </c>
      <c r="E1920">
        <v>104.083607206427</v>
      </c>
      <c r="F1920">
        <v>4.0144086224217599</v>
      </c>
      <c r="G1920">
        <v>8508.5303342155003</v>
      </c>
      <c r="H1920">
        <v>1210.7746356539101</v>
      </c>
      <c r="I1920">
        <v>0.71157394852454203</v>
      </c>
      <c r="J1920">
        <v>7.2935302197081706E-2</v>
      </c>
      <c r="K1920">
        <v>0.244992810188989</v>
      </c>
      <c r="L1920" t="s">
        <v>33</v>
      </c>
      <c r="M1920" t="s">
        <v>34</v>
      </c>
      <c r="N1920" t="s">
        <v>35</v>
      </c>
      <c r="O1920">
        <v>0.78194950347529002</v>
      </c>
      <c r="P1920" t="s">
        <v>36</v>
      </c>
    </row>
    <row r="1921" spans="1:16">
      <c r="A1921">
        <v>1920</v>
      </c>
      <c r="B1921" t="s">
        <v>1981</v>
      </c>
      <c r="C1921">
        <v>94</v>
      </c>
      <c r="D1921">
        <v>227</v>
      </c>
      <c r="E1921">
        <v>104.82460568059101</v>
      </c>
      <c r="F1921">
        <v>0.41171780913508499</v>
      </c>
      <c r="G1921">
        <v>8630.1104937618202</v>
      </c>
      <c r="H1921">
        <v>1034.0687431265001</v>
      </c>
      <c r="I1921">
        <v>0.84732491028394097</v>
      </c>
      <c r="J1921">
        <v>0.10142088559147</v>
      </c>
      <c r="K1921">
        <v>0.59774138090777096</v>
      </c>
      <c r="L1921" t="s">
        <v>33</v>
      </c>
      <c r="M1921" t="s">
        <v>34</v>
      </c>
      <c r="N1921" t="s">
        <v>35</v>
      </c>
      <c r="O1921">
        <v>0.64321848701214501</v>
      </c>
      <c r="P1921" t="s">
        <v>36</v>
      </c>
    </row>
    <row r="1922" spans="1:16">
      <c r="A1922">
        <v>1921</v>
      </c>
      <c r="B1922" t="s">
        <v>1982</v>
      </c>
      <c r="C1922">
        <v>102</v>
      </c>
      <c r="D1922">
        <v>179</v>
      </c>
      <c r="E1922">
        <v>105.062638809213</v>
      </c>
      <c r="F1922">
        <v>0.57002295811882597</v>
      </c>
      <c r="G1922">
        <v>8669.3490782608696</v>
      </c>
      <c r="H1922">
        <v>855.15994409664802</v>
      </c>
      <c r="I1922">
        <v>0.60539038458825001</v>
      </c>
      <c r="J1922">
        <v>0.14897097291383701</v>
      </c>
      <c r="K1922">
        <v>0.68485012152308899</v>
      </c>
      <c r="L1922" t="s">
        <v>74</v>
      </c>
      <c r="M1922" t="s">
        <v>34</v>
      </c>
      <c r="N1922" t="s">
        <v>35</v>
      </c>
      <c r="O1922">
        <v>0.73709008869387105</v>
      </c>
      <c r="P1922" t="s">
        <v>36</v>
      </c>
    </row>
    <row r="1923" spans="1:16">
      <c r="A1923">
        <v>1922</v>
      </c>
      <c r="B1923" t="s">
        <v>1983</v>
      </c>
      <c r="C1923">
        <v>118</v>
      </c>
      <c r="D1923">
        <v>207</v>
      </c>
      <c r="E1923">
        <v>105.333376368454</v>
      </c>
      <c r="F1923">
        <v>0.56984829702613704</v>
      </c>
      <c r="G1923">
        <v>8714.0870098298692</v>
      </c>
      <c r="H1923">
        <v>663.80307337854197</v>
      </c>
      <c r="I1923">
        <v>0.66550106627722505</v>
      </c>
      <c r="J1923">
        <v>0.248515361154483</v>
      </c>
      <c r="K1923">
        <v>0.59114328638118996</v>
      </c>
      <c r="L1923" t="s">
        <v>33</v>
      </c>
      <c r="M1923" t="s">
        <v>34</v>
      </c>
      <c r="N1923" t="s">
        <v>35</v>
      </c>
      <c r="O1923">
        <v>0.68411720162291401</v>
      </c>
      <c r="P1923" t="s">
        <v>36</v>
      </c>
    </row>
    <row r="1924" spans="1:16">
      <c r="A1924">
        <v>1923</v>
      </c>
      <c r="B1924" t="s">
        <v>1984</v>
      </c>
      <c r="C1924">
        <v>171</v>
      </c>
      <c r="D1924">
        <v>130</v>
      </c>
      <c r="E1924">
        <v>105.584602004975</v>
      </c>
      <c r="F1924">
        <v>1.31380753138075</v>
      </c>
      <c r="G1924">
        <v>8755.7036903591707</v>
      </c>
      <c r="H1924">
        <v>1386.8355964699001</v>
      </c>
      <c r="I1924">
        <v>0.67229398416895902</v>
      </c>
      <c r="J1924">
        <v>5.7207235216103797E-2</v>
      </c>
      <c r="K1924">
        <v>0.43845455357408702</v>
      </c>
      <c r="L1924" t="s">
        <v>33</v>
      </c>
      <c r="M1924" t="s">
        <v>34</v>
      </c>
      <c r="N1924" t="s">
        <v>35</v>
      </c>
      <c r="O1924">
        <v>0.70833649577097002</v>
      </c>
      <c r="P1924" t="s">
        <v>36</v>
      </c>
    </row>
    <row r="1925" spans="1:16">
      <c r="A1925">
        <v>1924</v>
      </c>
      <c r="B1925" t="s">
        <v>1985</v>
      </c>
      <c r="C1925">
        <v>88</v>
      </c>
      <c r="D1925">
        <v>174</v>
      </c>
      <c r="E1925">
        <v>105.922811448239</v>
      </c>
      <c r="F1925">
        <v>0.50279112015669103</v>
      </c>
      <c r="G1925">
        <v>8811.8862090737293</v>
      </c>
      <c r="H1925">
        <v>681.15145396719799</v>
      </c>
      <c r="I1925">
        <v>0.73357384181715701</v>
      </c>
      <c r="J1925">
        <v>0.23866644727142</v>
      </c>
      <c r="K1925">
        <v>0.71803846526499404</v>
      </c>
      <c r="L1925" t="s">
        <v>38</v>
      </c>
      <c r="M1925" t="s">
        <v>34</v>
      </c>
      <c r="N1925" t="s">
        <v>35</v>
      </c>
      <c r="O1925">
        <v>0.704304361701238</v>
      </c>
      <c r="P1925" t="s">
        <v>36</v>
      </c>
    </row>
    <row r="1926" spans="1:16">
      <c r="A1926">
        <v>1925</v>
      </c>
      <c r="B1926" t="s">
        <v>1986</v>
      </c>
      <c r="C1926">
        <v>160</v>
      </c>
      <c r="D1926">
        <v>112</v>
      </c>
      <c r="E1926">
        <v>105.925491330966</v>
      </c>
      <c r="F1926">
        <v>1.4223300115092801</v>
      </c>
      <c r="G1926">
        <v>8812.3321020793992</v>
      </c>
      <c r="H1926">
        <v>901.59696689937402</v>
      </c>
      <c r="I1926">
        <v>0.67401437367226702</v>
      </c>
      <c r="J1926">
        <v>0.13623096583170399</v>
      </c>
      <c r="K1926">
        <v>0.69371804322135999</v>
      </c>
      <c r="L1926" t="s">
        <v>33</v>
      </c>
      <c r="M1926" t="s">
        <v>34</v>
      </c>
      <c r="N1926" t="s">
        <v>35</v>
      </c>
      <c r="O1926">
        <v>0.68467610350693298</v>
      </c>
      <c r="P1926" t="s">
        <v>36</v>
      </c>
    </row>
    <row r="1927" spans="1:16">
      <c r="A1927">
        <v>1926</v>
      </c>
      <c r="B1927" t="s">
        <v>1987</v>
      </c>
      <c r="C1927">
        <v>109</v>
      </c>
      <c r="D1927">
        <v>192</v>
      </c>
      <c r="E1927">
        <v>106.354292502853</v>
      </c>
      <c r="F1927">
        <v>0.57085048960769302</v>
      </c>
      <c r="G1927">
        <v>8883.8236139886594</v>
      </c>
      <c r="H1927">
        <v>1030.4780578120899</v>
      </c>
      <c r="I1927">
        <v>0.67361255514134999</v>
      </c>
      <c r="J1927">
        <v>0.105131362719098</v>
      </c>
      <c r="K1927">
        <v>0.58486061234674203</v>
      </c>
      <c r="L1927" t="s">
        <v>38</v>
      </c>
      <c r="M1927" t="s">
        <v>34</v>
      </c>
      <c r="N1927" t="s">
        <v>35</v>
      </c>
      <c r="O1927">
        <v>0.77432374024667305</v>
      </c>
      <c r="P1927" t="s">
        <v>36</v>
      </c>
    </row>
    <row r="1928" spans="1:16">
      <c r="A1928">
        <v>1927</v>
      </c>
      <c r="B1928" t="s">
        <v>1988</v>
      </c>
      <c r="C1928">
        <v>139</v>
      </c>
      <c r="D1928">
        <v>126</v>
      </c>
      <c r="E1928">
        <v>106.514314766772</v>
      </c>
      <c r="F1928">
        <v>1.1023488105053401</v>
      </c>
      <c r="G1928">
        <v>8910.5771943289201</v>
      </c>
      <c r="H1928">
        <v>1016.34780060053</v>
      </c>
      <c r="I1928">
        <v>0.76608408513982695</v>
      </c>
      <c r="J1928">
        <v>0.108400428164712</v>
      </c>
      <c r="K1928">
        <v>0.64275452440174996</v>
      </c>
      <c r="L1928" t="s">
        <v>38</v>
      </c>
      <c r="M1928" t="s">
        <v>34</v>
      </c>
      <c r="N1928" t="s">
        <v>35</v>
      </c>
      <c r="O1928">
        <v>0.790569704945976</v>
      </c>
      <c r="P1928" t="s">
        <v>36</v>
      </c>
    </row>
    <row r="1929" spans="1:16">
      <c r="A1929">
        <v>1928</v>
      </c>
      <c r="B1929" t="s">
        <v>1989</v>
      </c>
      <c r="C1929">
        <v>200</v>
      </c>
      <c r="D1929">
        <v>88</v>
      </c>
      <c r="E1929">
        <v>106.732623860061</v>
      </c>
      <c r="F1929">
        <v>2.2795031055900599</v>
      </c>
      <c r="G1929">
        <v>8947.1404207939504</v>
      </c>
      <c r="H1929">
        <v>875.90090244738997</v>
      </c>
      <c r="I1929">
        <v>0.85511466665897795</v>
      </c>
      <c r="J1929">
        <v>0.146549442231692</v>
      </c>
      <c r="K1929">
        <v>0.69466626661743003</v>
      </c>
      <c r="L1929" t="s">
        <v>33</v>
      </c>
      <c r="M1929" t="s">
        <v>34</v>
      </c>
      <c r="N1929" t="s">
        <v>35</v>
      </c>
      <c r="O1929">
        <v>0.66042111906954104</v>
      </c>
      <c r="P1929" t="s">
        <v>36</v>
      </c>
    </row>
    <row r="1930" spans="1:16">
      <c r="A1930">
        <v>1929</v>
      </c>
      <c r="B1930" t="s">
        <v>1990</v>
      </c>
      <c r="C1930">
        <v>156</v>
      </c>
      <c r="D1930">
        <v>147</v>
      </c>
      <c r="E1930">
        <v>107.144066238976</v>
      </c>
      <c r="F1930">
        <v>1.0669145133239299</v>
      </c>
      <c r="G1930">
        <v>9016.2538366729696</v>
      </c>
      <c r="H1930">
        <v>1639.5745797505599</v>
      </c>
      <c r="I1930">
        <v>0.59044787829751499</v>
      </c>
      <c r="J1930">
        <v>4.2147676827559599E-2</v>
      </c>
      <c r="K1930">
        <v>0.40293857813735101</v>
      </c>
      <c r="L1930" t="s">
        <v>33</v>
      </c>
      <c r="M1930" t="s">
        <v>34</v>
      </c>
      <c r="N1930" t="s">
        <v>35</v>
      </c>
      <c r="O1930">
        <v>0.83422021289737802</v>
      </c>
      <c r="P1930" t="s">
        <v>36</v>
      </c>
    </row>
    <row r="1931" spans="1:16">
      <c r="A1931">
        <v>1930</v>
      </c>
      <c r="B1931" t="s">
        <v>1991</v>
      </c>
      <c r="C1931">
        <v>132</v>
      </c>
      <c r="D1931">
        <v>122</v>
      </c>
      <c r="E1931">
        <v>107.338177557856</v>
      </c>
      <c r="F1931">
        <v>1.0803571538049399</v>
      </c>
      <c r="G1931">
        <v>9048.9526570888502</v>
      </c>
      <c r="H1931">
        <v>1027.4486397488199</v>
      </c>
      <c r="I1931">
        <v>0.57210626954373101</v>
      </c>
      <c r="J1931">
        <v>0.107717914620897</v>
      </c>
      <c r="K1931">
        <v>0.68419041625460797</v>
      </c>
      <c r="L1931" t="s">
        <v>38</v>
      </c>
      <c r="M1931" t="s">
        <v>34</v>
      </c>
      <c r="N1931" t="s">
        <v>35</v>
      </c>
      <c r="O1931">
        <v>0.85325582994663796</v>
      </c>
      <c r="P1931" t="s">
        <v>36</v>
      </c>
    </row>
    <row r="1932" spans="1:16">
      <c r="A1932">
        <v>1931</v>
      </c>
      <c r="B1932" t="s">
        <v>1992</v>
      </c>
      <c r="C1932">
        <v>137</v>
      </c>
      <c r="D1932">
        <v>191</v>
      </c>
      <c r="E1932">
        <v>107.405152667363</v>
      </c>
      <c r="F1932">
        <v>0.71872275182690104</v>
      </c>
      <c r="G1932">
        <v>9060.2486132325193</v>
      </c>
      <c r="H1932">
        <v>1209.70623780852</v>
      </c>
      <c r="I1932">
        <v>0.54108356790237699</v>
      </c>
      <c r="J1932">
        <v>7.7801888485076298E-2</v>
      </c>
      <c r="K1932">
        <v>0.47984823199722898</v>
      </c>
      <c r="L1932" t="s">
        <v>61</v>
      </c>
      <c r="M1932" t="s">
        <v>34</v>
      </c>
      <c r="N1932" t="s">
        <v>35</v>
      </c>
      <c r="O1932">
        <v>0.67645810104799797</v>
      </c>
      <c r="P1932" t="s">
        <v>36</v>
      </c>
    </row>
    <row r="1933" spans="1:16">
      <c r="A1933">
        <v>1932</v>
      </c>
      <c r="B1933" t="s">
        <v>1993</v>
      </c>
      <c r="C1933">
        <v>119</v>
      </c>
      <c r="D1933">
        <v>158</v>
      </c>
      <c r="E1933">
        <v>107.658574975817</v>
      </c>
      <c r="F1933">
        <v>0.75340185899169199</v>
      </c>
      <c r="G1933">
        <v>9103.0543417769404</v>
      </c>
      <c r="H1933">
        <v>692.06748080585305</v>
      </c>
      <c r="I1933">
        <v>0.66370408231393097</v>
      </c>
      <c r="J1933">
        <v>0.238836178461236</v>
      </c>
      <c r="K1933">
        <v>0.66170401261911405</v>
      </c>
      <c r="L1933" t="s">
        <v>33</v>
      </c>
      <c r="M1933" t="s">
        <v>34</v>
      </c>
      <c r="N1933" t="s">
        <v>35</v>
      </c>
      <c r="O1933">
        <v>0.67255730437330896</v>
      </c>
      <c r="P1933" t="s">
        <v>36</v>
      </c>
    </row>
    <row r="1934" spans="1:16">
      <c r="A1934">
        <v>1933</v>
      </c>
      <c r="B1934" t="s">
        <v>1994</v>
      </c>
      <c r="C1934">
        <v>140</v>
      </c>
      <c r="D1934">
        <v>120</v>
      </c>
      <c r="E1934">
        <v>108.343697045664</v>
      </c>
      <c r="F1934">
        <v>1.16700746055947</v>
      </c>
      <c r="G1934">
        <v>9219.2837852552002</v>
      </c>
      <c r="H1934">
        <v>614.67871096030501</v>
      </c>
      <c r="I1934">
        <v>0.59609432111217797</v>
      </c>
      <c r="J1934">
        <v>0.30662721879546501</v>
      </c>
      <c r="K1934">
        <v>0.71944882620395301</v>
      </c>
      <c r="L1934" t="s">
        <v>893</v>
      </c>
      <c r="M1934" t="s">
        <v>34</v>
      </c>
      <c r="N1934" t="s">
        <v>35</v>
      </c>
      <c r="O1934">
        <v>0.64650188028196798</v>
      </c>
      <c r="P1934" t="s">
        <v>36</v>
      </c>
    </row>
    <row r="1935" spans="1:16">
      <c r="A1935">
        <v>1934</v>
      </c>
      <c r="B1935" t="s">
        <v>1995</v>
      </c>
      <c r="C1935">
        <v>191</v>
      </c>
      <c r="D1935">
        <v>94</v>
      </c>
      <c r="E1935">
        <v>108.76557469257401</v>
      </c>
      <c r="F1935">
        <v>2.0313698477812898</v>
      </c>
      <c r="G1935">
        <v>9291.2211901701303</v>
      </c>
      <c r="H1935">
        <v>829.892855012935</v>
      </c>
      <c r="I1935">
        <v>0.76147928766653905</v>
      </c>
      <c r="J1935">
        <v>0.16952689673155699</v>
      </c>
      <c r="K1935">
        <v>0.742096703348885</v>
      </c>
      <c r="L1935" t="s">
        <v>33</v>
      </c>
      <c r="M1935" t="s">
        <v>34</v>
      </c>
      <c r="N1935" t="s">
        <v>35</v>
      </c>
      <c r="O1935">
        <v>0.68121446370596705</v>
      </c>
      <c r="P1935" t="s">
        <v>36</v>
      </c>
    </row>
    <row r="1936" spans="1:16">
      <c r="A1936">
        <v>1935</v>
      </c>
      <c r="B1936" t="s">
        <v>1996</v>
      </c>
      <c r="C1936">
        <v>126</v>
      </c>
      <c r="D1936">
        <v>235</v>
      </c>
      <c r="E1936">
        <v>108.872526888628</v>
      </c>
      <c r="F1936">
        <v>0.53828306806638804</v>
      </c>
      <c r="G1936">
        <v>9309.5028034026509</v>
      </c>
      <c r="H1936">
        <v>1330.84469084128</v>
      </c>
      <c r="I1936">
        <v>0.595140707533658</v>
      </c>
      <c r="J1936">
        <v>6.6051334766317693E-2</v>
      </c>
      <c r="K1936">
        <v>0.46755447399655098</v>
      </c>
      <c r="L1936" t="s">
        <v>38</v>
      </c>
      <c r="M1936" t="s">
        <v>34</v>
      </c>
      <c r="N1936" t="s">
        <v>35</v>
      </c>
      <c r="O1936">
        <v>0.70398463401449196</v>
      </c>
      <c r="P1936" t="s">
        <v>36</v>
      </c>
    </row>
    <row r="1937" spans="1:16">
      <c r="A1937">
        <v>1936</v>
      </c>
      <c r="B1937" t="s">
        <v>1997</v>
      </c>
      <c r="C1937">
        <v>211</v>
      </c>
      <c r="D1937">
        <v>95</v>
      </c>
      <c r="E1937">
        <v>108.996737755806</v>
      </c>
      <c r="F1937">
        <v>2.21847554864978</v>
      </c>
      <c r="G1937">
        <v>9330.7570366729706</v>
      </c>
      <c r="H1937">
        <v>870.98729830430898</v>
      </c>
      <c r="I1937">
        <v>0.77860263094579996</v>
      </c>
      <c r="J1937">
        <v>0.154562132691066</v>
      </c>
      <c r="K1937">
        <v>0.57278674464649004</v>
      </c>
      <c r="L1937" t="s">
        <v>188</v>
      </c>
      <c r="M1937" t="s">
        <v>34</v>
      </c>
      <c r="N1937" t="s">
        <v>35</v>
      </c>
      <c r="O1937">
        <v>0.69853295468012999</v>
      </c>
      <c r="P1937" t="s">
        <v>36</v>
      </c>
    </row>
    <row r="1938" spans="1:16">
      <c r="A1938">
        <v>1937</v>
      </c>
      <c r="B1938" t="s">
        <v>1998</v>
      </c>
      <c r="C1938">
        <v>170</v>
      </c>
      <c r="D1938">
        <v>118</v>
      </c>
      <c r="E1938">
        <v>109.191021810881</v>
      </c>
      <c r="F1938">
        <v>1.45042769056863</v>
      </c>
      <c r="G1938">
        <v>9364.0503810964092</v>
      </c>
      <c r="H1938">
        <v>961.14807435284501</v>
      </c>
      <c r="I1938">
        <v>0.64330832300382501</v>
      </c>
      <c r="J1938">
        <v>0.127377583429713</v>
      </c>
      <c r="K1938">
        <v>0.584249865534062</v>
      </c>
      <c r="L1938" t="s">
        <v>49</v>
      </c>
      <c r="M1938" t="s">
        <v>34</v>
      </c>
      <c r="N1938" t="s">
        <v>35</v>
      </c>
      <c r="O1938">
        <v>0.75935416982456005</v>
      </c>
      <c r="P1938" t="s">
        <v>36</v>
      </c>
    </row>
    <row r="1939" spans="1:16">
      <c r="A1939">
        <v>1938</v>
      </c>
      <c r="B1939" t="s">
        <v>1999</v>
      </c>
      <c r="C1939">
        <v>168</v>
      </c>
      <c r="D1939">
        <v>94</v>
      </c>
      <c r="E1939">
        <v>109.252530807374</v>
      </c>
      <c r="F1939">
        <v>1.7859126455049501</v>
      </c>
      <c r="G1939">
        <v>9374.6031822306195</v>
      </c>
      <c r="H1939">
        <v>645.99295715798496</v>
      </c>
      <c r="I1939">
        <v>0.75127202261870696</v>
      </c>
      <c r="J1939">
        <v>0.28229760340290699</v>
      </c>
      <c r="K1939">
        <v>0.81941719823834303</v>
      </c>
      <c r="L1939" t="s">
        <v>38</v>
      </c>
      <c r="M1939" t="s">
        <v>34</v>
      </c>
      <c r="N1939" t="s">
        <v>35</v>
      </c>
      <c r="O1939">
        <v>0.76154728112951298</v>
      </c>
      <c r="P1939" t="s">
        <v>36</v>
      </c>
    </row>
    <row r="1940" spans="1:16">
      <c r="A1940">
        <v>1939</v>
      </c>
      <c r="B1940" t="s">
        <v>2000</v>
      </c>
      <c r="C1940">
        <v>123</v>
      </c>
      <c r="D1940">
        <v>152</v>
      </c>
      <c r="E1940">
        <v>109.556103138522</v>
      </c>
      <c r="F1940">
        <v>0.81294964028776995</v>
      </c>
      <c r="G1940">
        <v>9426.7726638941404</v>
      </c>
      <c r="H1940">
        <v>717.02459116147895</v>
      </c>
      <c r="I1940">
        <v>0.63231337157708301</v>
      </c>
      <c r="J1940">
        <v>0.23041184244846599</v>
      </c>
      <c r="K1940">
        <v>0.657311638511763</v>
      </c>
      <c r="L1940" t="s">
        <v>49</v>
      </c>
      <c r="M1940" t="s">
        <v>34</v>
      </c>
      <c r="N1940" t="s">
        <v>35</v>
      </c>
      <c r="O1940">
        <v>0.75011150922526404</v>
      </c>
      <c r="P1940" t="s">
        <v>36</v>
      </c>
    </row>
    <row r="1941" spans="1:16">
      <c r="A1941">
        <v>1940</v>
      </c>
      <c r="B1941" t="s">
        <v>2001</v>
      </c>
      <c r="C1941">
        <v>196</v>
      </c>
      <c r="D1941">
        <v>93</v>
      </c>
      <c r="E1941">
        <v>109.892422185876</v>
      </c>
      <c r="F1941">
        <v>2.1117647058823499</v>
      </c>
      <c r="G1941">
        <v>9484.7387546313803</v>
      </c>
      <c r="H1941">
        <v>826.24737249768305</v>
      </c>
      <c r="I1941">
        <v>0.81383299629878503</v>
      </c>
      <c r="J1941">
        <v>0.174588267148299</v>
      </c>
      <c r="K1941">
        <v>0.62245415528677295</v>
      </c>
      <c r="L1941" t="s">
        <v>38</v>
      </c>
      <c r="M1941" t="s">
        <v>34</v>
      </c>
      <c r="N1941" t="s">
        <v>35</v>
      </c>
      <c r="O1941">
        <v>0.73653367376237699</v>
      </c>
      <c r="P1941" t="s">
        <v>36</v>
      </c>
    </row>
    <row r="1942" spans="1:16">
      <c r="A1942">
        <v>1941</v>
      </c>
      <c r="B1942" t="s">
        <v>2002</v>
      </c>
      <c r="C1942">
        <v>127</v>
      </c>
      <c r="D1942">
        <v>156</v>
      </c>
      <c r="E1942">
        <v>109.966446430847</v>
      </c>
      <c r="F1942">
        <v>0.81184668989547004</v>
      </c>
      <c r="G1942">
        <v>9497.5210207939508</v>
      </c>
      <c r="H1942">
        <v>1061.51670177543</v>
      </c>
      <c r="I1942">
        <v>0.54705263272867399</v>
      </c>
      <c r="J1942">
        <v>0.105917193350736</v>
      </c>
      <c r="K1942">
        <v>0.66846598041677097</v>
      </c>
      <c r="L1942" t="s">
        <v>47</v>
      </c>
      <c r="M1942" t="s">
        <v>34</v>
      </c>
      <c r="N1942" t="s">
        <v>35</v>
      </c>
      <c r="O1942">
        <v>0.93931300736717804</v>
      </c>
      <c r="P1942" t="s">
        <v>36</v>
      </c>
    </row>
    <row r="1943" spans="1:16">
      <c r="A1943">
        <v>1942</v>
      </c>
      <c r="B1943" t="s">
        <v>2003</v>
      </c>
      <c r="C1943">
        <v>146</v>
      </c>
      <c r="D1943">
        <v>154</v>
      </c>
      <c r="E1943">
        <v>110.049019332612</v>
      </c>
      <c r="F1943">
        <v>0.95035460992907805</v>
      </c>
      <c r="G1943">
        <v>9511.78959697543</v>
      </c>
      <c r="H1943">
        <v>838.23113663777099</v>
      </c>
      <c r="I1943">
        <v>0.55226084821097299</v>
      </c>
      <c r="J1943">
        <v>0.17011574880373001</v>
      </c>
      <c r="K1943">
        <v>0.559846032718047</v>
      </c>
      <c r="L1943" t="s">
        <v>33</v>
      </c>
      <c r="M1943" t="s">
        <v>34</v>
      </c>
      <c r="N1943" t="s">
        <v>35</v>
      </c>
      <c r="O1943">
        <v>0.84083692985956704</v>
      </c>
      <c r="P1943" t="s">
        <v>36</v>
      </c>
    </row>
    <row r="1944" spans="1:16">
      <c r="A1944">
        <v>1943</v>
      </c>
      <c r="B1944" t="s">
        <v>2004</v>
      </c>
      <c r="C1944">
        <v>106</v>
      </c>
      <c r="D1944">
        <v>150</v>
      </c>
      <c r="E1944">
        <v>110.304945632938</v>
      </c>
      <c r="F1944">
        <v>0.706263424645033</v>
      </c>
      <c r="G1944">
        <v>9556.0816355387506</v>
      </c>
      <c r="H1944">
        <v>602.16577928874801</v>
      </c>
      <c r="I1944">
        <v>0.741150738382926</v>
      </c>
      <c r="J1944">
        <v>0.331175021226151</v>
      </c>
      <c r="K1944">
        <v>0.80718626023200901</v>
      </c>
      <c r="L1944" t="s">
        <v>38</v>
      </c>
      <c r="M1944" t="s">
        <v>34</v>
      </c>
      <c r="N1944" t="s">
        <v>35</v>
      </c>
      <c r="O1944">
        <v>0.74208164653969899</v>
      </c>
      <c r="P1944" t="s">
        <v>36</v>
      </c>
    </row>
    <row r="1945" spans="1:16">
      <c r="A1945">
        <v>1944</v>
      </c>
      <c r="B1945" t="s">
        <v>2005</v>
      </c>
      <c r="C1945">
        <v>93</v>
      </c>
      <c r="D1945">
        <v>148</v>
      </c>
      <c r="E1945">
        <v>110.314381214085</v>
      </c>
      <c r="F1945">
        <v>0.63281385797672796</v>
      </c>
      <c r="G1945">
        <v>9557.7165765595491</v>
      </c>
      <c r="H1945">
        <v>623.17132140522403</v>
      </c>
      <c r="I1945">
        <v>0.67398732494818803</v>
      </c>
      <c r="J1945">
        <v>0.30927804713683299</v>
      </c>
      <c r="K1945">
        <v>0.82625566962622199</v>
      </c>
      <c r="L1945" t="s">
        <v>38</v>
      </c>
      <c r="M1945" t="s">
        <v>34</v>
      </c>
      <c r="N1945" t="s">
        <v>35</v>
      </c>
      <c r="O1945">
        <v>0.79497182294397195</v>
      </c>
      <c r="P1945" t="s">
        <v>36</v>
      </c>
    </row>
    <row r="1946" spans="1:16">
      <c r="A1946">
        <v>1945</v>
      </c>
      <c r="B1946" t="s">
        <v>2006</v>
      </c>
      <c r="C1946">
        <v>148</v>
      </c>
      <c r="D1946">
        <v>111</v>
      </c>
      <c r="E1946">
        <v>110.60734046122801</v>
      </c>
      <c r="F1946">
        <v>1.33456732147642</v>
      </c>
      <c r="G1946">
        <v>9608.5483792060495</v>
      </c>
      <c r="H1946">
        <v>624.90051812099398</v>
      </c>
      <c r="I1946">
        <v>0.65969688809455096</v>
      </c>
      <c r="J1946">
        <v>0.30920454976262501</v>
      </c>
      <c r="K1946">
        <v>0.79838709677419395</v>
      </c>
      <c r="L1946" t="s">
        <v>38</v>
      </c>
      <c r="M1946" t="s">
        <v>34</v>
      </c>
      <c r="N1946" t="s">
        <v>35</v>
      </c>
      <c r="O1946">
        <v>0.701514496334259</v>
      </c>
      <c r="P1946" t="s">
        <v>36</v>
      </c>
    </row>
    <row r="1947" spans="1:16">
      <c r="A1947">
        <v>1946</v>
      </c>
      <c r="B1947" t="s">
        <v>2007</v>
      </c>
      <c r="C1947">
        <v>111</v>
      </c>
      <c r="D1947">
        <v>157</v>
      </c>
      <c r="E1947">
        <v>110.63471216449101</v>
      </c>
      <c r="F1947">
        <v>0.70645607559416201</v>
      </c>
      <c r="G1947">
        <v>9613.3045712665407</v>
      </c>
      <c r="H1947">
        <v>790.58240563817697</v>
      </c>
      <c r="I1947">
        <v>0.72610822900177296</v>
      </c>
      <c r="J1947">
        <v>0.193280604907836</v>
      </c>
      <c r="K1947">
        <v>0.70433409561145599</v>
      </c>
      <c r="L1947" t="s">
        <v>38</v>
      </c>
      <c r="M1947" t="s">
        <v>34</v>
      </c>
      <c r="N1947" t="s">
        <v>35</v>
      </c>
      <c r="O1947">
        <v>0.69819954017851804</v>
      </c>
      <c r="P1947" t="s">
        <v>36</v>
      </c>
    </row>
    <row r="1948" spans="1:16">
      <c r="A1948">
        <v>1947</v>
      </c>
      <c r="B1948" t="s">
        <v>2008</v>
      </c>
      <c r="C1948">
        <v>103</v>
      </c>
      <c r="D1948">
        <v>156</v>
      </c>
      <c r="E1948">
        <v>110.64497480749</v>
      </c>
      <c r="F1948">
        <v>0.655052297782722</v>
      </c>
      <c r="G1948">
        <v>9615.0881432892293</v>
      </c>
      <c r="H1948">
        <v>1537.9498048549101</v>
      </c>
      <c r="I1948">
        <v>0.63696455911716898</v>
      </c>
      <c r="J1948">
        <v>5.1083284255424397E-2</v>
      </c>
      <c r="K1948">
        <v>0.60483184831287296</v>
      </c>
      <c r="L1948" t="s">
        <v>43</v>
      </c>
      <c r="M1948" t="s">
        <v>34</v>
      </c>
      <c r="N1948" t="s">
        <v>35</v>
      </c>
      <c r="O1948">
        <v>0.74337648628263098</v>
      </c>
      <c r="P1948" t="s">
        <v>36</v>
      </c>
    </row>
    <row r="1949" spans="1:16">
      <c r="A1949">
        <v>1948</v>
      </c>
      <c r="B1949" t="s">
        <v>2009</v>
      </c>
      <c r="C1949">
        <v>159</v>
      </c>
      <c r="D1949">
        <v>122</v>
      </c>
      <c r="E1949">
        <v>110.979699291667</v>
      </c>
      <c r="F1949">
        <v>1.3049327354260101</v>
      </c>
      <c r="G1949">
        <v>9673.3514960302491</v>
      </c>
      <c r="H1949">
        <v>952.68528685352101</v>
      </c>
      <c r="I1949">
        <v>0.65152713667065598</v>
      </c>
      <c r="J1949">
        <v>0.133933098640177</v>
      </c>
      <c r="K1949">
        <v>0.55276411785189505</v>
      </c>
      <c r="L1949" t="s">
        <v>33</v>
      </c>
      <c r="M1949" t="s">
        <v>34</v>
      </c>
      <c r="N1949" t="s">
        <v>35</v>
      </c>
      <c r="O1949">
        <v>0.72311879507293098</v>
      </c>
      <c r="P1949" t="s">
        <v>36</v>
      </c>
    </row>
    <row r="1950" spans="1:16">
      <c r="A1950">
        <v>1949</v>
      </c>
      <c r="B1950" t="s">
        <v>2010</v>
      </c>
      <c r="C1950">
        <v>122</v>
      </c>
      <c r="D1950">
        <v>122</v>
      </c>
      <c r="E1950">
        <v>111.013798104722</v>
      </c>
      <c r="F1950">
        <v>1</v>
      </c>
      <c r="G1950">
        <v>9679.29673610586</v>
      </c>
      <c r="H1950">
        <v>1127.0883758575001</v>
      </c>
      <c r="I1950">
        <v>0.47527676547748199</v>
      </c>
      <c r="J1950">
        <v>9.5749767188255994E-2</v>
      </c>
      <c r="K1950">
        <v>0.71230284601754401</v>
      </c>
      <c r="L1950" t="s">
        <v>38</v>
      </c>
      <c r="M1950" t="s">
        <v>34</v>
      </c>
      <c r="N1950" t="s">
        <v>35</v>
      </c>
      <c r="O1950">
        <v>0.69815256208624299</v>
      </c>
      <c r="P1950" t="s">
        <v>36</v>
      </c>
    </row>
    <row r="1951" spans="1:16">
      <c r="A1951">
        <v>1950</v>
      </c>
      <c r="B1951" t="s">
        <v>2011</v>
      </c>
      <c r="C1951">
        <v>102</v>
      </c>
      <c r="D1951">
        <v>234</v>
      </c>
      <c r="E1951">
        <v>111.37205492205401</v>
      </c>
      <c r="F1951">
        <v>0.434507287345267</v>
      </c>
      <c r="G1951">
        <v>9741.8703879016994</v>
      </c>
      <c r="H1951">
        <v>1187.86544243667</v>
      </c>
      <c r="I1951">
        <v>0.60968238638432803</v>
      </c>
      <c r="J1951">
        <v>8.6759634799697297E-2</v>
      </c>
      <c r="K1951">
        <v>0.56809534127843997</v>
      </c>
      <c r="L1951" t="s">
        <v>38</v>
      </c>
      <c r="M1951" t="s">
        <v>34</v>
      </c>
      <c r="N1951" t="s">
        <v>35</v>
      </c>
      <c r="O1951">
        <v>0.70578424028828302</v>
      </c>
      <c r="P1951" t="s">
        <v>36</v>
      </c>
    </row>
    <row r="1952" spans="1:16">
      <c r="A1952">
        <v>1951</v>
      </c>
      <c r="B1952" t="s">
        <v>2012</v>
      </c>
      <c r="C1952">
        <v>156</v>
      </c>
      <c r="D1952">
        <v>122</v>
      </c>
      <c r="E1952">
        <v>111.405184302433</v>
      </c>
      <c r="F1952">
        <v>1.28125</v>
      </c>
      <c r="G1952">
        <v>9747.6669969754294</v>
      </c>
      <c r="H1952">
        <v>1556.70087572834</v>
      </c>
      <c r="I1952">
        <v>0.55698621412194704</v>
      </c>
      <c r="J1952">
        <v>5.05475614404199E-2</v>
      </c>
      <c r="K1952">
        <v>0.55768805591931803</v>
      </c>
      <c r="L1952" t="s">
        <v>38</v>
      </c>
      <c r="M1952" t="s">
        <v>34</v>
      </c>
      <c r="N1952" t="s">
        <v>35</v>
      </c>
      <c r="O1952">
        <v>0.704783621264368</v>
      </c>
      <c r="P1952" t="s">
        <v>36</v>
      </c>
    </row>
    <row r="1953" spans="1:16">
      <c r="A1953">
        <v>1952</v>
      </c>
      <c r="B1953" t="s">
        <v>2013</v>
      </c>
      <c r="C1953">
        <v>152</v>
      </c>
      <c r="D1953">
        <v>147</v>
      </c>
      <c r="E1953">
        <v>111.41367742854</v>
      </c>
      <c r="F1953">
        <v>1.03345725666197</v>
      </c>
      <c r="G1953">
        <v>9749.1533069943307</v>
      </c>
      <c r="H1953">
        <v>1367.4778633829801</v>
      </c>
      <c r="I1953">
        <v>0.62106887025160895</v>
      </c>
      <c r="J1953">
        <v>6.5514307430554697E-2</v>
      </c>
      <c r="K1953">
        <v>0.45892337400649302</v>
      </c>
      <c r="L1953" t="s">
        <v>38</v>
      </c>
      <c r="M1953" t="s">
        <v>34</v>
      </c>
      <c r="N1953" t="s">
        <v>35</v>
      </c>
      <c r="O1953">
        <v>0.72002828548195796</v>
      </c>
      <c r="P1953" t="s">
        <v>36</v>
      </c>
    </row>
    <row r="1954" spans="1:16">
      <c r="A1954">
        <v>1953</v>
      </c>
      <c r="B1954" t="s">
        <v>2014</v>
      </c>
      <c r="C1954">
        <v>118</v>
      </c>
      <c r="D1954">
        <v>119</v>
      </c>
      <c r="E1954">
        <v>111.69443543816099</v>
      </c>
      <c r="F1954">
        <v>0.99199401308567203</v>
      </c>
      <c r="G1954">
        <v>9798.3501686200398</v>
      </c>
      <c r="H1954">
        <v>578.17621407135698</v>
      </c>
      <c r="I1954">
        <v>0.70359681675565899</v>
      </c>
      <c r="J1954">
        <v>0.36833448228582699</v>
      </c>
      <c r="K1954">
        <v>0.83010980155132497</v>
      </c>
      <c r="L1954" t="s">
        <v>38</v>
      </c>
      <c r="M1954" t="s">
        <v>34</v>
      </c>
      <c r="N1954" t="s">
        <v>35</v>
      </c>
      <c r="O1954">
        <v>0.73514354882895905</v>
      </c>
      <c r="P1954" t="s">
        <v>36</v>
      </c>
    </row>
    <row r="1955" spans="1:16">
      <c r="A1955">
        <v>1954</v>
      </c>
      <c r="B1955" t="s">
        <v>2015</v>
      </c>
      <c r="C1955">
        <v>122</v>
      </c>
      <c r="D1955">
        <v>132</v>
      </c>
      <c r="E1955">
        <v>111.879806471946</v>
      </c>
      <c r="F1955">
        <v>0.92561983471074405</v>
      </c>
      <c r="G1955">
        <v>9830.9003580340304</v>
      </c>
      <c r="H1955">
        <v>647.72215387375502</v>
      </c>
      <c r="I1955">
        <v>0.66943539613496295</v>
      </c>
      <c r="J1955">
        <v>0.294459557813194</v>
      </c>
      <c r="K1955">
        <v>0.77923470229259395</v>
      </c>
      <c r="L1955" t="s">
        <v>38</v>
      </c>
      <c r="M1955" t="s">
        <v>34</v>
      </c>
      <c r="N1955" t="s">
        <v>35</v>
      </c>
      <c r="O1955">
        <v>0.82742041103485398</v>
      </c>
      <c r="P1955" t="s">
        <v>36</v>
      </c>
    </row>
    <row r="1956" spans="1:16">
      <c r="A1956">
        <v>1955</v>
      </c>
      <c r="B1956" t="s">
        <v>2016</v>
      </c>
      <c r="C1956">
        <v>126</v>
      </c>
      <c r="D1956">
        <v>177</v>
      </c>
      <c r="E1956">
        <v>112.087665878179</v>
      </c>
      <c r="F1956">
        <v>0.71222816918429499</v>
      </c>
      <c r="G1956">
        <v>9867.4635844990607</v>
      </c>
      <c r="H1956">
        <v>1113.77067442013</v>
      </c>
      <c r="I1956">
        <v>0.66922695010961797</v>
      </c>
      <c r="J1956">
        <v>9.9959445629212093E-2</v>
      </c>
      <c r="K1956">
        <v>0.58018649444624104</v>
      </c>
      <c r="L1956" t="s">
        <v>38</v>
      </c>
      <c r="M1956" t="s">
        <v>34</v>
      </c>
      <c r="N1956" t="s">
        <v>35</v>
      </c>
      <c r="O1956">
        <v>0.67442391012597602</v>
      </c>
      <c r="P1956" t="s">
        <v>36</v>
      </c>
    </row>
    <row r="1957" spans="1:16">
      <c r="A1957">
        <v>1956</v>
      </c>
      <c r="B1957" t="s">
        <v>2017</v>
      </c>
      <c r="C1957">
        <v>219</v>
      </c>
      <c r="D1957">
        <v>109</v>
      </c>
      <c r="E1957">
        <v>112.14421123826899</v>
      </c>
      <c r="F1957">
        <v>2.00997059861567</v>
      </c>
      <c r="G1957">
        <v>9877.4218616257094</v>
      </c>
      <c r="H1957">
        <v>1055.95493346069</v>
      </c>
      <c r="I1957">
        <v>0.65563111778654803</v>
      </c>
      <c r="J1957">
        <v>0.11131730913724699</v>
      </c>
      <c r="K1957">
        <v>0.57743137919349397</v>
      </c>
      <c r="L1957" t="s">
        <v>38</v>
      </c>
      <c r="M1957" t="s">
        <v>34</v>
      </c>
      <c r="N1957" t="s">
        <v>35</v>
      </c>
      <c r="O1957">
        <v>0.74147829346976701</v>
      </c>
      <c r="P1957" t="s">
        <v>36</v>
      </c>
    </row>
    <row r="1958" spans="1:16">
      <c r="A1958">
        <v>1957</v>
      </c>
      <c r="B1958" t="s">
        <v>2018</v>
      </c>
      <c r="C1958">
        <v>186</v>
      </c>
      <c r="D1958">
        <v>134</v>
      </c>
      <c r="E1958">
        <v>112.199884775428</v>
      </c>
      <c r="F1958">
        <v>1.38403254578863</v>
      </c>
      <c r="G1958">
        <v>9887.23150775047</v>
      </c>
      <c r="H1958">
        <v>753.69309588307897</v>
      </c>
      <c r="I1958">
        <v>0.535362044864375</v>
      </c>
      <c r="J1958">
        <v>0.21872352337779299</v>
      </c>
      <c r="K1958">
        <v>0.563908244748487</v>
      </c>
      <c r="L1958" t="s">
        <v>47</v>
      </c>
      <c r="M1958" t="s">
        <v>34</v>
      </c>
      <c r="N1958" t="s">
        <v>35</v>
      </c>
      <c r="O1958">
        <v>0.92596422448196902</v>
      </c>
      <c r="P1958" t="s">
        <v>36</v>
      </c>
    </row>
    <row r="1959" spans="1:16">
      <c r="A1959">
        <v>1958</v>
      </c>
      <c r="B1959" t="s">
        <v>2019</v>
      </c>
      <c r="C1959">
        <v>95</v>
      </c>
      <c r="D1959">
        <v>210</v>
      </c>
      <c r="E1959">
        <v>113.040905231995</v>
      </c>
      <c r="F1959">
        <v>0.45003717933172899</v>
      </c>
      <c r="G1959">
        <v>10036.0111406427</v>
      </c>
      <c r="H1959">
        <v>872.50670845518903</v>
      </c>
      <c r="I1959">
        <v>0.783805786602077</v>
      </c>
      <c r="J1959">
        <v>0.165666023953291</v>
      </c>
      <c r="K1959">
        <v>0.72479900387501195</v>
      </c>
      <c r="L1959" t="s">
        <v>38</v>
      </c>
      <c r="M1959" t="s">
        <v>34</v>
      </c>
      <c r="N1959" t="s">
        <v>35</v>
      </c>
      <c r="O1959">
        <v>0.784277588489665</v>
      </c>
      <c r="P1959" t="s">
        <v>36</v>
      </c>
    </row>
    <row r="1960" spans="1:16">
      <c r="A1960">
        <v>1959</v>
      </c>
      <c r="B1960" t="s">
        <v>2020</v>
      </c>
      <c r="C1960">
        <v>176</v>
      </c>
      <c r="D1960">
        <v>137</v>
      </c>
      <c r="E1960">
        <v>113.813378618377</v>
      </c>
      <c r="F1960">
        <v>1.2828685258964101</v>
      </c>
      <c r="G1960">
        <v>10173.643448393201</v>
      </c>
      <c r="H1960">
        <v>1279.2333731339299</v>
      </c>
      <c r="I1960">
        <v>0.53696382361802397</v>
      </c>
      <c r="J1960">
        <v>7.8124421627163501E-2</v>
      </c>
      <c r="K1960">
        <v>0.50335698790307803</v>
      </c>
      <c r="L1960" t="s">
        <v>38</v>
      </c>
      <c r="M1960" t="s">
        <v>34</v>
      </c>
      <c r="N1960" t="s">
        <v>35</v>
      </c>
      <c r="O1960">
        <v>0.69013656693754</v>
      </c>
      <c r="P1960" t="s">
        <v>36</v>
      </c>
    </row>
    <row r="1961" spans="1:16">
      <c r="A1961">
        <v>1960</v>
      </c>
      <c r="B1961" t="s">
        <v>2021</v>
      </c>
      <c r="C1961">
        <v>210</v>
      </c>
      <c r="D1961">
        <v>105</v>
      </c>
      <c r="E1961">
        <v>113.869897987283</v>
      </c>
      <c r="F1961">
        <v>1.99726644872286</v>
      </c>
      <c r="G1961">
        <v>10183.750356521699</v>
      </c>
      <c r="H1961">
        <v>926.01550748503701</v>
      </c>
      <c r="I1961">
        <v>0.54216682253308601</v>
      </c>
      <c r="J1961">
        <v>0.14923857353091499</v>
      </c>
      <c r="K1961">
        <v>0.61273273595535804</v>
      </c>
      <c r="L1961" t="s">
        <v>33</v>
      </c>
      <c r="M1961" t="s">
        <v>34</v>
      </c>
      <c r="N1961" t="s">
        <v>35</v>
      </c>
      <c r="O1961">
        <v>0.69206979186682505</v>
      </c>
      <c r="P1961" t="s">
        <v>36</v>
      </c>
    </row>
    <row r="1962" spans="1:16">
      <c r="A1962">
        <v>1961</v>
      </c>
      <c r="B1962" t="s">
        <v>2022</v>
      </c>
      <c r="C1962">
        <v>97</v>
      </c>
      <c r="D1962">
        <v>150</v>
      </c>
      <c r="E1962">
        <v>114.48729014687</v>
      </c>
      <c r="F1962">
        <v>0.65013344129500605</v>
      </c>
      <c r="G1962">
        <v>10294.4804529301</v>
      </c>
      <c r="H1962">
        <v>723.51401888639998</v>
      </c>
      <c r="I1962">
        <v>0.73460157834330297</v>
      </c>
      <c r="J1962">
        <v>0.24712711341009799</v>
      </c>
      <c r="K1962">
        <v>0.80958002641637306</v>
      </c>
      <c r="L1962" t="s">
        <v>211</v>
      </c>
      <c r="M1962" t="s">
        <v>34</v>
      </c>
      <c r="N1962" t="s">
        <v>35</v>
      </c>
      <c r="O1962">
        <v>0.62893199165479197</v>
      </c>
      <c r="P1962" t="s">
        <v>36</v>
      </c>
    </row>
    <row r="1963" spans="1:16">
      <c r="A1963">
        <v>1962</v>
      </c>
      <c r="B1963" t="s">
        <v>2023</v>
      </c>
      <c r="C1963">
        <v>128</v>
      </c>
      <c r="D1963">
        <v>119</v>
      </c>
      <c r="E1963">
        <v>114.999388811136</v>
      </c>
      <c r="F1963">
        <v>1.07614297794421</v>
      </c>
      <c r="G1963">
        <v>10386.780305103999</v>
      </c>
      <c r="H1963">
        <v>625.99095290360299</v>
      </c>
      <c r="I1963">
        <v>0.66491055957691503</v>
      </c>
      <c r="J1963">
        <v>0.33308470948806101</v>
      </c>
      <c r="K1963">
        <v>0.84477298002997903</v>
      </c>
      <c r="L1963" t="s">
        <v>38</v>
      </c>
      <c r="M1963" t="s">
        <v>34</v>
      </c>
      <c r="N1963" t="s">
        <v>35</v>
      </c>
      <c r="O1963">
        <v>0.77888953551477302</v>
      </c>
      <c r="P1963" t="s">
        <v>36</v>
      </c>
    </row>
    <row r="1964" spans="1:16">
      <c r="A1964">
        <v>1963</v>
      </c>
      <c r="B1964" t="s">
        <v>2024</v>
      </c>
      <c r="C1964">
        <v>142</v>
      </c>
      <c r="D1964">
        <v>106</v>
      </c>
      <c r="E1964">
        <v>115.250890429983</v>
      </c>
      <c r="F1964">
        <v>1.3328997780872101</v>
      </c>
      <c r="G1964">
        <v>10432.261391682399</v>
      </c>
      <c r="H1964">
        <v>519.14942545901204</v>
      </c>
      <c r="I1964">
        <v>0.58945648638537496</v>
      </c>
      <c r="J1964">
        <v>0.48641120277872102</v>
      </c>
      <c r="K1964">
        <v>0.83796755053067695</v>
      </c>
      <c r="L1964" t="s">
        <v>38</v>
      </c>
      <c r="M1964" t="s">
        <v>34</v>
      </c>
      <c r="N1964" t="s">
        <v>35</v>
      </c>
      <c r="O1964">
        <v>0.73113272609834901</v>
      </c>
      <c r="P1964" t="s">
        <v>36</v>
      </c>
    </row>
    <row r="1965" spans="1:16">
      <c r="A1965">
        <v>1964</v>
      </c>
      <c r="B1965" t="s">
        <v>2025</v>
      </c>
      <c r="C1965">
        <v>95</v>
      </c>
      <c r="D1965">
        <v>173</v>
      </c>
      <c r="E1965">
        <v>115.408415532779</v>
      </c>
      <c r="F1965">
        <v>0.550673668202453</v>
      </c>
      <c r="G1965">
        <v>10460.798544045399</v>
      </c>
      <c r="H1965">
        <v>647.16088662261598</v>
      </c>
      <c r="I1965">
        <v>0.76339062843508698</v>
      </c>
      <c r="J1965">
        <v>0.313870269157147</v>
      </c>
      <c r="K1965">
        <v>0.81152351632133002</v>
      </c>
      <c r="L1965" t="s">
        <v>33</v>
      </c>
      <c r="M1965" t="s">
        <v>34</v>
      </c>
      <c r="N1965" t="s">
        <v>35</v>
      </c>
      <c r="O1965">
        <v>0.67041322365095002</v>
      </c>
      <c r="P1965" t="s">
        <v>36</v>
      </c>
    </row>
    <row r="1966" spans="1:16">
      <c r="A1966">
        <v>1965</v>
      </c>
      <c r="B1966" t="s">
        <v>2026</v>
      </c>
      <c r="C1966">
        <v>124</v>
      </c>
      <c r="D1966">
        <v>122</v>
      </c>
      <c r="E1966">
        <v>115.77268871617299</v>
      </c>
      <c r="F1966">
        <v>1.0129701111282601</v>
      </c>
      <c r="G1966">
        <v>10526.9393398866</v>
      </c>
      <c r="H1966">
        <v>580.55746796297001</v>
      </c>
      <c r="I1966">
        <v>0.66214347577948895</v>
      </c>
      <c r="J1966">
        <v>0.39248363444411999</v>
      </c>
      <c r="K1966">
        <v>0.89534163453637605</v>
      </c>
      <c r="L1966" t="s">
        <v>38</v>
      </c>
      <c r="M1966" t="s">
        <v>34</v>
      </c>
      <c r="N1966" t="s">
        <v>35</v>
      </c>
      <c r="O1966">
        <v>0.73060294856951702</v>
      </c>
      <c r="P1966" t="s">
        <v>36</v>
      </c>
    </row>
    <row r="1967" spans="1:16">
      <c r="A1967">
        <v>1966</v>
      </c>
      <c r="B1967" t="s">
        <v>2027</v>
      </c>
      <c r="C1967">
        <v>93</v>
      </c>
      <c r="D1967">
        <v>206</v>
      </c>
      <c r="E1967">
        <v>115.83560399764301</v>
      </c>
      <c r="F1967">
        <v>0.449811194740801</v>
      </c>
      <c r="G1967">
        <v>10538.3839270321</v>
      </c>
      <c r="H1967">
        <v>830.77350323065502</v>
      </c>
      <c r="I1967">
        <v>0.70931184577322404</v>
      </c>
      <c r="J1967">
        <v>0.19187509469283001</v>
      </c>
      <c r="K1967">
        <v>0.74344402386469699</v>
      </c>
      <c r="L1967" t="s">
        <v>33</v>
      </c>
      <c r="M1967" t="s">
        <v>34</v>
      </c>
      <c r="N1967" t="s">
        <v>35</v>
      </c>
      <c r="O1967">
        <v>0.69939979687877396</v>
      </c>
      <c r="P1967" t="s">
        <v>36</v>
      </c>
    </row>
    <row r="1968" spans="1:16">
      <c r="A1968">
        <v>1967</v>
      </c>
      <c r="B1968" t="s">
        <v>2028</v>
      </c>
      <c r="C1968">
        <v>117</v>
      </c>
      <c r="D1968">
        <v>166</v>
      </c>
      <c r="E1968">
        <v>115.868273777881</v>
      </c>
      <c r="F1968">
        <v>0.70723684210526305</v>
      </c>
      <c r="G1968">
        <v>10544.3291671078</v>
      </c>
      <c r="H1968">
        <v>998.88754883610704</v>
      </c>
      <c r="I1968">
        <v>0.71750843496983696</v>
      </c>
      <c r="J1968">
        <v>0.132799249206971</v>
      </c>
      <c r="K1968">
        <v>0.67673684310938598</v>
      </c>
      <c r="L1968" t="s">
        <v>38</v>
      </c>
      <c r="M1968" t="s">
        <v>34</v>
      </c>
      <c r="N1968" t="s">
        <v>35</v>
      </c>
      <c r="O1968">
        <v>0.76565824401614702</v>
      </c>
      <c r="P1968" t="s">
        <v>36</v>
      </c>
    </row>
    <row r="1969" spans="1:16">
      <c r="A1969">
        <v>1968</v>
      </c>
      <c r="B1969" t="s">
        <v>2029</v>
      </c>
      <c r="C1969">
        <v>183</v>
      </c>
      <c r="D1969">
        <v>101</v>
      </c>
      <c r="E1969">
        <v>116.48400953507</v>
      </c>
      <c r="F1969">
        <v>1.8158756418225399</v>
      </c>
      <c r="G1969">
        <v>10656.6942045369</v>
      </c>
      <c r="H1969">
        <v>798.17005415408505</v>
      </c>
      <c r="I1969">
        <v>0.77198736322100603</v>
      </c>
      <c r="J1969">
        <v>0.210204257561559</v>
      </c>
      <c r="K1969">
        <v>0.74494789447982801</v>
      </c>
      <c r="L1969" t="s">
        <v>33</v>
      </c>
      <c r="M1969" t="s">
        <v>34</v>
      </c>
      <c r="N1969" t="s">
        <v>35</v>
      </c>
      <c r="O1969">
        <v>0.71800760932031804</v>
      </c>
      <c r="P1969" t="s">
        <v>36</v>
      </c>
    </row>
    <row r="1970" spans="1:16">
      <c r="A1970">
        <v>1969</v>
      </c>
      <c r="B1970" t="s">
        <v>2030</v>
      </c>
      <c r="C1970">
        <v>142</v>
      </c>
      <c r="D1970">
        <v>176</v>
      </c>
      <c r="E1970">
        <v>116.568459438053</v>
      </c>
      <c r="F1970">
        <v>0.80495352351488503</v>
      </c>
      <c r="G1970">
        <v>10672.1518287335</v>
      </c>
      <c r="H1970">
        <v>1560.4660154277301</v>
      </c>
      <c r="I1970">
        <v>0.60273936814385498</v>
      </c>
      <c r="J1970">
        <v>5.5074838146068901E-2</v>
      </c>
      <c r="K1970">
        <v>0.45215425498419398</v>
      </c>
      <c r="L1970" t="s">
        <v>298</v>
      </c>
      <c r="M1970" t="s">
        <v>34</v>
      </c>
      <c r="N1970" t="s">
        <v>35</v>
      </c>
      <c r="O1970">
        <v>0.74181561196152501</v>
      </c>
      <c r="P1970" t="s">
        <v>36</v>
      </c>
    </row>
    <row r="1971" spans="1:16">
      <c r="A1971">
        <v>1970</v>
      </c>
      <c r="B1971" t="s">
        <v>2031</v>
      </c>
      <c r="C1971">
        <v>195</v>
      </c>
      <c r="D1971">
        <v>92</v>
      </c>
      <c r="E1971">
        <v>117.06498885050399</v>
      </c>
      <c r="F1971">
        <v>2.1217806270453101</v>
      </c>
      <c r="G1971">
        <v>10763.2626328923</v>
      </c>
      <c r="H1971">
        <v>715.16471879295705</v>
      </c>
      <c r="I1971">
        <v>0.675506869702451</v>
      </c>
      <c r="J1971">
        <v>0.264448823377961</v>
      </c>
      <c r="K1971">
        <v>0.81113836710462905</v>
      </c>
      <c r="L1971" t="s">
        <v>33</v>
      </c>
      <c r="M1971" t="s">
        <v>34</v>
      </c>
      <c r="N1971" t="s">
        <v>35</v>
      </c>
      <c r="O1971">
        <v>0.67356409848735999</v>
      </c>
      <c r="P1971" t="s">
        <v>36</v>
      </c>
    </row>
    <row r="1972" spans="1:16">
      <c r="A1972">
        <v>1971</v>
      </c>
      <c r="B1972" t="s">
        <v>2032</v>
      </c>
      <c r="C1972">
        <v>146</v>
      </c>
      <c r="D1972">
        <v>230</v>
      </c>
      <c r="E1972">
        <v>117.700191144632</v>
      </c>
      <c r="F1972">
        <v>0.632519232029772</v>
      </c>
      <c r="G1972">
        <v>10880.383862381899</v>
      </c>
      <c r="H1972">
        <v>2113.4519745534399</v>
      </c>
      <c r="I1972">
        <v>0.65862426471290703</v>
      </c>
      <c r="J1972">
        <v>3.0610421842946298E-2</v>
      </c>
      <c r="K1972">
        <v>0.41194113840353402</v>
      </c>
      <c r="L1972" t="s">
        <v>61</v>
      </c>
      <c r="M1972" t="s">
        <v>34</v>
      </c>
      <c r="N1972" t="s">
        <v>35</v>
      </c>
      <c r="O1972">
        <v>0.81206235308003905</v>
      </c>
      <c r="P1972" t="s">
        <v>36</v>
      </c>
    </row>
    <row r="1973" spans="1:16">
      <c r="A1973">
        <v>1972</v>
      </c>
      <c r="B1973" t="s">
        <v>2033</v>
      </c>
      <c r="C1973">
        <v>102</v>
      </c>
      <c r="D1973">
        <v>250</v>
      </c>
      <c r="E1973">
        <v>118.34637615086601</v>
      </c>
      <c r="F1973">
        <v>0.408296943231441</v>
      </c>
      <c r="G1973">
        <v>11000.1804499055</v>
      </c>
      <c r="H1973">
        <v>1309.6199599214201</v>
      </c>
      <c r="I1973">
        <v>0.73824345007135805</v>
      </c>
      <c r="J1973">
        <v>8.05970418948464E-2</v>
      </c>
      <c r="K1973">
        <v>0.55674244361863801</v>
      </c>
      <c r="L1973" t="s">
        <v>67</v>
      </c>
      <c r="M1973" t="s">
        <v>34</v>
      </c>
      <c r="N1973" t="s">
        <v>35</v>
      </c>
      <c r="O1973">
        <v>0.67644617960236697</v>
      </c>
      <c r="P1973" t="s">
        <v>36</v>
      </c>
    </row>
    <row r="1974" spans="1:16">
      <c r="A1974">
        <v>1973</v>
      </c>
      <c r="B1974" t="s">
        <v>2034</v>
      </c>
      <c r="C1974">
        <v>116</v>
      </c>
      <c r="D1974">
        <v>183</v>
      </c>
      <c r="E1974">
        <v>118.535713217739</v>
      </c>
      <c r="F1974">
        <v>0.63321261573634002</v>
      </c>
      <c r="G1974">
        <v>11035.4059973535</v>
      </c>
      <c r="H1974">
        <v>1035.6335482397301</v>
      </c>
      <c r="I1974">
        <v>0.78658970826944696</v>
      </c>
      <c r="J1974">
        <v>0.12929625879881901</v>
      </c>
      <c r="K1974">
        <v>0.65544059746817596</v>
      </c>
      <c r="L1974" t="s">
        <v>33</v>
      </c>
      <c r="M1974" t="s">
        <v>34</v>
      </c>
      <c r="N1974" t="s">
        <v>35</v>
      </c>
      <c r="O1974">
        <v>0.74848538579629997</v>
      </c>
      <c r="P1974" t="s">
        <v>36</v>
      </c>
    </row>
    <row r="1975" spans="1:16">
      <c r="A1975">
        <v>1974</v>
      </c>
      <c r="B1975" t="s">
        <v>2035</v>
      </c>
      <c r="C1975">
        <v>93</v>
      </c>
      <c r="D1975">
        <v>166</v>
      </c>
      <c r="E1975">
        <v>118.63545282370499</v>
      </c>
      <c r="F1975">
        <v>0.5625</v>
      </c>
      <c r="G1975">
        <v>11053.984872589799</v>
      </c>
      <c r="H1975">
        <v>733.14084284616604</v>
      </c>
      <c r="I1975">
        <v>0.74428981011012496</v>
      </c>
      <c r="J1975">
        <v>0.25843652988830601</v>
      </c>
      <c r="K1975">
        <v>0.81997794928335199</v>
      </c>
      <c r="L1975" t="s">
        <v>38</v>
      </c>
      <c r="M1975" t="s">
        <v>34</v>
      </c>
      <c r="N1975" t="s">
        <v>35</v>
      </c>
      <c r="O1975">
        <v>0.80751189054271699</v>
      </c>
      <c r="P1975" t="s">
        <v>36</v>
      </c>
    </row>
    <row r="1976" spans="1:16">
      <c r="A1976">
        <v>1975</v>
      </c>
      <c r="B1976" t="s">
        <v>2036</v>
      </c>
      <c r="C1976">
        <v>195</v>
      </c>
      <c r="D1976">
        <v>111</v>
      </c>
      <c r="E1976">
        <v>118.833088398149</v>
      </c>
      <c r="F1976">
        <v>1.7527912517637001</v>
      </c>
      <c r="G1976">
        <v>11090.8453610586</v>
      </c>
      <c r="H1976">
        <v>853.46512387462303</v>
      </c>
      <c r="I1976">
        <v>0.53967880021171799</v>
      </c>
      <c r="J1976">
        <v>0.19133876062319699</v>
      </c>
      <c r="K1976">
        <v>0.63836703966054098</v>
      </c>
      <c r="L1976" t="s">
        <v>38</v>
      </c>
      <c r="M1976" t="s">
        <v>34</v>
      </c>
      <c r="N1976" t="s">
        <v>35</v>
      </c>
      <c r="O1976">
        <v>0.83351985309630605</v>
      </c>
      <c r="P1976" t="s">
        <v>36</v>
      </c>
    </row>
    <row r="1977" spans="1:16">
      <c r="A1977">
        <v>1976</v>
      </c>
      <c r="B1977" t="s">
        <v>2037</v>
      </c>
      <c r="C1977">
        <v>137</v>
      </c>
      <c r="D1977">
        <v>162</v>
      </c>
      <c r="E1977">
        <v>118.962807153828</v>
      </c>
      <c r="F1977">
        <v>0.84848484848484895</v>
      </c>
      <c r="G1977">
        <v>11115.072214366701</v>
      </c>
      <c r="H1977">
        <v>1717.9756291527301</v>
      </c>
      <c r="I1977">
        <v>0.59331274415628099</v>
      </c>
      <c r="J1977">
        <v>4.7324731126112199E-2</v>
      </c>
      <c r="K1977">
        <v>0.57361243211732604</v>
      </c>
      <c r="L1977" t="s">
        <v>38</v>
      </c>
      <c r="M1977" t="s">
        <v>34</v>
      </c>
      <c r="N1977" t="s">
        <v>35</v>
      </c>
      <c r="O1977">
        <v>0.76359497248427299</v>
      </c>
      <c r="P1977" t="s">
        <v>36</v>
      </c>
    </row>
    <row r="1978" spans="1:16">
      <c r="A1978">
        <v>1977</v>
      </c>
      <c r="B1978" t="s">
        <v>2038</v>
      </c>
      <c r="C1978">
        <v>81</v>
      </c>
      <c r="D1978">
        <v>218</v>
      </c>
      <c r="E1978">
        <v>119.49611162714901</v>
      </c>
      <c r="F1978">
        <v>0.36900782572729901</v>
      </c>
      <c r="G1978">
        <v>11214.9522476371</v>
      </c>
      <c r="H1978">
        <v>893.64454245453305</v>
      </c>
      <c r="I1978">
        <v>0.70580733527373696</v>
      </c>
      <c r="J1978">
        <v>0.176472759934828</v>
      </c>
      <c r="K1978">
        <v>0.68638509610573895</v>
      </c>
      <c r="L1978" t="s">
        <v>38</v>
      </c>
      <c r="M1978" t="s">
        <v>34</v>
      </c>
      <c r="N1978" t="s">
        <v>35</v>
      </c>
      <c r="O1978">
        <v>0.76099870801645297</v>
      </c>
      <c r="P1978" t="s">
        <v>36</v>
      </c>
    </row>
    <row r="1979" spans="1:16">
      <c r="A1979">
        <v>1978</v>
      </c>
      <c r="B1979" t="s">
        <v>2039</v>
      </c>
      <c r="C1979">
        <v>161</v>
      </c>
      <c r="D1979">
        <v>152</v>
      </c>
      <c r="E1979">
        <v>119.773723917604</v>
      </c>
      <c r="F1979">
        <v>1.06115107913669</v>
      </c>
      <c r="G1979">
        <v>11267.121729300599</v>
      </c>
      <c r="H1979">
        <v>1417.41801403564</v>
      </c>
      <c r="I1979">
        <v>0.61976062940619003</v>
      </c>
      <c r="J1979">
        <v>7.0473680727427906E-2</v>
      </c>
      <c r="K1979">
        <v>0.655047266819902</v>
      </c>
      <c r="L1979" t="s">
        <v>38</v>
      </c>
      <c r="M1979" t="s">
        <v>34</v>
      </c>
      <c r="N1979" t="s">
        <v>35</v>
      </c>
      <c r="O1979">
        <v>0.74437461368261104</v>
      </c>
      <c r="P1979" t="s">
        <v>36</v>
      </c>
    </row>
    <row r="1980" spans="1:16">
      <c r="A1980">
        <v>1979</v>
      </c>
      <c r="B1980" t="s">
        <v>2040</v>
      </c>
      <c r="C1980">
        <v>230</v>
      </c>
      <c r="D1980">
        <v>117</v>
      </c>
      <c r="E1980">
        <v>119.91268359129501</v>
      </c>
      <c r="F1980">
        <v>1.96279069767442</v>
      </c>
      <c r="G1980">
        <v>11293.2807856333</v>
      </c>
      <c r="H1980">
        <v>1629.2856358325</v>
      </c>
      <c r="I1980">
        <v>0.70626111378563405</v>
      </c>
      <c r="J1980">
        <v>5.3460809781919798E-2</v>
      </c>
      <c r="K1980">
        <v>0.56751689883108603</v>
      </c>
      <c r="L1980" t="s">
        <v>33</v>
      </c>
      <c r="M1980" t="s">
        <v>34</v>
      </c>
      <c r="N1980" t="s">
        <v>35</v>
      </c>
      <c r="O1980">
        <v>0.72429573784988899</v>
      </c>
      <c r="P1980" t="s">
        <v>36</v>
      </c>
    </row>
    <row r="1981" spans="1:16">
      <c r="A1981">
        <v>1980</v>
      </c>
      <c r="B1981" t="s">
        <v>2041</v>
      </c>
      <c r="C1981">
        <v>106</v>
      </c>
      <c r="D1981">
        <v>156</v>
      </c>
      <c r="E1981">
        <v>120.102702790314</v>
      </c>
      <c r="F1981">
        <v>0.68059884810554006</v>
      </c>
      <c r="G1981">
        <v>11329.100857088801</v>
      </c>
      <c r="H1981">
        <v>618.54499850905495</v>
      </c>
      <c r="I1981">
        <v>0.63182638076786302</v>
      </c>
      <c r="J1981">
        <v>0.372102602886488</v>
      </c>
      <c r="K1981">
        <v>0.84784543169228699</v>
      </c>
      <c r="L1981" t="s">
        <v>38</v>
      </c>
      <c r="M1981" t="s">
        <v>34</v>
      </c>
      <c r="N1981" t="s">
        <v>35</v>
      </c>
      <c r="O1981">
        <v>0.80339955946316299</v>
      </c>
      <c r="P1981" t="s">
        <v>36</v>
      </c>
    </row>
    <row r="1982" spans="1:16">
      <c r="A1982">
        <v>1981</v>
      </c>
      <c r="B1982" t="s">
        <v>2042</v>
      </c>
      <c r="C1982">
        <v>201</v>
      </c>
      <c r="D1982">
        <v>108</v>
      </c>
      <c r="E1982">
        <v>120.960744349366</v>
      </c>
      <c r="F1982">
        <v>1.86363636363636</v>
      </c>
      <c r="G1982">
        <v>11491.554542155</v>
      </c>
      <c r="H1982">
        <v>1158.45580302591</v>
      </c>
      <c r="I1982">
        <v>0.79402596065741204</v>
      </c>
      <c r="J1982">
        <v>0.107604320140215</v>
      </c>
      <c r="K1982">
        <v>0.64430536921141002</v>
      </c>
      <c r="L1982" t="s">
        <v>41</v>
      </c>
      <c r="M1982" t="s">
        <v>34</v>
      </c>
      <c r="N1982" t="s">
        <v>35</v>
      </c>
      <c r="O1982">
        <v>0.73041560761518898</v>
      </c>
      <c r="P1982" t="s">
        <v>36</v>
      </c>
    </row>
    <row r="1983" spans="1:16">
      <c r="A1983">
        <v>1982</v>
      </c>
      <c r="B1983" t="s">
        <v>2043</v>
      </c>
      <c r="C1983">
        <v>159</v>
      </c>
      <c r="D1983">
        <v>166</v>
      </c>
      <c r="E1983">
        <v>121.270119360658</v>
      </c>
      <c r="F1983">
        <v>0.95409836065573805</v>
      </c>
      <c r="G1983">
        <v>11550.412418903599</v>
      </c>
      <c r="H1983">
        <v>1222.3686496098101</v>
      </c>
      <c r="I1983">
        <v>0.55786056167087295</v>
      </c>
      <c r="J1983">
        <v>9.7141084925957494E-2</v>
      </c>
      <c r="K1983">
        <v>0.50898611474980304</v>
      </c>
      <c r="L1983" t="s">
        <v>38</v>
      </c>
      <c r="M1983" t="s">
        <v>34</v>
      </c>
      <c r="N1983" t="s">
        <v>35</v>
      </c>
      <c r="O1983">
        <v>0.68950726506787297</v>
      </c>
      <c r="P1983" t="s">
        <v>36</v>
      </c>
    </row>
    <row r="1984" spans="1:16">
      <c r="A1984">
        <v>1983</v>
      </c>
      <c r="B1984" t="s">
        <v>2044</v>
      </c>
      <c r="C1984">
        <v>160</v>
      </c>
      <c r="D1984">
        <v>141</v>
      </c>
      <c r="E1984">
        <v>121.34500057764799</v>
      </c>
      <c r="F1984">
        <v>1.1346023520361901</v>
      </c>
      <c r="G1984">
        <v>11564.6809950851</v>
      </c>
      <c r="H1984">
        <v>817.36890487277003</v>
      </c>
      <c r="I1984">
        <v>0.47667372882636999</v>
      </c>
      <c r="J1984">
        <v>0.217524058626404</v>
      </c>
      <c r="K1984">
        <v>0.74852811020895105</v>
      </c>
      <c r="L1984" t="s">
        <v>38</v>
      </c>
      <c r="M1984" t="s">
        <v>34</v>
      </c>
      <c r="N1984" t="s">
        <v>35</v>
      </c>
      <c r="O1984">
        <v>0.71031253080643297</v>
      </c>
      <c r="P1984" t="s">
        <v>36</v>
      </c>
    </row>
    <row r="1985" spans="1:16">
      <c r="A1985">
        <v>1984</v>
      </c>
      <c r="B1985" t="s">
        <v>2045</v>
      </c>
      <c r="C1985">
        <v>214</v>
      </c>
      <c r="D1985">
        <v>103</v>
      </c>
      <c r="E1985">
        <v>121.423732008931</v>
      </c>
      <c r="F1985">
        <v>2.08458712400444</v>
      </c>
      <c r="G1985">
        <v>11579.692726276</v>
      </c>
      <c r="H1985">
        <v>839.41948680950304</v>
      </c>
      <c r="I1985">
        <v>0.820537796382941</v>
      </c>
      <c r="J1985">
        <v>0.206513670312895</v>
      </c>
      <c r="K1985">
        <v>0.71696498412552301</v>
      </c>
      <c r="L1985" t="s">
        <v>33</v>
      </c>
      <c r="M1985" t="s">
        <v>34</v>
      </c>
      <c r="N1985" t="s">
        <v>35</v>
      </c>
      <c r="O1985">
        <v>0.65589532502760495</v>
      </c>
      <c r="P1985" t="s">
        <v>36</v>
      </c>
    </row>
    <row r="1986" spans="1:16">
      <c r="A1986">
        <v>1985</v>
      </c>
      <c r="B1986" t="s">
        <v>2046</v>
      </c>
      <c r="C1986">
        <v>115</v>
      </c>
      <c r="D1986">
        <v>143</v>
      </c>
      <c r="E1986">
        <v>122.396258153833</v>
      </c>
      <c r="F1986">
        <v>0.800369547062177</v>
      </c>
      <c r="G1986">
        <v>11765.9273716446</v>
      </c>
      <c r="H1986">
        <v>643.228122860452</v>
      </c>
      <c r="I1986">
        <v>0.72429920842891105</v>
      </c>
      <c r="J1986">
        <v>0.35736003254066101</v>
      </c>
      <c r="K1986">
        <v>0.85098469212246297</v>
      </c>
      <c r="L1986" t="s">
        <v>38</v>
      </c>
      <c r="M1986" t="s">
        <v>34</v>
      </c>
      <c r="N1986" t="s">
        <v>35</v>
      </c>
      <c r="O1986">
        <v>0.79436537135928598</v>
      </c>
      <c r="P1986" t="s">
        <v>36</v>
      </c>
    </row>
    <row r="1987" spans="1:16">
      <c r="A1987">
        <v>1986</v>
      </c>
      <c r="B1987" t="s">
        <v>2047</v>
      </c>
      <c r="C1987">
        <v>162</v>
      </c>
      <c r="D1987">
        <v>118</v>
      </c>
      <c r="E1987">
        <v>123.661427008836</v>
      </c>
      <c r="F1987">
        <v>1.375</v>
      </c>
      <c r="G1987">
        <v>12010.425369754301</v>
      </c>
      <c r="H1987">
        <v>733.75690729815005</v>
      </c>
      <c r="I1987">
        <v>0.67287313184015796</v>
      </c>
      <c r="J1987">
        <v>0.28032630195325098</v>
      </c>
      <c r="K1987">
        <v>0.78304391643086901</v>
      </c>
      <c r="L1987" t="s">
        <v>298</v>
      </c>
      <c r="M1987" t="s">
        <v>34</v>
      </c>
      <c r="N1987" t="s">
        <v>35</v>
      </c>
      <c r="O1987">
        <v>0.656025439363217</v>
      </c>
      <c r="P1987" t="s">
        <v>36</v>
      </c>
    </row>
    <row r="1988" spans="1:16">
      <c r="A1988">
        <v>1987</v>
      </c>
      <c r="B1988" t="s">
        <v>2048</v>
      </c>
      <c r="C1988">
        <v>107</v>
      </c>
      <c r="D1988">
        <v>176</v>
      </c>
      <c r="E1988">
        <v>124.21569487342001</v>
      </c>
      <c r="F1988">
        <v>0.60681065396123701</v>
      </c>
      <c r="G1988">
        <v>12118.3314771267</v>
      </c>
      <c r="H1988">
        <v>904.70387964466397</v>
      </c>
      <c r="I1988">
        <v>0.77923375524480898</v>
      </c>
      <c r="J1988">
        <v>0.186054331985227</v>
      </c>
      <c r="K1988">
        <v>0.77231952561831596</v>
      </c>
      <c r="L1988" t="s">
        <v>38</v>
      </c>
      <c r="M1988" t="s">
        <v>34</v>
      </c>
      <c r="N1988" t="s">
        <v>35</v>
      </c>
      <c r="O1988">
        <v>0.70476817618737797</v>
      </c>
      <c r="P1988" t="s">
        <v>36</v>
      </c>
    </row>
    <row r="1989" spans="1:16">
      <c r="A1989">
        <v>1988</v>
      </c>
      <c r="B1989" t="s">
        <v>2049</v>
      </c>
      <c r="C1989">
        <v>137</v>
      </c>
      <c r="D1989">
        <v>162</v>
      </c>
      <c r="E1989">
        <v>124.554212813826</v>
      </c>
      <c r="F1989">
        <v>0.84228187919463104</v>
      </c>
      <c r="G1989">
        <v>12184.4722729679</v>
      </c>
      <c r="H1989">
        <v>1065.8142414665199</v>
      </c>
      <c r="I1989">
        <v>0.61274783530438703</v>
      </c>
      <c r="J1989">
        <v>0.134788720275973</v>
      </c>
      <c r="K1989">
        <v>0.70316078397735604</v>
      </c>
      <c r="L1989" t="s">
        <v>33</v>
      </c>
      <c r="M1989" t="s">
        <v>34</v>
      </c>
      <c r="N1989" t="s">
        <v>35</v>
      </c>
      <c r="O1989">
        <v>0.68525922639483505</v>
      </c>
      <c r="P1989" t="s">
        <v>36</v>
      </c>
    </row>
    <row r="1990" spans="1:16">
      <c r="A1990">
        <v>1989</v>
      </c>
      <c r="B1990" t="s">
        <v>2050</v>
      </c>
      <c r="C1990">
        <v>142</v>
      </c>
      <c r="D1990">
        <v>201</v>
      </c>
      <c r="E1990">
        <v>124.847105201424</v>
      </c>
      <c r="F1990">
        <v>0.70652173913043503</v>
      </c>
      <c r="G1990">
        <v>12241.8438396975</v>
      </c>
      <c r="H1990">
        <v>1771.8038091491601</v>
      </c>
      <c r="I1990">
        <v>0.56415636841491701</v>
      </c>
      <c r="J1990">
        <v>4.90033123825038E-2</v>
      </c>
      <c r="K1990">
        <v>0.59537802065939505</v>
      </c>
      <c r="L1990" t="s">
        <v>33</v>
      </c>
      <c r="M1990" t="s">
        <v>34</v>
      </c>
      <c r="N1990" t="s">
        <v>35</v>
      </c>
      <c r="O1990">
        <v>0.66534753225228604</v>
      </c>
      <c r="P1990" t="s">
        <v>36</v>
      </c>
    </row>
    <row r="1991" spans="1:16">
      <c r="A1991">
        <v>1990</v>
      </c>
      <c r="B1991" t="s">
        <v>2051</v>
      </c>
      <c r="C1991">
        <v>172</v>
      </c>
      <c r="D1991">
        <v>114</v>
      </c>
      <c r="E1991">
        <v>126.079429430087</v>
      </c>
      <c r="F1991">
        <v>1.50217956255726</v>
      </c>
      <c r="G1991">
        <v>12484.7068967864</v>
      </c>
      <c r="H1991">
        <v>718.62311222449603</v>
      </c>
      <c r="I1991">
        <v>0.60771279997886096</v>
      </c>
      <c r="J1991">
        <v>0.30379865956854302</v>
      </c>
      <c r="K1991">
        <v>0.83796887470071801</v>
      </c>
      <c r="L1991" t="s">
        <v>38</v>
      </c>
      <c r="M1991" t="s">
        <v>34</v>
      </c>
      <c r="N1991" t="s">
        <v>35</v>
      </c>
      <c r="O1991">
        <v>0.72572971890957905</v>
      </c>
      <c r="P1991" t="s">
        <v>36</v>
      </c>
    </row>
    <row r="1992" spans="1:16">
      <c r="A1992">
        <v>1991</v>
      </c>
      <c r="B1992" t="s">
        <v>2052</v>
      </c>
      <c r="C1992">
        <v>143</v>
      </c>
      <c r="D1992">
        <v>202</v>
      </c>
      <c r="E1992">
        <v>126.82993780336</v>
      </c>
      <c r="F1992">
        <v>0.71011349764739096</v>
      </c>
      <c r="G1992">
        <v>12633.783791682399</v>
      </c>
      <c r="H1992">
        <v>1316.60483922803</v>
      </c>
      <c r="I1992">
        <v>0.55429605971941798</v>
      </c>
      <c r="J1992">
        <v>9.1586699841371202E-2</v>
      </c>
      <c r="K1992">
        <v>0.59588354469424498</v>
      </c>
      <c r="L1992" t="s">
        <v>33</v>
      </c>
      <c r="M1992" t="s">
        <v>34</v>
      </c>
      <c r="N1992" t="s">
        <v>35</v>
      </c>
      <c r="O1992">
        <v>0.70647758458661003</v>
      </c>
      <c r="P1992" t="s">
        <v>36</v>
      </c>
    </row>
    <row r="1993" spans="1:16">
      <c r="A1993">
        <v>1992</v>
      </c>
      <c r="B1993" t="s">
        <v>2053</v>
      </c>
      <c r="C1993">
        <v>207</v>
      </c>
      <c r="D1993">
        <v>123</v>
      </c>
      <c r="E1993">
        <v>128.604314837766</v>
      </c>
      <c r="F1993">
        <v>1.6764276132737801</v>
      </c>
      <c r="G1993">
        <v>12989.755041209801</v>
      </c>
      <c r="H1993">
        <v>1049.3348300830201</v>
      </c>
      <c r="I1993">
        <v>0.55107575323495495</v>
      </c>
      <c r="J1993">
        <v>0.148245885463062</v>
      </c>
      <c r="K1993">
        <v>0.66113426783971696</v>
      </c>
      <c r="L1993" t="s">
        <v>38</v>
      </c>
      <c r="M1993" t="s">
        <v>34</v>
      </c>
      <c r="N1993" t="s">
        <v>35</v>
      </c>
      <c r="O1993">
        <v>0.71713865783527997</v>
      </c>
      <c r="P1993" t="s">
        <v>36</v>
      </c>
    </row>
    <row r="1994" spans="1:16">
      <c r="A1994">
        <v>1993</v>
      </c>
      <c r="B1994" t="s">
        <v>2054</v>
      </c>
      <c r="C1994">
        <v>176</v>
      </c>
      <c r="D1994">
        <v>220</v>
      </c>
      <c r="E1994">
        <v>128.68154605908001</v>
      </c>
      <c r="F1994">
        <v>0.79950495049504999</v>
      </c>
      <c r="G1994">
        <v>13005.3612964083</v>
      </c>
      <c r="H1994">
        <v>1887.7083213861099</v>
      </c>
      <c r="I1994">
        <v>0.69705820731003099</v>
      </c>
      <c r="J1994">
        <v>4.5863004818408097E-2</v>
      </c>
      <c r="K1994">
        <v>0.40077956459805703</v>
      </c>
      <c r="L1994" t="s">
        <v>188</v>
      </c>
      <c r="M1994" t="s">
        <v>34</v>
      </c>
      <c r="N1994" t="s">
        <v>35</v>
      </c>
      <c r="O1994">
        <v>0.713908775728746</v>
      </c>
      <c r="P1994" t="s">
        <v>36</v>
      </c>
    </row>
    <row r="1995" spans="1:16">
      <c r="A1995">
        <v>1994</v>
      </c>
      <c r="B1995" t="s">
        <v>2055</v>
      </c>
      <c r="C1995">
        <v>143</v>
      </c>
      <c r="D1995">
        <v>299</v>
      </c>
      <c r="E1995">
        <v>128.845416899409</v>
      </c>
      <c r="F1995">
        <v>0.47992700729927001</v>
      </c>
      <c r="G1995">
        <v>13038.5060098299</v>
      </c>
      <c r="H1995">
        <v>1833.74395650262</v>
      </c>
      <c r="I1995">
        <v>0.72093615185873094</v>
      </c>
      <c r="J1995">
        <v>4.8725948791264698E-2</v>
      </c>
      <c r="K1995">
        <v>0.47435044745451099</v>
      </c>
      <c r="L1995" t="s">
        <v>33</v>
      </c>
      <c r="M1995" t="s">
        <v>34</v>
      </c>
      <c r="N1995" t="s">
        <v>35</v>
      </c>
      <c r="O1995">
        <v>0.73004999463772802</v>
      </c>
      <c r="P1995" t="s">
        <v>36</v>
      </c>
    </row>
    <row r="1996" spans="1:16">
      <c r="A1996">
        <v>1995</v>
      </c>
      <c r="B1996" t="s">
        <v>2056</v>
      </c>
      <c r="C1996">
        <v>114</v>
      </c>
      <c r="D1996">
        <v>201</v>
      </c>
      <c r="E1996">
        <v>129.09999508748299</v>
      </c>
      <c r="F1996">
        <v>0.56502005132404298</v>
      </c>
      <c r="G1996">
        <v>13090.080967485799</v>
      </c>
      <c r="H1996">
        <v>823.372943798459</v>
      </c>
      <c r="I1996">
        <v>0.79597866665009798</v>
      </c>
      <c r="J1996">
        <v>0.242638109248526</v>
      </c>
      <c r="K1996">
        <v>0.76187963355450405</v>
      </c>
      <c r="L1996" t="s">
        <v>38</v>
      </c>
      <c r="M1996" t="s">
        <v>34</v>
      </c>
      <c r="N1996" t="s">
        <v>35</v>
      </c>
      <c r="O1996">
        <v>0.80503317286206899</v>
      </c>
      <c r="P1996" t="s">
        <v>36</v>
      </c>
    </row>
    <row r="1997" spans="1:16">
      <c r="A1997">
        <v>1996</v>
      </c>
      <c r="B1997" t="s">
        <v>2057</v>
      </c>
      <c r="C1997">
        <v>131</v>
      </c>
      <c r="D1997">
        <v>191</v>
      </c>
      <c r="E1997">
        <v>129.73899567690401</v>
      </c>
      <c r="F1997">
        <v>0.68571428571428605</v>
      </c>
      <c r="G1997">
        <v>13219.984463138</v>
      </c>
      <c r="H1997">
        <v>1098.2876754342999</v>
      </c>
      <c r="I1997">
        <v>0.65949832224770299</v>
      </c>
      <c r="J1997">
        <v>0.137723670445976</v>
      </c>
      <c r="K1997">
        <v>0.61501282645222399</v>
      </c>
      <c r="L1997" t="s">
        <v>38</v>
      </c>
      <c r="M1997" t="s">
        <v>34</v>
      </c>
      <c r="N1997" t="s">
        <v>35</v>
      </c>
      <c r="O1997">
        <v>0.88751949647211303</v>
      </c>
      <c r="P1997" t="s">
        <v>36</v>
      </c>
    </row>
    <row r="1998" spans="1:16">
      <c r="A1998">
        <v>1997</v>
      </c>
      <c r="B1998" t="s">
        <v>2058</v>
      </c>
      <c r="C1998">
        <v>193</v>
      </c>
      <c r="D1998">
        <v>123</v>
      </c>
      <c r="E1998">
        <v>129.85199129768799</v>
      </c>
      <c r="F1998">
        <v>1.5698716612732899</v>
      </c>
      <c r="G1998">
        <v>13243.022268430999</v>
      </c>
      <c r="H1998">
        <v>914.30800612325299</v>
      </c>
      <c r="I1998">
        <v>0.61889819874602903</v>
      </c>
      <c r="J1998">
        <v>0.199072801402572</v>
      </c>
      <c r="K1998">
        <v>0.73922277901304201</v>
      </c>
      <c r="L1998" t="s">
        <v>38</v>
      </c>
      <c r="M1998" t="s">
        <v>34</v>
      </c>
      <c r="N1998" t="s">
        <v>35</v>
      </c>
      <c r="O1998">
        <v>0.71623153651774296</v>
      </c>
      <c r="P1998" t="s">
        <v>36</v>
      </c>
    </row>
    <row r="1999" spans="1:16">
      <c r="A1999">
        <v>1998</v>
      </c>
      <c r="B1999" t="s">
        <v>2059</v>
      </c>
      <c r="C1999">
        <v>103</v>
      </c>
      <c r="D1999">
        <v>180</v>
      </c>
      <c r="E1999">
        <v>129.85344866314901</v>
      </c>
      <c r="F1999">
        <v>0.57252054212554204</v>
      </c>
      <c r="G1999">
        <v>13243.319530434799</v>
      </c>
      <c r="H1999">
        <v>731.33415144837397</v>
      </c>
      <c r="I1999">
        <v>0.76363016392976801</v>
      </c>
      <c r="J1999">
        <v>0.31115373107369698</v>
      </c>
      <c r="K1999">
        <v>0.84939133087387197</v>
      </c>
      <c r="L1999" t="s">
        <v>38</v>
      </c>
      <c r="M1999" t="s">
        <v>34</v>
      </c>
      <c r="N1999" t="s">
        <v>35</v>
      </c>
      <c r="O1999">
        <v>0.75411980394774802</v>
      </c>
      <c r="P1999" t="s">
        <v>36</v>
      </c>
    </row>
    <row r="2000" spans="1:16">
      <c r="A2000">
        <v>1999</v>
      </c>
      <c r="B2000" t="s">
        <v>2060</v>
      </c>
      <c r="C2000">
        <v>198</v>
      </c>
      <c r="D2000">
        <v>119</v>
      </c>
      <c r="E2000">
        <v>130.448871361817</v>
      </c>
      <c r="F2000">
        <v>1.6695327984244399</v>
      </c>
      <c r="G2000">
        <v>13365.048320983</v>
      </c>
      <c r="H2000">
        <v>890.14075406064205</v>
      </c>
      <c r="I2000">
        <v>0.58139199193873803</v>
      </c>
      <c r="J2000">
        <v>0.21196444923060101</v>
      </c>
      <c r="K2000">
        <v>0.78949401652370099</v>
      </c>
      <c r="L2000" t="s">
        <v>38</v>
      </c>
      <c r="M2000" t="s">
        <v>34</v>
      </c>
      <c r="N2000" t="s">
        <v>35</v>
      </c>
      <c r="O2000">
        <v>0.83051143064069299</v>
      </c>
      <c r="P2000" t="s">
        <v>36</v>
      </c>
    </row>
    <row r="2001" spans="1:16">
      <c r="A2001">
        <v>2000</v>
      </c>
      <c r="B2001" t="s">
        <v>2061</v>
      </c>
      <c r="C2001">
        <v>165</v>
      </c>
      <c r="D2001">
        <v>125</v>
      </c>
      <c r="E2001">
        <v>130.68657046790599</v>
      </c>
      <c r="F2001">
        <v>1.31754673886266</v>
      </c>
      <c r="G2001">
        <v>13413.799289602999</v>
      </c>
      <c r="H2001">
        <v>747.48088662261603</v>
      </c>
      <c r="I2001">
        <v>0.70638076747196998</v>
      </c>
      <c r="J2001">
        <v>0.30169039498262901</v>
      </c>
      <c r="K2001">
        <v>0.84397706975395803</v>
      </c>
      <c r="L2001" t="s">
        <v>49</v>
      </c>
      <c r="M2001" t="s">
        <v>34</v>
      </c>
      <c r="N2001" t="s">
        <v>35</v>
      </c>
      <c r="O2001">
        <v>0.69060814285583905</v>
      </c>
      <c r="P2001" t="s">
        <v>36</v>
      </c>
    </row>
    <row r="2002" spans="1:16">
      <c r="A2002">
        <v>2001</v>
      </c>
      <c r="B2002" t="s">
        <v>2062</v>
      </c>
      <c r="C2002">
        <v>159</v>
      </c>
      <c r="D2002">
        <v>206</v>
      </c>
      <c r="E2002">
        <v>131.520889813883</v>
      </c>
      <c r="F2002">
        <v>0.77188325219325904</v>
      </c>
      <c r="G2002">
        <v>13585.6167277883</v>
      </c>
      <c r="H2002">
        <v>1663.69643685082</v>
      </c>
      <c r="I2002">
        <v>0.65579887725956099</v>
      </c>
      <c r="J2002">
        <v>6.1679529093841702E-2</v>
      </c>
      <c r="K2002">
        <v>0.46507072351684098</v>
      </c>
      <c r="L2002" t="s">
        <v>47</v>
      </c>
      <c r="M2002" t="s">
        <v>34</v>
      </c>
      <c r="N2002" t="s">
        <v>35</v>
      </c>
      <c r="O2002">
        <v>0.85954120162681402</v>
      </c>
      <c r="P2002" t="s">
        <v>36</v>
      </c>
    </row>
    <row r="2003" spans="1:16">
      <c r="A2003">
        <v>2002</v>
      </c>
      <c r="B2003" t="s">
        <v>2063</v>
      </c>
      <c r="C2003">
        <v>156</v>
      </c>
      <c r="D2003">
        <v>150</v>
      </c>
      <c r="E2003">
        <v>131.78106986998901</v>
      </c>
      <c r="F2003">
        <v>1.04030474671805</v>
      </c>
      <c r="G2003">
        <v>13639.421150472601</v>
      </c>
      <c r="H2003">
        <v>950.90841840132396</v>
      </c>
      <c r="I2003">
        <v>0.779294307179627</v>
      </c>
      <c r="J2003">
        <v>0.18955202092635901</v>
      </c>
      <c r="K2003">
        <v>0.73258292420069404</v>
      </c>
      <c r="L2003" t="s">
        <v>38</v>
      </c>
      <c r="M2003" t="s">
        <v>34</v>
      </c>
      <c r="N2003" t="s">
        <v>35</v>
      </c>
      <c r="O2003">
        <v>0.78494402722241396</v>
      </c>
      <c r="P2003" t="s">
        <v>36</v>
      </c>
    </row>
    <row r="2004" spans="1:16">
      <c r="A2004">
        <v>2003</v>
      </c>
      <c r="B2004" t="s">
        <v>2064</v>
      </c>
      <c r="C2004">
        <v>136</v>
      </c>
      <c r="D2004">
        <v>244</v>
      </c>
      <c r="E2004">
        <v>132.00920274161999</v>
      </c>
      <c r="F2004">
        <v>0.55723075559522595</v>
      </c>
      <c r="G2004">
        <v>13686.685809073701</v>
      </c>
      <c r="H2004">
        <v>1618.55897485163</v>
      </c>
      <c r="I2004">
        <v>0.68261453605948796</v>
      </c>
      <c r="J2004">
        <v>6.5652475339357294E-2</v>
      </c>
      <c r="K2004">
        <v>0.52708852064909395</v>
      </c>
      <c r="L2004" t="s">
        <v>33</v>
      </c>
      <c r="M2004" t="s">
        <v>34</v>
      </c>
      <c r="N2004" t="s">
        <v>35</v>
      </c>
      <c r="O2004">
        <v>0.74800268710312201</v>
      </c>
      <c r="P2004" t="s">
        <v>36</v>
      </c>
    </row>
    <row r="2005" spans="1:16">
      <c r="A2005">
        <v>2004</v>
      </c>
      <c r="B2005" t="s">
        <v>2065</v>
      </c>
      <c r="C2005">
        <v>166</v>
      </c>
      <c r="D2005">
        <v>147</v>
      </c>
      <c r="E2005">
        <v>132.039304030973</v>
      </c>
      <c r="F2005">
        <v>1.12962962962963</v>
      </c>
      <c r="G2005">
        <v>13692.9283111531</v>
      </c>
      <c r="H2005">
        <v>1518.1160852072601</v>
      </c>
      <c r="I2005">
        <v>0.52163921482074305</v>
      </c>
      <c r="J2005">
        <v>7.4661418131297702E-2</v>
      </c>
      <c r="K2005">
        <v>0.63756150561595604</v>
      </c>
      <c r="L2005" t="s">
        <v>33</v>
      </c>
      <c r="M2005" t="s">
        <v>34</v>
      </c>
      <c r="N2005" t="s">
        <v>35</v>
      </c>
      <c r="O2005">
        <v>0.69308343483302803</v>
      </c>
      <c r="P2005" t="s">
        <v>36</v>
      </c>
    </row>
    <row r="2006" spans="1:16">
      <c r="A2006">
        <v>2005</v>
      </c>
      <c r="B2006" t="s">
        <v>2066</v>
      </c>
      <c r="C2006">
        <v>284</v>
      </c>
      <c r="D2006">
        <v>136</v>
      </c>
      <c r="E2006">
        <v>132.06151724832</v>
      </c>
      <c r="F2006">
        <v>2.0932098288191101</v>
      </c>
      <c r="G2006">
        <v>13697.5358722117</v>
      </c>
      <c r="H2006">
        <v>1356.02488300448</v>
      </c>
      <c r="I2006">
        <v>0.49076753604224899</v>
      </c>
      <c r="J2006">
        <v>9.3608867850427505E-2</v>
      </c>
      <c r="K2006">
        <v>0.516239258786229</v>
      </c>
      <c r="L2006" t="s">
        <v>38</v>
      </c>
      <c r="M2006" t="s">
        <v>34</v>
      </c>
      <c r="N2006" t="s">
        <v>35</v>
      </c>
      <c r="O2006">
        <v>0.69091522487413104</v>
      </c>
      <c r="P2006" t="s">
        <v>36</v>
      </c>
    </row>
    <row r="2007" spans="1:16">
      <c r="A2007">
        <v>2006</v>
      </c>
      <c r="B2007" t="s">
        <v>2067</v>
      </c>
      <c r="C2007">
        <v>190</v>
      </c>
      <c r="D2007">
        <v>122</v>
      </c>
      <c r="E2007">
        <v>132.147468693994</v>
      </c>
      <c r="F2007">
        <v>1.5524588452775601</v>
      </c>
      <c r="G2007">
        <v>13715.3715924386</v>
      </c>
      <c r="H2007">
        <v>892.34432110703494</v>
      </c>
      <c r="I2007">
        <v>0.61258848723034198</v>
      </c>
      <c r="J2007">
        <v>0.216447470217555</v>
      </c>
      <c r="K2007">
        <v>0.76640310953124502</v>
      </c>
      <c r="L2007" t="s">
        <v>38</v>
      </c>
      <c r="M2007" t="s">
        <v>34</v>
      </c>
      <c r="N2007" t="s">
        <v>35</v>
      </c>
      <c r="O2007">
        <v>0.70597340450146195</v>
      </c>
      <c r="P2007" t="s">
        <v>36</v>
      </c>
    </row>
    <row r="2008" spans="1:16">
      <c r="A2008">
        <v>2007</v>
      </c>
      <c r="B2008" t="s">
        <v>2068</v>
      </c>
      <c r="C2008">
        <v>185</v>
      </c>
      <c r="D2008">
        <v>180</v>
      </c>
      <c r="E2008">
        <v>132.99894821073701</v>
      </c>
      <c r="F2008">
        <v>1.0303030303030301</v>
      </c>
      <c r="G2008">
        <v>13892.688377693799</v>
      </c>
      <c r="H2008">
        <v>1064.36130752906</v>
      </c>
      <c r="I2008">
        <v>0.60766135996495496</v>
      </c>
      <c r="J2008">
        <v>0.15410545128328401</v>
      </c>
      <c r="K2008">
        <v>0.56146157450233702</v>
      </c>
      <c r="L2008" t="s">
        <v>38</v>
      </c>
      <c r="M2008" t="s">
        <v>34</v>
      </c>
      <c r="N2008" t="s">
        <v>35</v>
      </c>
      <c r="O2008">
        <v>0.653584936174464</v>
      </c>
      <c r="P2008" t="s">
        <v>36</v>
      </c>
    </row>
    <row r="2009" spans="1:16">
      <c r="A2009">
        <v>2008</v>
      </c>
      <c r="B2009" t="s">
        <v>2069</v>
      </c>
      <c r="C2009">
        <v>152</v>
      </c>
      <c r="D2009">
        <v>176</v>
      </c>
      <c r="E2009">
        <v>133.00890806758301</v>
      </c>
      <c r="F2009">
        <v>0.86068111455108398</v>
      </c>
      <c r="G2009">
        <v>13894.7692117202</v>
      </c>
      <c r="H2009">
        <v>1594.1365412617799</v>
      </c>
      <c r="I2009">
        <v>0.54882117945731601</v>
      </c>
      <c r="J2009">
        <v>6.8708452607235695E-2</v>
      </c>
      <c r="K2009">
        <v>0.63400722952031496</v>
      </c>
      <c r="L2009" t="s">
        <v>41</v>
      </c>
      <c r="M2009" t="s">
        <v>34</v>
      </c>
      <c r="N2009" t="s">
        <v>35</v>
      </c>
      <c r="O2009">
        <v>0.62432388832048302</v>
      </c>
      <c r="P2009" t="s">
        <v>36</v>
      </c>
    </row>
    <row r="2010" spans="1:16">
      <c r="A2010">
        <v>2009</v>
      </c>
      <c r="B2010" t="s">
        <v>2070</v>
      </c>
      <c r="C2010">
        <v>102</v>
      </c>
      <c r="D2010">
        <v>190</v>
      </c>
      <c r="E2010">
        <v>133.19942460187701</v>
      </c>
      <c r="F2010">
        <v>0.53755824979127798</v>
      </c>
      <c r="G2010">
        <v>13934.602320226801</v>
      </c>
      <c r="H2010">
        <v>745.37751173942002</v>
      </c>
      <c r="I2010">
        <v>0.66399669383794102</v>
      </c>
      <c r="J2010">
        <v>0.31517507965691299</v>
      </c>
      <c r="K2010">
        <v>0.82515974581492402</v>
      </c>
      <c r="L2010" t="s">
        <v>33</v>
      </c>
      <c r="M2010" t="s">
        <v>34</v>
      </c>
      <c r="N2010" t="s">
        <v>35</v>
      </c>
      <c r="O2010">
        <v>0.65612706925083697</v>
      </c>
      <c r="P2010" t="s">
        <v>36</v>
      </c>
    </row>
    <row r="2011" spans="1:16">
      <c r="A2011">
        <v>2010</v>
      </c>
      <c r="B2011" t="s">
        <v>2071</v>
      </c>
      <c r="C2011">
        <v>121</v>
      </c>
      <c r="D2011">
        <v>175</v>
      </c>
      <c r="E2011">
        <v>133.430096480347</v>
      </c>
      <c r="F2011">
        <v>0.69210117871474996</v>
      </c>
      <c r="G2011">
        <v>13982.907395841199</v>
      </c>
      <c r="H2011">
        <v>790.108035307553</v>
      </c>
      <c r="I2011">
        <v>0.75500140653653103</v>
      </c>
      <c r="J2011">
        <v>0.28147147463963001</v>
      </c>
      <c r="K2011">
        <v>0.83911306147204701</v>
      </c>
      <c r="L2011" t="s">
        <v>38</v>
      </c>
      <c r="M2011" t="s">
        <v>34</v>
      </c>
      <c r="N2011" t="s">
        <v>35</v>
      </c>
      <c r="O2011">
        <v>0.67551691411140202</v>
      </c>
      <c r="P2011" t="s">
        <v>36</v>
      </c>
    </row>
    <row r="2012" spans="1:16">
      <c r="A2012">
        <v>2011</v>
      </c>
      <c r="B2012" t="s">
        <v>2072</v>
      </c>
      <c r="C2012">
        <v>209</v>
      </c>
      <c r="D2012">
        <v>121</v>
      </c>
      <c r="E2012">
        <v>133.56476628175199</v>
      </c>
      <c r="F2012">
        <v>1.72786930118264</v>
      </c>
      <c r="G2012">
        <v>14011.147286200399</v>
      </c>
      <c r="H2012">
        <v>1107.0182791595901</v>
      </c>
      <c r="I2012">
        <v>0.58093015403650194</v>
      </c>
      <c r="J2012">
        <v>0.14367260901412601</v>
      </c>
      <c r="K2012">
        <v>0.66307000822964202</v>
      </c>
      <c r="L2012" t="s">
        <v>49</v>
      </c>
      <c r="M2012" t="s">
        <v>34</v>
      </c>
      <c r="N2012" t="s">
        <v>35</v>
      </c>
      <c r="O2012">
        <v>0.66408118375442304</v>
      </c>
      <c r="P2012" t="s">
        <v>36</v>
      </c>
    </row>
    <row r="2013" spans="1:16">
      <c r="A2013">
        <v>2012</v>
      </c>
      <c r="B2013" t="s">
        <v>2073</v>
      </c>
      <c r="C2013">
        <v>120</v>
      </c>
      <c r="D2013">
        <v>187</v>
      </c>
      <c r="E2013">
        <v>134.08092364837299</v>
      </c>
      <c r="F2013">
        <v>0.64123505969021</v>
      </c>
      <c r="G2013">
        <v>14119.6479175803</v>
      </c>
      <c r="H2013">
        <v>753.14284710054801</v>
      </c>
      <c r="I2013">
        <v>0.77086508879512905</v>
      </c>
      <c r="J2013">
        <v>0.31280884154668698</v>
      </c>
      <c r="K2013">
        <v>0.82435633769817496</v>
      </c>
      <c r="L2013" t="s">
        <v>38</v>
      </c>
      <c r="M2013" t="s">
        <v>34</v>
      </c>
      <c r="N2013" t="s">
        <v>35</v>
      </c>
      <c r="O2013">
        <v>0.69892207806377904</v>
      </c>
      <c r="P2013" t="s">
        <v>36</v>
      </c>
    </row>
    <row r="2014" spans="1:16">
      <c r="A2014">
        <v>2013</v>
      </c>
      <c r="B2014" t="s">
        <v>2074</v>
      </c>
      <c r="C2014">
        <v>188</v>
      </c>
      <c r="D2014">
        <v>167</v>
      </c>
      <c r="E2014">
        <v>134.292467946475</v>
      </c>
      <c r="F2014">
        <v>1.12514738318371</v>
      </c>
      <c r="G2014">
        <v>14164.2372181474</v>
      </c>
      <c r="H2014">
        <v>1206.325339059</v>
      </c>
      <c r="I2014">
        <v>0.60989237634147597</v>
      </c>
      <c r="J2014">
        <v>0.122313432751591</v>
      </c>
      <c r="K2014">
        <v>0.60316335120287101</v>
      </c>
      <c r="L2014" t="s">
        <v>33</v>
      </c>
      <c r="M2014" t="s">
        <v>34</v>
      </c>
      <c r="N2014" t="s">
        <v>35</v>
      </c>
      <c r="O2014">
        <v>0.67426887492607501</v>
      </c>
      <c r="P2014" t="s">
        <v>36</v>
      </c>
    </row>
    <row r="2015" spans="1:16">
      <c r="A2015">
        <v>2014</v>
      </c>
      <c r="B2015" t="s">
        <v>2075</v>
      </c>
      <c r="C2015">
        <v>210</v>
      </c>
      <c r="D2015">
        <v>168</v>
      </c>
      <c r="E2015">
        <v>134.534629349298</v>
      </c>
      <c r="F2015">
        <v>1.2507239594767401</v>
      </c>
      <c r="G2015">
        <v>14215.3662827977</v>
      </c>
      <c r="H2015">
        <v>1560.07237223936</v>
      </c>
      <c r="I2015">
        <v>0.58874659870693702</v>
      </c>
      <c r="J2015">
        <v>7.3397019886254605E-2</v>
      </c>
      <c r="K2015">
        <v>0.54244036343424995</v>
      </c>
      <c r="L2015" t="s">
        <v>33</v>
      </c>
      <c r="M2015" t="s">
        <v>34</v>
      </c>
      <c r="N2015" t="s">
        <v>35</v>
      </c>
      <c r="O2015">
        <v>0.66976235843346199</v>
      </c>
      <c r="P2015" t="s">
        <v>36</v>
      </c>
    </row>
    <row r="2016" spans="1:16">
      <c r="A2016">
        <v>2015</v>
      </c>
      <c r="B2016" t="s">
        <v>2076</v>
      </c>
      <c r="C2016">
        <v>128</v>
      </c>
      <c r="D2016">
        <v>188</v>
      </c>
      <c r="E2016">
        <v>135.161938500453</v>
      </c>
      <c r="F2016">
        <v>0.67900999450779298</v>
      </c>
      <c r="G2016">
        <v>14348.2423984877</v>
      </c>
      <c r="H2016">
        <v>791.57264825758705</v>
      </c>
      <c r="I2016">
        <v>0.72717455547293697</v>
      </c>
      <c r="J2016">
        <v>0.287757737640916</v>
      </c>
      <c r="K2016">
        <v>0.81390799946040704</v>
      </c>
      <c r="L2016" t="s">
        <v>38</v>
      </c>
      <c r="M2016" t="s">
        <v>34</v>
      </c>
      <c r="N2016" t="s">
        <v>35</v>
      </c>
      <c r="O2016">
        <v>0.76475637061247304</v>
      </c>
      <c r="P2016" t="s">
        <v>36</v>
      </c>
    </row>
    <row r="2017" spans="1:16">
      <c r="A2017">
        <v>2016</v>
      </c>
      <c r="B2017" t="s">
        <v>2077</v>
      </c>
      <c r="C2017">
        <v>142</v>
      </c>
      <c r="D2017">
        <v>147</v>
      </c>
      <c r="E2017">
        <v>135.52757520070099</v>
      </c>
      <c r="F2017">
        <v>0.96418657831605603</v>
      </c>
      <c r="G2017">
        <v>14425.976412476401</v>
      </c>
      <c r="H2017">
        <v>756.92062149866797</v>
      </c>
      <c r="I2017">
        <v>0.62879437267146798</v>
      </c>
      <c r="J2017">
        <v>0.31641306467914998</v>
      </c>
      <c r="K2017">
        <v>0.82252692773790004</v>
      </c>
      <c r="L2017" t="s">
        <v>38</v>
      </c>
      <c r="M2017" t="s">
        <v>34</v>
      </c>
      <c r="N2017" t="s">
        <v>35</v>
      </c>
      <c r="O2017">
        <v>0.77967499009133201</v>
      </c>
      <c r="P2017" t="s">
        <v>36</v>
      </c>
    </row>
    <row r="2018" spans="1:16">
      <c r="A2018">
        <v>2017</v>
      </c>
      <c r="B2018" t="s">
        <v>2078</v>
      </c>
      <c r="C2018">
        <v>254</v>
      </c>
      <c r="D2018">
        <v>167</v>
      </c>
      <c r="E2018">
        <v>136.30173040101201</v>
      </c>
      <c r="F2018">
        <v>1.5219450772518599</v>
      </c>
      <c r="G2018">
        <v>14591.254086578499</v>
      </c>
      <c r="H2018">
        <v>1800.37819530456</v>
      </c>
      <c r="I2018">
        <v>0.37198140218805298</v>
      </c>
      <c r="J2018">
        <v>5.65685432846579E-2</v>
      </c>
      <c r="K2018">
        <v>0.45016049156272903</v>
      </c>
      <c r="L2018" t="s">
        <v>830</v>
      </c>
      <c r="M2018" t="s">
        <v>34</v>
      </c>
      <c r="N2018" t="s">
        <v>35</v>
      </c>
      <c r="O2018">
        <v>0.71114802000891797</v>
      </c>
      <c r="P2018" t="s">
        <v>36</v>
      </c>
    </row>
    <row r="2019" spans="1:16">
      <c r="A2019">
        <v>2018</v>
      </c>
      <c r="B2019" t="s">
        <v>2079</v>
      </c>
      <c r="C2019">
        <v>229</v>
      </c>
      <c r="D2019">
        <v>142</v>
      </c>
      <c r="E2019">
        <v>136.736304576679</v>
      </c>
      <c r="F2019">
        <v>1.60768965684121</v>
      </c>
      <c r="G2019">
        <v>14684.4457247637</v>
      </c>
      <c r="H2019">
        <v>1330.4478151926801</v>
      </c>
      <c r="I2019">
        <v>0.62176105590817898</v>
      </c>
      <c r="J2019">
        <v>0.104248960474963</v>
      </c>
      <c r="K2019">
        <v>0.62720526152068601</v>
      </c>
      <c r="L2019" t="s">
        <v>49</v>
      </c>
      <c r="M2019" t="s">
        <v>34</v>
      </c>
      <c r="N2019" t="s">
        <v>35</v>
      </c>
      <c r="O2019">
        <v>0.71970192615171702</v>
      </c>
      <c r="P2019" t="s">
        <v>36</v>
      </c>
    </row>
    <row r="2020" spans="1:16">
      <c r="A2020">
        <v>2019</v>
      </c>
      <c r="B2020" t="s">
        <v>2080</v>
      </c>
      <c r="C2020">
        <v>243</v>
      </c>
      <c r="D2020">
        <v>117</v>
      </c>
      <c r="E2020">
        <v>136.89606309922499</v>
      </c>
      <c r="F2020">
        <v>2.0710863938391499</v>
      </c>
      <c r="G2020">
        <v>14718.779486200399</v>
      </c>
      <c r="H2020">
        <v>1013.93444698925</v>
      </c>
      <c r="I2020">
        <v>0.77114755273047297</v>
      </c>
      <c r="J2020">
        <v>0.179912735618003</v>
      </c>
      <c r="K2020">
        <v>0.69464299492848702</v>
      </c>
      <c r="L2020" t="s">
        <v>33</v>
      </c>
      <c r="M2020" t="s">
        <v>34</v>
      </c>
      <c r="N2020" t="s">
        <v>35</v>
      </c>
      <c r="O2020">
        <v>0.67220765069919497</v>
      </c>
      <c r="P2020" t="s">
        <v>36</v>
      </c>
    </row>
    <row r="2021" spans="1:16">
      <c r="A2021">
        <v>2020</v>
      </c>
      <c r="B2021" t="s">
        <v>2081</v>
      </c>
      <c r="C2021">
        <v>167</v>
      </c>
      <c r="D2021">
        <v>142</v>
      </c>
      <c r="E2021">
        <v>137.425184637782</v>
      </c>
      <c r="F2021">
        <v>1.17989775891347</v>
      </c>
      <c r="G2021">
        <v>14832.779464650301</v>
      </c>
      <c r="H2021">
        <v>771.49314932118295</v>
      </c>
      <c r="I2021">
        <v>0.62427088487575999</v>
      </c>
      <c r="J2021">
        <v>0.31316142146346299</v>
      </c>
      <c r="K2021">
        <v>0.809217994875288</v>
      </c>
      <c r="L2021" t="s">
        <v>38</v>
      </c>
      <c r="M2021" t="s">
        <v>34</v>
      </c>
      <c r="N2021" t="s">
        <v>35</v>
      </c>
      <c r="O2021">
        <v>0.70503426411712</v>
      </c>
      <c r="P2021" t="s">
        <v>36</v>
      </c>
    </row>
    <row r="2022" spans="1:16">
      <c r="A2022">
        <v>2021</v>
      </c>
      <c r="B2022" t="s">
        <v>2082</v>
      </c>
      <c r="C2022">
        <v>167</v>
      </c>
      <c r="D2022">
        <v>176</v>
      </c>
      <c r="E2022">
        <v>137.91386098835599</v>
      </c>
      <c r="F2022">
        <v>0.94736842105263197</v>
      </c>
      <c r="G2022">
        <v>14938.456106994299</v>
      </c>
      <c r="H2022">
        <v>1351.7312363175699</v>
      </c>
      <c r="I2022">
        <v>0.56773005335998705</v>
      </c>
      <c r="J2022">
        <v>0.10273889251286999</v>
      </c>
      <c r="K2022">
        <v>0.67829473059064904</v>
      </c>
      <c r="L2022" t="s">
        <v>38</v>
      </c>
      <c r="M2022" t="s">
        <v>34</v>
      </c>
      <c r="N2022" t="s">
        <v>35</v>
      </c>
      <c r="O2022">
        <v>0.79407412977659797</v>
      </c>
      <c r="P2022" t="s">
        <v>36</v>
      </c>
    </row>
    <row r="2023" spans="1:16">
      <c r="A2023">
        <v>2022</v>
      </c>
      <c r="B2023" t="s">
        <v>2083</v>
      </c>
      <c r="C2023">
        <v>283</v>
      </c>
      <c r="D2023">
        <v>123</v>
      </c>
      <c r="E2023">
        <v>138.266061951132</v>
      </c>
      <c r="F2023">
        <v>2.2967234497978399</v>
      </c>
      <c r="G2023">
        <v>15014.852441966001</v>
      </c>
      <c r="H2023">
        <v>1519.72239227865</v>
      </c>
      <c r="I2023">
        <v>0.57756536225843103</v>
      </c>
      <c r="J2023">
        <v>8.1696303655097904E-2</v>
      </c>
      <c r="K2023">
        <v>0.60066118454302797</v>
      </c>
      <c r="L2023" t="s">
        <v>33</v>
      </c>
      <c r="M2023" t="s">
        <v>34</v>
      </c>
      <c r="N2023" t="s">
        <v>35</v>
      </c>
      <c r="O2023">
        <v>0.62997854386288199</v>
      </c>
      <c r="P2023" t="s">
        <v>36</v>
      </c>
    </row>
    <row r="2024" spans="1:16">
      <c r="A2024">
        <v>2023</v>
      </c>
      <c r="B2024" t="s">
        <v>2084</v>
      </c>
      <c r="C2024">
        <v>181</v>
      </c>
      <c r="D2024">
        <v>139</v>
      </c>
      <c r="E2024">
        <v>138.34405507487801</v>
      </c>
      <c r="F2024">
        <v>1.29805203796191</v>
      </c>
      <c r="G2024">
        <v>15031.796376181501</v>
      </c>
      <c r="H2024">
        <v>822.23711405349798</v>
      </c>
      <c r="I2024">
        <v>0.69911055858013404</v>
      </c>
      <c r="J2024">
        <v>0.279400124989517</v>
      </c>
      <c r="K2024">
        <v>0.78449700194698901</v>
      </c>
      <c r="L2024" t="s">
        <v>38</v>
      </c>
      <c r="M2024" t="s">
        <v>34</v>
      </c>
      <c r="N2024" t="s">
        <v>35</v>
      </c>
      <c r="O2024">
        <v>0.67497497067995804</v>
      </c>
      <c r="P2024" t="s">
        <v>36</v>
      </c>
    </row>
    <row r="2025" spans="1:16">
      <c r="A2025">
        <v>2024</v>
      </c>
      <c r="B2025" t="s">
        <v>2085</v>
      </c>
      <c r="C2025">
        <v>156</v>
      </c>
      <c r="D2025">
        <v>183</v>
      </c>
      <c r="E2025">
        <v>138.93441854487301</v>
      </c>
      <c r="F2025">
        <v>0.85140208729043498</v>
      </c>
      <c r="G2025">
        <v>15160.362192816599</v>
      </c>
      <c r="H2025">
        <v>1783.09563038536</v>
      </c>
      <c r="I2025">
        <v>0.73438577261624105</v>
      </c>
      <c r="J2025">
        <v>5.9919774405810297E-2</v>
      </c>
      <c r="K2025">
        <v>0.613659334841411</v>
      </c>
      <c r="L2025" t="s">
        <v>33</v>
      </c>
      <c r="M2025" t="s">
        <v>34</v>
      </c>
      <c r="N2025" t="s">
        <v>35</v>
      </c>
      <c r="O2025">
        <v>0.67465323215589401</v>
      </c>
      <c r="P2025" t="s">
        <v>36</v>
      </c>
    </row>
    <row r="2026" spans="1:16">
      <c r="A2026">
        <v>2025</v>
      </c>
      <c r="B2026" t="s">
        <v>2086</v>
      </c>
      <c r="C2026">
        <v>146</v>
      </c>
      <c r="D2026">
        <v>256</v>
      </c>
      <c r="E2026">
        <v>139.296945787319</v>
      </c>
      <c r="F2026">
        <v>0.56941359555791604</v>
      </c>
      <c r="G2026">
        <v>15239.582516824201</v>
      </c>
      <c r="H2026">
        <v>1570.87652790225</v>
      </c>
      <c r="I2026">
        <v>0.71717973044629701</v>
      </c>
      <c r="J2026">
        <v>7.7606631402040702E-2</v>
      </c>
      <c r="K2026">
        <v>0.53540638625623305</v>
      </c>
      <c r="L2026" t="s">
        <v>188</v>
      </c>
      <c r="M2026" t="s">
        <v>34</v>
      </c>
      <c r="N2026" t="s">
        <v>35</v>
      </c>
      <c r="O2026">
        <v>0.66829842102674697</v>
      </c>
      <c r="P2026" t="s">
        <v>36</v>
      </c>
    </row>
    <row r="2027" spans="1:16">
      <c r="A2027">
        <v>2026</v>
      </c>
      <c r="B2027" t="s">
        <v>2087</v>
      </c>
      <c r="C2027">
        <v>191</v>
      </c>
      <c r="D2027">
        <v>161</v>
      </c>
      <c r="E2027">
        <v>139.83931278799801</v>
      </c>
      <c r="F2027">
        <v>1.18243247004998</v>
      </c>
      <c r="G2027">
        <v>15358.4873183365</v>
      </c>
      <c r="H2027">
        <v>1690.4368805791</v>
      </c>
      <c r="I2027">
        <v>0.56734711735189702</v>
      </c>
      <c r="J2027">
        <v>6.7539896225635304E-2</v>
      </c>
      <c r="K2027">
        <v>0.59348580224223502</v>
      </c>
      <c r="L2027" t="s">
        <v>38</v>
      </c>
      <c r="M2027" t="s">
        <v>34</v>
      </c>
      <c r="N2027" t="s">
        <v>35</v>
      </c>
      <c r="O2027">
        <v>0.76501381111646405</v>
      </c>
      <c r="P2027" t="s">
        <v>36</v>
      </c>
    </row>
    <row r="2028" spans="1:16">
      <c r="A2028">
        <v>2027</v>
      </c>
      <c r="B2028" t="s">
        <v>2088</v>
      </c>
      <c r="C2028">
        <v>127</v>
      </c>
      <c r="D2028">
        <v>233</v>
      </c>
      <c r="E2028">
        <v>139.95632324903301</v>
      </c>
      <c r="F2028">
        <v>0.54547434334897504</v>
      </c>
      <c r="G2028">
        <v>15384.2004816635</v>
      </c>
      <c r="H2028">
        <v>885.80171241138305</v>
      </c>
      <c r="I2028">
        <v>0.68131052440488304</v>
      </c>
      <c r="J2028">
        <v>0.24638358142912301</v>
      </c>
      <c r="K2028">
        <v>0.70844056288671098</v>
      </c>
      <c r="L2028" t="s">
        <v>38</v>
      </c>
      <c r="M2028" t="s">
        <v>34</v>
      </c>
      <c r="N2028" t="s">
        <v>35</v>
      </c>
      <c r="O2028">
        <v>0.75592920165465904</v>
      </c>
      <c r="P2028" t="s">
        <v>36</v>
      </c>
    </row>
    <row r="2029" spans="1:16">
      <c r="A2029">
        <v>2028</v>
      </c>
      <c r="B2029" t="s">
        <v>2089</v>
      </c>
      <c r="C2029">
        <v>210</v>
      </c>
      <c r="D2029">
        <v>171</v>
      </c>
      <c r="E2029">
        <v>140.644232529997</v>
      </c>
      <c r="F2029">
        <v>1.2292993630573199</v>
      </c>
      <c r="G2029">
        <v>15535.804103591699</v>
      </c>
      <c r="H2029">
        <v>2344.71398270503</v>
      </c>
      <c r="I2029">
        <v>0.59982260066329596</v>
      </c>
      <c r="J2029">
        <v>3.5511077793301697E-2</v>
      </c>
      <c r="K2029">
        <v>0.43651625566390301</v>
      </c>
      <c r="L2029" t="s">
        <v>101</v>
      </c>
      <c r="M2029" t="s">
        <v>34</v>
      </c>
      <c r="N2029" t="s">
        <v>35</v>
      </c>
      <c r="O2029">
        <v>0.62695983873902394</v>
      </c>
      <c r="P2029" t="s">
        <v>36</v>
      </c>
    </row>
    <row r="2030" spans="1:16">
      <c r="A2030">
        <v>2029</v>
      </c>
      <c r="B2030" t="s">
        <v>2090</v>
      </c>
      <c r="C2030">
        <v>166</v>
      </c>
      <c r="D2030">
        <v>135</v>
      </c>
      <c r="E2030">
        <v>141.28995641624101</v>
      </c>
      <c r="F2030">
        <v>1.22686964310098</v>
      </c>
      <c r="G2030">
        <v>15678.7871274102</v>
      </c>
      <c r="H2030">
        <v>658.75879358270902</v>
      </c>
      <c r="I2030">
        <v>0.58912809912150599</v>
      </c>
      <c r="J2030">
        <v>0.45401424217487402</v>
      </c>
      <c r="K2030">
        <v>0.91010111467715804</v>
      </c>
      <c r="L2030" t="s">
        <v>38</v>
      </c>
      <c r="M2030" t="s">
        <v>34</v>
      </c>
      <c r="N2030" t="s">
        <v>35</v>
      </c>
      <c r="O2030">
        <v>0.81078136967225001</v>
      </c>
      <c r="P2030" t="s">
        <v>36</v>
      </c>
    </row>
    <row r="2031" spans="1:16">
      <c r="A2031">
        <v>2030</v>
      </c>
      <c r="B2031" t="s">
        <v>2091</v>
      </c>
      <c r="C2031">
        <v>133</v>
      </c>
      <c r="D2031">
        <v>250</v>
      </c>
      <c r="E2031">
        <v>141.28995641624101</v>
      </c>
      <c r="F2031">
        <v>0.53436192102476299</v>
      </c>
      <c r="G2031">
        <v>15678.7871274102</v>
      </c>
      <c r="H2031">
        <v>1460.44203836918</v>
      </c>
      <c r="I2031">
        <v>0.65397284838687397</v>
      </c>
      <c r="J2031">
        <v>9.2374835227059707E-2</v>
      </c>
      <c r="K2031">
        <v>0.54116946943968502</v>
      </c>
      <c r="L2031" t="s">
        <v>33</v>
      </c>
      <c r="M2031" t="s">
        <v>34</v>
      </c>
      <c r="N2031" t="s">
        <v>35</v>
      </c>
      <c r="O2031">
        <v>0.679490681740895</v>
      </c>
      <c r="P2031" t="s">
        <v>36</v>
      </c>
    </row>
    <row r="2032" spans="1:16">
      <c r="A2032">
        <v>2031</v>
      </c>
      <c r="B2032" t="s">
        <v>2092</v>
      </c>
      <c r="C2032">
        <v>128</v>
      </c>
      <c r="D2032">
        <v>238</v>
      </c>
      <c r="E2032">
        <v>141.35624085321501</v>
      </c>
      <c r="F2032">
        <v>0.53971179317415896</v>
      </c>
      <c r="G2032">
        <v>15693.5015965974</v>
      </c>
      <c r="H2032">
        <v>913.45945762520296</v>
      </c>
      <c r="I2032">
        <v>0.62947898161104598</v>
      </c>
      <c r="J2032">
        <v>0.23634758365928801</v>
      </c>
      <c r="K2032">
        <v>0.75200131046663998</v>
      </c>
      <c r="L2032" t="s">
        <v>38</v>
      </c>
      <c r="M2032" t="s">
        <v>34</v>
      </c>
      <c r="N2032" t="s">
        <v>35</v>
      </c>
      <c r="O2032">
        <v>0.80554875570608098</v>
      </c>
      <c r="P2032" t="s">
        <v>36</v>
      </c>
    </row>
    <row r="2033" spans="1:16">
      <c r="A2033">
        <v>2032</v>
      </c>
      <c r="B2033" t="s">
        <v>2093</v>
      </c>
      <c r="C2033">
        <v>206</v>
      </c>
      <c r="D2033">
        <v>186</v>
      </c>
      <c r="E2033">
        <v>141.92140886941201</v>
      </c>
      <c r="F2033">
        <v>1.1041188491968399</v>
      </c>
      <c r="G2033">
        <v>15819.2434241966</v>
      </c>
      <c r="H2033">
        <v>1241.66152271343</v>
      </c>
      <c r="I2033">
        <v>0.57838712243771695</v>
      </c>
      <c r="J2033">
        <v>0.12894043369396699</v>
      </c>
      <c r="K2033">
        <v>0.62743838095631099</v>
      </c>
      <c r="L2033" t="s">
        <v>38</v>
      </c>
      <c r="M2033" t="s">
        <v>34</v>
      </c>
      <c r="N2033" t="s">
        <v>35</v>
      </c>
      <c r="O2033">
        <v>0.74016391376882296</v>
      </c>
      <c r="P2033" t="s">
        <v>36</v>
      </c>
    </row>
    <row r="2034" spans="1:16">
      <c r="A2034">
        <v>2033</v>
      </c>
      <c r="B2034" t="s">
        <v>2094</v>
      </c>
      <c r="C2034">
        <v>225</v>
      </c>
      <c r="D2034">
        <v>143</v>
      </c>
      <c r="E2034">
        <v>142.32819006981001</v>
      </c>
      <c r="F2034">
        <v>1.57852655592094</v>
      </c>
      <c r="G2034">
        <v>15910.0569663516</v>
      </c>
      <c r="H2034">
        <v>1349.48227430883</v>
      </c>
      <c r="I2034">
        <v>0.62305106358037399</v>
      </c>
      <c r="J2034">
        <v>0.10978606770409401</v>
      </c>
      <c r="K2034">
        <v>0.69778690394706799</v>
      </c>
      <c r="L2034" t="s">
        <v>38</v>
      </c>
      <c r="M2034" t="s">
        <v>34</v>
      </c>
      <c r="N2034" t="s">
        <v>35</v>
      </c>
      <c r="O2034">
        <v>0.68528195740775599</v>
      </c>
      <c r="P2034" t="s">
        <v>36</v>
      </c>
    </row>
    <row r="2035" spans="1:16">
      <c r="A2035">
        <v>2034</v>
      </c>
      <c r="B2035" t="s">
        <v>2095</v>
      </c>
      <c r="C2035">
        <v>164</v>
      </c>
      <c r="D2035">
        <v>142</v>
      </c>
      <c r="E2035">
        <v>142.407945118416</v>
      </c>
      <c r="F2035">
        <v>1.1563980776506899</v>
      </c>
      <c r="G2035">
        <v>15927.8926865785</v>
      </c>
      <c r="H2035">
        <v>800.52861056452195</v>
      </c>
      <c r="I2035">
        <v>0.65850176786586001</v>
      </c>
      <c r="J2035">
        <v>0.312330552131038</v>
      </c>
      <c r="K2035">
        <v>0.87208867043179605</v>
      </c>
      <c r="L2035" t="s">
        <v>38</v>
      </c>
      <c r="M2035" t="s">
        <v>34</v>
      </c>
      <c r="N2035" t="s">
        <v>35</v>
      </c>
      <c r="O2035">
        <v>0.74612166855780304</v>
      </c>
      <c r="P2035" t="s">
        <v>36</v>
      </c>
    </row>
    <row r="2036" spans="1:16">
      <c r="A2036">
        <v>2035</v>
      </c>
      <c r="B2036" t="s">
        <v>2096</v>
      </c>
      <c r="C2036">
        <v>170</v>
      </c>
      <c r="D2036">
        <v>200</v>
      </c>
      <c r="E2036">
        <v>144.98915435313401</v>
      </c>
      <c r="F2036">
        <v>0.84989828341477702</v>
      </c>
      <c r="G2036">
        <v>16510.526213988702</v>
      </c>
      <c r="H2036">
        <v>1520.5067413373599</v>
      </c>
      <c r="I2036">
        <v>0.63502782388617995</v>
      </c>
      <c r="J2036">
        <v>8.9741655966952494E-2</v>
      </c>
      <c r="K2036">
        <v>0.61678724715576305</v>
      </c>
      <c r="L2036" t="s">
        <v>830</v>
      </c>
      <c r="M2036" t="s">
        <v>34</v>
      </c>
      <c r="N2036" t="s">
        <v>35</v>
      </c>
      <c r="O2036">
        <v>0.72152173542175202</v>
      </c>
      <c r="P2036" t="s">
        <v>36</v>
      </c>
    </row>
    <row r="2037" spans="1:16">
      <c r="A2037">
        <v>2036</v>
      </c>
      <c r="B2037" t="s">
        <v>2097</v>
      </c>
      <c r="C2037">
        <v>161</v>
      </c>
      <c r="D2037">
        <v>152</v>
      </c>
      <c r="E2037">
        <v>146.15848521961499</v>
      </c>
      <c r="F2037">
        <v>1.06093189964158</v>
      </c>
      <c r="G2037">
        <v>16777.913386389399</v>
      </c>
      <c r="H2037">
        <v>807.64188874980698</v>
      </c>
      <c r="I2037">
        <v>0.76639337993164103</v>
      </c>
      <c r="J2037">
        <v>0.323228867508977</v>
      </c>
      <c r="K2037">
        <v>0.85098379193366003</v>
      </c>
      <c r="L2037" t="s">
        <v>288</v>
      </c>
      <c r="M2037" t="s">
        <v>34</v>
      </c>
      <c r="N2037" t="s">
        <v>35</v>
      </c>
      <c r="O2037">
        <v>0.68036873730442504</v>
      </c>
      <c r="P2037" t="s">
        <v>36</v>
      </c>
    </row>
    <row r="2038" spans="1:16">
      <c r="A2038">
        <v>2037</v>
      </c>
      <c r="B2038" t="s">
        <v>2098</v>
      </c>
      <c r="C2038">
        <v>165</v>
      </c>
      <c r="D2038">
        <v>192</v>
      </c>
      <c r="E2038">
        <v>146.27302823670999</v>
      </c>
      <c r="F2038">
        <v>0.86048435090198905</v>
      </c>
      <c r="G2038">
        <v>16804.221073723998</v>
      </c>
      <c r="H2038">
        <v>1295.3347133458201</v>
      </c>
      <c r="I2038">
        <v>0.52086496800784698</v>
      </c>
      <c r="J2038">
        <v>0.12585319402648201</v>
      </c>
      <c r="K2038">
        <v>0.69891509288164899</v>
      </c>
      <c r="L2038" t="s">
        <v>43</v>
      </c>
      <c r="M2038" t="s">
        <v>34</v>
      </c>
      <c r="N2038" t="s">
        <v>35</v>
      </c>
      <c r="O2038">
        <v>0.655596319181317</v>
      </c>
      <c r="P2038" t="s">
        <v>36</v>
      </c>
    </row>
    <row r="2039" spans="1:16">
      <c r="A2039">
        <v>2038</v>
      </c>
      <c r="B2039" t="s">
        <v>2099</v>
      </c>
      <c r="C2039">
        <v>195</v>
      </c>
      <c r="D2039">
        <v>196</v>
      </c>
      <c r="E2039">
        <v>146.56448179398001</v>
      </c>
      <c r="F2039">
        <v>0.99721448420608805</v>
      </c>
      <c r="G2039">
        <v>16871.253655576598</v>
      </c>
      <c r="H2039">
        <v>1426.8905091753199</v>
      </c>
      <c r="I2039">
        <v>0.54793056603420698</v>
      </c>
      <c r="J2039">
        <v>0.104130012474557</v>
      </c>
      <c r="K2039">
        <v>0.49274840143599502</v>
      </c>
      <c r="L2039" t="s">
        <v>38</v>
      </c>
      <c r="M2039" t="s">
        <v>34</v>
      </c>
      <c r="N2039" t="s">
        <v>35</v>
      </c>
      <c r="O2039">
        <v>0.65772048037359698</v>
      </c>
      <c r="P2039" t="s">
        <v>36</v>
      </c>
    </row>
    <row r="2040" spans="1:16">
      <c r="A2040">
        <v>2039</v>
      </c>
      <c r="B2040" t="s">
        <v>2100</v>
      </c>
      <c r="C2040">
        <v>244</v>
      </c>
      <c r="D2040">
        <v>151</v>
      </c>
      <c r="E2040">
        <v>146.685803617609</v>
      </c>
      <c r="F2040">
        <v>1.6133680732112901</v>
      </c>
      <c r="G2040">
        <v>16899.196283931899</v>
      </c>
      <c r="H2040">
        <v>1480.5763345064299</v>
      </c>
      <c r="I2040">
        <v>0.68773938877275098</v>
      </c>
      <c r="J2040">
        <v>9.6875578206832499E-2</v>
      </c>
      <c r="K2040">
        <v>0.55790868274491501</v>
      </c>
      <c r="L2040" t="s">
        <v>74</v>
      </c>
      <c r="M2040" t="s">
        <v>34</v>
      </c>
      <c r="N2040" t="s">
        <v>35</v>
      </c>
      <c r="O2040">
        <v>0.66199858390441602</v>
      </c>
      <c r="P2040" t="s">
        <v>36</v>
      </c>
    </row>
    <row r="2041" spans="1:16">
      <c r="A2041">
        <v>2040</v>
      </c>
      <c r="B2041" t="s">
        <v>2101</v>
      </c>
      <c r="C2041">
        <v>132</v>
      </c>
      <c r="D2041">
        <v>284</v>
      </c>
      <c r="E2041">
        <v>146.723857338285</v>
      </c>
      <c r="F2041">
        <v>0.464491362763916</v>
      </c>
      <c r="G2041">
        <v>16907.965513043499</v>
      </c>
      <c r="H2041">
        <v>2107.588013519</v>
      </c>
      <c r="I2041">
        <v>0.76850778797088404</v>
      </c>
      <c r="J2041">
        <v>4.7833237633995801E-2</v>
      </c>
      <c r="K2041">
        <v>0.57346951121148604</v>
      </c>
      <c r="L2041" t="s">
        <v>33</v>
      </c>
      <c r="M2041" t="s">
        <v>34</v>
      </c>
      <c r="N2041" t="s">
        <v>35</v>
      </c>
      <c r="O2041">
        <v>0.67078502528499995</v>
      </c>
      <c r="P2041" t="s">
        <v>36</v>
      </c>
    </row>
    <row r="2042" spans="1:16">
      <c r="A2042">
        <v>2041</v>
      </c>
      <c r="B2042" t="s">
        <v>2102</v>
      </c>
      <c r="C2042">
        <v>221</v>
      </c>
      <c r="D2042">
        <v>189</v>
      </c>
      <c r="E2042">
        <v>146.89916396168601</v>
      </c>
      <c r="F2042">
        <v>1.1675446798803699</v>
      </c>
      <c r="G2042">
        <v>16948.3931455577</v>
      </c>
      <c r="H2042">
        <v>2130.9897209998799</v>
      </c>
      <c r="I2042">
        <v>0.64069983215299797</v>
      </c>
      <c r="J2042">
        <v>4.6900306824653001E-2</v>
      </c>
      <c r="K2042">
        <v>0.49741325911902501</v>
      </c>
      <c r="L2042" t="s">
        <v>38</v>
      </c>
      <c r="M2042" t="s">
        <v>34</v>
      </c>
      <c r="N2042" t="s">
        <v>35</v>
      </c>
      <c r="O2042">
        <v>0.67225148065132501</v>
      </c>
      <c r="P2042" t="s">
        <v>36</v>
      </c>
    </row>
    <row r="2043" spans="1:16">
      <c r="A2043">
        <v>2042</v>
      </c>
      <c r="B2043" t="s">
        <v>2103</v>
      </c>
      <c r="C2043">
        <v>191</v>
      </c>
      <c r="D2043">
        <v>201</v>
      </c>
      <c r="E2043">
        <v>148.575913943535</v>
      </c>
      <c r="F2043">
        <v>0.948509485094851</v>
      </c>
      <c r="G2043">
        <v>17337.509108506601</v>
      </c>
      <c r="H2043">
        <v>1873.49212294019</v>
      </c>
      <c r="I2043">
        <v>0.55036612103882698</v>
      </c>
      <c r="J2043">
        <v>6.2071583300993501E-2</v>
      </c>
      <c r="K2043">
        <v>0.58953624711923303</v>
      </c>
      <c r="L2043" t="s">
        <v>38</v>
      </c>
      <c r="M2043" t="s">
        <v>34</v>
      </c>
      <c r="N2043" t="s">
        <v>35</v>
      </c>
      <c r="O2043">
        <v>0.68477847530256797</v>
      </c>
      <c r="P2043" t="s">
        <v>36</v>
      </c>
    </row>
    <row r="2044" spans="1:16">
      <c r="A2044">
        <v>2043</v>
      </c>
      <c r="B2044" t="s">
        <v>2104</v>
      </c>
      <c r="C2044">
        <v>147</v>
      </c>
      <c r="D2044">
        <v>168</v>
      </c>
      <c r="E2044">
        <v>149.00453650135699</v>
      </c>
      <c r="F2044">
        <v>0.87438778147177598</v>
      </c>
      <c r="G2044">
        <v>17437.686403780699</v>
      </c>
      <c r="H2044">
        <v>718.09394469302595</v>
      </c>
      <c r="I2044">
        <v>0.74909176663060295</v>
      </c>
      <c r="J2044">
        <v>0.42494839963110498</v>
      </c>
      <c r="K2044">
        <v>0.87645955819182897</v>
      </c>
      <c r="L2044" t="s">
        <v>49</v>
      </c>
      <c r="M2044" t="s">
        <v>34</v>
      </c>
      <c r="N2044" t="s">
        <v>35</v>
      </c>
      <c r="O2044">
        <v>0.64273955226485402</v>
      </c>
      <c r="P2044" t="s">
        <v>36</v>
      </c>
    </row>
    <row r="2045" spans="1:16">
      <c r="A2045">
        <v>2044</v>
      </c>
      <c r="B2045" t="s">
        <v>2105</v>
      </c>
      <c r="C2045">
        <v>175</v>
      </c>
      <c r="D2045">
        <v>171</v>
      </c>
      <c r="E2045">
        <v>149.40659917501901</v>
      </c>
      <c r="F2045">
        <v>1.02229299363057</v>
      </c>
      <c r="G2045">
        <v>17531.918458979198</v>
      </c>
      <c r="H2045">
        <v>1708.8685704859399</v>
      </c>
      <c r="I2045">
        <v>0.52221220327407003</v>
      </c>
      <c r="J2045">
        <v>7.5443526640783201E-2</v>
      </c>
      <c r="K2045">
        <v>0.663524064532097</v>
      </c>
      <c r="L2045" t="s">
        <v>38</v>
      </c>
      <c r="M2045" t="s">
        <v>34</v>
      </c>
      <c r="N2045" t="s">
        <v>35</v>
      </c>
      <c r="O2045">
        <v>0.80690141463525999</v>
      </c>
      <c r="P2045" t="s">
        <v>36</v>
      </c>
    </row>
    <row r="2046" spans="1:16">
      <c r="A2046">
        <v>2045</v>
      </c>
      <c r="B2046" t="s">
        <v>2106</v>
      </c>
      <c r="C2046">
        <v>167</v>
      </c>
      <c r="D2046">
        <v>257</v>
      </c>
      <c r="E2046">
        <v>149.81516201818599</v>
      </c>
      <c r="F2046">
        <v>0.64981164907833</v>
      </c>
      <c r="G2046">
        <v>17627.934086200399</v>
      </c>
      <c r="H2046">
        <v>2285.01890435613</v>
      </c>
      <c r="I2046">
        <v>0.66706183556582099</v>
      </c>
      <c r="J2046">
        <v>4.2425960876118801E-2</v>
      </c>
      <c r="K2046">
        <v>0.55480865037820803</v>
      </c>
      <c r="L2046" t="s">
        <v>38</v>
      </c>
      <c r="M2046" t="s">
        <v>34</v>
      </c>
      <c r="N2046" t="s">
        <v>35</v>
      </c>
      <c r="O2046">
        <v>0.72139978656498105</v>
      </c>
      <c r="P2046" t="s">
        <v>36</v>
      </c>
    </row>
    <row r="2047" spans="1:16">
      <c r="A2047">
        <v>2046</v>
      </c>
      <c r="B2047" t="s">
        <v>2107</v>
      </c>
      <c r="C2047">
        <v>166</v>
      </c>
      <c r="D2047">
        <v>191</v>
      </c>
      <c r="E2047">
        <v>149.895352212539</v>
      </c>
      <c r="F2047">
        <v>0.871428571428571</v>
      </c>
      <c r="G2047">
        <v>17646.810223440501</v>
      </c>
      <c r="H2047">
        <v>1708.6266842013899</v>
      </c>
      <c r="I2047">
        <v>0.55924911703084701</v>
      </c>
      <c r="J2047">
        <v>7.5959432261572105E-2</v>
      </c>
      <c r="K2047">
        <v>0.705414381710049</v>
      </c>
      <c r="L2047" t="s">
        <v>49</v>
      </c>
      <c r="M2047" t="s">
        <v>34</v>
      </c>
      <c r="N2047" t="s">
        <v>35</v>
      </c>
      <c r="O2047">
        <v>0.731726569693957</v>
      </c>
      <c r="P2047" t="s">
        <v>36</v>
      </c>
    </row>
    <row r="2048" spans="1:16">
      <c r="A2048">
        <v>2047</v>
      </c>
      <c r="B2048" t="s">
        <v>2108</v>
      </c>
      <c r="C2048">
        <v>182</v>
      </c>
      <c r="D2048">
        <v>161</v>
      </c>
      <c r="E2048">
        <v>151.20890916711301</v>
      </c>
      <c r="F2048">
        <v>1.12762986300102</v>
      </c>
      <c r="G2048">
        <v>17957.4490173913</v>
      </c>
      <c r="H2048">
        <v>851.75634786595504</v>
      </c>
      <c r="I2048">
        <v>0.69656925403637504</v>
      </c>
      <c r="J2048">
        <v>0.311045375147253</v>
      </c>
      <c r="K2048">
        <v>0.86684412174087699</v>
      </c>
      <c r="L2048" t="s">
        <v>49</v>
      </c>
      <c r="M2048" t="s">
        <v>34</v>
      </c>
      <c r="N2048" t="s">
        <v>35</v>
      </c>
      <c r="O2048">
        <v>0.71197704487288804</v>
      </c>
      <c r="P2048" t="s">
        <v>36</v>
      </c>
    </row>
    <row r="2049" spans="1:16">
      <c r="A2049">
        <v>2048</v>
      </c>
      <c r="B2049" t="s">
        <v>2109</v>
      </c>
      <c r="C2049">
        <v>207</v>
      </c>
      <c r="D2049">
        <v>206</v>
      </c>
      <c r="E2049">
        <v>151.25082969604901</v>
      </c>
      <c r="F2049">
        <v>1.0053050397878001</v>
      </c>
      <c r="G2049">
        <v>17967.407294518001</v>
      </c>
      <c r="H2049">
        <v>1687.0378378965499</v>
      </c>
      <c r="I2049">
        <v>0.56684672188287399</v>
      </c>
      <c r="J2049">
        <v>7.9331493445068194E-2</v>
      </c>
      <c r="K2049">
        <v>0.50684041273075697</v>
      </c>
      <c r="L2049" t="s">
        <v>38</v>
      </c>
      <c r="M2049" t="s">
        <v>34</v>
      </c>
      <c r="N2049" t="s">
        <v>35</v>
      </c>
      <c r="O2049">
        <v>0.71179240257000498</v>
      </c>
      <c r="P2049" t="s">
        <v>36</v>
      </c>
    </row>
    <row r="2050" spans="1:16">
      <c r="A2050">
        <v>2049</v>
      </c>
      <c r="B2050" t="s">
        <v>2110</v>
      </c>
      <c r="C2050">
        <v>136</v>
      </c>
      <c r="D2050">
        <v>239</v>
      </c>
      <c r="E2050">
        <v>151.30211961177599</v>
      </c>
      <c r="F2050">
        <v>0.56947608200455602</v>
      </c>
      <c r="G2050">
        <v>17979.595036672999</v>
      </c>
      <c r="H2050">
        <v>1045.68934756777</v>
      </c>
      <c r="I2050">
        <v>0.74394746504961895</v>
      </c>
      <c r="J2050">
        <v>0.20662573047673199</v>
      </c>
      <c r="K2050">
        <v>0.76619732583401401</v>
      </c>
      <c r="L2050" t="s">
        <v>38</v>
      </c>
      <c r="M2050" t="s">
        <v>34</v>
      </c>
      <c r="N2050" t="s">
        <v>35</v>
      </c>
      <c r="O2050">
        <v>0.69924468423387398</v>
      </c>
      <c r="P2050" t="s">
        <v>36</v>
      </c>
    </row>
    <row r="2051" spans="1:16">
      <c r="A2051">
        <v>2050</v>
      </c>
      <c r="B2051" t="s">
        <v>2111</v>
      </c>
      <c r="C2051">
        <v>190</v>
      </c>
      <c r="D2051">
        <v>206</v>
      </c>
      <c r="E2051">
        <v>152.116052220982</v>
      </c>
      <c r="F2051">
        <v>0.92426363418342705</v>
      </c>
      <c r="G2051">
        <v>18173.558494139899</v>
      </c>
      <c r="H2051">
        <v>1922.77147472247</v>
      </c>
      <c r="I2051">
        <v>0.72845076091385197</v>
      </c>
      <c r="J2051">
        <v>6.1772403003333601E-2</v>
      </c>
      <c r="K2051">
        <v>0.59091348430809698</v>
      </c>
      <c r="L2051" t="s">
        <v>33</v>
      </c>
      <c r="M2051" t="s">
        <v>34</v>
      </c>
      <c r="N2051" t="s">
        <v>35</v>
      </c>
      <c r="O2051">
        <v>0.77220942889406896</v>
      </c>
      <c r="P2051" t="s">
        <v>36</v>
      </c>
    </row>
    <row r="2052" spans="1:16">
      <c r="A2052">
        <v>2051</v>
      </c>
      <c r="B2052" t="s">
        <v>2112</v>
      </c>
      <c r="C2052">
        <v>177</v>
      </c>
      <c r="D2052">
        <v>183</v>
      </c>
      <c r="E2052">
        <v>152.570702048383</v>
      </c>
      <c r="F2052">
        <v>0.96464134077319696</v>
      </c>
      <c r="G2052">
        <v>18282.3563875236</v>
      </c>
      <c r="H2052">
        <v>1209.01267867451</v>
      </c>
      <c r="I2052">
        <v>0.82141835956338904</v>
      </c>
      <c r="J2052">
        <v>0.15717386184781401</v>
      </c>
      <c r="K2052">
        <v>0.69681348250955999</v>
      </c>
      <c r="L2052" t="s">
        <v>38</v>
      </c>
      <c r="M2052" t="s">
        <v>34</v>
      </c>
      <c r="N2052" t="s">
        <v>35</v>
      </c>
      <c r="O2052">
        <v>0.79665221547894705</v>
      </c>
      <c r="P2052" t="s">
        <v>36</v>
      </c>
    </row>
    <row r="2053" spans="1:16">
      <c r="A2053">
        <v>2052</v>
      </c>
      <c r="B2053" t="s">
        <v>2113</v>
      </c>
      <c r="C2053">
        <v>151</v>
      </c>
      <c r="D2053">
        <v>202</v>
      </c>
      <c r="E2053">
        <v>153.01348886618001</v>
      </c>
      <c r="F2053">
        <v>0.74659257177636595</v>
      </c>
      <c r="G2053">
        <v>18388.627553875202</v>
      </c>
      <c r="H2053">
        <v>1050.8448379954</v>
      </c>
      <c r="I2053">
        <v>0.75142095533650199</v>
      </c>
      <c r="J2053">
        <v>0.20925796146235501</v>
      </c>
      <c r="K2053">
        <v>0.77353524112016303</v>
      </c>
      <c r="L2053" t="s">
        <v>38</v>
      </c>
      <c r="M2053" t="s">
        <v>34</v>
      </c>
      <c r="N2053" t="s">
        <v>35</v>
      </c>
      <c r="O2053">
        <v>0.72318663971973496</v>
      </c>
      <c r="P2053" t="s">
        <v>36</v>
      </c>
    </row>
    <row r="2054" spans="1:16">
      <c r="A2054">
        <v>2053</v>
      </c>
      <c r="B2054" t="s">
        <v>2114</v>
      </c>
      <c r="C2054">
        <v>246</v>
      </c>
      <c r="D2054">
        <v>117</v>
      </c>
      <c r="E2054">
        <v>153.79560375095701</v>
      </c>
      <c r="F2054">
        <v>2.0933062385630601</v>
      </c>
      <c r="G2054">
        <v>18577.0916642722</v>
      </c>
      <c r="H2054">
        <v>1167.59885441656</v>
      </c>
      <c r="I2054">
        <v>0.72843069197575505</v>
      </c>
      <c r="J2054">
        <v>0.17123804764749601</v>
      </c>
      <c r="K2054">
        <v>0.78828931103206401</v>
      </c>
      <c r="L2054" t="s">
        <v>38</v>
      </c>
      <c r="M2054" t="s">
        <v>34</v>
      </c>
      <c r="N2054" t="s">
        <v>35</v>
      </c>
      <c r="O2054">
        <v>0.77096620754682399</v>
      </c>
      <c r="P2054" t="s">
        <v>36</v>
      </c>
    </row>
    <row r="2055" spans="1:16">
      <c r="A2055">
        <v>2054</v>
      </c>
      <c r="B2055" t="s">
        <v>2115</v>
      </c>
      <c r="C2055">
        <v>131</v>
      </c>
      <c r="D2055">
        <v>231</v>
      </c>
      <c r="E2055">
        <v>154.19621942131701</v>
      </c>
      <c r="F2055">
        <v>0.56477170211833005</v>
      </c>
      <c r="G2055">
        <v>18673.999077504701</v>
      </c>
      <c r="H2055">
        <v>938.26547162097404</v>
      </c>
      <c r="I2055">
        <v>0.77338704691578197</v>
      </c>
      <c r="J2055">
        <v>0.26656045931460598</v>
      </c>
      <c r="K2055">
        <v>0.80239620388169697</v>
      </c>
      <c r="L2055" t="s">
        <v>38</v>
      </c>
      <c r="M2055" t="s">
        <v>34</v>
      </c>
      <c r="N2055" t="s">
        <v>35</v>
      </c>
      <c r="O2055">
        <v>0.78661103146746003</v>
      </c>
      <c r="P2055" t="s">
        <v>36</v>
      </c>
    </row>
    <row r="2056" spans="1:16">
      <c r="A2056">
        <v>2055</v>
      </c>
      <c r="B2056" t="s">
        <v>2116</v>
      </c>
      <c r="C2056">
        <v>136</v>
      </c>
      <c r="D2056">
        <v>191</v>
      </c>
      <c r="E2056">
        <v>154.21524118183501</v>
      </c>
      <c r="F2056">
        <v>0.71423761834476795</v>
      </c>
      <c r="G2056">
        <v>18678.606638563298</v>
      </c>
      <c r="H2056">
        <v>720.53227255956006</v>
      </c>
      <c r="I2056">
        <v>0.75698388491094004</v>
      </c>
      <c r="J2056">
        <v>0.45211348946716801</v>
      </c>
      <c r="K2056">
        <v>0.88984478998498895</v>
      </c>
      <c r="L2056" t="s">
        <v>38</v>
      </c>
      <c r="M2056" t="s">
        <v>34</v>
      </c>
      <c r="N2056" t="s">
        <v>35</v>
      </c>
      <c r="O2056">
        <v>0.77418807642117604</v>
      </c>
      <c r="P2056" t="s">
        <v>36</v>
      </c>
    </row>
    <row r="2057" spans="1:16">
      <c r="A2057">
        <v>2056</v>
      </c>
      <c r="B2057" t="s">
        <v>2117</v>
      </c>
      <c r="C2057">
        <v>170</v>
      </c>
      <c r="D2057">
        <v>205</v>
      </c>
      <c r="E2057">
        <v>154.282718826126</v>
      </c>
      <c r="F2057">
        <v>0.82926459572205902</v>
      </c>
      <c r="G2057">
        <v>18694.956048771299</v>
      </c>
      <c r="H2057">
        <v>1524.67198914559</v>
      </c>
      <c r="I2057">
        <v>0.61616242849255698</v>
      </c>
      <c r="J2057">
        <v>0.1010605061998</v>
      </c>
      <c r="K2057">
        <v>0.67442895442359296</v>
      </c>
      <c r="L2057" t="s">
        <v>38</v>
      </c>
      <c r="M2057" t="s">
        <v>34</v>
      </c>
      <c r="N2057" t="s">
        <v>35</v>
      </c>
      <c r="O2057">
        <v>0.714849854489919</v>
      </c>
      <c r="P2057" t="s">
        <v>36</v>
      </c>
    </row>
    <row r="2058" spans="1:16">
      <c r="A2058">
        <v>2057</v>
      </c>
      <c r="B2058" t="s">
        <v>2118</v>
      </c>
      <c r="C2058">
        <v>134</v>
      </c>
      <c r="D2058">
        <v>268</v>
      </c>
      <c r="E2058">
        <v>155.315126547375</v>
      </c>
      <c r="F2058">
        <v>0.50205322304734501</v>
      </c>
      <c r="G2058">
        <v>18945.993810964101</v>
      </c>
      <c r="H2058">
        <v>1090.58426273844</v>
      </c>
      <c r="I2058">
        <v>0.84802975191973295</v>
      </c>
      <c r="J2058">
        <v>0.20017452294520099</v>
      </c>
      <c r="K2058">
        <v>0.72239381145334502</v>
      </c>
      <c r="L2058" t="s">
        <v>74</v>
      </c>
      <c r="M2058" t="s">
        <v>34</v>
      </c>
      <c r="N2058" t="s">
        <v>35</v>
      </c>
      <c r="O2058">
        <v>0.66972805462152996</v>
      </c>
      <c r="P2058" t="s">
        <v>36</v>
      </c>
    </row>
    <row r="2059" spans="1:16">
      <c r="A2059">
        <v>2058</v>
      </c>
      <c r="B2059" t="s">
        <v>2119</v>
      </c>
      <c r="C2059">
        <v>160</v>
      </c>
      <c r="D2059">
        <v>256</v>
      </c>
      <c r="E2059">
        <v>156.38307690193199</v>
      </c>
      <c r="F2059">
        <v>0.62332752136237002</v>
      </c>
      <c r="G2059">
        <v>19207.435743289199</v>
      </c>
      <c r="H2059">
        <v>1447.3795184590499</v>
      </c>
      <c r="I2059">
        <v>0.73931819662558496</v>
      </c>
      <c r="J2059">
        <v>0.115216428174399</v>
      </c>
      <c r="K2059">
        <v>0.54830073401502</v>
      </c>
      <c r="L2059" t="s">
        <v>49</v>
      </c>
      <c r="M2059" t="s">
        <v>34</v>
      </c>
      <c r="N2059" t="s">
        <v>35</v>
      </c>
      <c r="O2059">
        <v>0.82751042349818005</v>
      </c>
      <c r="P2059" t="s">
        <v>36</v>
      </c>
    </row>
    <row r="2060" spans="1:16">
      <c r="A2060">
        <v>2059</v>
      </c>
      <c r="B2060" t="s">
        <v>2120</v>
      </c>
      <c r="C2060">
        <v>243</v>
      </c>
      <c r="D2060">
        <v>117</v>
      </c>
      <c r="E2060">
        <v>156.397597712292</v>
      </c>
      <c r="F2060">
        <v>2.0728544342948099</v>
      </c>
      <c r="G2060">
        <v>19211.002887334598</v>
      </c>
      <c r="H2060">
        <v>953.24427733058496</v>
      </c>
      <c r="I2060">
        <v>0.57620961638538803</v>
      </c>
      <c r="J2060">
        <v>0.26567548853091899</v>
      </c>
      <c r="K2060">
        <v>0.78421652974796396</v>
      </c>
      <c r="L2060" t="s">
        <v>33</v>
      </c>
      <c r="M2060" t="s">
        <v>34</v>
      </c>
      <c r="N2060" t="s">
        <v>35</v>
      </c>
      <c r="O2060">
        <v>0.71029449147822699</v>
      </c>
      <c r="P2060" t="s">
        <v>36</v>
      </c>
    </row>
    <row r="2061" spans="1:16">
      <c r="A2061">
        <v>2060</v>
      </c>
      <c r="B2061" t="s">
        <v>2121</v>
      </c>
      <c r="C2061">
        <v>190</v>
      </c>
      <c r="D2061">
        <v>166</v>
      </c>
      <c r="E2061">
        <v>156.520970210028</v>
      </c>
      <c r="F2061">
        <v>1.1417441446418499</v>
      </c>
      <c r="G2061">
        <v>19241.3236117202</v>
      </c>
      <c r="H2061">
        <v>964.97447617354601</v>
      </c>
      <c r="I2061">
        <v>0.56632241318992904</v>
      </c>
      <c r="J2061">
        <v>0.25966484447105298</v>
      </c>
      <c r="K2061">
        <v>0.82169356835016405</v>
      </c>
      <c r="L2061" t="s">
        <v>38</v>
      </c>
      <c r="M2061" t="s">
        <v>34</v>
      </c>
      <c r="N2061" t="s">
        <v>35</v>
      </c>
      <c r="O2061">
        <v>0.80115930977086403</v>
      </c>
      <c r="P2061" t="s">
        <v>36</v>
      </c>
    </row>
    <row r="2062" spans="1:16">
      <c r="A2062">
        <v>2061</v>
      </c>
      <c r="B2062" t="s">
        <v>2122</v>
      </c>
      <c r="C2062">
        <v>146</v>
      </c>
      <c r="D2062">
        <v>247</v>
      </c>
      <c r="E2062">
        <v>157.00264305130199</v>
      </c>
      <c r="F2062">
        <v>0.58952271958373703</v>
      </c>
      <c r="G2062">
        <v>19359.931151228699</v>
      </c>
      <c r="H2062">
        <v>1255.04342359014</v>
      </c>
      <c r="I2062">
        <v>0.63838872618480103</v>
      </c>
      <c r="J2062">
        <v>0.15445293585950201</v>
      </c>
      <c r="K2062">
        <v>0.69911922410137795</v>
      </c>
      <c r="L2062" t="s">
        <v>38</v>
      </c>
      <c r="M2062" t="s">
        <v>34</v>
      </c>
      <c r="N2062" t="s">
        <v>35</v>
      </c>
      <c r="O2062">
        <v>0.73331678651129395</v>
      </c>
      <c r="P2062" t="s">
        <v>36</v>
      </c>
    </row>
    <row r="2063" spans="1:16">
      <c r="A2063">
        <v>2062</v>
      </c>
      <c r="B2063" t="s">
        <v>2123</v>
      </c>
      <c r="C2063">
        <v>161</v>
      </c>
      <c r="D2063">
        <v>287</v>
      </c>
      <c r="E2063">
        <v>157.215656542761</v>
      </c>
      <c r="F2063">
        <v>0.56180339771604404</v>
      </c>
      <c r="G2063">
        <v>19412.5</v>
      </c>
      <c r="H2063">
        <v>1380.03570139408</v>
      </c>
      <c r="I2063">
        <v>0.77122577573736495</v>
      </c>
      <c r="J2063">
        <v>0.128088662078919</v>
      </c>
      <c r="K2063">
        <v>0.54529494382022503</v>
      </c>
      <c r="L2063" t="s">
        <v>43</v>
      </c>
      <c r="M2063" t="s">
        <v>34</v>
      </c>
      <c r="N2063" t="s">
        <v>35</v>
      </c>
      <c r="O2063">
        <v>0.649716954284425</v>
      </c>
      <c r="P2063" t="s">
        <v>36</v>
      </c>
    </row>
    <row r="2064" spans="1:16">
      <c r="A2064">
        <v>2063</v>
      </c>
      <c r="B2064" t="s">
        <v>2124</v>
      </c>
      <c r="C2064">
        <v>169</v>
      </c>
      <c r="D2064">
        <v>186</v>
      </c>
      <c r="E2064">
        <v>157.64978671832301</v>
      </c>
      <c r="F2064">
        <v>0.90683232810658299</v>
      </c>
      <c r="G2064">
        <v>19519.858109262801</v>
      </c>
      <c r="H2064">
        <v>1102.5242481462899</v>
      </c>
      <c r="I2064">
        <v>0.73486692025554501</v>
      </c>
      <c r="J2064">
        <v>0.201794916168028</v>
      </c>
      <c r="K2064">
        <v>0.78945754887109598</v>
      </c>
      <c r="L2064" t="s">
        <v>38</v>
      </c>
      <c r="M2064" t="s">
        <v>34</v>
      </c>
      <c r="N2064" t="s">
        <v>35</v>
      </c>
      <c r="O2064">
        <v>0.79121407052912995</v>
      </c>
      <c r="P2064" t="s">
        <v>36</v>
      </c>
    </row>
    <row r="2065" spans="1:16">
      <c r="A2065">
        <v>2064</v>
      </c>
      <c r="B2065" t="s">
        <v>2125</v>
      </c>
      <c r="C2065">
        <v>214</v>
      </c>
      <c r="D2065">
        <v>156</v>
      </c>
      <c r="E2065">
        <v>157.95259700704099</v>
      </c>
      <c r="F2065">
        <v>1.37412587412587</v>
      </c>
      <c r="G2065">
        <v>19594.9167652174</v>
      </c>
      <c r="H2065">
        <v>926.11569964823502</v>
      </c>
      <c r="I2065">
        <v>0.71830238020501203</v>
      </c>
      <c r="J2065">
        <v>0.28709312597860298</v>
      </c>
      <c r="K2065">
        <v>0.80862130300911395</v>
      </c>
      <c r="L2065" t="s">
        <v>49</v>
      </c>
      <c r="M2065" t="s">
        <v>34</v>
      </c>
      <c r="N2065" t="s">
        <v>35</v>
      </c>
      <c r="O2065">
        <v>0.74425891789566401</v>
      </c>
      <c r="P2065" t="s">
        <v>36</v>
      </c>
    </row>
    <row r="2066" spans="1:16">
      <c r="A2066">
        <v>2065</v>
      </c>
      <c r="B2066" t="s">
        <v>2126</v>
      </c>
      <c r="C2066">
        <v>143</v>
      </c>
      <c r="D2066">
        <v>219</v>
      </c>
      <c r="E2066">
        <v>158.24466316886901</v>
      </c>
      <c r="F2066">
        <v>0.65316051616146598</v>
      </c>
      <c r="G2066">
        <v>19667.448694139901</v>
      </c>
      <c r="H2066">
        <v>1268.61307409452</v>
      </c>
      <c r="I2066">
        <v>0.64772442470594904</v>
      </c>
      <c r="J2066">
        <v>0.15356757425991399</v>
      </c>
      <c r="K2066">
        <v>0.74372751798561199</v>
      </c>
      <c r="L2066" t="s">
        <v>47</v>
      </c>
      <c r="M2066" t="s">
        <v>34</v>
      </c>
      <c r="N2066" t="s">
        <v>35</v>
      </c>
      <c r="O2066">
        <v>0.94308152041662396</v>
      </c>
      <c r="P2066" t="s">
        <v>36</v>
      </c>
    </row>
    <row r="2067" spans="1:16">
      <c r="A2067">
        <v>2066</v>
      </c>
      <c r="B2067" t="s">
        <v>2127</v>
      </c>
      <c r="C2067">
        <v>190</v>
      </c>
      <c r="D2067">
        <v>301</v>
      </c>
      <c r="E2067">
        <v>159.520910510448</v>
      </c>
      <c r="F2067">
        <v>0.63091435290540998</v>
      </c>
      <c r="G2067">
        <v>19985.964931190902</v>
      </c>
      <c r="H2067">
        <v>2397.6209682117301</v>
      </c>
      <c r="I2067">
        <v>0.69196078866491595</v>
      </c>
      <c r="J2067">
        <v>4.3689183564312797E-2</v>
      </c>
      <c r="K2067">
        <v>0.48429874699715098</v>
      </c>
      <c r="L2067" t="s">
        <v>38</v>
      </c>
      <c r="M2067" t="s">
        <v>34</v>
      </c>
      <c r="N2067" t="s">
        <v>35</v>
      </c>
      <c r="O2067">
        <v>0.700128547172853</v>
      </c>
      <c r="P2067" t="s">
        <v>36</v>
      </c>
    </row>
    <row r="2068" spans="1:16">
      <c r="A2068">
        <v>2067</v>
      </c>
      <c r="B2068" t="s">
        <v>2128</v>
      </c>
      <c r="C2068">
        <v>140</v>
      </c>
      <c r="D2068">
        <v>280</v>
      </c>
      <c r="E2068">
        <v>160.81877456451701</v>
      </c>
      <c r="F2068">
        <v>0.499339490194671</v>
      </c>
      <c r="G2068">
        <v>20312.5</v>
      </c>
      <c r="H2068">
        <v>1081.0407537221899</v>
      </c>
      <c r="I2068">
        <v>0.81828882528537905</v>
      </c>
      <c r="J2068">
        <v>0.21841834358669801</v>
      </c>
      <c r="K2068">
        <v>0.71998227735932696</v>
      </c>
      <c r="L2068" t="s">
        <v>298</v>
      </c>
      <c r="M2068" t="s">
        <v>34</v>
      </c>
      <c r="N2068" t="s">
        <v>35</v>
      </c>
      <c r="O2068">
        <v>0.81184928704757997</v>
      </c>
      <c r="P2068" t="s">
        <v>36</v>
      </c>
    </row>
    <row r="2069" spans="1:16">
      <c r="A2069">
        <v>2068</v>
      </c>
      <c r="B2069" t="s">
        <v>2129</v>
      </c>
      <c r="C2069">
        <v>250</v>
      </c>
      <c r="D2069">
        <v>152</v>
      </c>
      <c r="E2069">
        <v>163.35470148542299</v>
      </c>
      <c r="F2069">
        <v>1.6474820143884901</v>
      </c>
      <c r="G2069">
        <v>20958.1603145558</v>
      </c>
      <c r="H2069">
        <v>2001.1504871874299</v>
      </c>
      <c r="I2069">
        <v>0.72849216276114304</v>
      </c>
      <c r="J2069">
        <v>6.5766317409006306E-2</v>
      </c>
      <c r="K2069">
        <v>0.66540514267647599</v>
      </c>
      <c r="L2069" t="s">
        <v>38</v>
      </c>
      <c r="M2069" t="s">
        <v>34</v>
      </c>
      <c r="N2069" t="s">
        <v>35</v>
      </c>
      <c r="O2069">
        <v>0.801655157250178</v>
      </c>
      <c r="P2069" t="s">
        <v>36</v>
      </c>
    </row>
    <row r="2070" spans="1:16">
      <c r="A2070">
        <v>2069</v>
      </c>
      <c r="B2070" t="s">
        <v>2130</v>
      </c>
      <c r="C2070">
        <v>180</v>
      </c>
      <c r="D2070">
        <v>205</v>
      </c>
      <c r="E2070">
        <v>164.316880196303</v>
      </c>
      <c r="F2070">
        <v>0.88031914893617003</v>
      </c>
      <c r="G2070">
        <v>21205.779563705099</v>
      </c>
      <c r="H2070">
        <v>1957.8485838454701</v>
      </c>
      <c r="I2070">
        <v>0.68731180650731305</v>
      </c>
      <c r="J2070">
        <v>6.9519382201435206E-2</v>
      </c>
      <c r="K2070">
        <v>0.62693178073162703</v>
      </c>
      <c r="L2070" t="s">
        <v>38</v>
      </c>
      <c r="M2070" t="s">
        <v>34</v>
      </c>
      <c r="N2070" t="s">
        <v>35</v>
      </c>
      <c r="O2070">
        <v>0.78977301838626701</v>
      </c>
      <c r="P2070" t="s">
        <v>36</v>
      </c>
    </row>
    <row r="2071" spans="1:16">
      <c r="A2071">
        <v>2070</v>
      </c>
      <c r="B2071" t="s">
        <v>2131</v>
      </c>
      <c r="C2071">
        <v>169</v>
      </c>
      <c r="D2071">
        <v>217</v>
      </c>
      <c r="E2071">
        <v>165.73939988995599</v>
      </c>
      <c r="F2071">
        <v>0.78072926326287695</v>
      </c>
      <c r="G2071">
        <v>21574.5330793951</v>
      </c>
      <c r="H2071">
        <v>1009.75979694252</v>
      </c>
      <c r="I2071">
        <v>0.82118624362132697</v>
      </c>
      <c r="J2071">
        <v>0.26589802920826699</v>
      </c>
      <c r="K2071">
        <v>0.80352398033745198</v>
      </c>
      <c r="L2071" t="s">
        <v>38</v>
      </c>
      <c r="M2071" t="s">
        <v>34</v>
      </c>
      <c r="N2071" t="s">
        <v>35</v>
      </c>
      <c r="O2071">
        <v>0.77785874925172604</v>
      </c>
      <c r="P2071" t="s">
        <v>36</v>
      </c>
    </row>
    <row r="2072" spans="1:16">
      <c r="A2072">
        <v>2071</v>
      </c>
      <c r="B2072" t="s">
        <v>2132</v>
      </c>
      <c r="C2072">
        <v>243</v>
      </c>
      <c r="D2072">
        <v>142</v>
      </c>
      <c r="E2072">
        <v>165.96361385397299</v>
      </c>
      <c r="F2072">
        <v>1.70588235294118</v>
      </c>
      <c r="G2072">
        <v>21632.945063137999</v>
      </c>
      <c r="H2072">
        <v>1376.1951718655901</v>
      </c>
      <c r="I2072">
        <v>0.62010206340740404</v>
      </c>
      <c r="J2072">
        <v>0.14353752440571499</v>
      </c>
      <c r="K2072">
        <v>0.77572643741872205</v>
      </c>
      <c r="L2072" t="s">
        <v>38</v>
      </c>
      <c r="M2072" t="s">
        <v>34</v>
      </c>
      <c r="N2072" t="s">
        <v>35</v>
      </c>
      <c r="O2072">
        <v>0.74252718934419804</v>
      </c>
      <c r="P2072" t="s">
        <v>36</v>
      </c>
    </row>
    <row r="2073" spans="1:16">
      <c r="A2073">
        <v>2072</v>
      </c>
      <c r="B2073" t="s">
        <v>2133</v>
      </c>
      <c r="C2073">
        <v>283</v>
      </c>
      <c r="D2073">
        <v>139</v>
      </c>
      <c r="E2073">
        <v>166.37587854240499</v>
      </c>
      <c r="F2073">
        <v>2.0408052786757902</v>
      </c>
      <c r="G2073">
        <v>21740.553908506601</v>
      </c>
      <c r="H2073">
        <v>1195.9501587643799</v>
      </c>
      <c r="I2073">
        <v>0.71208121963841897</v>
      </c>
      <c r="J2073">
        <v>0.19100920953360101</v>
      </c>
      <c r="K2073">
        <v>0.734245585149638</v>
      </c>
      <c r="L2073" t="s">
        <v>38</v>
      </c>
      <c r="M2073" t="s">
        <v>34</v>
      </c>
      <c r="N2073" t="s">
        <v>35</v>
      </c>
      <c r="O2073">
        <v>0.73825542263302302</v>
      </c>
      <c r="P2073" t="s">
        <v>36</v>
      </c>
    </row>
    <row r="2074" spans="1:16">
      <c r="A2074">
        <v>2073</v>
      </c>
      <c r="B2074" t="s">
        <v>2134</v>
      </c>
      <c r="C2074">
        <v>124</v>
      </c>
      <c r="D2074">
        <v>280</v>
      </c>
      <c r="E2074">
        <v>167.558030502473</v>
      </c>
      <c r="F2074">
        <v>0.44271455098571899</v>
      </c>
      <c r="G2074">
        <v>22050.598178449902</v>
      </c>
      <c r="H2074">
        <v>1201.0281545099999</v>
      </c>
      <c r="I2074">
        <v>0.86946556317286705</v>
      </c>
      <c r="J2074">
        <v>0.192098450957083</v>
      </c>
      <c r="K2074">
        <v>0.75740388100695799</v>
      </c>
      <c r="L2074" t="s">
        <v>33</v>
      </c>
      <c r="M2074" t="s">
        <v>34</v>
      </c>
      <c r="N2074" t="s">
        <v>35</v>
      </c>
      <c r="O2074">
        <v>0.698069163916893</v>
      </c>
      <c r="P2074" t="s">
        <v>36</v>
      </c>
    </row>
    <row r="2075" spans="1:16">
      <c r="A2075">
        <v>2074</v>
      </c>
      <c r="B2075" t="s">
        <v>2135</v>
      </c>
      <c r="C2075">
        <v>158</v>
      </c>
      <c r="D2075">
        <v>207</v>
      </c>
      <c r="E2075">
        <v>168.12629300023701</v>
      </c>
      <c r="F2075">
        <v>0.76562495596769697</v>
      </c>
      <c r="G2075">
        <v>22200.4182283554</v>
      </c>
      <c r="H2075">
        <v>1057.8391195405</v>
      </c>
      <c r="I2075">
        <v>0.72967041626137197</v>
      </c>
      <c r="J2075">
        <v>0.24930545034590601</v>
      </c>
      <c r="K2075">
        <v>0.79771632432894302</v>
      </c>
      <c r="L2075" t="s">
        <v>38</v>
      </c>
      <c r="M2075" t="s">
        <v>34</v>
      </c>
      <c r="N2075" t="s">
        <v>35</v>
      </c>
      <c r="O2075">
        <v>0.78510288262077399</v>
      </c>
      <c r="P2075" t="s">
        <v>36</v>
      </c>
    </row>
    <row r="2076" spans="1:16">
      <c r="A2076">
        <v>2075</v>
      </c>
      <c r="B2076" t="s">
        <v>2136</v>
      </c>
      <c r="C2076">
        <v>291</v>
      </c>
      <c r="D2076">
        <v>153</v>
      </c>
      <c r="E2076">
        <v>168.46700441547799</v>
      </c>
      <c r="F2076">
        <v>1.9026760837308201</v>
      </c>
      <c r="G2076">
        <v>22290.488615500901</v>
      </c>
      <c r="H2076">
        <v>1376.9535909828901</v>
      </c>
      <c r="I2076">
        <v>0.52624013754245702</v>
      </c>
      <c r="J2076">
        <v>0.14773753431205899</v>
      </c>
      <c r="K2076">
        <v>0.64935593513888001</v>
      </c>
      <c r="L2076" t="s">
        <v>33</v>
      </c>
      <c r="M2076" t="s">
        <v>34</v>
      </c>
      <c r="N2076" t="s">
        <v>35</v>
      </c>
      <c r="O2076">
        <v>0.69475453198124704</v>
      </c>
      <c r="P2076" t="s">
        <v>36</v>
      </c>
    </row>
    <row r="2077" spans="1:16">
      <c r="A2077">
        <v>2076</v>
      </c>
      <c r="B2077" t="s">
        <v>2137</v>
      </c>
      <c r="C2077">
        <v>246</v>
      </c>
      <c r="D2077">
        <v>203</v>
      </c>
      <c r="E2077">
        <v>170.71992936524799</v>
      </c>
      <c r="F2077">
        <v>1.2140886823152199</v>
      </c>
      <c r="G2077">
        <v>22890.660601134201</v>
      </c>
      <c r="H2077">
        <v>1483.7153469713901</v>
      </c>
      <c r="I2077">
        <v>0.65737175886362698</v>
      </c>
      <c r="J2077">
        <v>0.130667328617111</v>
      </c>
      <c r="K2077">
        <v>0.614852105731726</v>
      </c>
      <c r="L2077" t="s">
        <v>38</v>
      </c>
      <c r="M2077" t="s">
        <v>34</v>
      </c>
      <c r="N2077" t="s">
        <v>35</v>
      </c>
      <c r="O2077">
        <v>0.66360734944067101</v>
      </c>
      <c r="P2077" t="s">
        <v>36</v>
      </c>
    </row>
    <row r="2078" spans="1:16">
      <c r="A2078">
        <v>2077</v>
      </c>
      <c r="B2078" t="s">
        <v>2138</v>
      </c>
      <c r="C2078">
        <v>269</v>
      </c>
      <c r="D2078">
        <v>141</v>
      </c>
      <c r="E2078">
        <v>171.41630918548401</v>
      </c>
      <c r="F2078">
        <v>1.9090963231923801</v>
      </c>
      <c r="G2078">
        <v>23077.787032514199</v>
      </c>
      <c r="H2078">
        <v>1177.7321484266199</v>
      </c>
      <c r="I2078">
        <v>0.575127448989732</v>
      </c>
      <c r="J2078">
        <v>0.20907926517610201</v>
      </c>
      <c r="K2078">
        <v>0.77849364245317099</v>
      </c>
      <c r="L2078" t="s">
        <v>188</v>
      </c>
      <c r="M2078" t="s">
        <v>34</v>
      </c>
      <c r="N2078" t="s">
        <v>35</v>
      </c>
      <c r="O2078">
        <v>0.636509419618005</v>
      </c>
      <c r="P2078" t="s">
        <v>36</v>
      </c>
    </row>
    <row r="2079" spans="1:16">
      <c r="A2079">
        <v>2078</v>
      </c>
      <c r="B2079" t="s">
        <v>2139</v>
      </c>
      <c r="C2079">
        <v>191</v>
      </c>
      <c r="D2079">
        <v>235</v>
      </c>
      <c r="E2079">
        <v>172.203307502592</v>
      </c>
      <c r="F2079">
        <v>0.81206493858318796</v>
      </c>
      <c r="G2079">
        <v>23290.180734215501</v>
      </c>
      <c r="H2079">
        <v>2005.20224758977</v>
      </c>
      <c r="I2079">
        <v>0.73054458184628701</v>
      </c>
      <c r="J2079">
        <v>7.2789101288871297E-2</v>
      </c>
      <c r="K2079">
        <v>0.67899003817472003</v>
      </c>
      <c r="L2079" t="s">
        <v>38</v>
      </c>
      <c r="M2079" t="s">
        <v>34</v>
      </c>
      <c r="N2079" t="s">
        <v>35</v>
      </c>
      <c r="O2079">
        <v>0.73833179598123599</v>
      </c>
      <c r="P2079" t="s">
        <v>36</v>
      </c>
    </row>
    <row r="2080" spans="1:16">
      <c r="A2080">
        <v>2079</v>
      </c>
      <c r="B2080" t="s">
        <v>2140</v>
      </c>
      <c r="C2080">
        <v>352</v>
      </c>
      <c r="D2080">
        <v>125</v>
      </c>
      <c r="E2080">
        <v>174.18756906190399</v>
      </c>
      <c r="F2080">
        <v>2.80996737178222</v>
      </c>
      <c r="G2080">
        <v>23830.008533081302</v>
      </c>
      <c r="H2080">
        <v>1672.9351268565099</v>
      </c>
      <c r="I2080">
        <v>0.74783175935788004</v>
      </c>
      <c r="J2080">
        <v>0.106998049650048</v>
      </c>
      <c r="K2080">
        <v>0.66487519853364996</v>
      </c>
      <c r="L2080" t="s">
        <v>38</v>
      </c>
      <c r="M2080" t="s">
        <v>34</v>
      </c>
      <c r="N2080" t="s">
        <v>35</v>
      </c>
      <c r="O2080">
        <v>0.72533295616376603</v>
      </c>
      <c r="P2080" t="s">
        <v>36</v>
      </c>
    </row>
    <row r="2081" spans="1:16">
      <c r="A2081">
        <v>2080</v>
      </c>
      <c r="B2081" t="s">
        <v>2141</v>
      </c>
      <c r="C2081">
        <v>160</v>
      </c>
      <c r="D2081">
        <v>236</v>
      </c>
      <c r="E2081">
        <v>174.25600080689401</v>
      </c>
      <c r="F2081">
        <v>0.67675363787189702</v>
      </c>
      <c r="G2081">
        <v>23848.736039319501</v>
      </c>
      <c r="H2081">
        <v>915.69512439126595</v>
      </c>
      <c r="I2081">
        <v>0.77483218273449095</v>
      </c>
      <c r="J2081">
        <v>0.35741553673221299</v>
      </c>
      <c r="K2081">
        <v>0.85036832900524695</v>
      </c>
      <c r="L2081" t="s">
        <v>33</v>
      </c>
      <c r="M2081" t="s">
        <v>34</v>
      </c>
      <c r="N2081" t="s">
        <v>35</v>
      </c>
      <c r="O2081">
        <v>0.67018996877700698</v>
      </c>
      <c r="P2081" t="s">
        <v>36</v>
      </c>
    </row>
    <row r="2082" spans="1:16">
      <c r="A2082">
        <v>2081</v>
      </c>
      <c r="B2082" t="s">
        <v>2142</v>
      </c>
      <c r="C2082">
        <v>232</v>
      </c>
      <c r="D2082">
        <v>179</v>
      </c>
      <c r="E2082">
        <v>180.78911378940001</v>
      </c>
      <c r="F2082">
        <v>1.29623014058338</v>
      </c>
      <c r="G2082">
        <v>25670.506229489602</v>
      </c>
      <c r="H2082">
        <v>1486.7126653149901</v>
      </c>
      <c r="I2082">
        <v>0.66223346691608898</v>
      </c>
      <c r="J2082">
        <v>0.145945334003965</v>
      </c>
      <c r="K2082">
        <v>0.72398442314060696</v>
      </c>
      <c r="L2082" t="s">
        <v>211</v>
      </c>
      <c r="M2082" t="s">
        <v>34</v>
      </c>
      <c r="N2082" t="s">
        <v>35</v>
      </c>
      <c r="O2082">
        <v>0.68462911436292595</v>
      </c>
      <c r="P2082" t="s">
        <v>36</v>
      </c>
    </row>
    <row r="2083" spans="1:16">
      <c r="A2083">
        <v>2082</v>
      </c>
      <c r="B2083" t="s">
        <v>2143</v>
      </c>
      <c r="C2083">
        <v>277</v>
      </c>
      <c r="D2083">
        <v>171</v>
      </c>
      <c r="E2083">
        <v>181.555288972379</v>
      </c>
      <c r="F2083">
        <v>1.62319544305796</v>
      </c>
      <c r="G2083">
        <v>25888.547909262801</v>
      </c>
      <c r="H2083">
        <v>1253.8440549498</v>
      </c>
      <c r="I2083">
        <v>0.57345186307959095</v>
      </c>
      <c r="J2083">
        <v>0.20693335801170001</v>
      </c>
      <c r="K2083">
        <v>0.70473138640060196</v>
      </c>
      <c r="L2083" t="s">
        <v>38</v>
      </c>
      <c r="M2083" t="s">
        <v>34</v>
      </c>
      <c r="N2083" t="s">
        <v>35</v>
      </c>
      <c r="O2083">
        <v>0.70684390619467996</v>
      </c>
      <c r="P2083" t="s">
        <v>36</v>
      </c>
    </row>
    <row r="2084" spans="1:16">
      <c r="A2084">
        <v>2083</v>
      </c>
      <c r="B2084" t="s">
        <v>2144</v>
      </c>
      <c r="C2084">
        <v>233</v>
      </c>
      <c r="D2084">
        <v>175</v>
      </c>
      <c r="E2084">
        <v>185.44737294019001</v>
      </c>
      <c r="F2084">
        <v>1.3354239032242401</v>
      </c>
      <c r="G2084">
        <v>27010.414711531201</v>
      </c>
      <c r="H2084">
        <v>1230.43779392077</v>
      </c>
      <c r="I2084">
        <v>0.70406740339207297</v>
      </c>
      <c r="J2084">
        <v>0.224192867385797</v>
      </c>
      <c r="K2084">
        <v>0.80655798822083102</v>
      </c>
      <c r="L2084" t="s">
        <v>38</v>
      </c>
      <c r="M2084" t="s">
        <v>34</v>
      </c>
      <c r="N2084" t="s">
        <v>35</v>
      </c>
      <c r="O2084">
        <v>0.755578373554602</v>
      </c>
      <c r="P2084" t="s">
        <v>36</v>
      </c>
    </row>
    <row r="2085" spans="1:16">
      <c r="A2085">
        <v>2084</v>
      </c>
      <c r="B2085" t="s">
        <v>2145</v>
      </c>
      <c r="C2085">
        <v>352</v>
      </c>
      <c r="D2085">
        <v>143</v>
      </c>
      <c r="E2085">
        <v>186.52897488137199</v>
      </c>
      <c r="F2085">
        <v>2.4629625700839002</v>
      </c>
      <c r="G2085">
        <v>27326.404221550099</v>
      </c>
      <c r="H2085">
        <v>1362.3029079344001</v>
      </c>
      <c r="I2085">
        <v>0.47795386615548302</v>
      </c>
      <c r="J2085">
        <v>0.18503120834516701</v>
      </c>
      <c r="K2085">
        <v>0.71970906927220302</v>
      </c>
      <c r="L2085" t="s">
        <v>38</v>
      </c>
      <c r="M2085" t="s">
        <v>34</v>
      </c>
      <c r="N2085" t="s">
        <v>35</v>
      </c>
      <c r="O2085">
        <v>0.71094973349603696</v>
      </c>
      <c r="P2085" t="s">
        <v>36</v>
      </c>
    </row>
    <row r="2086" spans="1:16">
      <c r="A2086">
        <v>2085</v>
      </c>
      <c r="B2086" t="s">
        <v>2146</v>
      </c>
      <c r="C2086">
        <v>243</v>
      </c>
      <c r="D2086">
        <v>194</v>
      </c>
      <c r="E2086">
        <v>186.84018195230999</v>
      </c>
      <c r="F2086">
        <v>1.24982711382901</v>
      </c>
      <c r="G2086">
        <v>27417.6636567108</v>
      </c>
      <c r="H2086">
        <v>1093.5267838811901</v>
      </c>
      <c r="I2086">
        <v>0.63902223662271895</v>
      </c>
      <c r="J2086">
        <v>0.28812534252511601</v>
      </c>
      <c r="K2086">
        <v>0.80920149322477797</v>
      </c>
      <c r="L2086" t="s">
        <v>331</v>
      </c>
      <c r="M2086" t="s">
        <v>34</v>
      </c>
      <c r="N2086" t="s">
        <v>35</v>
      </c>
      <c r="O2086">
        <v>0.73045139623779798</v>
      </c>
      <c r="P2086" t="s">
        <v>36</v>
      </c>
    </row>
    <row r="2087" spans="1:16">
      <c r="A2087">
        <v>2086</v>
      </c>
      <c r="B2087" t="s">
        <v>2147</v>
      </c>
      <c r="C2087">
        <v>231</v>
      </c>
      <c r="D2087">
        <v>268</v>
      </c>
      <c r="E2087">
        <v>189.78083049058401</v>
      </c>
      <c r="F2087">
        <v>0.86310367282794298</v>
      </c>
      <c r="G2087">
        <v>28287.5</v>
      </c>
      <c r="H2087">
        <v>1513.17278444767</v>
      </c>
      <c r="I2087">
        <v>0.55813117103218302</v>
      </c>
      <c r="J2087">
        <v>0.155248491092979</v>
      </c>
      <c r="K2087">
        <v>0.59899417681312905</v>
      </c>
      <c r="L2087" t="s">
        <v>38</v>
      </c>
      <c r="M2087" t="s">
        <v>34</v>
      </c>
      <c r="N2087" t="s">
        <v>35</v>
      </c>
      <c r="O2087">
        <v>0.73075856679231299</v>
      </c>
      <c r="P2087" t="s">
        <v>36</v>
      </c>
    </row>
    <row r="2088" spans="1:16">
      <c r="A2088">
        <v>2087</v>
      </c>
      <c r="B2088" t="s">
        <v>2148</v>
      </c>
      <c r="C2088">
        <v>252</v>
      </c>
      <c r="D2088">
        <v>162</v>
      </c>
      <c r="E2088">
        <v>190.09003836123799</v>
      </c>
      <c r="F2088">
        <v>1.5594011899562401</v>
      </c>
      <c r="G2088">
        <v>28379.752131947102</v>
      </c>
      <c r="H2088">
        <v>1082.41264949021</v>
      </c>
      <c r="I2088">
        <v>0.623408219336965</v>
      </c>
      <c r="J2088">
        <v>0.30439165654762101</v>
      </c>
      <c r="K2088">
        <v>0.86608305173156697</v>
      </c>
      <c r="L2088" t="s">
        <v>38</v>
      </c>
      <c r="M2088" t="s">
        <v>34</v>
      </c>
      <c r="N2088" t="s">
        <v>35</v>
      </c>
      <c r="O2088">
        <v>0.74296091422940103</v>
      </c>
      <c r="P2088" t="s">
        <v>36</v>
      </c>
    </row>
    <row r="2089" spans="1:16">
      <c r="A2089">
        <v>2088</v>
      </c>
      <c r="B2089" t="s">
        <v>2149</v>
      </c>
      <c r="C2089">
        <v>217</v>
      </c>
      <c r="D2089">
        <v>252</v>
      </c>
      <c r="E2089">
        <v>190.58020923797099</v>
      </c>
      <c r="F2089">
        <v>0.85995117379772801</v>
      </c>
      <c r="G2089">
        <v>28526.302299810999</v>
      </c>
      <c r="H2089">
        <v>1804.0424822968</v>
      </c>
      <c r="I2089">
        <v>0.69017140955186296</v>
      </c>
      <c r="J2089">
        <v>0.110144248391755</v>
      </c>
      <c r="K2089">
        <v>0.66356309877367003</v>
      </c>
      <c r="L2089" t="s">
        <v>38</v>
      </c>
      <c r="M2089" t="s">
        <v>34</v>
      </c>
      <c r="N2089" t="s">
        <v>35</v>
      </c>
      <c r="O2089">
        <v>0.71523491550574103</v>
      </c>
      <c r="P2089" t="s">
        <v>36</v>
      </c>
    </row>
    <row r="2090" spans="1:16">
      <c r="A2090">
        <v>2089</v>
      </c>
      <c r="B2090" t="s">
        <v>2150</v>
      </c>
      <c r="C2090">
        <v>234</v>
      </c>
      <c r="D2090">
        <v>293</v>
      </c>
      <c r="E2090">
        <v>192.593767632386</v>
      </c>
      <c r="F2090">
        <v>0.79857525613754998</v>
      </c>
      <c r="G2090">
        <v>29132.270894517998</v>
      </c>
      <c r="H2090">
        <v>2501.7375470868401</v>
      </c>
      <c r="I2090">
        <v>0.66019370847055603</v>
      </c>
      <c r="J2090">
        <v>5.84925709318624E-2</v>
      </c>
      <c r="K2090">
        <v>0.55564879177202997</v>
      </c>
      <c r="L2090" t="s">
        <v>33</v>
      </c>
      <c r="M2090" t="s">
        <v>34</v>
      </c>
      <c r="N2090" t="s">
        <v>35</v>
      </c>
      <c r="O2090">
        <v>0.68860847136077097</v>
      </c>
      <c r="P2090" t="s">
        <v>36</v>
      </c>
    </row>
    <row r="2091" spans="1:16">
      <c r="A2091">
        <v>2090</v>
      </c>
      <c r="B2091" t="s">
        <v>2151</v>
      </c>
      <c r="C2091">
        <v>210</v>
      </c>
      <c r="D2091">
        <v>196</v>
      </c>
      <c r="E2091">
        <v>194.40843504942401</v>
      </c>
      <c r="F2091">
        <v>1.0752089136490299</v>
      </c>
      <c r="G2091">
        <v>29683.8405425331</v>
      </c>
      <c r="H2091">
        <v>970.28495596522896</v>
      </c>
      <c r="I2091">
        <v>0.72165964251806802</v>
      </c>
      <c r="J2091">
        <v>0.39621540619826401</v>
      </c>
      <c r="K2091">
        <v>0.92263307185556798</v>
      </c>
      <c r="L2091" t="s">
        <v>38</v>
      </c>
      <c r="M2091" t="s">
        <v>34</v>
      </c>
      <c r="N2091" t="s">
        <v>35</v>
      </c>
      <c r="O2091">
        <v>0.75479878422102598</v>
      </c>
      <c r="P2091" t="s">
        <v>36</v>
      </c>
    </row>
    <row r="2092" spans="1:16">
      <c r="A2092">
        <v>2091</v>
      </c>
      <c r="B2092" t="s">
        <v>2152</v>
      </c>
      <c r="C2092">
        <v>219</v>
      </c>
      <c r="D2092">
        <v>315</v>
      </c>
      <c r="E2092">
        <v>196.12335437778799</v>
      </c>
      <c r="F2092">
        <v>0.69503747073390498</v>
      </c>
      <c r="G2092">
        <v>30209.845658223101</v>
      </c>
      <c r="H2092">
        <v>2144.4037215962599</v>
      </c>
      <c r="I2092">
        <v>0.72619367468634799</v>
      </c>
      <c r="J2092">
        <v>8.2555358172055601E-2</v>
      </c>
      <c r="K2092">
        <v>0.57382991818320395</v>
      </c>
      <c r="L2092" t="s">
        <v>38</v>
      </c>
      <c r="M2092" t="s">
        <v>34</v>
      </c>
      <c r="N2092" t="s">
        <v>35</v>
      </c>
      <c r="O2092">
        <v>0.71343427039732898</v>
      </c>
      <c r="P2092" t="s">
        <v>36</v>
      </c>
    </row>
    <row r="2093" spans="1:16">
      <c r="A2093">
        <v>2092</v>
      </c>
      <c r="B2093" t="s">
        <v>2153</v>
      </c>
      <c r="C2093">
        <v>205</v>
      </c>
      <c r="D2093">
        <v>304</v>
      </c>
      <c r="E2093">
        <v>200.56569928630199</v>
      </c>
      <c r="F2093">
        <v>0.67292692029156298</v>
      </c>
      <c r="G2093">
        <v>31593.897547826102</v>
      </c>
      <c r="H2093">
        <v>1984.7164707662801</v>
      </c>
      <c r="I2093">
        <v>0.71514432722259502</v>
      </c>
      <c r="J2093">
        <v>0.100789692880112</v>
      </c>
      <c r="K2093">
        <v>0.66575004384756098</v>
      </c>
      <c r="L2093" t="s">
        <v>38</v>
      </c>
      <c r="M2093" t="s">
        <v>34</v>
      </c>
      <c r="N2093" t="s">
        <v>35</v>
      </c>
      <c r="O2093">
        <v>0.74698175149268298</v>
      </c>
      <c r="P2093" t="s">
        <v>36</v>
      </c>
    </row>
    <row r="2094" spans="1:16">
      <c r="A2094">
        <v>2093</v>
      </c>
      <c r="B2094" t="s">
        <v>2154</v>
      </c>
      <c r="C2094">
        <v>222</v>
      </c>
      <c r="D2094">
        <v>434</v>
      </c>
      <c r="E2094">
        <v>200.58506827187099</v>
      </c>
      <c r="F2094">
        <v>0.51102240023411805</v>
      </c>
      <c r="G2094">
        <v>31600</v>
      </c>
      <c r="H2094">
        <v>1850.9545290470101</v>
      </c>
      <c r="I2094">
        <v>0.70858722050945899</v>
      </c>
      <c r="J2094">
        <v>0.115905874177218</v>
      </c>
      <c r="K2094">
        <v>0.46114556731119999</v>
      </c>
      <c r="L2094" t="s">
        <v>38</v>
      </c>
      <c r="M2094" t="s">
        <v>34</v>
      </c>
      <c r="N2094" t="s">
        <v>35</v>
      </c>
      <c r="O2094">
        <v>0.78105676083494902</v>
      </c>
      <c r="P2094" t="s">
        <v>36</v>
      </c>
    </row>
    <row r="2095" spans="1:16">
      <c r="A2095">
        <v>2094</v>
      </c>
      <c r="B2095" t="s">
        <v>2155</v>
      </c>
      <c r="C2095">
        <v>173</v>
      </c>
      <c r="D2095">
        <v>285</v>
      </c>
      <c r="E2095">
        <v>201.73324101770899</v>
      </c>
      <c r="F2095">
        <v>0.60903895374436301</v>
      </c>
      <c r="G2095">
        <v>31962.799694517998</v>
      </c>
      <c r="H2095">
        <v>1188.2075208844301</v>
      </c>
      <c r="I2095">
        <v>0.60928222544716004</v>
      </c>
      <c r="J2095">
        <v>0.28449201627063098</v>
      </c>
      <c r="K2095">
        <v>0.85154372195977601</v>
      </c>
      <c r="L2095" t="s">
        <v>38</v>
      </c>
      <c r="M2095" t="s">
        <v>34</v>
      </c>
      <c r="N2095" t="s">
        <v>35</v>
      </c>
      <c r="O2095">
        <v>0.69898797038046401</v>
      </c>
      <c r="P2095" t="s">
        <v>36</v>
      </c>
    </row>
    <row r="2096" spans="1:16">
      <c r="A2096">
        <v>2095</v>
      </c>
      <c r="B2096" t="s">
        <v>2156</v>
      </c>
      <c r="C2096">
        <v>244</v>
      </c>
      <c r="D2096">
        <v>381</v>
      </c>
      <c r="E2096">
        <v>206.95070714068399</v>
      </c>
      <c r="F2096">
        <v>0.64135700328732703</v>
      </c>
      <c r="G2096">
        <v>33637.5</v>
      </c>
      <c r="H2096">
        <v>1763.58908593655</v>
      </c>
      <c r="I2096">
        <v>0.65834969004427901</v>
      </c>
      <c r="J2096">
        <v>0.13590604359764899</v>
      </c>
      <c r="K2096">
        <v>0.56379635449402898</v>
      </c>
      <c r="L2096" t="s">
        <v>38</v>
      </c>
      <c r="M2096" t="s">
        <v>34</v>
      </c>
      <c r="N2096" t="s">
        <v>35</v>
      </c>
      <c r="O2096">
        <v>0.67292511045268599</v>
      </c>
      <c r="P2096" t="s">
        <v>36</v>
      </c>
    </row>
    <row r="2097" spans="1:16">
      <c r="A2097">
        <v>2096</v>
      </c>
      <c r="B2097" t="s">
        <v>2157</v>
      </c>
      <c r="C2097">
        <v>364</v>
      </c>
      <c r="D2097">
        <v>214</v>
      </c>
      <c r="E2097">
        <v>207.65749960674501</v>
      </c>
      <c r="F2097">
        <v>1.69858167324239</v>
      </c>
      <c r="G2097">
        <v>33867.654614744803</v>
      </c>
      <c r="H2097">
        <v>1433.6240999588799</v>
      </c>
      <c r="I2097">
        <v>0.63556318088204999</v>
      </c>
      <c r="J2097">
        <v>0.20707344082266699</v>
      </c>
      <c r="K2097">
        <v>0.60770053418888903</v>
      </c>
      <c r="L2097" t="s">
        <v>298</v>
      </c>
      <c r="M2097" t="s">
        <v>34</v>
      </c>
      <c r="N2097" t="s">
        <v>35</v>
      </c>
      <c r="O2097">
        <v>0.83549665559110597</v>
      </c>
      <c r="P2097" t="s">
        <v>36</v>
      </c>
    </row>
    <row r="2098" spans="1:16">
      <c r="A2098">
        <v>2097</v>
      </c>
      <c r="B2098" t="s">
        <v>2158</v>
      </c>
      <c r="C2098">
        <v>166</v>
      </c>
      <c r="D2098">
        <v>372</v>
      </c>
      <c r="E2098">
        <v>213.597742502345</v>
      </c>
      <c r="F2098">
        <v>0.44659735459533501</v>
      </c>
      <c r="G2098">
        <v>35833.002352741001</v>
      </c>
      <c r="H2098">
        <v>1555.0037787322401</v>
      </c>
      <c r="I2098">
        <v>0.74663850781101004</v>
      </c>
      <c r="J2098">
        <v>0.18622164755817999</v>
      </c>
      <c r="K2098">
        <v>0.76766097550102896</v>
      </c>
      <c r="L2098" t="s">
        <v>38</v>
      </c>
      <c r="M2098" t="s">
        <v>34</v>
      </c>
      <c r="N2098" t="s">
        <v>35</v>
      </c>
      <c r="O2098">
        <v>0.81385000304920097</v>
      </c>
      <c r="P2098" t="s">
        <v>36</v>
      </c>
    </row>
    <row r="2099" spans="1:16">
      <c r="A2099">
        <v>2098</v>
      </c>
      <c r="B2099" t="s">
        <v>2159</v>
      </c>
      <c r="C2099">
        <v>320</v>
      </c>
      <c r="D2099">
        <v>310</v>
      </c>
      <c r="E2099">
        <v>222.55541924726899</v>
      </c>
      <c r="F2099">
        <v>1.03334785928954</v>
      </c>
      <c r="G2099">
        <v>38901.489386767498</v>
      </c>
      <c r="H2099">
        <v>4318.3477582560399</v>
      </c>
      <c r="I2099">
        <v>0.55502498212209095</v>
      </c>
      <c r="J2099">
        <v>2.6214457013034102E-2</v>
      </c>
      <c r="K2099">
        <v>0.44955762548544398</v>
      </c>
      <c r="L2099" t="s">
        <v>33</v>
      </c>
      <c r="M2099" t="s">
        <v>34</v>
      </c>
      <c r="N2099" t="s">
        <v>35</v>
      </c>
      <c r="O2099">
        <v>0.67563613922066301</v>
      </c>
      <c r="P2099" t="s">
        <v>36</v>
      </c>
    </row>
    <row r="2100" spans="1:16">
      <c r="A2100">
        <v>2099</v>
      </c>
      <c r="B2100" t="s">
        <v>2160</v>
      </c>
      <c r="C2100">
        <v>267</v>
      </c>
      <c r="D2100">
        <v>225</v>
      </c>
      <c r="E2100">
        <v>227.96778063076599</v>
      </c>
      <c r="F2100">
        <v>1.1839988400993999</v>
      </c>
      <c r="G2100">
        <v>40816.599846124802</v>
      </c>
      <c r="H2100">
        <v>1352.2471086063599</v>
      </c>
      <c r="I2100">
        <v>0.66894882969207203</v>
      </c>
      <c r="J2100">
        <v>0.28050109746686103</v>
      </c>
      <c r="K2100">
        <v>0.84026730228473701</v>
      </c>
      <c r="L2100" t="s">
        <v>38</v>
      </c>
      <c r="M2100" t="s">
        <v>34</v>
      </c>
      <c r="N2100" t="s">
        <v>35</v>
      </c>
      <c r="O2100">
        <v>0.70047250759733903</v>
      </c>
      <c r="P2100" t="s">
        <v>36</v>
      </c>
    </row>
    <row r="2101" spans="1:16">
      <c r="A2101">
        <v>2100</v>
      </c>
      <c r="B2101" t="s">
        <v>2161</v>
      </c>
      <c r="C2101">
        <v>500</v>
      </c>
      <c r="D2101">
        <v>256</v>
      </c>
      <c r="E2101">
        <v>232.07333483685099</v>
      </c>
      <c r="F2101">
        <v>1.95288174804786</v>
      </c>
      <c r="G2101">
        <v>42300</v>
      </c>
      <c r="H2101">
        <v>2282.7921843528702</v>
      </c>
      <c r="I2101">
        <v>0.50472277797678</v>
      </c>
      <c r="J2101">
        <v>0.102004064557585</v>
      </c>
      <c r="K2101">
        <v>0.47993192454970901</v>
      </c>
      <c r="L2101" t="s">
        <v>43</v>
      </c>
      <c r="M2101" t="s">
        <v>34</v>
      </c>
      <c r="N2101" t="s">
        <v>35</v>
      </c>
      <c r="O2101">
        <v>0.69958692313694404</v>
      </c>
      <c r="P2101" t="s">
        <v>36</v>
      </c>
    </row>
    <row r="2102" spans="1:16">
      <c r="A2102">
        <v>2101</v>
      </c>
      <c r="B2102" t="s">
        <v>2162</v>
      </c>
      <c r="C2102">
        <v>474</v>
      </c>
      <c r="D2102">
        <v>201</v>
      </c>
      <c r="E2102">
        <v>234.223630071298</v>
      </c>
      <c r="F2102">
        <v>2.3598907732751302</v>
      </c>
      <c r="G2102">
        <v>43087.5</v>
      </c>
      <c r="H2102">
        <v>1939.44695055485</v>
      </c>
      <c r="I2102">
        <v>0.86406639278961295</v>
      </c>
      <c r="J2102">
        <v>0.143947905680229</v>
      </c>
      <c r="K2102">
        <v>0.60336075617013796</v>
      </c>
      <c r="L2102" t="s">
        <v>38</v>
      </c>
      <c r="M2102" t="s">
        <v>34</v>
      </c>
      <c r="N2102" t="s">
        <v>35</v>
      </c>
      <c r="O2102">
        <v>0.72745909794228103</v>
      </c>
      <c r="P2102" t="s">
        <v>36</v>
      </c>
    </row>
    <row r="2103" spans="1:16">
      <c r="A2103">
        <v>2102</v>
      </c>
      <c r="B2103" t="s">
        <v>2163</v>
      </c>
      <c r="C2103">
        <v>421</v>
      </c>
      <c r="D2103">
        <v>218</v>
      </c>
      <c r="E2103">
        <v>234.3844480034</v>
      </c>
      <c r="F2103">
        <v>1.9307959485171999</v>
      </c>
      <c r="G2103">
        <v>43146.688062759902</v>
      </c>
      <c r="H2103">
        <v>2769.31364195575</v>
      </c>
      <c r="I2103">
        <v>0.78474732209103903</v>
      </c>
      <c r="J2103">
        <v>7.0698962201163298E-2</v>
      </c>
      <c r="K2103">
        <v>0.57251214370095405</v>
      </c>
      <c r="L2103" t="s">
        <v>74</v>
      </c>
      <c r="M2103" t="s">
        <v>34</v>
      </c>
      <c r="N2103" t="s">
        <v>35</v>
      </c>
      <c r="O2103">
        <v>0.71625146569635001</v>
      </c>
      <c r="P2103" t="s">
        <v>36</v>
      </c>
    </row>
    <row r="2104" spans="1:16">
      <c r="A2104">
        <v>2103</v>
      </c>
      <c r="B2104" t="s">
        <v>2164</v>
      </c>
      <c r="C2104">
        <v>249</v>
      </c>
      <c r="D2104">
        <v>235</v>
      </c>
      <c r="E2104">
        <v>241.343106337081</v>
      </c>
      <c r="F2104">
        <v>1.0582529075771701</v>
      </c>
      <c r="G2104">
        <v>45746.690178828001</v>
      </c>
      <c r="H2104">
        <v>1173.1833202124701</v>
      </c>
      <c r="I2104">
        <v>0.66752691646503004</v>
      </c>
      <c r="J2104">
        <v>0.417674327860797</v>
      </c>
      <c r="K2104">
        <v>0.92203143067696403</v>
      </c>
      <c r="L2104" t="s">
        <v>38</v>
      </c>
      <c r="M2104" t="s">
        <v>34</v>
      </c>
      <c r="N2104" t="s">
        <v>35</v>
      </c>
      <c r="O2104">
        <v>0.77920332886735599</v>
      </c>
      <c r="P2104" t="s">
        <v>36</v>
      </c>
    </row>
    <row r="2105" spans="1:16">
      <c r="A2105">
        <v>2104</v>
      </c>
      <c r="B2105" t="s">
        <v>2165</v>
      </c>
      <c r="C2105">
        <v>400</v>
      </c>
      <c r="D2105">
        <v>261</v>
      </c>
      <c r="E2105">
        <v>246.53858271433899</v>
      </c>
      <c r="F2105">
        <v>1.5308292546456099</v>
      </c>
      <c r="G2105">
        <v>47737.5</v>
      </c>
      <c r="H2105">
        <v>1649.03064906597</v>
      </c>
      <c r="I2105">
        <v>0.395262623247707</v>
      </c>
      <c r="J2105">
        <v>0.22060333836065199</v>
      </c>
      <c r="K2105">
        <v>0.64750762970498499</v>
      </c>
      <c r="L2105" t="s">
        <v>1038</v>
      </c>
      <c r="M2105" t="s">
        <v>34</v>
      </c>
      <c r="N2105" t="s">
        <v>35</v>
      </c>
      <c r="O2105">
        <v>0.62959790606744603</v>
      </c>
      <c r="P2105" t="s">
        <v>36</v>
      </c>
    </row>
    <row r="2106" spans="1:16">
      <c r="A2106">
        <v>2105</v>
      </c>
      <c r="B2106" t="s">
        <v>2166</v>
      </c>
      <c r="C2106">
        <v>182</v>
      </c>
      <c r="D2106">
        <v>419</v>
      </c>
      <c r="E2106">
        <v>253.571680219077</v>
      </c>
      <c r="F2106">
        <v>0.43445846206737898</v>
      </c>
      <c r="G2106">
        <v>50500</v>
      </c>
      <c r="H2106">
        <v>1272.2539567947399</v>
      </c>
      <c r="I2106">
        <v>0.88919953519606798</v>
      </c>
      <c r="J2106">
        <v>0.39206098047723498</v>
      </c>
      <c r="K2106">
        <v>0.80366023473244497</v>
      </c>
      <c r="L2106" t="s">
        <v>38</v>
      </c>
      <c r="M2106" t="s">
        <v>34</v>
      </c>
      <c r="N2106" t="s">
        <v>35</v>
      </c>
      <c r="O2106">
        <v>0.68115168698720696</v>
      </c>
      <c r="P2106" t="s">
        <v>36</v>
      </c>
    </row>
    <row r="2107" spans="1:16">
      <c r="A2107">
        <v>2106</v>
      </c>
      <c r="B2107" t="s">
        <v>2167</v>
      </c>
      <c r="C2107">
        <v>498</v>
      </c>
      <c r="D2107">
        <v>242</v>
      </c>
      <c r="E2107">
        <v>255.38538658086699</v>
      </c>
      <c r="F2107">
        <v>2.0605124729282398</v>
      </c>
      <c r="G2107">
        <v>51225</v>
      </c>
      <c r="H2107">
        <v>2127.2286951541901</v>
      </c>
      <c r="I2107">
        <v>0.57890363976705195</v>
      </c>
      <c r="J2107">
        <v>0.14225366541776399</v>
      </c>
      <c r="K2107">
        <v>0.554008381776396</v>
      </c>
      <c r="L2107" t="s">
        <v>38</v>
      </c>
      <c r="M2107" t="s">
        <v>34</v>
      </c>
      <c r="N2107" t="s">
        <v>35</v>
      </c>
      <c r="O2107">
        <v>0.81499564050858297</v>
      </c>
      <c r="P2107" t="s">
        <v>36</v>
      </c>
    </row>
    <row r="2108" spans="1:16">
      <c r="A2108">
        <v>2107</v>
      </c>
      <c r="B2108" t="s">
        <v>2168</v>
      </c>
      <c r="C2108">
        <v>431</v>
      </c>
      <c r="D2108">
        <v>270</v>
      </c>
      <c r="E2108">
        <v>257.866118797708</v>
      </c>
      <c r="F2108">
        <v>1.5988700848553301</v>
      </c>
      <c r="G2108">
        <v>52225</v>
      </c>
      <c r="H2108">
        <v>2236.2236428260799</v>
      </c>
      <c r="I2108">
        <v>0.48386103308632999</v>
      </c>
      <c r="J2108">
        <v>0.131237468067603</v>
      </c>
      <c r="K2108">
        <v>0.54224529526281595</v>
      </c>
      <c r="L2108" t="s">
        <v>38</v>
      </c>
      <c r="M2108" t="s">
        <v>34</v>
      </c>
      <c r="N2108" t="s">
        <v>35</v>
      </c>
      <c r="O2108">
        <v>0.73262860049052203</v>
      </c>
      <c r="P2108" t="s">
        <v>36</v>
      </c>
    </row>
    <row r="2109" spans="1:16">
      <c r="A2109">
        <v>2108</v>
      </c>
      <c r="B2109" t="s">
        <v>2169</v>
      </c>
      <c r="C2109">
        <v>428</v>
      </c>
      <c r="D2109">
        <v>359</v>
      </c>
      <c r="E2109">
        <v>260.99485750361299</v>
      </c>
      <c r="F2109">
        <v>1.1917870737305101</v>
      </c>
      <c r="G2109">
        <v>53500</v>
      </c>
      <c r="H2109">
        <v>2130.6601536274002</v>
      </c>
      <c r="I2109">
        <v>0.63516622677105705</v>
      </c>
      <c r="J2109">
        <v>0.14809325473643001</v>
      </c>
      <c r="K2109">
        <v>0.51973284760170002</v>
      </c>
      <c r="L2109" t="s">
        <v>38</v>
      </c>
      <c r="M2109" t="s">
        <v>34</v>
      </c>
      <c r="N2109" t="s">
        <v>35</v>
      </c>
      <c r="O2109">
        <v>0.67644254079884902</v>
      </c>
      <c r="P2109" t="s">
        <v>36</v>
      </c>
    </row>
    <row r="2110" spans="1:16">
      <c r="A2110">
        <v>2109</v>
      </c>
      <c r="B2110" t="s">
        <v>2170</v>
      </c>
      <c r="C2110">
        <v>473</v>
      </c>
      <c r="D2110">
        <v>299</v>
      </c>
      <c r="E2110">
        <v>262.51493359195899</v>
      </c>
      <c r="F2110">
        <v>1.5839540042812901</v>
      </c>
      <c r="G2110">
        <v>54125</v>
      </c>
      <c r="H2110">
        <v>2223.7972366809799</v>
      </c>
      <c r="I2110">
        <v>0.62512555954490001</v>
      </c>
      <c r="J2110">
        <v>0.137536320310993</v>
      </c>
      <c r="K2110">
        <v>0.52676399026763998</v>
      </c>
      <c r="L2110" t="s">
        <v>33</v>
      </c>
      <c r="M2110" t="s">
        <v>34</v>
      </c>
      <c r="N2110" t="s">
        <v>35</v>
      </c>
      <c r="O2110">
        <v>0.61507284076403801</v>
      </c>
      <c r="P2110" t="s">
        <v>36</v>
      </c>
    </row>
    <row r="2111" spans="1:16">
      <c r="A2111">
        <v>2110</v>
      </c>
      <c r="B2111" t="s">
        <v>2171</v>
      </c>
      <c r="C2111">
        <v>489</v>
      </c>
      <c r="D2111">
        <v>247</v>
      </c>
      <c r="E2111">
        <v>265.588913131418</v>
      </c>
      <c r="F2111">
        <v>1.97801834525968</v>
      </c>
      <c r="G2111">
        <v>55400</v>
      </c>
      <c r="H2111">
        <v>2262.0815074443799</v>
      </c>
      <c r="I2111">
        <v>0.51332735245071004</v>
      </c>
      <c r="J2111">
        <v>0.136051435974225</v>
      </c>
      <c r="K2111">
        <v>0.591248665955176</v>
      </c>
      <c r="L2111" t="s">
        <v>38</v>
      </c>
      <c r="M2111" t="s">
        <v>34</v>
      </c>
      <c r="N2111" t="s">
        <v>35</v>
      </c>
      <c r="O2111">
        <v>0.71442668454123204</v>
      </c>
      <c r="P2111" t="s">
        <v>36</v>
      </c>
    </row>
    <row r="2112" spans="1:16">
      <c r="A2112">
        <v>2111</v>
      </c>
      <c r="B2112" t="s">
        <v>2172</v>
      </c>
      <c r="C2112">
        <v>587</v>
      </c>
      <c r="D2112">
        <v>250</v>
      </c>
      <c r="E2112">
        <v>273.093402214082</v>
      </c>
      <c r="F2112">
        <v>2.34819715301736</v>
      </c>
      <c r="G2112">
        <v>58575</v>
      </c>
      <c r="H2112">
        <v>2631.0764551162702</v>
      </c>
      <c r="I2112">
        <v>0.83223877550657899</v>
      </c>
      <c r="J2112">
        <v>0.10632985579043901</v>
      </c>
      <c r="K2112">
        <v>0.55305086746134802</v>
      </c>
      <c r="L2112" t="s">
        <v>47</v>
      </c>
      <c r="M2112" t="s">
        <v>34</v>
      </c>
      <c r="N2112" t="s">
        <v>35</v>
      </c>
      <c r="O2112">
        <v>0.87637600868021903</v>
      </c>
      <c r="P2112" t="s">
        <v>36</v>
      </c>
    </row>
    <row r="2113" spans="1:16">
      <c r="A2113">
        <v>2112</v>
      </c>
      <c r="B2113" t="s">
        <v>2173</v>
      </c>
      <c r="C2113">
        <v>373</v>
      </c>
      <c r="D2113">
        <v>232</v>
      </c>
      <c r="E2113">
        <v>273.26818200938999</v>
      </c>
      <c r="F2113">
        <v>1.61042940716842</v>
      </c>
      <c r="G2113">
        <v>58650</v>
      </c>
      <c r="H2113">
        <v>1324.68036293983</v>
      </c>
      <c r="I2113">
        <v>0.73039875586444103</v>
      </c>
      <c r="J2113">
        <v>0.420006182929828</v>
      </c>
      <c r="K2113">
        <v>0.85200653713455599</v>
      </c>
      <c r="L2113" t="s">
        <v>33</v>
      </c>
      <c r="M2113" t="s">
        <v>34</v>
      </c>
      <c r="N2113" t="s">
        <v>35</v>
      </c>
      <c r="O2113">
        <v>0.70738792688168195</v>
      </c>
      <c r="P2113" t="s">
        <v>36</v>
      </c>
    </row>
    <row r="2114" spans="1:16">
      <c r="A2114">
        <v>2113</v>
      </c>
      <c r="B2114" t="s">
        <v>2174</v>
      </c>
      <c r="C2114">
        <v>238</v>
      </c>
      <c r="D2114">
        <v>399</v>
      </c>
      <c r="E2114">
        <v>273.58832163694098</v>
      </c>
      <c r="F2114">
        <v>0.59709998550997001</v>
      </c>
      <c r="G2114">
        <v>58787.5</v>
      </c>
      <c r="H2114">
        <v>1800.45200288296</v>
      </c>
      <c r="I2114">
        <v>0.87668366340263404</v>
      </c>
      <c r="J2114">
        <v>0.22789340599260999</v>
      </c>
      <c r="K2114">
        <v>0.74449897103055296</v>
      </c>
      <c r="L2114" t="s">
        <v>38</v>
      </c>
      <c r="M2114" t="s">
        <v>34</v>
      </c>
      <c r="N2114" t="s">
        <v>35</v>
      </c>
      <c r="O2114">
        <v>0.81445961879218698</v>
      </c>
      <c r="P2114" t="s">
        <v>36</v>
      </c>
    </row>
    <row r="2115" spans="1:16">
      <c r="A2115">
        <v>2114</v>
      </c>
      <c r="B2115" t="s">
        <v>2175</v>
      </c>
      <c r="C2115">
        <v>510</v>
      </c>
      <c r="D2115">
        <v>228</v>
      </c>
      <c r="E2115">
        <v>275.09666562900401</v>
      </c>
      <c r="F2115">
        <v>2.23940673425209</v>
      </c>
      <c r="G2115">
        <v>59437.5</v>
      </c>
      <c r="H2115">
        <v>2544.7160643339198</v>
      </c>
      <c r="I2115">
        <v>0.822952668951902</v>
      </c>
      <c r="J2115">
        <v>0.11534313079508</v>
      </c>
      <c r="K2115">
        <v>0.61370676303562199</v>
      </c>
      <c r="L2115" t="s">
        <v>38</v>
      </c>
      <c r="M2115" t="s">
        <v>34</v>
      </c>
      <c r="N2115" t="s">
        <v>35</v>
      </c>
      <c r="O2115">
        <v>0.782191725195584</v>
      </c>
      <c r="P2115" t="s">
        <v>36</v>
      </c>
    </row>
    <row r="2116" spans="1:16">
      <c r="A2116">
        <v>2115</v>
      </c>
      <c r="B2116" t="s">
        <v>2176</v>
      </c>
      <c r="C2116">
        <v>251</v>
      </c>
      <c r="D2116">
        <v>349</v>
      </c>
      <c r="E2116">
        <v>277.02800139861699</v>
      </c>
      <c r="F2116">
        <v>0.71884992389769697</v>
      </c>
      <c r="G2116">
        <v>60275</v>
      </c>
      <c r="H2116">
        <v>1389.5331752300301</v>
      </c>
      <c r="I2116">
        <v>0.85004422637257804</v>
      </c>
      <c r="J2116">
        <v>0.39229181147792902</v>
      </c>
      <c r="K2116">
        <v>0.80919617385467402</v>
      </c>
      <c r="L2116" t="s">
        <v>38</v>
      </c>
      <c r="M2116" t="s">
        <v>34</v>
      </c>
      <c r="N2116" t="s">
        <v>35</v>
      </c>
      <c r="O2116">
        <v>0.74918562006539402</v>
      </c>
      <c r="P2116" t="s">
        <v>36</v>
      </c>
    </row>
    <row r="2117" spans="1:16">
      <c r="A2117">
        <v>2116</v>
      </c>
      <c r="B2117" t="s">
        <v>2177</v>
      </c>
      <c r="C2117">
        <v>644</v>
      </c>
      <c r="D2117">
        <v>295</v>
      </c>
      <c r="E2117">
        <v>278.14603688884398</v>
      </c>
      <c r="F2117">
        <v>2.1818184168022898</v>
      </c>
      <c r="G2117">
        <v>60762.5</v>
      </c>
      <c r="H2117">
        <v>2878.1475228071199</v>
      </c>
      <c r="I2117">
        <v>0.72367116315798796</v>
      </c>
      <c r="J2117">
        <v>9.2176326714839801E-2</v>
      </c>
      <c r="K2117">
        <v>0.47359703819173798</v>
      </c>
      <c r="L2117" t="s">
        <v>38</v>
      </c>
      <c r="M2117" t="s">
        <v>34</v>
      </c>
      <c r="N2117" t="s">
        <v>35</v>
      </c>
      <c r="O2117">
        <v>0.78309662651090395</v>
      </c>
      <c r="P2117" t="s">
        <v>36</v>
      </c>
    </row>
    <row r="2118" spans="1:16">
      <c r="A2118">
        <v>2117</v>
      </c>
      <c r="B2118" t="s">
        <v>2178</v>
      </c>
      <c r="C2118">
        <v>511</v>
      </c>
      <c r="D2118">
        <v>319</v>
      </c>
      <c r="E2118">
        <v>280.11316810229499</v>
      </c>
      <c r="F2118">
        <v>1.6008300586230499</v>
      </c>
      <c r="G2118">
        <v>61625</v>
      </c>
      <c r="H2118">
        <v>1962.375882864</v>
      </c>
      <c r="I2118">
        <v>0.77106514268247694</v>
      </c>
      <c r="J2118">
        <v>0.201095522358402</v>
      </c>
      <c r="K2118">
        <v>0.56073703366697003</v>
      </c>
      <c r="L2118" t="s">
        <v>38</v>
      </c>
      <c r="M2118" t="s">
        <v>34</v>
      </c>
      <c r="N2118" t="s">
        <v>35</v>
      </c>
      <c r="O2118">
        <v>0.82157786547526301</v>
      </c>
      <c r="P2118" t="s">
        <v>36</v>
      </c>
    </row>
    <row r="2119" spans="1:16">
      <c r="A2119">
        <v>2118</v>
      </c>
      <c r="B2119" t="s">
        <v>2179</v>
      </c>
      <c r="C2119">
        <v>380</v>
      </c>
      <c r="D2119">
        <v>299</v>
      </c>
      <c r="E2119">
        <v>281.67133175264701</v>
      </c>
      <c r="F2119">
        <v>1.27213596027111</v>
      </c>
      <c r="G2119">
        <v>62312.5</v>
      </c>
      <c r="H2119">
        <v>1938.7362736463499</v>
      </c>
      <c r="I2119">
        <v>0.753569796495133</v>
      </c>
      <c r="J2119">
        <v>0.20832796312332399</v>
      </c>
      <c r="K2119">
        <v>0.66832015015417601</v>
      </c>
      <c r="L2119" t="s">
        <v>38</v>
      </c>
      <c r="M2119" t="s">
        <v>34</v>
      </c>
      <c r="N2119" t="s">
        <v>35</v>
      </c>
      <c r="O2119">
        <v>0.785410755714821</v>
      </c>
      <c r="P2119" t="s">
        <v>36</v>
      </c>
    </row>
    <row r="2120" spans="1:16">
      <c r="A2120">
        <v>2119</v>
      </c>
      <c r="B2120" t="s">
        <v>2180</v>
      </c>
      <c r="C2120">
        <v>320</v>
      </c>
      <c r="D2120">
        <v>449</v>
      </c>
      <c r="E2120">
        <v>291.55557807282901</v>
      </c>
      <c r="F2120">
        <v>0.71144287938977002</v>
      </c>
      <c r="G2120">
        <v>66762.5</v>
      </c>
      <c r="H2120">
        <v>2146.0154920816399</v>
      </c>
      <c r="I2120">
        <v>0.65826612367951898</v>
      </c>
      <c r="J2120">
        <v>0.18216995429851199</v>
      </c>
      <c r="K2120">
        <v>0.56321839080459801</v>
      </c>
      <c r="L2120" t="s">
        <v>38</v>
      </c>
      <c r="M2120" t="s">
        <v>34</v>
      </c>
      <c r="N2120" t="s">
        <v>35</v>
      </c>
      <c r="O2120">
        <v>0.76236314976153996</v>
      </c>
      <c r="P2120" t="s">
        <v>36</v>
      </c>
    </row>
    <row r="2121" spans="1:16">
      <c r="A2121">
        <v>2120</v>
      </c>
      <c r="B2121" t="s">
        <v>2181</v>
      </c>
      <c r="C2121">
        <v>350</v>
      </c>
      <c r="D2121">
        <v>286</v>
      </c>
      <c r="E2121">
        <v>292.53651549936802</v>
      </c>
      <c r="F2121">
        <v>1.22155321074448</v>
      </c>
      <c r="G2121">
        <v>67212.5</v>
      </c>
      <c r="H2121">
        <v>1365.89356601238</v>
      </c>
      <c r="I2121">
        <v>0.67954440330709898</v>
      </c>
      <c r="J2121">
        <v>0.45271636608370802</v>
      </c>
      <c r="K2121">
        <v>0.85308583214342404</v>
      </c>
      <c r="L2121" t="s">
        <v>38</v>
      </c>
      <c r="M2121" t="s">
        <v>34</v>
      </c>
      <c r="N2121" t="s">
        <v>35</v>
      </c>
      <c r="O2121">
        <v>0.69207441806227898</v>
      </c>
      <c r="P2121" t="s">
        <v>36</v>
      </c>
    </row>
    <row r="2122" spans="1:16">
      <c r="A2122">
        <v>2121</v>
      </c>
      <c r="B2122" t="s">
        <v>2182</v>
      </c>
      <c r="C2122">
        <v>310</v>
      </c>
      <c r="D2122">
        <v>449</v>
      </c>
      <c r="E2122">
        <v>294.299371441071</v>
      </c>
      <c r="F2122">
        <v>0.69016390673442496</v>
      </c>
      <c r="G2122">
        <v>68025</v>
      </c>
      <c r="H2122">
        <v>2003.0865597724901</v>
      </c>
      <c r="I2122">
        <v>0.88170328660223296</v>
      </c>
      <c r="J2122">
        <v>0.213048745153151</v>
      </c>
      <c r="K2122">
        <v>0.63264357126249704</v>
      </c>
      <c r="L2122" t="s">
        <v>38</v>
      </c>
      <c r="M2122" t="s">
        <v>34</v>
      </c>
      <c r="N2122" t="s">
        <v>35</v>
      </c>
      <c r="O2122">
        <v>0.814137891075428</v>
      </c>
      <c r="P2122" t="s">
        <v>36</v>
      </c>
    </row>
    <row r="2123" spans="1:16">
      <c r="A2123">
        <v>2122</v>
      </c>
      <c r="B2123" t="s">
        <v>2183</v>
      </c>
      <c r="C2123">
        <v>648</v>
      </c>
      <c r="D2123">
        <v>231</v>
      </c>
      <c r="E2123">
        <v>302.69704448177902</v>
      </c>
      <c r="F2123">
        <v>2.8048628524145101</v>
      </c>
      <c r="G2123">
        <v>71962.5</v>
      </c>
      <c r="H2123">
        <v>2407.4368458986301</v>
      </c>
      <c r="I2123">
        <v>0.52683917108092704</v>
      </c>
      <c r="J2123">
        <v>0.15602935033804599</v>
      </c>
      <c r="K2123">
        <v>0.63796542553191504</v>
      </c>
      <c r="L2123" t="s">
        <v>33</v>
      </c>
      <c r="M2123" t="s">
        <v>34</v>
      </c>
      <c r="N2123" t="s">
        <v>35</v>
      </c>
      <c r="O2123">
        <v>0.68279614739382199</v>
      </c>
      <c r="P2123" t="s">
        <v>36</v>
      </c>
    </row>
    <row r="2124" spans="1:16">
      <c r="A2124">
        <v>2123</v>
      </c>
      <c r="B2124" t="s">
        <v>2184</v>
      </c>
      <c r="C2124">
        <v>405</v>
      </c>
      <c r="D2124">
        <v>278</v>
      </c>
      <c r="E2124">
        <v>304.479481001642</v>
      </c>
      <c r="F2124">
        <v>1.4588038032769399</v>
      </c>
      <c r="G2124">
        <v>72812.5</v>
      </c>
      <c r="H2124">
        <v>1331.75143063068</v>
      </c>
      <c r="I2124">
        <v>0.64610720329024396</v>
      </c>
      <c r="J2124">
        <v>0.515904674257056</v>
      </c>
      <c r="K2124">
        <v>0.85548538698780996</v>
      </c>
      <c r="L2124" t="s">
        <v>38</v>
      </c>
      <c r="M2124" t="s">
        <v>34</v>
      </c>
      <c r="N2124" t="s">
        <v>35</v>
      </c>
      <c r="O2124">
        <v>0.80856698048177</v>
      </c>
      <c r="P2124" t="s">
        <v>36</v>
      </c>
    </row>
    <row r="2125" spans="1:16">
      <c r="A2125">
        <v>2124</v>
      </c>
      <c r="B2125" t="s">
        <v>2185</v>
      </c>
      <c r="C2125">
        <v>298</v>
      </c>
      <c r="D2125">
        <v>353</v>
      </c>
      <c r="E2125">
        <v>305.96558225828699</v>
      </c>
      <c r="F2125">
        <v>0.84472883312173097</v>
      </c>
      <c r="G2125">
        <v>73525</v>
      </c>
      <c r="H2125">
        <v>1614.3859875202199</v>
      </c>
      <c r="I2125">
        <v>0.79940148178826897</v>
      </c>
      <c r="J2125">
        <v>0.35451134547317797</v>
      </c>
      <c r="K2125">
        <v>0.77721987315010599</v>
      </c>
      <c r="L2125" t="s">
        <v>38</v>
      </c>
      <c r="M2125" t="s">
        <v>34</v>
      </c>
      <c r="N2125" t="s">
        <v>35</v>
      </c>
      <c r="O2125">
        <v>0.82250270606544895</v>
      </c>
      <c r="P2125" t="s">
        <v>36</v>
      </c>
    </row>
    <row r="2126" spans="1:16">
      <c r="A2126">
        <v>2125</v>
      </c>
      <c r="B2126" t="s">
        <v>2186</v>
      </c>
      <c r="C2126">
        <v>498</v>
      </c>
      <c r="D2126">
        <v>340</v>
      </c>
      <c r="E2126">
        <v>307.15964947381298</v>
      </c>
      <c r="F2126">
        <v>1.4636324002955801</v>
      </c>
      <c r="G2126">
        <v>74100</v>
      </c>
      <c r="H2126">
        <v>2752.4978089332599</v>
      </c>
      <c r="I2126">
        <v>0.68669537773004696</v>
      </c>
      <c r="J2126">
        <v>0.122906289633124</v>
      </c>
      <c r="K2126">
        <v>0.54280743521655495</v>
      </c>
      <c r="L2126" t="s">
        <v>38</v>
      </c>
      <c r="M2126" t="s">
        <v>34</v>
      </c>
      <c r="N2126" t="s">
        <v>35</v>
      </c>
      <c r="O2126">
        <v>0.79989172976992196</v>
      </c>
      <c r="P2126" t="s">
        <v>36</v>
      </c>
    </row>
    <row r="2127" spans="1:16">
      <c r="A2127">
        <v>2126</v>
      </c>
      <c r="B2127" t="s">
        <v>2187</v>
      </c>
      <c r="C2127">
        <v>287</v>
      </c>
      <c r="D2127">
        <v>443</v>
      </c>
      <c r="E2127">
        <v>307.26326210940402</v>
      </c>
      <c r="F2127">
        <v>0.64797817490837095</v>
      </c>
      <c r="G2127">
        <v>74150</v>
      </c>
      <c r="H2127">
        <v>2087.2286951541901</v>
      </c>
      <c r="I2127">
        <v>0.86165977835035201</v>
      </c>
      <c r="J2127">
        <v>0.213885304218354</v>
      </c>
      <c r="K2127">
        <v>0.73652843307673199</v>
      </c>
      <c r="L2127" t="s">
        <v>211</v>
      </c>
      <c r="M2127" t="s">
        <v>34</v>
      </c>
      <c r="N2127" t="s">
        <v>35</v>
      </c>
      <c r="O2127">
        <v>0.63496672674715404</v>
      </c>
      <c r="P2127" t="s">
        <v>36</v>
      </c>
    </row>
    <row r="2128" spans="1:16">
      <c r="A2128">
        <v>2127</v>
      </c>
      <c r="B2128" t="s">
        <v>2188</v>
      </c>
      <c r="C2128">
        <v>501</v>
      </c>
      <c r="D2128">
        <v>331</v>
      </c>
      <c r="E2128">
        <v>309.99637842866201</v>
      </c>
      <c r="F2128">
        <v>1.5126153226386601</v>
      </c>
      <c r="G2128">
        <v>75475</v>
      </c>
      <c r="H2128">
        <v>3205.3405165672302</v>
      </c>
      <c r="I2128">
        <v>0.780318730824485</v>
      </c>
      <c r="J2128">
        <v>9.2313377155237505E-2</v>
      </c>
      <c r="K2128">
        <v>0.588040514218933</v>
      </c>
      <c r="L2128" t="s">
        <v>38</v>
      </c>
      <c r="M2128" t="s">
        <v>34</v>
      </c>
      <c r="N2128" t="s">
        <v>35</v>
      </c>
      <c r="O2128">
        <v>0.716206031999709</v>
      </c>
      <c r="P2128" t="s">
        <v>36</v>
      </c>
    </row>
    <row r="2129" spans="1:16">
      <c r="A2129">
        <v>2128</v>
      </c>
      <c r="B2129" t="s">
        <v>2189</v>
      </c>
      <c r="C2129">
        <v>615</v>
      </c>
      <c r="D2129">
        <v>261</v>
      </c>
      <c r="E2129">
        <v>319.427979388491</v>
      </c>
      <c r="F2129">
        <v>2.36148425086949</v>
      </c>
      <c r="G2129">
        <v>80137.5</v>
      </c>
      <c r="H2129">
        <v>2424.0053874254199</v>
      </c>
      <c r="I2129">
        <v>0.70793748739456197</v>
      </c>
      <c r="J2129">
        <v>0.17138724293954599</v>
      </c>
      <c r="K2129">
        <v>0.58515881708652795</v>
      </c>
      <c r="L2129" t="s">
        <v>38</v>
      </c>
      <c r="M2129" t="s">
        <v>34</v>
      </c>
      <c r="N2129" t="s">
        <v>35</v>
      </c>
      <c r="O2129">
        <v>0.77983912878263895</v>
      </c>
      <c r="P2129" t="s">
        <v>36</v>
      </c>
    </row>
    <row r="2130" spans="1:16">
      <c r="A2130">
        <v>2129</v>
      </c>
      <c r="B2130" t="s">
        <v>2190</v>
      </c>
      <c r="C2130">
        <v>384</v>
      </c>
      <c r="D2130">
        <v>330</v>
      </c>
      <c r="E2130">
        <v>319.776564082709</v>
      </c>
      <c r="F2130">
        <v>1.16436257814134</v>
      </c>
      <c r="G2130">
        <v>80312.5</v>
      </c>
      <c r="H2130">
        <v>1477.31491982937</v>
      </c>
      <c r="I2130">
        <v>0.64249512990670199</v>
      </c>
      <c r="J2130">
        <v>0.46243089459154402</v>
      </c>
      <c r="K2130">
        <v>0.834307232826906</v>
      </c>
      <c r="L2130" t="s">
        <v>33</v>
      </c>
      <c r="M2130" t="s">
        <v>34</v>
      </c>
      <c r="N2130" t="s">
        <v>35</v>
      </c>
      <c r="O2130">
        <v>0.68134188727217504</v>
      </c>
      <c r="P2130" t="s">
        <v>36</v>
      </c>
    </row>
    <row r="2131" spans="1:16">
      <c r="A2131">
        <v>2130</v>
      </c>
      <c r="B2131" t="s">
        <v>2191</v>
      </c>
      <c r="C2131">
        <v>322</v>
      </c>
      <c r="D2131">
        <v>461</v>
      </c>
      <c r="E2131">
        <v>320.72081273327399</v>
      </c>
      <c r="F2131">
        <v>0.700046880694431</v>
      </c>
      <c r="G2131">
        <v>80787.5</v>
      </c>
      <c r="H2131">
        <v>1902.8784090280501</v>
      </c>
      <c r="I2131">
        <v>0.83732842909321104</v>
      </c>
      <c r="J2131">
        <v>0.28037026756162797</v>
      </c>
      <c r="K2131">
        <v>0.72781531531531496</v>
      </c>
      <c r="L2131" t="s">
        <v>211</v>
      </c>
      <c r="M2131" t="s">
        <v>34</v>
      </c>
      <c r="N2131" t="s">
        <v>35</v>
      </c>
      <c r="O2131">
        <v>0.66804942402011802</v>
      </c>
      <c r="P2131" t="s">
        <v>36</v>
      </c>
    </row>
    <row r="2132" spans="1:16">
      <c r="A2132">
        <v>2131</v>
      </c>
      <c r="B2132" t="s">
        <v>2192</v>
      </c>
      <c r="C2132">
        <v>307</v>
      </c>
      <c r="D2132">
        <v>509</v>
      </c>
      <c r="E2132">
        <v>321.04320760033397</v>
      </c>
      <c r="F2132">
        <v>0.60284063964818602</v>
      </c>
      <c r="G2132">
        <v>80950</v>
      </c>
      <c r="H2132">
        <v>1840.9545290470101</v>
      </c>
      <c r="I2132">
        <v>0.80622562308716905</v>
      </c>
      <c r="J2132">
        <v>0.30015155226136198</v>
      </c>
      <c r="K2132">
        <v>0.69829631227086497</v>
      </c>
      <c r="L2132" t="s">
        <v>38</v>
      </c>
      <c r="M2132" t="s">
        <v>34</v>
      </c>
      <c r="N2132" t="s">
        <v>35</v>
      </c>
      <c r="O2132">
        <v>0.70890428646604497</v>
      </c>
      <c r="P2132" t="s">
        <v>36</v>
      </c>
    </row>
    <row r="2133" spans="1:16">
      <c r="A2133">
        <v>2132</v>
      </c>
      <c r="B2133" t="s">
        <v>2193</v>
      </c>
      <c r="C2133">
        <v>299</v>
      </c>
      <c r="D2133">
        <v>639</v>
      </c>
      <c r="E2133">
        <v>325.42541255001498</v>
      </c>
      <c r="F2133">
        <v>0.46696182333755298</v>
      </c>
      <c r="G2133">
        <v>83175</v>
      </c>
      <c r="H2133">
        <v>2199.9494767188999</v>
      </c>
      <c r="I2133">
        <v>0.85985500850441199</v>
      </c>
      <c r="J2133">
        <v>0.21596195953882799</v>
      </c>
      <c r="K2133">
        <v>0.67471101196511896</v>
      </c>
      <c r="L2133" t="s">
        <v>33</v>
      </c>
      <c r="M2133" t="s">
        <v>34</v>
      </c>
      <c r="N2133" t="s">
        <v>35</v>
      </c>
      <c r="O2133">
        <v>0.68470385261709499</v>
      </c>
      <c r="P2133" t="s">
        <v>36</v>
      </c>
    </row>
    <row r="2134" spans="1:16">
      <c r="A2134">
        <v>2133</v>
      </c>
      <c r="B2134" t="s">
        <v>2194</v>
      </c>
      <c r="C2134">
        <v>293</v>
      </c>
      <c r="D2134">
        <v>651</v>
      </c>
      <c r="E2134">
        <v>328.97623212397701</v>
      </c>
      <c r="F2134">
        <v>0.451086987116052</v>
      </c>
      <c r="G2134">
        <v>85000</v>
      </c>
      <c r="H2134">
        <v>2470.3657782077798</v>
      </c>
      <c r="I2134">
        <v>0.92310952280134295</v>
      </c>
      <c r="J2134">
        <v>0.17502749002104501</v>
      </c>
      <c r="K2134">
        <v>0.58737151248164499</v>
      </c>
      <c r="L2134" t="s">
        <v>38</v>
      </c>
      <c r="M2134" t="s">
        <v>34</v>
      </c>
      <c r="N2134" t="s">
        <v>35</v>
      </c>
      <c r="O2134">
        <v>0.69519763113310795</v>
      </c>
      <c r="P2134" t="s">
        <v>36</v>
      </c>
    </row>
    <row r="2135" spans="1:16">
      <c r="A2135">
        <v>2134</v>
      </c>
      <c r="B2135" t="s">
        <v>2195</v>
      </c>
      <c r="C2135">
        <v>374</v>
      </c>
      <c r="D2135">
        <v>505</v>
      </c>
      <c r="E2135">
        <v>330.64109002031603</v>
      </c>
      <c r="F2135">
        <v>0.740619618380013</v>
      </c>
      <c r="G2135">
        <v>85862.5</v>
      </c>
      <c r="H2135">
        <v>2990.9902304410898</v>
      </c>
      <c r="I2135">
        <v>0.725755067292012</v>
      </c>
      <c r="J2135">
        <v>0.120610024154129</v>
      </c>
      <c r="K2135">
        <v>0.590881720430108</v>
      </c>
      <c r="L2135" t="s">
        <v>38</v>
      </c>
      <c r="M2135" t="s">
        <v>34</v>
      </c>
      <c r="N2135" t="s">
        <v>35</v>
      </c>
      <c r="O2135">
        <v>0.70136310673884505</v>
      </c>
      <c r="P2135" t="s">
        <v>36</v>
      </c>
    </row>
    <row r="2136" spans="1:16">
      <c r="A2136">
        <v>2135</v>
      </c>
      <c r="B2136" t="s">
        <v>2196</v>
      </c>
      <c r="C2136">
        <v>420</v>
      </c>
      <c r="D2136">
        <v>545</v>
      </c>
      <c r="E2136">
        <v>338.23153769933202</v>
      </c>
      <c r="F2136">
        <v>0.769728608717417</v>
      </c>
      <c r="G2136">
        <v>89850</v>
      </c>
      <c r="H2136">
        <v>3694.751765728</v>
      </c>
      <c r="I2136">
        <v>0.81029965833875695</v>
      </c>
      <c r="J2136">
        <v>8.2709884575497203E-2</v>
      </c>
      <c r="K2136">
        <v>0.49592935007589301</v>
      </c>
      <c r="L2136" t="s">
        <v>38</v>
      </c>
      <c r="M2136" t="s">
        <v>34</v>
      </c>
      <c r="N2136" t="s">
        <v>35</v>
      </c>
      <c r="O2136">
        <v>0.82269771800701896</v>
      </c>
      <c r="P2136" t="s">
        <v>36</v>
      </c>
    </row>
    <row r="2137" spans="1:16">
      <c r="A2137">
        <v>2136</v>
      </c>
      <c r="B2137" t="s">
        <v>2197</v>
      </c>
      <c r="C2137">
        <v>343</v>
      </c>
      <c r="D2137">
        <v>527</v>
      </c>
      <c r="E2137">
        <v>339.85105885047398</v>
      </c>
      <c r="F2137">
        <v>0.64988778575297002</v>
      </c>
      <c r="G2137">
        <v>90712.5</v>
      </c>
      <c r="H2137">
        <v>2053.58908593655</v>
      </c>
      <c r="I2137">
        <v>0.87898641853094395</v>
      </c>
      <c r="J2137">
        <v>0.270302401996665</v>
      </c>
      <c r="K2137">
        <v>0.70696541646371203</v>
      </c>
      <c r="L2137" t="s">
        <v>38</v>
      </c>
      <c r="M2137" t="s">
        <v>34</v>
      </c>
      <c r="N2137" t="s">
        <v>35</v>
      </c>
      <c r="O2137">
        <v>0.77251947909936702</v>
      </c>
      <c r="P2137" t="s">
        <v>36</v>
      </c>
    </row>
    <row r="2138" spans="1:16">
      <c r="A2138">
        <v>2137</v>
      </c>
      <c r="B2138" t="s">
        <v>2198</v>
      </c>
      <c r="C2138">
        <v>598</v>
      </c>
      <c r="D2138">
        <v>274</v>
      </c>
      <c r="E2138">
        <v>341.81229311386699</v>
      </c>
      <c r="F2138">
        <v>2.18284956260608</v>
      </c>
      <c r="G2138">
        <v>91762.5</v>
      </c>
      <c r="H2138">
        <v>2166.7261689901402</v>
      </c>
      <c r="I2138">
        <v>0.70874123152731705</v>
      </c>
      <c r="J2138">
        <v>0.24562187587821199</v>
      </c>
      <c r="K2138">
        <v>0.71251091914976195</v>
      </c>
      <c r="L2138" t="s">
        <v>38</v>
      </c>
      <c r="M2138" t="s">
        <v>34</v>
      </c>
      <c r="N2138" t="s">
        <v>35</v>
      </c>
      <c r="O2138">
        <v>0.74825862489030004</v>
      </c>
      <c r="P2138" t="s">
        <v>36</v>
      </c>
    </row>
    <row r="2139" spans="1:16">
      <c r="A2139">
        <v>2138</v>
      </c>
      <c r="B2139" t="s">
        <v>2199</v>
      </c>
      <c r="C2139">
        <v>336</v>
      </c>
      <c r="D2139">
        <v>646</v>
      </c>
      <c r="E2139">
        <v>348.22428281456098</v>
      </c>
      <c r="F2139">
        <v>0.52010939529936295</v>
      </c>
      <c r="G2139">
        <v>95237.5</v>
      </c>
      <c r="H2139">
        <v>3092.7059596776999</v>
      </c>
      <c r="I2139">
        <v>0.75193090231921</v>
      </c>
      <c r="J2139">
        <v>0.12512399093740501</v>
      </c>
      <c r="K2139">
        <v>0.51706820495419104</v>
      </c>
      <c r="L2139" t="s">
        <v>74</v>
      </c>
      <c r="M2139" t="s">
        <v>34</v>
      </c>
      <c r="N2139" t="s">
        <v>35</v>
      </c>
      <c r="O2139">
        <v>0.68909169372741397</v>
      </c>
      <c r="P2139" t="s">
        <v>36</v>
      </c>
    </row>
    <row r="2140" spans="1:16">
      <c r="A2140">
        <v>2139</v>
      </c>
      <c r="B2140" t="s">
        <v>2200</v>
      </c>
      <c r="C2140">
        <v>512</v>
      </c>
      <c r="D2140">
        <v>330</v>
      </c>
      <c r="E2140">
        <v>349.04599831089001</v>
      </c>
      <c r="F2140">
        <v>1.55118121063777</v>
      </c>
      <c r="G2140">
        <v>95687.5</v>
      </c>
      <c r="H2140">
        <v>2650.5739289522198</v>
      </c>
      <c r="I2140">
        <v>0.58029726361123801</v>
      </c>
      <c r="J2140">
        <v>0.17115328070093699</v>
      </c>
      <c r="K2140">
        <v>0.68445994277539302</v>
      </c>
      <c r="L2140" t="s">
        <v>38</v>
      </c>
      <c r="M2140" t="s">
        <v>34</v>
      </c>
      <c r="N2140" t="s">
        <v>35</v>
      </c>
      <c r="O2140">
        <v>0.67822029666406503</v>
      </c>
      <c r="P2140" t="s">
        <v>36</v>
      </c>
    </row>
    <row r="2141" spans="1:16">
      <c r="A2141">
        <v>2140</v>
      </c>
      <c r="B2141" t="s">
        <v>2201</v>
      </c>
      <c r="C2141">
        <v>358</v>
      </c>
      <c r="D2141">
        <v>409</v>
      </c>
      <c r="E2141">
        <v>349.50167213195101</v>
      </c>
      <c r="F2141">
        <v>0.87530556053248698</v>
      </c>
      <c r="G2141">
        <v>95937.5</v>
      </c>
      <c r="H2141">
        <v>2000.1576274633401</v>
      </c>
      <c r="I2141">
        <v>0.71700652313965096</v>
      </c>
      <c r="J2141">
        <v>0.30134904244676902</v>
      </c>
      <c r="K2141">
        <v>0.83916466214738705</v>
      </c>
      <c r="L2141" t="s">
        <v>38</v>
      </c>
      <c r="M2141" t="s">
        <v>34</v>
      </c>
      <c r="N2141" t="s">
        <v>35</v>
      </c>
      <c r="O2141">
        <v>0.76235585258574501</v>
      </c>
      <c r="P2141" t="s">
        <v>36</v>
      </c>
    </row>
    <row r="2142" spans="1:16">
      <c r="A2142">
        <v>2141</v>
      </c>
      <c r="B2142" t="s">
        <v>2202</v>
      </c>
      <c r="C2142">
        <v>585</v>
      </c>
      <c r="D2142">
        <v>380</v>
      </c>
      <c r="E2142">
        <v>352.40403246076198</v>
      </c>
      <c r="F2142">
        <v>1.5394643115418001</v>
      </c>
      <c r="G2142">
        <v>97537.5</v>
      </c>
      <c r="H2142">
        <v>2876.8480950593898</v>
      </c>
      <c r="I2142">
        <v>0.75889942588178105</v>
      </c>
      <c r="J2142">
        <v>0.14809746430224999</v>
      </c>
      <c r="K2142">
        <v>0.58859470468431796</v>
      </c>
      <c r="L2142" t="s">
        <v>33</v>
      </c>
      <c r="M2142" t="s">
        <v>34</v>
      </c>
      <c r="N2142" t="s">
        <v>35</v>
      </c>
      <c r="O2142">
        <v>0.74521936771861697</v>
      </c>
      <c r="P2142" t="s">
        <v>36</v>
      </c>
    </row>
    <row r="2143" spans="1:16">
      <c r="A2143">
        <v>2142</v>
      </c>
      <c r="B2143" t="s">
        <v>2203</v>
      </c>
      <c r="C2143">
        <v>412</v>
      </c>
      <c r="D2143">
        <v>397</v>
      </c>
      <c r="E2143">
        <v>354.16099538306401</v>
      </c>
      <c r="F2143">
        <v>1.0382021504888801</v>
      </c>
      <c r="G2143">
        <v>98512.5</v>
      </c>
      <c r="H2143">
        <v>1951.16267979145</v>
      </c>
      <c r="I2143">
        <v>0.73189855645004098</v>
      </c>
      <c r="J2143">
        <v>0.32517282452872598</v>
      </c>
      <c r="K2143">
        <v>0.809719510942156</v>
      </c>
      <c r="L2143" t="s">
        <v>38</v>
      </c>
      <c r="M2143" t="s">
        <v>34</v>
      </c>
      <c r="N2143" t="s">
        <v>35</v>
      </c>
      <c r="O2143">
        <v>0.70193132314596896</v>
      </c>
      <c r="P2143" t="s">
        <v>36</v>
      </c>
    </row>
    <row r="2144" spans="1:16">
      <c r="A2144">
        <v>2143</v>
      </c>
      <c r="B2144" t="s">
        <v>2204</v>
      </c>
      <c r="C2144">
        <v>818</v>
      </c>
      <c r="D2144">
        <v>322</v>
      </c>
      <c r="E2144">
        <v>358.49353766379897</v>
      </c>
      <c r="F2144">
        <v>2.5451060084358801</v>
      </c>
      <c r="G2144">
        <v>100937.5</v>
      </c>
      <c r="H2144">
        <v>3951.1121565103499</v>
      </c>
      <c r="I2144">
        <v>0.80052870902522</v>
      </c>
      <c r="J2144">
        <v>8.1250060400484297E-2</v>
      </c>
      <c r="K2144">
        <v>0.51534877784159805</v>
      </c>
      <c r="L2144" t="s">
        <v>38</v>
      </c>
      <c r="M2144" t="s">
        <v>34</v>
      </c>
      <c r="N2144" t="s">
        <v>35</v>
      </c>
      <c r="O2144">
        <v>0.75569086681531505</v>
      </c>
      <c r="P2144" t="s">
        <v>36</v>
      </c>
    </row>
    <row r="2145" spans="1:16">
      <c r="A2145">
        <v>2144</v>
      </c>
      <c r="B2145" t="s">
        <v>2205</v>
      </c>
      <c r="C2145">
        <v>329</v>
      </c>
      <c r="D2145">
        <v>600</v>
      </c>
      <c r="E2145">
        <v>358.71544640536098</v>
      </c>
      <c r="F2145">
        <v>0.54767642035950703</v>
      </c>
      <c r="G2145">
        <v>101062.5</v>
      </c>
      <c r="H2145">
        <v>2514.7160643339198</v>
      </c>
      <c r="I2145">
        <v>0.84116637805948702</v>
      </c>
      <c r="J2145">
        <v>0.20082694834536999</v>
      </c>
      <c r="K2145">
        <v>0.68925831202045995</v>
      </c>
      <c r="L2145" t="s">
        <v>38</v>
      </c>
      <c r="M2145" t="s">
        <v>34</v>
      </c>
      <c r="N2145" t="s">
        <v>35</v>
      </c>
      <c r="O2145">
        <v>0.70843370533587202</v>
      </c>
      <c r="P2145" t="s">
        <v>36</v>
      </c>
    </row>
    <row r="2146" spans="1:16">
      <c r="A2146">
        <v>2145</v>
      </c>
      <c r="B2146" t="s">
        <v>2206</v>
      </c>
      <c r="C2146">
        <v>634</v>
      </c>
      <c r="D2146">
        <v>342</v>
      </c>
      <c r="E2146">
        <v>375.40871341495699</v>
      </c>
      <c r="F2146">
        <v>1.85421150804326</v>
      </c>
      <c r="G2146">
        <v>110687.5</v>
      </c>
      <c r="H2146">
        <v>2863.7110120058101</v>
      </c>
      <c r="I2146">
        <v>0.65002475875259502</v>
      </c>
      <c r="J2146">
        <v>0.169609456888031</v>
      </c>
      <c r="K2146">
        <v>0.68194070080862501</v>
      </c>
      <c r="L2146" t="s">
        <v>288</v>
      </c>
      <c r="M2146" t="s">
        <v>34</v>
      </c>
      <c r="N2146" t="s">
        <v>35</v>
      </c>
      <c r="O2146">
        <v>0.70021573162315398</v>
      </c>
      <c r="P2146" t="s">
        <v>36</v>
      </c>
    </row>
    <row r="2147" spans="1:16">
      <c r="A2147">
        <v>2146</v>
      </c>
      <c r="B2147" t="s">
        <v>2207</v>
      </c>
      <c r="C2147">
        <v>486</v>
      </c>
      <c r="D2147">
        <v>786</v>
      </c>
      <c r="E2147">
        <v>398.50320226705003</v>
      </c>
      <c r="F2147">
        <v>0.61834448999267699</v>
      </c>
      <c r="G2147">
        <v>124725</v>
      </c>
      <c r="H2147">
        <v>4402.4472856521597</v>
      </c>
      <c r="I2147">
        <v>0.72055064027495297</v>
      </c>
      <c r="J2147">
        <v>8.0867691876680206E-2</v>
      </c>
      <c r="K2147">
        <v>0.48429840314517297</v>
      </c>
      <c r="L2147" t="s">
        <v>38</v>
      </c>
      <c r="M2147" t="s">
        <v>34</v>
      </c>
      <c r="N2147" t="s">
        <v>35</v>
      </c>
      <c r="O2147">
        <v>0.73784500938293196</v>
      </c>
      <c r="P2147" t="s">
        <v>36</v>
      </c>
    </row>
    <row r="2148" spans="1:16">
      <c r="A2148">
        <v>2147</v>
      </c>
      <c r="B2148" t="s">
        <v>2208</v>
      </c>
      <c r="C2148">
        <v>523</v>
      </c>
      <c r="D2148">
        <v>523</v>
      </c>
      <c r="E2148">
        <v>403.30677137870703</v>
      </c>
      <c r="F2148">
        <v>1</v>
      </c>
      <c r="G2148">
        <v>127750</v>
      </c>
      <c r="H2148">
        <v>3946.4674949646001</v>
      </c>
      <c r="I2148">
        <v>0.68664323303231201</v>
      </c>
      <c r="J2148">
        <v>0.103075087617632</v>
      </c>
      <c r="K2148">
        <v>0.57344854673998402</v>
      </c>
      <c r="L2148" t="s">
        <v>38</v>
      </c>
      <c r="M2148" t="s">
        <v>34</v>
      </c>
      <c r="N2148" t="s">
        <v>35</v>
      </c>
      <c r="O2148">
        <v>0.73818828296164996</v>
      </c>
      <c r="P2148" t="s">
        <v>36</v>
      </c>
    </row>
    <row r="2149" spans="1:16">
      <c r="A2149">
        <v>2148</v>
      </c>
      <c r="B2149" t="s">
        <v>2209</v>
      </c>
      <c r="C2149">
        <v>637</v>
      </c>
      <c r="D2149">
        <v>501</v>
      </c>
      <c r="E2149">
        <v>416.832641924097</v>
      </c>
      <c r="F2149">
        <v>1.2718411250520301</v>
      </c>
      <c r="G2149">
        <v>136462.5</v>
      </c>
      <c r="H2149">
        <v>3613.8329380750702</v>
      </c>
      <c r="I2149">
        <v>0.50612485053813805</v>
      </c>
      <c r="J2149">
        <v>0.13130674737919601</v>
      </c>
      <c r="K2149">
        <v>0.59399314434952899</v>
      </c>
      <c r="L2149" t="s">
        <v>33</v>
      </c>
      <c r="M2149" t="s">
        <v>34</v>
      </c>
      <c r="N2149" t="s">
        <v>35</v>
      </c>
      <c r="O2149">
        <v>0.73036060717336504</v>
      </c>
      <c r="P2149" t="s">
        <v>36</v>
      </c>
    </row>
    <row r="2150" spans="1:16">
      <c r="A2150">
        <v>2149</v>
      </c>
      <c r="B2150" t="s">
        <v>2210</v>
      </c>
      <c r="C2150">
        <v>298</v>
      </c>
      <c r="D2150">
        <v>768</v>
      </c>
      <c r="E2150">
        <v>418.47124618546098</v>
      </c>
      <c r="F2150">
        <v>0.38787228244043298</v>
      </c>
      <c r="G2150">
        <v>137537.5</v>
      </c>
      <c r="H2150">
        <v>2423.2947105169301</v>
      </c>
      <c r="I2150">
        <v>0.89169170005091702</v>
      </c>
      <c r="J2150">
        <v>0.29431915048926199</v>
      </c>
      <c r="K2150">
        <v>0.72699041955731702</v>
      </c>
      <c r="L2150" t="s">
        <v>38</v>
      </c>
      <c r="M2150" t="s">
        <v>34</v>
      </c>
      <c r="N2150" t="s">
        <v>35</v>
      </c>
      <c r="O2150">
        <v>0.79058093714213196</v>
      </c>
      <c r="P2150" t="s">
        <v>36</v>
      </c>
    </row>
    <row r="2151" spans="1:16">
      <c r="A2151">
        <v>2150</v>
      </c>
      <c r="B2151" t="s">
        <v>2211</v>
      </c>
      <c r="C2151">
        <v>508</v>
      </c>
      <c r="D2151">
        <v>703</v>
      </c>
      <c r="E2151">
        <v>423.10457335009301</v>
      </c>
      <c r="F2151">
        <v>0.72328001535029995</v>
      </c>
      <c r="G2151">
        <v>140600</v>
      </c>
      <c r="H2151">
        <v>5017.0057225227401</v>
      </c>
      <c r="I2151">
        <v>0.78193696898140497</v>
      </c>
      <c r="J2151">
        <v>7.0194969862918594E-2</v>
      </c>
      <c r="K2151">
        <v>0.53250011835440003</v>
      </c>
      <c r="L2151" t="s">
        <v>49</v>
      </c>
      <c r="M2151" t="s">
        <v>34</v>
      </c>
      <c r="N2151" t="s">
        <v>35</v>
      </c>
      <c r="O2151">
        <v>0.72205926869316595</v>
      </c>
      <c r="P2151" t="s">
        <v>36</v>
      </c>
    </row>
    <row r="2152" spans="1:16">
      <c r="A2152">
        <v>2151</v>
      </c>
      <c r="B2152" t="s">
        <v>2212</v>
      </c>
      <c r="C2152">
        <v>397</v>
      </c>
      <c r="D2152">
        <v>644</v>
      </c>
      <c r="E2152">
        <v>423.16099356236901</v>
      </c>
      <c r="F2152">
        <v>0.61582457548554403</v>
      </c>
      <c r="G2152">
        <v>140637.5</v>
      </c>
      <c r="H2152">
        <v>3115.1323658227898</v>
      </c>
      <c r="I2152">
        <v>0.78362893696156599</v>
      </c>
      <c r="J2152">
        <v>0.18212014672405799</v>
      </c>
      <c r="K2152">
        <v>0.67435866698633395</v>
      </c>
      <c r="L2152" t="s">
        <v>38</v>
      </c>
      <c r="M2152" t="s">
        <v>34</v>
      </c>
      <c r="N2152" t="s">
        <v>35</v>
      </c>
      <c r="O2152">
        <v>0.70614777147336105</v>
      </c>
      <c r="P2152" t="s">
        <v>36</v>
      </c>
    </row>
    <row r="2153" spans="1:16">
      <c r="A2153">
        <v>2152</v>
      </c>
      <c r="B2153" t="s">
        <v>2213</v>
      </c>
      <c r="C2153">
        <v>821</v>
      </c>
      <c r="D2153">
        <v>401</v>
      </c>
      <c r="E2153">
        <v>427.18503923846299</v>
      </c>
      <c r="F2153">
        <v>2.0471652764354999</v>
      </c>
      <c r="G2153">
        <v>143325</v>
      </c>
      <c r="H2153">
        <v>4343.7467133998898</v>
      </c>
      <c r="I2153">
        <v>0.58701151003645502</v>
      </c>
      <c r="J2153">
        <v>9.5455911228325696E-2</v>
      </c>
      <c r="K2153">
        <v>0.607953340402969</v>
      </c>
      <c r="L2153" t="s">
        <v>38</v>
      </c>
      <c r="M2153" t="s">
        <v>34</v>
      </c>
      <c r="N2153" t="s">
        <v>35</v>
      </c>
      <c r="O2153">
        <v>0.85814689739642602</v>
      </c>
      <c r="P2153" t="s">
        <v>36</v>
      </c>
    </row>
    <row r="2154" spans="1:16">
      <c r="A2154">
        <v>2153</v>
      </c>
      <c r="B2154" t="s">
        <v>2214</v>
      </c>
      <c r="C2154">
        <v>762</v>
      </c>
      <c r="D2154">
        <v>344</v>
      </c>
      <c r="E2154">
        <v>431.22689562290799</v>
      </c>
      <c r="F2154">
        <v>2.2136021616243502</v>
      </c>
      <c r="G2154">
        <v>146050</v>
      </c>
      <c r="H2154">
        <v>3547.0562458038298</v>
      </c>
      <c r="I2154">
        <v>0.73153687299790304</v>
      </c>
      <c r="J2154">
        <v>0.145873121038084</v>
      </c>
      <c r="K2154">
        <v>0.67130135018672799</v>
      </c>
      <c r="L2154" t="s">
        <v>38</v>
      </c>
      <c r="M2154" t="s">
        <v>34</v>
      </c>
      <c r="N2154" t="s">
        <v>35</v>
      </c>
      <c r="O2154">
        <v>0.78915547238296802</v>
      </c>
      <c r="P2154" t="s">
        <v>36</v>
      </c>
    </row>
    <row r="2155" spans="1:16">
      <c r="A2155">
        <v>2154</v>
      </c>
      <c r="B2155" t="s">
        <v>2215</v>
      </c>
      <c r="C2155">
        <v>501</v>
      </c>
      <c r="D2155">
        <v>465</v>
      </c>
      <c r="E2155">
        <v>442.34046506867998</v>
      </c>
      <c r="F2155">
        <v>1.07632365968535</v>
      </c>
      <c r="G2155">
        <v>153675</v>
      </c>
      <c r="H2155">
        <v>2375.51296591759</v>
      </c>
      <c r="I2155">
        <v>0.75537677484213905</v>
      </c>
      <c r="J2155">
        <v>0.34221439620344002</v>
      </c>
      <c r="K2155">
        <v>0.786866359447005</v>
      </c>
      <c r="L2155" t="s">
        <v>38</v>
      </c>
      <c r="M2155" t="s">
        <v>34</v>
      </c>
      <c r="N2155" t="s">
        <v>35</v>
      </c>
      <c r="O2155">
        <v>0.77267892931781701</v>
      </c>
      <c r="P2155" t="s">
        <v>36</v>
      </c>
    </row>
    <row r="2156" spans="1:16">
      <c r="A2156">
        <v>2155</v>
      </c>
      <c r="B2156" t="s">
        <v>2216</v>
      </c>
      <c r="C2156">
        <v>651</v>
      </c>
      <c r="D2156">
        <v>574</v>
      </c>
      <c r="E2156">
        <v>443.418557004246</v>
      </c>
      <c r="F2156">
        <v>1.1339327358614799</v>
      </c>
      <c r="G2156">
        <v>154425</v>
      </c>
      <c r="H2156">
        <v>4527.5944733619699</v>
      </c>
      <c r="I2156">
        <v>0.81961458182685998</v>
      </c>
      <c r="J2156">
        <v>9.4665652301499897E-2</v>
      </c>
      <c r="K2156">
        <v>0.58870621872766304</v>
      </c>
      <c r="L2156" t="s">
        <v>33</v>
      </c>
      <c r="M2156" t="s">
        <v>34</v>
      </c>
      <c r="N2156" t="s">
        <v>35</v>
      </c>
      <c r="O2156">
        <v>0.67226540637920595</v>
      </c>
      <c r="P2156" t="s">
        <v>36</v>
      </c>
    </row>
    <row r="2157" spans="1:16">
      <c r="A2157">
        <v>2156</v>
      </c>
      <c r="B2157" t="s">
        <v>2217</v>
      </c>
      <c r="C2157">
        <v>814</v>
      </c>
      <c r="D2157">
        <v>481</v>
      </c>
      <c r="E2157">
        <v>444.20749480994999</v>
      </c>
      <c r="F2157">
        <v>1.69122114566608</v>
      </c>
      <c r="G2157">
        <v>154975</v>
      </c>
      <c r="H2157">
        <v>3675.0461411476099</v>
      </c>
      <c r="I2157">
        <v>0.439968318599466</v>
      </c>
      <c r="J2157">
        <v>0.14419357743261299</v>
      </c>
      <c r="K2157">
        <v>0.55534154535274405</v>
      </c>
      <c r="L2157" t="s">
        <v>38</v>
      </c>
      <c r="M2157" t="s">
        <v>34</v>
      </c>
      <c r="N2157" t="s">
        <v>35</v>
      </c>
      <c r="O2157">
        <v>0.71321343781341395</v>
      </c>
      <c r="P2157" t="s">
        <v>36</v>
      </c>
    </row>
    <row r="2158" spans="1:16">
      <c r="A2158">
        <v>2157</v>
      </c>
      <c r="B2158" t="s">
        <v>2218</v>
      </c>
      <c r="C2158">
        <v>737</v>
      </c>
      <c r="D2158">
        <v>457</v>
      </c>
      <c r="E2158">
        <v>453.40979256275602</v>
      </c>
      <c r="F2158">
        <v>1.61454537254571</v>
      </c>
      <c r="G2158">
        <v>161462.5</v>
      </c>
      <c r="H2158">
        <v>3431.7009073495901</v>
      </c>
      <c r="I2158">
        <v>0.66775901993508902</v>
      </c>
      <c r="J2158">
        <v>0.172291034043448</v>
      </c>
      <c r="K2158">
        <v>0.64912809688929096</v>
      </c>
      <c r="L2158" t="s">
        <v>38</v>
      </c>
      <c r="M2158" t="s">
        <v>34</v>
      </c>
      <c r="N2158" t="s">
        <v>35</v>
      </c>
      <c r="O2158">
        <v>0.80033198252986903</v>
      </c>
      <c r="P2158" t="s">
        <v>36</v>
      </c>
    </row>
    <row r="2159" spans="1:16">
      <c r="A2159">
        <v>2158</v>
      </c>
      <c r="B2159" t="s">
        <v>2219</v>
      </c>
      <c r="C2159">
        <v>708</v>
      </c>
      <c r="D2159">
        <v>427</v>
      </c>
      <c r="E2159">
        <v>453.88341932499497</v>
      </c>
      <c r="F2159">
        <v>1.66001555826334</v>
      </c>
      <c r="G2159">
        <v>161800</v>
      </c>
      <c r="H2159">
        <v>3980.3152549266802</v>
      </c>
      <c r="I2159">
        <v>0.57459467871441094</v>
      </c>
      <c r="J2159">
        <v>0.128337459841742</v>
      </c>
      <c r="K2159">
        <v>0.61316911416390296</v>
      </c>
      <c r="L2159" t="s">
        <v>33</v>
      </c>
      <c r="M2159" t="s">
        <v>34</v>
      </c>
      <c r="N2159" t="s">
        <v>35</v>
      </c>
      <c r="O2159">
        <v>0.71821354495001699</v>
      </c>
      <c r="P2159" t="s">
        <v>36</v>
      </c>
    </row>
    <row r="2160" spans="1:16">
      <c r="A2160">
        <v>2159</v>
      </c>
      <c r="B2160" t="s">
        <v>2220</v>
      </c>
      <c r="C2160">
        <v>559</v>
      </c>
      <c r="D2160">
        <v>719</v>
      </c>
      <c r="E2160">
        <v>456.47086598808198</v>
      </c>
      <c r="F2160">
        <v>0.77715293734185698</v>
      </c>
      <c r="G2160">
        <v>163650</v>
      </c>
      <c r="H2160">
        <v>5033.57426404953</v>
      </c>
      <c r="I2160">
        <v>0.83703823713580205</v>
      </c>
      <c r="J2160">
        <v>8.1165769941326696E-2</v>
      </c>
      <c r="K2160">
        <v>0.59868300713371103</v>
      </c>
      <c r="L2160" t="s">
        <v>33</v>
      </c>
      <c r="M2160" t="s">
        <v>34</v>
      </c>
      <c r="N2160" t="s">
        <v>35</v>
      </c>
      <c r="O2160">
        <v>0.68299483981889597</v>
      </c>
      <c r="P2160" t="s">
        <v>36</v>
      </c>
    </row>
    <row r="2161" spans="1:17">
      <c r="A2161">
        <v>2160</v>
      </c>
      <c r="B2161" t="s">
        <v>2221</v>
      </c>
      <c r="C2161">
        <v>570</v>
      </c>
      <c r="D2161">
        <v>468</v>
      </c>
      <c r="E2161">
        <v>458.17613418663598</v>
      </c>
      <c r="F2161">
        <v>1.21649764036623</v>
      </c>
      <c r="G2161">
        <v>164875</v>
      </c>
      <c r="H2161">
        <v>2730.07140278816</v>
      </c>
      <c r="I2161">
        <v>0.64145335181530905</v>
      </c>
      <c r="J2161">
        <v>0.27798199087363901</v>
      </c>
      <c r="K2161">
        <v>0.80697460997246895</v>
      </c>
      <c r="L2161" t="s">
        <v>38</v>
      </c>
      <c r="M2161" t="s">
        <v>34</v>
      </c>
      <c r="N2161" t="s">
        <v>35</v>
      </c>
      <c r="O2161">
        <v>0.71872824936708102</v>
      </c>
      <c r="P2161" t="s">
        <v>36</v>
      </c>
    </row>
    <row r="2162" spans="1:17">
      <c r="A2162">
        <v>2161</v>
      </c>
      <c r="B2162" t="s">
        <v>2222</v>
      </c>
      <c r="C2162">
        <v>343</v>
      </c>
      <c r="D2162">
        <v>792</v>
      </c>
      <c r="E2162">
        <v>459.77124248331899</v>
      </c>
      <c r="F2162">
        <v>0.43234503743033098</v>
      </c>
      <c r="G2162">
        <v>166025</v>
      </c>
      <c r="H2162">
        <v>3124.6298396587399</v>
      </c>
      <c r="I2162">
        <v>0.86611541381791801</v>
      </c>
      <c r="J2162">
        <v>0.213690985115563</v>
      </c>
      <c r="K2162">
        <v>0.758364736782003</v>
      </c>
      <c r="L2162" t="s">
        <v>38</v>
      </c>
      <c r="M2162" t="s">
        <v>34</v>
      </c>
      <c r="N2162" t="s">
        <v>35</v>
      </c>
      <c r="O2162">
        <v>0.72696907911956499</v>
      </c>
      <c r="P2162" t="s">
        <v>36</v>
      </c>
    </row>
    <row r="2163" spans="1:17">
      <c r="A2163">
        <v>2162</v>
      </c>
      <c r="B2163" t="s">
        <v>2223</v>
      </c>
      <c r="C2163">
        <v>837</v>
      </c>
      <c r="D2163">
        <v>464</v>
      </c>
      <c r="E2163">
        <v>462.06748009114199</v>
      </c>
      <c r="F2163">
        <v>1.80332910224053</v>
      </c>
      <c r="G2163">
        <v>167687.5</v>
      </c>
      <c r="H2163">
        <v>4166.6756457090396</v>
      </c>
      <c r="I2163">
        <v>0.54960863862196097</v>
      </c>
      <c r="J2163">
        <v>0.121375537368084</v>
      </c>
      <c r="K2163">
        <v>0.58631993006993</v>
      </c>
      <c r="L2163" t="s">
        <v>43</v>
      </c>
      <c r="M2163" t="s">
        <v>34</v>
      </c>
      <c r="N2163" t="s">
        <v>35</v>
      </c>
      <c r="O2163">
        <v>0.72428233481108195</v>
      </c>
      <c r="P2163" t="s">
        <v>36</v>
      </c>
    </row>
    <row r="2164" spans="1:17">
      <c r="A2164">
        <v>2163</v>
      </c>
      <c r="B2164" t="s">
        <v>2224</v>
      </c>
      <c r="C2164">
        <v>785</v>
      </c>
      <c r="D2164">
        <v>452</v>
      </c>
      <c r="E2164">
        <v>463.37450698681698</v>
      </c>
      <c r="F2164">
        <v>1.7378723466036501</v>
      </c>
      <c r="G2164">
        <v>168637.5</v>
      </c>
      <c r="H2164">
        <v>4188.0969995260202</v>
      </c>
      <c r="I2164">
        <v>0.70873449045346304</v>
      </c>
      <c r="J2164">
        <v>0.120817697789913</v>
      </c>
      <c r="K2164">
        <v>0.64291841402973704</v>
      </c>
      <c r="L2164" t="s">
        <v>38</v>
      </c>
      <c r="M2164" t="s">
        <v>34</v>
      </c>
      <c r="N2164" t="s">
        <v>35</v>
      </c>
      <c r="O2164">
        <v>0.76142105125688397</v>
      </c>
      <c r="P2164" t="s">
        <v>36</v>
      </c>
    </row>
    <row r="2165" spans="1:17">
      <c r="A2165">
        <v>2164</v>
      </c>
      <c r="B2165" t="s">
        <v>2225</v>
      </c>
      <c r="C2165">
        <v>881</v>
      </c>
      <c r="D2165">
        <v>827</v>
      </c>
      <c r="E2165">
        <v>478.13194858448702</v>
      </c>
      <c r="F2165">
        <v>1.06493726242999</v>
      </c>
      <c r="G2165">
        <v>179550</v>
      </c>
      <c r="H2165">
        <v>6161.9804608821896</v>
      </c>
      <c r="I2165">
        <v>0.75084087067605898</v>
      </c>
      <c r="J2165">
        <v>5.9423009050226502E-2</v>
      </c>
      <c r="K2165">
        <v>0.36694341550644999</v>
      </c>
      <c r="L2165" t="s">
        <v>331</v>
      </c>
      <c r="M2165" t="s">
        <v>34</v>
      </c>
      <c r="N2165" t="s">
        <v>35</v>
      </c>
      <c r="O2165">
        <v>0.67848457375193805</v>
      </c>
      <c r="P2165" t="s">
        <v>36</v>
      </c>
    </row>
    <row r="2166" spans="1:17">
      <c r="A2166">
        <v>2165</v>
      </c>
      <c r="B2166" t="s">
        <v>2226</v>
      </c>
      <c r="C2166">
        <v>699</v>
      </c>
      <c r="D2166">
        <v>448</v>
      </c>
      <c r="E2166">
        <v>482.93441957150202</v>
      </c>
      <c r="F2166">
        <v>1.56039569437133</v>
      </c>
      <c r="G2166">
        <v>183175</v>
      </c>
      <c r="H2166">
        <v>3057.3506212234502</v>
      </c>
      <c r="I2166">
        <v>0.721068528749642</v>
      </c>
      <c r="J2166">
        <v>0.246255290789789</v>
      </c>
      <c r="K2166">
        <v>0.77150679161840596</v>
      </c>
      <c r="L2166" t="s">
        <v>38</v>
      </c>
      <c r="M2166" t="s">
        <v>34</v>
      </c>
      <c r="N2166" t="s">
        <v>35</v>
      </c>
      <c r="O2166">
        <v>0.77489349468164104</v>
      </c>
      <c r="P2166" t="s">
        <v>36</v>
      </c>
    </row>
    <row r="2167" spans="1:17">
      <c r="A2167">
        <v>2166</v>
      </c>
      <c r="B2167" t="s">
        <v>2227</v>
      </c>
      <c r="C2167">
        <v>569</v>
      </c>
      <c r="D2167">
        <v>702</v>
      </c>
      <c r="E2167">
        <v>486.85671069295103</v>
      </c>
      <c r="F2167">
        <v>0.81038125329395105</v>
      </c>
      <c r="G2167">
        <v>186162.5</v>
      </c>
      <c r="H2167">
        <v>5208.2189255952799</v>
      </c>
      <c r="I2167">
        <v>0.77602328873979598</v>
      </c>
      <c r="J2167">
        <v>8.6242950076436398E-2</v>
      </c>
      <c r="K2167">
        <v>0.59564852217733899</v>
      </c>
      <c r="L2167" t="s">
        <v>33</v>
      </c>
      <c r="M2167" t="s">
        <v>34</v>
      </c>
      <c r="N2167" t="s">
        <v>35</v>
      </c>
      <c r="O2167">
        <v>0.75597251399276399</v>
      </c>
      <c r="P2167" t="s">
        <v>36</v>
      </c>
    </row>
    <row r="2168" spans="1:17">
      <c r="A2168">
        <v>2167</v>
      </c>
      <c r="B2168" t="s">
        <v>2228</v>
      </c>
      <c r="C2168">
        <v>598</v>
      </c>
      <c r="D2168">
        <v>782</v>
      </c>
      <c r="E2168">
        <v>488.96068912811899</v>
      </c>
      <c r="F2168">
        <v>0.76383477040977599</v>
      </c>
      <c r="G2168">
        <v>187775</v>
      </c>
      <c r="H2168">
        <v>3859.8989534378102</v>
      </c>
      <c r="I2168">
        <v>0.51172088213753697</v>
      </c>
      <c r="J2168">
        <v>0.15837833151074701</v>
      </c>
      <c r="K2168">
        <v>0.54764855997083495</v>
      </c>
      <c r="L2168" t="s">
        <v>38</v>
      </c>
      <c r="M2168" t="s">
        <v>34</v>
      </c>
      <c r="N2168" t="s">
        <v>35</v>
      </c>
      <c r="O2168">
        <v>0.70239979684706799</v>
      </c>
      <c r="P2168" t="s">
        <v>36</v>
      </c>
    </row>
    <row r="2169" spans="1:17">
      <c r="A2169">
        <v>2168</v>
      </c>
      <c r="B2169" t="s">
        <v>2229</v>
      </c>
      <c r="C2169">
        <v>683</v>
      </c>
      <c r="D2169">
        <v>641</v>
      </c>
      <c r="E2169">
        <v>490.60169224929598</v>
      </c>
      <c r="F2169">
        <v>1.06455207981677</v>
      </c>
      <c r="G2169">
        <v>189037.5</v>
      </c>
      <c r="H2169">
        <v>3956.9700211286499</v>
      </c>
      <c r="I2169">
        <v>0.71248255251972903</v>
      </c>
      <c r="J2169">
        <v>0.15171632323164</v>
      </c>
      <c r="K2169">
        <v>0.61625916870415698</v>
      </c>
      <c r="L2169" t="s">
        <v>38</v>
      </c>
      <c r="M2169" t="s">
        <v>34</v>
      </c>
      <c r="N2169" t="s">
        <v>35</v>
      </c>
      <c r="O2169">
        <v>0.75892530371893097</v>
      </c>
      <c r="P2169" t="s">
        <v>36</v>
      </c>
    </row>
    <row r="2170" spans="1:17">
      <c r="A2170">
        <v>2169</v>
      </c>
      <c r="B2170" t="s">
        <v>2230</v>
      </c>
      <c r="C2170">
        <v>49</v>
      </c>
      <c r="D2170">
        <v>58</v>
      </c>
      <c r="E2170">
        <v>50.048162968004497</v>
      </c>
      <c r="F2170">
        <v>0.84112149532710301</v>
      </c>
      <c r="G2170">
        <v>1967.2799410207899</v>
      </c>
      <c r="H2170">
        <v>227.94626452757001</v>
      </c>
      <c r="I2170">
        <v>0.67945532027786704</v>
      </c>
      <c r="J2170">
        <v>0.47578535346203499</v>
      </c>
      <c r="K2170">
        <v>0.85492830383671403</v>
      </c>
      <c r="L2170" t="s">
        <v>331</v>
      </c>
      <c r="M2170" t="s">
        <v>34</v>
      </c>
      <c r="N2170" t="s">
        <v>35</v>
      </c>
      <c r="O2170">
        <v>0.65045677061074902</v>
      </c>
      <c r="P2170" t="s">
        <v>36</v>
      </c>
      <c r="Q2170" t="s">
        <v>2231</v>
      </c>
    </row>
    <row r="2171" spans="1:17">
      <c r="A2171">
        <v>2170</v>
      </c>
      <c r="B2171" t="s">
        <v>2232</v>
      </c>
      <c r="C2171">
        <v>68</v>
      </c>
      <c r="D2171">
        <v>78</v>
      </c>
      <c r="E2171">
        <v>50.135055484702796</v>
      </c>
      <c r="F2171">
        <v>0.87412587412587395</v>
      </c>
      <c r="G2171">
        <v>1974.11696710775</v>
      </c>
      <c r="H2171">
        <v>506.16212345683101</v>
      </c>
      <c r="I2171">
        <v>0.464342888632229</v>
      </c>
      <c r="J2171">
        <v>9.6828556692154996E-2</v>
      </c>
      <c r="K2171">
        <v>0.42589623549028399</v>
      </c>
      <c r="L2171" t="s">
        <v>38</v>
      </c>
      <c r="M2171" t="s">
        <v>34</v>
      </c>
      <c r="N2171" t="s">
        <v>35</v>
      </c>
      <c r="O2171">
        <v>0.74653940335431501</v>
      </c>
      <c r="P2171" t="s">
        <v>36</v>
      </c>
    </row>
    <row r="2172" spans="1:17">
      <c r="A2172">
        <v>2171</v>
      </c>
      <c r="B2172" t="s">
        <v>2233</v>
      </c>
      <c r="C2172">
        <v>43</v>
      </c>
      <c r="D2172">
        <v>82</v>
      </c>
      <c r="E2172">
        <v>50.146267067967699</v>
      </c>
      <c r="F2172">
        <v>0.51999996055337605</v>
      </c>
      <c r="G2172">
        <v>1975</v>
      </c>
      <c r="H2172">
        <v>274.85281229019199</v>
      </c>
      <c r="I2172">
        <v>0.76176095813716804</v>
      </c>
      <c r="J2172">
        <v>0.32853118029226203</v>
      </c>
      <c r="K2172">
        <v>0.72146118721461205</v>
      </c>
      <c r="L2172" t="s">
        <v>33</v>
      </c>
      <c r="M2172" t="s">
        <v>34</v>
      </c>
      <c r="N2172" t="s">
        <v>35</v>
      </c>
      <c r="O2172">
        <v>0.66418075036356095</v>
      </c>
      <c r="P2172" t="s">
        <v>36</v>
      </c>
    </row>
    <row r="2173" spans="1:17">
      <c r="A2173">
        <v>2172</v>
      </c>
      <c r="B2173" t="s">
        <v>2234</v>
      </c>
      <c r="C2173">
        <v>51</v>
      </c>
      <c r="D2173">
        <v>106</v>
      </c>
      <c r="E2173">
        <v>50.212376423453897</v>
      </c>
      <c r="F2173">
        <v>0.47813262968169101</v>
      </c>
      <c r="G2173">
        <v>1980.2108381852599</v>
      </c>
      <c r="H2173">
        <v>506.63649378745498</v>
      </c>
      <c r="I2173">
        <v>0.62203477326286705</v>
      </c>
      <c r="J2173">
        <v>9.6945657017170297E-2</v>
      </c>
      <c r="K2173">
        <v>0.52953100158982502</v>
      </c>
      <c r="L2173" t="s">
        <v>33</v>
      </c>
      <c r="M2173" t="s">
        <v>34</v>
      </c>
      <c r="N2173" t="s">
        <v>35</v>
      </c>
      <c r="O2173">
        <v>0.70161889292340796</v>
      </c>
      <c r="P2173" t="s">
        <v>36</v>
      </c>
    </row>
    <row r="2174" spans="1:17">
      <c r="A2174">
        <v>2173</v>
      </c>
      <c r="B2174" t="s">
        <v>2235</v>
      </c>
      <c r="C2174">
        <v>57</v>
      </c>
      <c r="D2174">
        <v>57</v>
      </c>
      <c r="E2174">
        <v>50.392956467466298</v>
      </c>
      <c r="F2174">
        <v>0.98379635563553902</v>
      </c>
      <c r="G2174">
        <v>1994.47941436673</v>
      </c>
      <c r="H2174">
        <v>234.19608274200701</v>
      </c>
      <c r="I2174">
        <v>0.60338340859890605</v>
      </c>
      <c r="J2174">
        <v>0.45696208672674399</v>
      </c>
      <c r="K2174">
        <v>0.82884496602841295</v>
      </c>
      <c r="L2174" t="s">
        <v>43</v>
      </c>
      <c r="M2174" t="s">
        <v>34</v>
      </c>
      <c r="N2174" t="s">
        <v>35</v>
      </c>
      <c r="O2174">
        <v>0.78891881950874698</v>
      </c>
      <c r="P2174" t="s">
        <v>36</v>
      </c>
    </row>
    <row r="2175" spans="1:17">
      <c r="A2175">
        <v>2174</v>
      </c>
      <c r="B2175" t="s">
        <v>2236</v>
      </c>
      <c r="C2175">
        <v>63</v>
      </c>
      <c r="D2175">
        <v>88</v>
      </c>
      <c r="E2175">
        <v>50.514857695817298</v>
      </c>
      <c r="F2175">
        <v>0.72049689440993803</v>
      </c>
      <c r="G2175">
        <v>2004.1404294895999</v>
      </c>
      <c r="H2175">
        <v>439.83269080141298</v>
      </c>
      <c r="I2175">
        <v>0.56103895884070298</v>
      </c>
      <c r="J2175">
        <v>0.13018561599656001</v>
      </c>
      <c r="K2175">
        <v>0.54715143645512099</v>
      </c>
      <c r="L2175" t="s">
        <v>33</v>
      </c>
      <c r="M2175" t="s">
        <v>34</v>
      </c>
      <c r="N2175" t="s">
        <v>35</v>
      </c>
      <c r="O2175">
        <v>0.68755467890619304</v>
      </c>
      <c r="P2175" t="s">
        <v>36</v>
      </c>
    </row>
    <row r="2176" spans="1:17">
      <c r="A2176">
        <v>2175</v>
      </c>
      <c r="B2176" t="s">
        <v>2237</v>
      </c>
      <c r="C2176">
        <v>60</v>
      </c>
      <c r="D2176">
        <v>46</v>
      </c>
      <c r="E2176">
        <v>50.556049995531097</v>
      </c>
      <c r="F2176">
        <v>1.2947597710727401</v>
      </c>
      <c r="G2176">
        <v>2007.41031153119</v>
      </c>
      <c r="H2176">
        <v>210.950980855278</v>
      </c>
      <c r="I2176">
        <v>0.63718786459450505</v>
      </c>
      <c r="J2176">
        <v>0.56686927270881904</v>
      </c>
      <c r="K2176">
        <v>0.87878196369314898</v>
      </c>
      <c r="L2176" t="s">
        <v>298</v>
      </c>
      <c r="M2176" t="s">
        <v>34</v>
      </c>
      <c r="N2176" t="s">
        <v>35</v>
      </c>
      <c r="O2176">
        <v>0.73207389927218103</v>
      </c>
      <c r="P2176" t="s">
        <v>36</v>
      </c>
    </row>
    <row r="2177" spans="1:16">
      <c r="A2177">
        <v>2176</v>
      </c>
      <c r="B2177" t="s">
        <v>2238</v>
      </c>
      <c r="C2177">
        <v>88</v>
      </c>
      <c r="D2177">
        <v>48</v>
      </c>
      <c r="E2177">
        <v>50.604688574768801</v>
      </c>
      <c r="F2177">
        <v>1.81421055966894</v>
      </c>
      <c r="G2177">
        <v>2011.2747175803399</v>
      </c>
      <c r="H2177">
        <v>436.82597021932202</v>
      </c>
      <c r="I2177">
        <v>0.65073921240174604</v>
      </c>
      <c r="J2177">
        <v>0.13245378038066499</v>
      </c>
      <c r="K2177">
        <v>0.61189238073705599</v>
      </c>
      <c r="L2177" t="s">
        <v>38</v>
      </c>
      <c r="M2177" t="s">
        <v>34</v>
      </c>
      <c r="N2177" t="s">
        <v>35</v>
      </c>
      <c r="O2177">
        <v>0.85971916483065103</v>
      </c>
      <c r="P2177" t="s">
        <v>36</v>
      </c>
    </row>
    <row r="2178" spans="1:16">
      <c r="A2178">
        <v>2177</v>
      </c>
      <c r="B2178" t="s">
        <v>2239</v>
      </c>
      <c r="C2178">
        <v>66</v>
      </c>
      <c r="D2178">
        <v>66</v>
      </c>
      <c r="E2178">
        <v>50.620100590373298</v>
      </c>
      <c r="F2178">
        <v>1</v>
      </c>
      <c r="G2178">
        <v>2012.5</v>
      </c>
      <c r="H2178">
        <v>274.35028612613701</v>
      </c>
      <c r="I2178">
        <v>0.65970029414236997</v>
      </c>
      <c r="J2178">
        <v>0.335996627391564</v>
      </c>
      <c r="K2178">
        <v>0.63137254901960804</v>
      </c>
      <c r="L2178" t="s">
        <v>38</v>
      </c>
      <c r="M2178" t="s">
        <v>34</v>
      </c>
      <c r="N2178" t="s">
        <v>35</v>
      </c>
      <c r="O2178">
        <v>0.72367063608029203</v>
      </c>
      <c r="P2178" t="s">
        <v>36</v>
      </c>
    </row>
    <row r="2179" spans="1:16">
      <c r="A2179">
        <v>2178</v>
      </c>
      <c r="B2179" t="s">
        <v>2240</v>
      </c>
      <c r="C2179">
        <v>63</v>
      </c>
      <c r="D2179">
        <v>49</v>
      </c>
      <c r="E2179">
        <v>50.671957225272301</v>
      </c>
      <c r="F2179">
        <v>1.30337083852889</v>
      </c>
      <c r="G2179">
        <v>2016.6254336483901</v>
      </c>
      <c r="H2179">
        <v>323.07867438026102</v>
      </c>
      <c r="I2179">
        <v>0.73294388129118604</v>
      </c>
      <c r="J2179">
        <v>0.24278313759068301</v>
      </c>
      <c r="K2179">
        <v>0.745535468981812</v>
      </c>
      <c r="L2179" t="s">
        <v>47</v>
      </c>
      <c r="M2179" t="s">
        <v>34</v>
      </c>
      <c r="N2179" t="s">
        <v>35</v>
      </c>
      <c r="O2179">
        <v>0.92602017533089998</v>
      </c>
      <c r="P2179" t="s">
        <v>36</v>
      </c>
    </row>
    <row r="2180" spans="1:16">
      <c r="A2180">
        <v>2179</v>
      </c>
      <c r="B2180" t="s">
        <v>2241</v>
      </c>
      <c r="C2180">
        <v>88</v>
      </c>
      <c r="D2180">
        <v>53</v>
      </c>
      <c r="E2180">
        <v>50.675691754313398</v>
      </c>
      <c r="F2180">
        <v>1.6530612244898</v>
      </c>
      <c r="G2180">
        <v>2016.92269565217</v>
      </c>
      <c r="H2180">
        <v>385.42054607266999</v>
      </c>
      <c r="I2180">
        <v>0.66819606901134498</v>
      </c>
      <c r="J2180">
        <v>0.170619785719103</v>
      </c>
      <c r="K2180">
        <v>0.52248575388880303</v>
      </c>
      <c r="L2180" t="s">
        <v>38</v>
      </c>
      <c r="M2180" t="s">
        <v>34</v>
      </c>
      <c r="N2180" t="s">
        <v>35</v>
      </c>
      <c r="O2180">
        <v>0.74268526092333198</v>
      </c>
      <c r="P2180" t="s">
        <v>36</v>
      </c>
    </row>
    <row r="2181" spans="1:16">
      <c r="A2181">
        <v>2180</v>
      </c>
      <c r="B2181" t="s">
        <v>2242</v>
      </c>
      <c r="C2181">
        <v>62</v>
      </c>
      <c r="D2181">
        <v>60</v>
      </c>
      <c r="E2181">
        <v>50.685026873072601</v>
      </c>
      <c r="F2181">
        <v>1.0272727310559</v>
      </c>
      <c r="G2181">
        <v>2017.66585066163</v>
      </c>
      <c r="H2181">
        <v>247.532588656363</v>
      </c>
      <c r="I2181">
        <v>0.82456205320195797</v>
      </c>
      <c r="J2181">
        <v>0.413803672108145</v>
      </c>
      <c r="K2181">
        <v>0.80774723313102503</v>
      </c>
      <c r="L2181" t="s">
        <v>49</v>
      </c>
      <c r="M2181" t="s">
        <v>34</v>
      </c>
      <c r="N2181" t="s">
        <v>35</v>
      </c>
      <c r="O2181">
        <v>0.65859312904093803</v>
      </c>
      <c r="P2181" t="s">
        <v>36</v>
      </c>
    </row>
    <row r="2182" spans="1:16">
      <c r="A2182">
        <v>2181</v>
      </c>
      <c r="B2182" t="s">
        <v>2243</v>
      </c>
      <c r="C2182">
        <v>68</v>
      </c>
      <c r="D2182">
        <v>53</v>
      </c>
      <c r="E2182">
        <v>50.860208206682103</v>
      </c>
      <c r="F2182">
        <v>1.27551020408163</v>
      </c>
      <c r="G2182">
        <v>2031.6371648393199</v>
      </c>
      <c r="H2182">
        <v>434.59030345325903</v>
      </c>
      <c r="I2182">
        <v>0.48164840301696599</v>
      </c>
      <c r="J2182">
        <v>0.13517486624941499</v>
      </c>
      <c r="K2182">
        <v>0.65710027881934396</v>
      </c>
      <c r="L2182" t="s">
        <v>33</v>
      </c>
      <c r="M2182" t="s">
        <v>34</v>
      </c>
      <c r="N2182" t="s">
        <v>35</v>
      </c>
      <c r="O2182">
        <v>0.75108879179129096</v>
      </c>
      <c r="P2182" t="s">
        <v>36</v>
      </c>
    </row>
    <row r="2183" spans="1:16">
      <c r="A2183">
        <v>2182</v>
      </c>
      <c r="B2183" t="s">
        <v>2244</v>
      </c>
      <c r="C2183">
        <v>117</v>
      </c>
      <c r="D2183">
        <v>47</v>
      </c>
      <c r="E2183">
        <v>50.888106880338498</v>
      </c>
      <c r="F2183">
        <v>2.50251239348803</v>
      </c>
      <c r="G2183">
        <v>2033.8666298676801</v>
      </c>
      <c r="H2183">
        <v>455.17627243995702</v>
      </c>
      <c r="I2183">
        <v>0.68870594324178602</v>
      </c>
      <c r="J2183">
        <v>0.123359643300225</v>
      </c>
      <c r="K2183">
        <v>0.53249280099618601</v>
      </c>
      <c r="L2183" t="s">
        <v>298</v>
      </c>
      <c r="M2183" t="s">
        <v>34</v>
      </c>
      <c r="N2183" t="s">
        <v>35</v>
      </c>
      <c r="O2183">
        <v>0.68250528195698101</v>
      </c>
      <c r="P2183" t="s">
        <v>36</v>
      </c>
    </row>
    <row r="2184" spans="1:16">
      <c r="A2184">
        <v>2183</v>
      </c>
      <c r="B2184" t="s">
        <v>2245</v>
      </c>
      <c r="C2184">
        <v>88</v>
      </c>
      <c r="D2184">
        <v>48</v>
      </c>
      <c r="E2184">
        <v>50.973567599757601</v>
      </c>
      <c r="F2184">
        <v>1.85403691848313</v>
      </c>
      <c r="G2184">
        <v>2040.70365595463</v>
      </c>
      <c r="H2184">
        <v>334.963862587265</v>
      </c>
      <c r="I2184">
        <v>0.75598706684975003</v>
      </c>
      <c r="J2184">
        <v>0.22855666728058099</v>
      </c>
      <c r="K2184">
        <v>0.66322094483624805</v>
      </c>
      <c r="L2184" t="s">
        <v>33</v>
      </c>
      <c r="M2184" t="s">
        <v>34</v>
      </c>
      <c r="N2184" t="s">
        <v>35</v>
      </c>
      <c r="O2184">
        <v>0.68444336406079098</v>
      </c>
      <c r="P2184" t="s">
        <v>36</v>
      </c>
    </row>
    <row r="2185" spans="1:16">
      <c r="A2185">
        <v>2184</v>
      </c>
      <c r="B2185" t="s">
        <v>2246</v>
      </c>
      <c r="C2185">
        <v>65</v>
      </c>
      <c r="D2185">
        <v>54</v>
      </c>
      <c r="E2185">
        <v>51.0895396995029</v>
      </c>
      <c r="F2185">
        <v>1.20769244019722</v>
      </c>
      <c r="G2185">
        <v>2050</v>
      </c>
      <c r="H2185">
        <v>238.99494767189</v>
      </c>
      <c r="I2185">
        <v>0.721412923669151</v>
      </c>
      <c r="J2185">
        <v>0.45101011787517498</v>
      </c>
      <c r="K2185">
        <v>0.72246696035242297</v>
      </c>
      <c r="L2185" t="s">
        <v>38</v>
      </c>
      <c r="M2185" t="s">
        <v>34</v>
      </c>
      <c r="N2185" t="s">
        <v>35</v>
      </c>
      <c r="O2185">
        <v>0.73081908734054501</v>
      </c>
      <c r="P2185" t="s">
        <v>36</v>
      </c>
    </row>
    <row r="2186" spans="1:16">
      <c r="A2186">
        <v>2185</v>
      </c>
      <c r="B2186" t="s">
        <v>2247</v>
      </c>
      <c r="C2186">
        <v>49</v>
      </c>
      <c r="D2186">
        <v>88</v>
      </c>
      <c r="E2186">
        <v>51.160708787450098</v>
      </c>
      <c r="F2186">
        <v>0.552795031055901</v>
      </c>
      <c r="G2186">
        <v>2055.7153871455598</v>
      </c>
      <c r="H2186">
        <v>529.87770266999405</v>
      </c>
      <c r="I2186">
        <v>0.61590786672514497</v>
      </c>
      <c r="J2186">
        <v>9.2007146381057198E-2</v>
      </c>
      <c r="K2186">
        <v>0.57197799925561399</v>
      </c>
      <c r="L2186" t="s">
        <v>43</v>
      </c>
      <c r="M2186" t="s">
        <v>34</v>
      </c>
      <c r="N2186" t="s">
        <v>35</v>
      </c>
      <c r="O2186">
        <v>0.69829011036286504</v>
      </c>
      <c r="P2186" t="s">
        <v>36</v>
      </c>
    </row>
    <row r="2187" spans="1:16">
      <c r="A2187">
        <v>2186</v>
      </c>
      <c r="B2187" t="s">
        <v>2248</v>
      </c>
      <c r="C2187">
        <v>92</v>
      </c>
      <c r="D2187">
        <v>58</v>
      </c>
      <c r="E2187">
        <v>51.299233316130703</v>
      </c>
      <c r="F2187">
        <v>1.5908047509745999</v>
      </c>
      <c r="G2187">
        <v>2066.8627122873299</v>
      </c>
      <c r="H2187">
        <v>507.85922045293103</v>
      </c>
      <c r="I2187">
        <v>0.59745560139160503</v>
      </c>
      <c r="J2187">
        <v>0.10070123828712001</v>
      </c>
      <c r="K2187">
        <v>0.52254621975048898</v>
      </c>
      <c r="L2187" t="s">
        <v>33</v>
      </c>
      <c r="M2187" t="s">
        <v>34</v>
      </c>
      <c r="N2187" t="s">
        <v>35</v>
      </c>
      <c r="O2187">
        <v>0.70813722659154799</v>
      </c>
      <c r="P2187" t="s">
        <v>36</v>
      </c>
    </row>
    <row r="2188" spans="1:16">
      <c r="A2188">
        <v>2187</v>
      </c>
      <c r="B2188" t="s">
        <v>2249</v>
      </c>
      <c r="C2188">
        <v>103</v>
      </c>
      <c r="D2188">
        <v>44</v>
      </c>
      <c r="E2188">
        <v>51.313987194294803</v>
      </c>
      <c r="F2188">
        <v>2.3625000691414</v>
      </c>
      <c r="G2188">
        <v>2068.05176030246</v>
      </c>
      <c r="H2188">
        <v>454.008342975326</v>
      </c>
      <c r="I2188">
        <v>0.85223091385115501</v>
      </c>
      <c r="J2188">
        <v>0.126079245460924</v>
      </c>
      <c r="K2188">
        <v>0.639577108710641</v>
      </c>
      <c r="L2188" t="s">
        <v>38</v>
      </c>
      <c r="M2188" t="s">
        <v>34</v>
      </c>
      <c r="N2188" t="s">
        <v>35</v>
      </c>
      <c r="O2188">
        <v>0.75577430871126605</v>
      </c>
      <c r="P2188" t="s">
        <v>36</v>
      </c>
    </row>
    <row r="2189" spans="1:16">
      <c r="A2189">
        <v>2188</v>
      </c>
      <c r="B2189" t="s">
        <v>2250</v>
      </c>
      <c r="C2189">
        <v>61</v>
      </c>
      <c r="D2189">
        <v>60</v>
      </c>
      <c r="E2189">
        <v>51.323206214364198</v>
      </c>
      <c r="F2189">
        <v>1.0238922498863401</v>
      </c>
      <c r="G2189">
        <v>2068.7949153119098</v>
      </c>
      <c r="H2189">
        <v>293.31755428324601</v>
      </c>
      <c r="I2189">
        <v>0.61540885522765298</v>
      </c>
      <c r="J2189">
        <v>0.30216989514171499</v>
      </c>
      <c r="K2189">
        <v>0.71098738315370102</v>
      </c>
      <c r="L2189" t="s">
        <v>38</v>
      </c>
      <c r="M2189" t="s">
        <v>34</v>
      </c>
      <c r="N2189" t="s">
        <v>35</v>
      </c>
      <c r="O2189">
        <v>0.72769625039306796</v>
      </c>
      <c r="P2189" t="s">
        <v>36</v>
      </c>
    </row>
    <row r="2190" spans="1:16">
      <c r="A2190">
        <v>2189</v>
      </c>
      <c r="B2190" t="s">
        <v>2251</v>
      </c>
      <c r="C2190">
        <v>74</v>
      </c>
      <c r="D2190">
        <v>63</v>
      </c>
      <c r="E2190">
        <v>51.384010263944099</v>
      </c>
      <c r="F2190">
        <v>1.17490277507178</v>
      </c>
      <c r="G2190">
        <v>2073.6997383742901</v>
      </c>
      <c r="H2190">
        <v>378.39416480789998</v>
      </c>
      <c r="I2190">
        <v>0.63993774303562401</v>
      </c>
      <c r="J2190">
        <v>0.18199810908313599</v>
      </c>
      <c r="K2190">
        <v>0.61603673613564103</v>
      </c>
      <c r="L2190" t="s">
        <v>33</v>
      </c>
      <c r="M2190" t="s">
        <v>34</v>
      </c>
      <c r="N2190" t="s">
        <v>35</v>
      </c>
      <c r="O2190">
        <v>0.67968680002131299</v>
      </c>
      <c r="P2190" t="s">
        <v>36</v>
      </c>
    </row>
    <row r="2191" spans="1:16">
      <c r="A2191">
        <v>2190</v>
      </c>
      <c r="B2191" t="s">
        <v>2252</v>
      </c>
      <c r="C2191">
        <v>88</v>
      </c>
      <c r="D2191">
        <v>41</v>
      </c>
      <c r="E2191">
        <v>51.417145802255099</v>
      </c>
      <c r="F2191">
        <v>2.1655127121394</v>
      </c>
      <c r="G2191">
        <v>2076.3750964083201</v>
      </c>
      <c r="H2191">
        <v>326.87914625955699</v>
      </c>
      <c r="I2191">
        <v>0.64239213256311101</v>
      </c>
      <c r="J2191">
        <v>0.24419751795314901</v>
      </c>
      <c r="K2191">
        <v>0.72965632508095701</v>
      </c>
      <c r="L2191" t="s">
        <v>33</v>
      </c>
      <c r="M2191" t="s">
        <v>34</v>
      </c>
      <c r="N2191" t="s">
        <v>35</v>
      </c>
      <c r="O2191">
        <v>0.68849189669425703</v>
      </c>
      <c r="P2191" t="s">
        <v>36</v>
      </c>
    </row>
    <row r="2192" spans="1:16">
      <c r="A2192">
        <v>2191</v>
      </c>
      <c r="B2192" t="s">
        <v>2253</v>
      </c>
      <c r="C2192">
        <v>57</v>
      </c>
      <c r="D2192">
        <v>67</v>
      </c>
      <c r="E2192">
        <v>51.553145925052</v>
      </c>
      <c r="F2192">
        <v>0.85307184973791494</v>
      </c>
      <c r="G2192">
        <v>2087.3737905481998</v>
      </c>
      <c r="H2192">
        <v>323.97651084485301</v>
      </c>
      <c r="I2192">
        <v>0.77035744264303097</v>
      </c>
      <c r="J2192">
        <v>0.24990965928310799</v>
      </c>
      <c r="K2192">
        <v>0.75391883186600805</v>
      </c>
      <c r="L2192" t="s">
        <v>38</v>
      </c>
      <c r="M2192" t="s">
        <v>34</v>
      </c>
      <c r="N2192" t="s">
        <v>35</v>
      </c>
      <c r="O2192">
        <v>0.74589185479097597</v>
      </c>
      <c r="P2192" t="s">
        <v>36</v>
      </c>
    </row>
    <row r="2193" spans="1:16">
      <c r="A2193">
        <v>2192</v>
      </c>
      <c r="B2193" t="s">
        <v>2254</v>
      </c>
      <c r="C2193">
        <v>49</v>
      </c>
      <c r="D2193">
        <v>79</v>
      </c>
      <c r="E2193">
        <v>51.554981307715401</v>
      </c>
      <c r="F2193">
        <v>0.61805555555555602</v>
      </c>
      <c r="G2193">
        <v>2087.5224215500898</v>
      </c>
      <c r="H2193">
        <v>322.12053148052001</v>
      </c>
      <c r="I2193">
        <v>0.46781275333151101</v>
      </c>
      <c r="J2193">
        <v>0.25281579226838302</v>
      </c>
      <c r="K2193">
        <v>0.72968620116375704</v>
      </c>
      <c r="L2193" t="s">
        <v>43</v>
      </c>
      <c r="M2193" t="s">
        <v>34</v>
      </c>
      <c r="N2193" t="s">
        <v>35</v>
      </c>
      <c r="O2193">
        <v>0.67771670526224603</v>
      </c>
      <c r="P2193" t="s">
        <v>36</v>
      </c>
    </row>
    <row r="2194" spans="1:16">
      <c r="A2194">
        <v>2193</v>
      </c>
      <c r="B2194" t="s">
        <v>2255</v>
      </c>
      <c r="C2194">
        <v>88</v>
      </c>
      <c r="D2194">
        <v>54</v>
      </c>
      <c r="E2194">
        <v>51.650331333267097</v>
      </c>
      <c r="F2194">
        <v>1.6262626262626301</v>
      </c>
      <c r="G2194">
        <v>2095.2512336483901</v>
      </c>
      <c r="H2194">
        <v>487.382845867924</v>
      </c>
      <c r="I2194">
        <v>0.78618715696093999</v>
      </c>
      <c r="J2194">
        <v>0.110842290082348</v>
      </c>
      <c r="K2194">
        <v>0.56065065224307997</v>
      </c>
      <c r="L2194" t="s">
        <v>33</v>
      </c>
      <c r="M2194" t="s">
        <v>34</v>
      </c>
      <c r="N2194" t="s">
        <v>35</v>
      </c>
      <c r="O2194">
        <v>0.65810752032634501</v>
      </c>
      <c r="P2194" t="s">
        <v>36</v>
      </c>
    </row>
    <row r="2195" spans="1:16">
      <c r="A2195">
        <v>2194</v>
      </c>
      <c r="B2195" t="s">
        <v>2256</v>
      </c>
      <c r="C2195">
        <v>63</v>
      </c>
      <c r="D2195">
        <v>68</v>
      </c>
      <c r="E2195">
        <v>51.668647703690397</v>
      </c>
      <c r="F2195">
        <v>0.92799999121093601</v>
      </c>
      <c r="G2195">
        <v>2096.7375436673001</v>
      </c>
      <c r="H2195">
        <v>486.93117301847599</v>
      </c>
      <c r="I2195">
        <v>0.69130396903568303</v>
      </c>
      <c r="J2195">
        <v>0.111126792238667</v>
      </c>
      <c r="K2195">
        <v>0.62514402197996999</v>
      </c>
      <c r="L2195" t="s">
        <v>33</v>
      </c>
      <c r="M2195" t="s">
        <v>34</v>
      </c>
      <c r="N2195" t="s">
        <v>35</v>
      </c>
      <c r="O2195">
        <v>0.72335899028720996</v>
      </c>
      <c r="P2195" t="s">
        <v>36</v>
      </c>
    </row>
    <row r="2196" spans="1:16">
      <c r="A2196">
        <v>2195</v>
      </c>
      <c r="B2196" t="s">
        <v>2257</v>
      </c>
      <c r="C2196">
        <v>68</v>
      </c>
      <c r="D2196">
        <v>53</v>
      </c>
      <c r="E2196">
        <v>51.7253872336657</v>
      </c>
      <c r="F2196">
        <v>1.27551020408163</v>
      </c>
      <c r="G2196">
        <v>2101.3451047259</v>
      </c>
      <c r="H2196">
        <v>300.59911707525703</v>
      </c>
      <c r="I2196">
        <v>0.80095197242279703</v>
      </c>
      <c r="J2196">
        <v>0.29223474205750799</v>
      </c>
      <c r="K2196">
        <v>0.76862020223986105</v>
      </c>
      <c r="L2196" t="s">
        <v>33</v>
      </c>
      <c r="M2196" t="s">
        <v>34</v>
      </c>
      <c r="N2196" t="s">
        <v>35</v>
      </c>
      <c r="O2196">
        <v>0.75766194026478495</v>
      </c>
      <c r="P2196" t="s">
        <v>36</v>
      </c>
    </row>
    <row r="2197" spans="1:16">
      <c r="A2197">
        <v>2196</v>
      </c>
      <c r="B2197" t="s">
        <v>2258</v>
      </c>
      <c r="C2197">
        <v>69</v>
      </c>
      <c r="D2197">
        <v>52</v>
      </c>
      <c r="E2197">
        <v>51.730874853226702</v>
      </c>
      <c r="F2197">
        <v>1.31352466155084</v>
      </c>
      <c r="G2197">
        <v>2101.7909977315699</v>
      </c>
      <c r="H2197">
        <v>315.28123929946298</v>
      </c>
      <c r="I2197">
        <v>0.72311579187016595</v>
      </c>
      <c r="J2197">
        <v>0.26570708422682998</v>
      </c>
      <c r="K2197">
        <v>0.74824064765331499</v>
      </c>
      <c r="L2197" t="s">
        <v>33</v>
      </c>
      <c r="M2197" t="s">
        <v>34</v>
      </c>
      <c r="N2197" t="s">
        <v>35</v>
      </c>
      <c r="O2197">
        <v>0.81148200753501298</v>
      </c>
      <c r="P2197" t="s">
        <v>36</v>
      </c>
    </row>
    <row r="2198" spans="1:16">
      <c r="A2198">
        <v>2197</v>
      </c>
      <c r="B2198" t="s">
        <v>2259</v>
      </c>
      <c r="C2198">
        <v>53</v>
      </c>
      <c r="D2198">
        <v>81</v>
      </c>
      <c r="E2198">
        <v>51.8240754804985</v>
      </c>
      <c r="F2198">
        <v>0.65544072970892997</v>
      </c>
      <c r="G2198">
        <v>2109.3711788279802</v>
      </c>
      <c r="H2198">
        <v>386.10470296818301</v>
      </c>
      <c r="I2198">
        <v>0.75823427115894904</v>
      </c>
      <c r="J2198">
        <v>0.177808569743484</v>
      </c>
      <c r="K2198">
        <v>0.65603476170665198</v>
      </c>
      <c r="L2198" t="s">
        <v>33</v>
      </c>
      <c r="M2198" t="s">
        <v>34</v>
      </c>
      <c r="N2198" t="s">
        <v>35</v>
      </c>
      <c r="O2198">
        <v>0.67138768447080999</v>
      </c>
      <c r="P2198" t="s">
        <v>36</v>
      </c>
    </row>
    <row r="2199" spans="1:16">
      <c r="A2199">
        <v>2198</v>
      </c>
      <c r="B2199" t="s">
        <v>2260</v>
      </c>
      <c r="C2199">
        <v>47</v>
      </c>
      <c r="D2199">
        <v>76</v>
      </c>
      <c r="E2199">
        <v>51.876997239765501</v>
      </c>
      <c r="F2199">
        <v>0.61235076560818702</v>
      </c>
      <c r="G2199">
        <v>2113.6814778828002</v>
      </c>
      <c r="H2199">
        <v>274.78016297889798</v>
      </c>
      <c r="I2199">
        <v>0.83853187707605403</v>
      </c>
      <c r="J2199">
        <v>0.35178608122766403</v>
      </c>
      <c r="K2199">
        <v>0.79629318550870698</v>
      </c>
      <c r="L2199" t="s">
        <v>33</v>
      </c>
      <c r="M2199" t="s">
        <v>34</v>
      </c>
      <c r="N2199" t="s">
        <v>35</v>
      </c>
      <c r="O2199">
        <v>0.75152437785714099</v>
      </c>
      <c r="P2199" t="s">
        <v>36</v>
      </c>
    </row>
    <row r="2200" spans="1:16">
      <c r="A2200">
        <v>2199</v>
      </c>
      <c r="B2200" t="s">
        <v>2261</v>
      </c>
      <c r="C2200">
        <v>73</v>
      </c>
      <c r="D2200">
        <v>54</v>
      </c>
      <c r="E2200">
        <v>52.1135722783239</v>
      </c>
      <c r="F2200">
        <v>1.36964268474701</v>
      </c>
      <c r="G2200">
        <v>2133.00350812854</v>
      </c>
      <c r="H2200">
        <v>349.91056857720702</v>
      </c>
      <c r="I2200">
        <v>0.71242234962291995</v>
      </c>
      <c r="J2200">
        <v>0.21892094483305599</v>
      </c>
      <c r="K2200">
        <v>0.67953028078981004</v>
      </c>
      <c r="L2200" t="s">
        <v>33</v>
      </c>
      <c r="M2200" t="s">
        <v>34</v>
      </c>
      <c r="N2200" t="s">
        <v>35</v>
      </c>
      <c r="O2200">
        <v>0.75788802817866396</v>
      </c>
      <c r="P2200" t="s">
        <v>36</v>
      </c>
    </row>
    <row r="2201" spans="1:16">
      <c r="A2201">
        <v>2200</v>
      </c>
      <c r="B2201" t="s">
        <v>2262</v>
      </c>
      <c r="C2201">
        <v>59</v>
      </c>
      <c r="D2201">
        <v>94</v>
      </c>
      <c r="E2201">
        <v>52.175268788576702</v>
      </c>
      <c r="F2201">
        <v>0.62495522609170295</v>
      </c>
      <c r="G2201">
        <v>2138.0569621928198</v>
      </c>
      <c r="H2201">
        <v>524.722212242355</v>
      </c>
      <c r="I2201">
        <v>0.66270200533855395</v>
      </c>
      <c r="J2201">
        <v>9.75821174602296E-2</v>
      </c>
      <c r="K2201">
        <v>0.5045067162347</v>
      </c>
      <c r="L2201" t="s">
        <v>298</v>
      </c>
      <c r="M2201" t="s">
        <v>34</v>
      </c>
      <c r="N2201" t="s">
        <v>35</v>
      </c>
      <c r="O2201">
        <v>0.67190956932022305</v>
      </c>
      <c r="P2201" t="s">
        <v>36</v>
      </c>
    </row>
    <row r="2202" spans="1:16">
      <c r="A2202">
        <v>2201</v>
      </c>
      <c r="B2202" t="s">
        <v>2263</v>
      </c>
      <c r="C2202">
        <v>45</v>
      </c>
      <c r="D2202">
        <v>84</v>
      </c>
      <c r="E2202">
        <v>52.236892429702998</v>
      </c>
      <c r="F2202">
        <v>0.53468207351471897</v>
      </c>
      <c r="G2202">
        <v>2143.11041625709</v>
      </c>
      <c r="H2202">
        <v>319.48798906585398</v>
      </c>
      <c r="I2202">
        <v>0.80700751038530005</v>
      </c>
      <c r="J2202">
        <v>0.26384285609201302</v>
      </c>
      <c r="K2202">
        <v>0.70388088845496699</v>
      </c>
      <c r="L2202" t="s">
        <v>298</v>
      </c>
      <c r="M2202" t="s">
        <v>34</v>
      </c>
      <c r="N2202" t="s">
        <v>35</v>
      </c>
      <c r="O2202">
        <v>0.65501527455841002</v>
      </c>
      <c r="P2202" t="s">
        <v>36</v>
      </c>
    </row>
    <row r="2203" spans="1:16">
      <c r="A2203">
        <v>2202</v>
      </c>
      <c r="B2203" t="s">
        <v>2264</v>
      </c>
      <c r="C2203">
        <v>54</v>
      </c>
      <c r="D2203">
        <v>85</v>
      </c>
      <c r="E2203">
        <v>52.432157695290798</v>
      </c>
      <c r="F2203">
        <v>0.64074642728058895</v>
      </c>
      <c r="G2203">
        <v>2159.16256446125</v>
      </c>
      <c r="H2203">
        <v>433.73235271671501</v>
      </c>
      <c r="I2203">
        <v>0.82383389907000304</v>
      </c>
      <c r="J2203">
        <v>0.14422866041414401</v>
      </c>
      <c r="K2203">
        <v>0.63575492341356699</v>
      </c>
      <c r="L2203" t="s">
        <v>38</v>
      </c>
      <c r="M2203" t="s">
        <v>34</v>
      </c>
      <c r="N2203" t="s">
        <v>35</v>
      </c>
      <c r="O2203">
        <v>0.68808256432383896</v>
      </c>
      <c r="P2203" t="s">
        <v>36</v>
      </c>
    </row>
    <row r="2204" spans="1:16">
      <c r="A2204">
        <v>2203</v>
      </c>
      <c r="B2204" t="s">
        <v>2265</v>
      </c>
      <c r="C2204">
        <v>69</v>
      </c>
      <c r="D2204">
        <v>58</v>
      </c>
      <c r="E2204">
        <v>52.534921758075598</v>
      </c>
      <c r="F2204">
        <v>1.1775700934579401</v>
      </c>
      <c r="G2204">
        <v>2167.634531569</v>
      </c>
      <c r="H2204">
        <v>370.30944848019101</v>
      </c>
      <c r="I2204">
        <v>0.67633993460542796</v>
      </c>
      <c r="J2204">
        <v>0.198639831637617</v>
      </c>
      <c r="K2204">
        <v>0.69967376703128004</v>
      </c>
      <c r="L2204" t="s">
        <v>38</v>
      </c>
      <c r="M2204" t="s">
        <v>34</v>
      </c>
      <c r="N2204" t="s">
        <v>35</v>
      </c>
      <c r="O2204">
        <v>0.75577210196483202</v>
      </c>
      <c r="P2204" t="s">
        <v>36</v>
      </c>
    </row>
    <row r="2205" spans="1:16">
      <c r="A2205">
        <v>2204</v>
      </c>
      <c r="B2205" t="s">
        <v>2266</v>
      </c>
      <c r="C2205">
        <v>70</v>
      </c>
      <c r="D2205">
        <v>64</v>
      </c>
      <c r="E2205">
        <v>52.5853287948662</v>
      </c>
      <c r="F2205">
        <v>1.0972696337936301</v>
      </c>
      <c r="G2205">
        <v>2171.7961996219301</v>
      </c>
      <c r="H2205">
        <v>385.27885195130898</v>
      </c>
      <c r="I2205">
        <v>0.72862119525311997</v>
      </c>
      <c r="J2205">
        <v>0.18385633159301301</v>
      </c>
      <c r="K2205">
        <v>0.68242107229590898</v>
      </c>
      <c r="L2205" t="s">
        <v>74</v>
      </c>
      <c r="M2205" t="s">
        <v>34</v>
      </c>
      <c r="N2205" t="s">
        <v>35</v>
      </c>
      <c r="O2205">
        <v>0.67953318843246002</v>
      </c>
      <c r="P2205" t="s">
        <v>36</v>
      </c>
    </row>
    <row r="2206" spans="1:16">
      <c r="A2206">
        <v>2205</v>
      </c>
      <c r="B2206" t="s">
        <v>2267</v>
      </c>
      <c r="C2206">
        <v>73</v>
      </c>
      <c r="D2206">
        <v>46</v>
      </c>
      <c r="E2206">
        <v>52.624101035542402</v>
      </c>
      <c r="F2206">
        <v>1.5862069503409699</v>
      </c>
      <c r="G2206">
        <v>2175</v>
      </c>
      <c r="H2206">
        <v>204.85281229019199</v>
      </c>
      <c r="I2206">
        <v>0.56408385326011001</v>
      </c>
      <c r="J2206">
        <v>0.65130627794778795</v>
      </c>
      <c r="K2206">
        <v>0.88775510204081598</v>
      </c>
      <c r="L2206" t="s">
        <v>188</v>
      </c>
      <c r="M2206" t="s">
        <v>34</v>
      </c>
      <c r="N2206" t="s">
        <v>35</v>
      </c>
      <c r="O2206">
        <v>0.77932413532870104</v>
      </c>
      <c r="P2206" t="s">
        <v>36</v>
      </c>
    </row>
    <row r="2207" spans="1:16">
      <c r="A2207">
        <v>2206</v>
      </c>
      <c r="B2207" t="s">
        <v>2268</v>
      </c>
      <c r="C2207">
        <v>59</v>
      </c>
      <c r="D2207">
        <v>69</v>
      </c>
      <c r="E2207">
        <v>52.764960829912702</v>
      </c>
      <c r="F2207">
        <v>0.85714285714285698</v>
      </c>
      <c r="G2207">
        <v>2186.65929981096</v>
      </c>
      <c r="H2207">
        <v>321.42697234651303</v>
      </c>
      <c r="I2207">
        <v>0.68641761253201905</v>
      </c>
      <c r="J2207">
        <v>0.26596614009657399</v>
      </c>
      <c r="K2207">
        <v>0.71518156628263096</v>
      </c>
      <c r="L2207" t="s">
        <v>288</v>
      </c>
      <c r="M2207" t="s">
        <v>34</v>
      </c>
      <c r="N2207" t="s">
        <v>35</v>
      </c>
      <c r="O2207">
        <v>0.64233178700530202</v>
      </c>
      <c r="P2207" t="s">
        <v>36</v>
      </c>
    </row>
    <row r="2208" spans="1:16">
      <c r="A2208">
        <v>2207</v>
      </c>
      <c r="B2208" t="s">
        <v>2269</v>
      </c>
      <c r="C2208">
        <v>93</v>
      </c>
      <c r="D2208">
        <v>78</v>
      </c>
      <c r="E2208">
        <v>52.806189763827597</v>
      </c>
      <c r="F2208">
        <v>1.1958041958042001</v>
      </c>
      <c r="G2208">
        <v>2190.0778128544398</v>
      </c>
      <c r="H2208">
        <v>587.48365706454194</v>
      </c>
      <c r="I2208">
        <v>0.52961184733940403</v>
      </c>
      <c r="J2208">
        <v>7.9740293557250097E-2</v>
      </c>
      <c r="K2208">
        <v>0.47141440317368899</v>
      </c>
      <c r="L2208" t="s">
        <v>33</v>
      </c>
      <c r="M2208" t="s">
        <v>34</v>
      </c>
      <c r="N2208" t="s">
        <v>35</v>
      </c>
      <c r="O2208">
        <v>0.66884012878023902</v>
      </c>
      <c r="P2208" t="s">
        <v>36</v>
      </c>
    </row>
    <row r="2209" spans="1:16">
      <c r="A2209">
        <v>2208</v>
      </c>
      <c r="B2209" t="s">
        <v>2270</v>
      </c>
      <c r="C2209">
        <v>65</v>
      </c>
      <c r="D2209">
        <v>52</v>
      </c>
      <c r="E2209">
        <v>52.886762110063898</v>
      </c>
      <c r="F2209">
        <v>1.2482609765425301</v>
      </c>
      <c r="G2209">
        <v>2196.76620793951</v>
      </c>
      <c r="H2209">
        <v>252.72958104216499</v>
      </c>
      <c r="I2209">
        <v>0.69578374966201895</v>
      </c>
      <c r="J2209">
        <v>0.43219680149100498</v>
      </c>
      <c r="K2209">
        <v>0.84182946972717398</v>
      </c>
      <c r="L2209" t="s">
        <v>33</v>
      </c>
      <c r="M2209" t="s">
        <v>34</v>
      </c>
      <c r="N2209" t="s">
        <v>35</v>
      </c>
      <c r="O2209">
        <v>0.74542058256690003</v>
      </c>
      <c r="P2209" t="s">
        <v>36</v>
      </c>
    </row>
    <row r="2210" spans="1:16">
      <c r="A2210">
        <v>2209</v>
      </c>
      <c r="B2210" t="s">
        <v>2271</v>
      </c>
      <c r="C2210">
        <v>60</v>
      </c>
      <c r="D2210">
        <v>48</v>
      </c>
      <c r="E2210">
        <v>52.911804038938399</v>
      </c>
      <c r="F2210">
        <v>1.26283811993041</v>
      </c>
      <c r="G2210">
        <v>2198.8470419659702</v>
      </c>
      <c r="H2210">
        <v>189.83973734130001</v>
      </c>
      <c r="I2210">
        <v>0.64148081556026004</v>
      </c>
      <c r="J2210">
        <v>0.76670913024860399</v>
      </c>
      <c r="K2210">
        <v>0.94518272425249195</v>
      </c>
      <c r="L2210" t="s">
        <v>49</v>
      </c>
      <c r="M2210" t="s">
        <v>34</v>
      </c>
      <c r="N2210" t="s">
        <v>35</v>
      </c>
      <c r="O2210">
        <v>0.77018832987585595</v>
      </c>
      <c r="P2210" t="s">
        <v>36</v>
      </c>
    </row>
    <row r="2211" spans="1:16">
      <c r="A2211">
        <v>2210</v>
      </c>
      <c r="B2211" t="s">
        <v>2272</v>
      </c>
      <c r="C2211">
        <v>63</v>
      </c>
      <c r="D2211">
        <v>98</v>
      </c>
      <c r="E2211">
        <v>52.926108392819302</v>
      </c>
      <c r="F2211">
        <v>0.64804469273743004</v>
      </c>
      <c r="G2211">
        <v>2200.0360899810998</v>
      </c>
      <c r="H2211">
        <v>640.70517484747802</v>
      </c>
      <c r="I2211">
        <v>0.59430211161906998</v>
      </c>
      <c r="J2211">
        <v>6.7347767781105197E-2</v>
      </c>
      <c r="K2211">
        <v>0.47448390819335801</v>
      </c>
      <c r="L2211" t="s">
        <v>38</v>
      </c>
      <c r="M2211" t="s">
        <v>34</v>
      </c>
      <c r="N2211" t="s">
        <v>35</v>
      </c>
      <c r="O2211">
        <v>0.73364578040267903</v>
      </c>
      <c r="P2211" t="s">
        <v>36</v>
      </c>
    </row>
    <row r="2212" spans="1:16">
      <c r="A2212">
        <v>2211</v>
      </c>
      <c r="B2212" t="s">
        <v>2273</v>
      </c>
      <c r="C2212">
        <v>55</v>
      </c>
      <c r="D2212">
        <v>58</v>
      </c>
      <c r="E2212">
        <v>53.1277459885684</v>
      </c>
      <c r="F2212">
        <v>0.934579439252336</v>
      </c>
      <c r="G2212">
        <v>2216.83139319471</v>
      </c>
      <c r="H2212">
        <v>254.96524780822801</v>
      </c>
      <c r="I2212">
        <v>0.77680345478981905</v>
      </c>
      <c r="J2212">
        <v>0.42852932639582098</v>
      </c>
      <c r="K2212">
        <v>0.86629494104663995</v>
      </c>
      <c r="L2212" t="s">
        <v>38</v>
      </c>
      <c r="M2212" t="s">
        <v>34</v>
      </c>
      <c r="N2212" t="s">
        <v>35</v>
      </c>
      <c r="O2212">
        <v>0.71936456008892802</v>
      </c>
      <c r="P2212" t="s">
        <v>36</v>
      </c>
    </row>
    <row r="2213" spans="1:16">
      <c r="A2213">
        <v>2212</v>
      </c>
      <c r="B2213" t="s">
        <v>2274</v>
      </c>
      <c r="C2213">
        <v>44</v>
      </c>
      <c r="D2213">
        <v>74</v>
      </c>
      <c r="E2213">
        <v>53.134869580178403</v>
      </c>
      <c r="F2213">
        <v>0.58929064493832695</v>
      </c>
      <c r="G2213">
        <v>2217.4259172022698</v>
      </c>
      <c r="H2213">
        <v>241.692941333211</v>
      </c>
      <c r="I2213">
        <v>0.79810158891230198</v>
      </c>
      <c r="J2213">
        <v>0.47701391637637403</v>
      </c>
      <c r="K2213">
        <v>0.87542541955169595</v>
      </c>
      <c r="L2213" t="s">
        <v>47</v>
      </c>
      <c r="M2213" t="s">
        <v>34</v>
      </c>
      <c r="N2213" t="s">
        <v>35</v>
      </c>
      <c r="O2213">
        <v>0.85841692661140001</v>
      </c>
      <c r="P2213" t="s">
        <v>36</v>
      </c>
    </row>
    <row r="2214" spans="1:16">
      <c r="A2214">
        <v>2213</v>
      </c>
      <c r="B2214" t="s">
        <v>2275</v>
      </c>
      <c r="C2214">
        <v>61</v>
      </c>
      <c r="D2214">
        <v>103</v>
      </c>
      <c r="E2214">
        <v>53.141992216883303</v>
      </c>
      <c r="F2214">
        <v>0.59736147594983102</v>
      </c>
      <c r="G2214">
        <v>2218.0204412098301</v>
      </c>
      <c r="H2214">
        <v>582.03148315149804</v>
      </c>
      <c r="I2214">
        <v>0.76827965139024201</v>
      </c>
      <c r="J2214">
        <v>8.2277758972517503E-2</v>
      </c>
      <c r="K2214">
        <v>0.42889578662987898</v>
      </c>
      <c r="L2214" t="s">
        <v>33</v>
      </c>
      <c r="M2214" t="s">
        <v>34</v>
      </c>
      <c r="N2214" t="s">
        <v>35</v>
      </c>
      <c r="O2214">
        <v>0.68007269528328196</v>
      </c>
      <c r="P2214" t="s">
        <v>36</v>
      </c>
    </row>
    <row r="2215" spans="1:16">
      <c r="A2215">
        <v>2214</v>
      </c>
      <c r="B2215" t="s">
        <v>2276</v>
      </c>
      <c r="C2215">
        <v>84</v>
      </c>
      <c r="D2215">
        <v>57</v>
      </c>
      <c r="E2215">
        <v>53.339265979748099</v>
      </c>
      <c r="F2215">
        <v>1.4714473670753501</v>
      </c>
      <c r="G2215">
        <v>2234.5184824196599</v>
      </c>
      <c r="H2215">
        <v>497.93571300776102</v>
      </c>
      <c r="I2215">
        <v>0.70500810277027903</v>
      </c>
      <c r="J2215">
        <v>0.113252360678404</v>
      </c>
      <c r="K2215">
        <v>0.60254098032143</v>
      </c>
      <c r="L2215" t="s">
        <v>38</v>
      </c>
      <c r="M2215" t="s">
        <v>34</v>
      </c>
      <c r="N2215" t="s">
        <v>35</v>
      </c>
      <c r="O2215">
        <v>0.73961751544715204</v>
      </c>
      <c r="P2215" t="s">
        <v>36</v>
      </c>
    </row>
    <row r="2216" spans="1:16">
      <c r="A2216">
        <v>2215</v>
      </c>
      <c r="B2216" t="s">
        <v>2277</v>
      </c>
      <c r="C2216">
        <v>47</v>
      </c>
      <c r="D2216">
        <v>63</v>
      </c>
      <c r="E2216">
        <v>53.374839403457898</v>
      </c>
      <c r="F2216">
        <v>0.75280893087265999</v>
      </c>
      <c r="G2216">
        <v>2237.5</v>
      </c>
      <c r="H2216">
        <v>203.63960921764399</v>
      </c>
      <c r="I2216">
        <v>0.694541081704524</v>
      </c>
      <c r="J2216">
        <v>0.67802920077885498</v>
      </c>
      <c r="K2216">
        <v>0.87317073170731696</v>
      </c>
      <c r="L2216" t="s">
        <v>38</v>
      </c>
      <c r="M2216" t="s">
        <v>34</v>
      </c>
      <c r="N2216" t="s">
        <v>35</v>
      </c>
      <c r="O2216">
        <v>0.82039122675702802</v>
      </c>
      <c r="P2216" t="s">
        <v>36</v>
      </c>
    </row>
    <row r="2217" spans="1:16">
      <c r="A2217">
        <v>2216</v>
      </c>
      <c r="B2217" t="s">
        <v>2278</v>
      </c>
      <c r="C2217">
        <v>73</v>
      </c>
      <c r="D2217">
        <v>44</v>
      </c>
      <c r="E2217">
        <v>53.390685877450103</v>
      </c>
      <c r="F2217">
        <v>1.6543209876543199</v>
      </c>
      <c r="G2217">
        <v>2238.8287814744799</v>
      </c>
      <c r="H2217">
        <v>401.348092443528</v>
      </c>
      <c r="I2217">
        <v>0.65181474097720704</v>
      </c>
      <c r="J2217">
        <v>0.17465794220782399</v>
      </c>
      <c r="K2217">
        <v>0.73245805981035705</v>
      </c>
      <c r="L2217" t="s">
        <v>33</v>
      </c>
      <c r="M2217" t="s">
        <v>34</v>
      </c>
      <c r="N2217" t="s">
        <v>35</v>
      </c>
      <c r="O2217">
        <v>0.68074971458097799</v>
      </c>
      <c r="P2217" t="s">
        <v>36</v>
      </c>
    </row>
    <row r="2218" spans="1:16">
      <c r="A2218">
        <v>2217</v>
      </c>
      <c r="B2218" t="s">
        <v>2279</v>
      </c>
      <c r="C2218">
        <v>53</v>
      </c>
      <c r="D2218">
        <v>73</v>
      </c>
      <c r="E2218">
        <v>53.466838150757603</v>
      </c>
      <c r="F2218">
        <v>0.72388059701492502</v>
      </c>
      <c r="G2218">
        <v>2245.2199145557702</v>
      </c>
      <c r="H2218">
        <v>448.63366374430501</v>
      </c>
      <c r="I2218">
        <v>0.73593226779419196</v>
      </c>
      <c r="J2218">
        <v>0.14017966996546199</v>
      </c>
      <c r="K2218">
        <v>0.68977168949771706</v>
      </c>
      <c r="L2218" t="s">
        <v>49</v>
      </c>
      <c r="M2218" t="s">
        <v>34</v>
      </c>
      <c r="N2218" t="s">
        <v>35</v>
      </c>
      <c r="O2218">
        <v>0.75592505412639399</v>
      </c>
      <c r="P2218" t="s">
        <v>36</v>
      </c>
    </row>
    <row r="2219" spans="1:16">
      <c r="A2219">
        <v>2218</v>
      </c>
      <c r="B2219" t="s">
        <v>2280</v>
      </c>
      <c r="C2219">
        <v>70</v>
      </c>
      <c r="D2219">
        <v>50</v>
      </c>
      <c r="E2219">
        <v>53.672194570031401</v>
      </c>
      <c r="F2219">
        <v>1.4</v>
      </c>
      <c r="G2219">
        <v>2262.5</v>
      </c>
      <c r="H2219">
        <v>234.35028612613701</v>
      </c>
      <c r="I2219">
        <v>0.77758249413373304</v>
      </c>
      <c r="J2219">
        <v>0.517687258012688</v>
      </c>
      <c r="K2219">
        <v>0.84186046511627899</v>
      </c>
      <c r="L2219" t="s">
        <v>33</v>
      </c>
      <c r="M2219" t="s">
        <v>34</v>
      </c>
      <c r="N2219" t="s">
        <v>35</v>
      </c>
      <c r="O2219">
        <v>0.77148714561408704</v>
      </c>
      <c r="P2219" t="s">
        <v>36</v>
      </c>
    </row>
    <row r="2220" spans="1:16">
      <c r="A2220">
        <v>2219</v>
      </c>
      <c r="B2220" t="s">
        <v>2281</v>
      </c>
      <c r="C2220">
        <v>53</v>
      </c>
      <c r="D2220">
        <v>63</v>
      </c>
      <c r="E2220">
        <v>53.703457303133497</v>
      </c>
      <c r="F2220">
        <v>0.84482758620689702</v>
      </c>
      <c r="G2220">
        <v>2265.1364688090698</v>
      </c>
      <c r="H2220">
        <v>311.00639708954401</v>
      </c>
      <c r="I2220">
        <v>0.66082566342885096</v>
      </c>
      <c r="J2220">
        <v>0.29428328281306798</v>
      </c>
      <c r="K2220">
        <v>0.78097775955724102</v>
      </c>
      <c r="L2220" t="s">
        <v>38</v>
      </c>
      <c r="M2220" t="s">
        <v>34</v>
      </c>
      <c r="N2220" t="s">
        <v>35</v>
      </c>
      <c r="O2220">
        <v>0.74018865216617402</v>
      </c>
      <c r="P2220" t="s">
        <v>36</v>
      </c>
    </row>
    <row r="2221" spans="1:16">
      <c r="A2221">
        <v>2220</v>
      </c>
      <c r="B2221" t="s">
        <v>2282</v>
      </c>
      <c r="C2221">
        <v>83</v>
      </c>
      <c r="D2221">
        <v>39</v>
      </c>
      <c r="E2221">
        <v>53.708742816388998</v>
      </c>
      <c r="F2221">
        <v>2.1408450704225399</v>
      </c>
      <c r="G2221">
        <v>2265.5823618147501</v>
      </c>
      <c r="H2221">
        <v>318.58464336695903</v>
      </c>
      <c r="I2221">
        <v>0.88916058551369204</v>
      </c>
      <c r="J2221">
        <v>0.28050463595238001</v>
      </c>
      <c r="K2221">
        <v>0.789547290997617</v>
      </c>
      <c r="L2221" t="s">
        <v>38</v>
      </c>
      <c r="M2221" t="s">
        <v>34</v>
      </c>
      <c r="N2221" t="s">
        <v>35</v>
      </c>
      <c r="O2221">
        <v>0.66455836545446101</v>
      </c>
      <c r="P2221" t="s">
        <v>36</v>
      </c>
    </row>
    <row r="2222" spans="1:16">
      <c r="A2222">
        <v>2221</v>
      </c>
      <c r="B2222" t="s">
        <v>2283</v>
      </c>
      <c r="C2222">
        <v>63</v>
      </c>
      <c r="D2222">
        <v>68</v>
      </c>
      <c r="E2222">
        <v>54.271318538652899</v>
      </c>
      <c r="F2222">
        <v>0.91769615131849502</v>
      </c>
      <c r="G2222">
        <v>2313.2929134215501</v>
      </c>
      <c r="H2222">
        <v>389.56309639972199</v>
      </c>
      <c r="I2222">
        <v>0.71148248419339999</v>
      </c>
      <c r="J2222">
        <v>0.19155119831560699</v>
      </c>
      <c r="K2222">
        <v>0.69756185012549299</v>
      </c>
      <c r="L2222" t="s">
        <v>43</v>
      </c>
      <c r="M2222" t="s">
        <v>34</v>
      </c>
      <c r="N2222" t="s">
        <v>35</v>
      </c>
      <c r="O2222">
        <v>0.75229005466016496</v>
      </c>
      <c r="P2222" t="s">
        <v>36</v>
      </c>
    </row>
    <row r="2223" spans="1:16">
      <c r="A2223">
        <v>2222</v>
      </c>
      <c r="B2223" t="s">
        <v>2284</v>
      </c>
      <c r="C2223">
        <v>78</v>
      </c>
      <c r="D2223">
        <v>64</v>
      </c>
      <c r="E2223">
        <v>54.273061999422097</v>
      </c>
      <c r="F2223">
        <v>1.2222222222222201</v>
      </c>
      <c r="G2223">
        <v>2313.4415444234401</v>
      </c>
      <c r="H2223">
        <v>470.20047311192002</v>
      </c>
      <c r="I2223">
        <v>0.74436129484591396</v>
      </c>
      <c r="J2223">
        <v>0.13149289006661899</v>
      </c>
      <c r="K2223">
        <v>0.59620025280576106</v>
      </c>
      <c r="L2223" t="s">
        <v>331</v>
      </c>
      <c r="M2223" t="s">
        <v>34</v>
      </c>
      <c r="N2223" t="s">
        <v>35</v>
      </c>
      <c r="O2223">
        <v>0.66786817187386804</v>
      </c>
      <c r="P2223" t="s">
        <v>36</v>
      </c>
    </row>
    <row r="2224" spans="1:16">
      <c r="A2224">
        <v>2223</v>
      </c>
      <c r="B2224" t="s">
        <v>2285</v>
      </c>
      <c r="C2224">
        <v>55</v>
      </c>
      <c r="D2224">
        <v>70</v>
      </c>
      <c r="E2224">
        <v>54.408473067246199</v>
      </c>
      <c r="F2224">
        <v>0.78571428571428603</v>
      </c>
      <c r="G2224">
        <v>2325</v>
      </c>
      <c r="H2224">
        <v>244.85281229019199</v>
      </c>
      <c r="I2224">
        <v>0.67481694161523098</v>
      </c>
      <c r="J2224">
        <v>0.48732941744609298</v>
      </c>
      <c r="K2224">
        <v>0.76543209876543195</v>
      </c>
      <c r="L2224" t="s">
        <v>33</v>
      </c>
      <c r="M2224" t="s">
        <v>34</v>
      </c>
      <c r="N2224" t="s">
        <v>35</v>
      </c>
      <c r="O2224">
        <v>0.76366560584929399</v>
      </c>
      <c r="P2224" t="s">
        <v>36</v>
      </c>
    </row>
    <row r="2225" spans="1:16">
      <c r="A2225">
        <v>2224</v>
      </c>
      <c r="B2225" t="s">
        <v>2286</v>
      </c>
      <c r="C2225">
        <v>71</v>
      </c>
      <c r="D2225">
        <v>63</v>
      </c>
      <c r="E2225">
        <v>54.421052017334702</v>
      </c>
      <c r="F2225">
        <v>1.13774115961856</v>
      </c>
      <c r="G2225">
        <v>2326.0751795841202</v>
      </c>
      <c r="H2225">
        <v>319.059013697583</v>
      </c>
      <c r="I2225">
        <v>0.64521092344589004</v>
      </c>
      <c r="J2225">
        <v>0.28713859733218999</v>
      </c>
      <c r="K2225">
        <v>0.73127423952151804</v>
      </c>
      <c r="L2225" t="s">
        <v>298</v>
      </c>
      <c r="M2225" t="s">
        <v>34</v>
      </c>
      <c r="N2225" t="s">
        <v>35</v>
      </c>
      <c r="O2225">
        <v>0.65783390196128699</v>
      </c>
      <c r="P2225" t="s">
        <v>36</v>
      </c>
    </row>
    <row r="2226" spans="1:16">
      <c r="A2226">
        <v>2225</v>
      </c>
      <c r="B2226" t="s">
        <v>2287</v>
      </c>
      <c r="C2226">
        <v>53</v>
      </c>
      <c r="D2226">
        <v>63</v>
      </c>
      <c r="E2226">
        <v>54.497500758451203</v>
      </c>
      <c r="F2226">
        <v>0.84482758620689702</v>
      </c>
      <c r="G2226">
        <v>2332.6149436672999</v>
      </c>
      <c r="H2226">
        <v>301.64415689551299</v>
      </c>
      <c r="I2226">
        <v>0.71447874500173802</v>
      </c>
      <c r="J2226">
        <v>0.322153670147589</v>
      </c>
      <c r="K2226">
        <v>0.832705470366637</v>
      </c>
      <c r="L2226" t="s">
        <v>49</v>
      </c>
      <c r="M2226" t="s">
        <v>34</v>
      </c>
      <c r="N2226" t="s">
        <v>35</v>
      </c>
      <c r="O2226">
        <v>0.81420261452542297</v>
      </c>
      <c r="P2226" t="s">
        <v>36</v>
      </c>
    </row>
    <row r="2227" spans="1:16">
      <c r="A2227">
        <v>2226</v>
      </c>
      <c r="B2227" t="s">
        <v>2288</v>
      </c>
      <c r="C2227">
        <v>83</v>
      </c>
      <c r="D2227">
        <v>53</v>
      </c>
      <c r="E2227">
        <v>54.549563472064499</v>
      </c>
      <c r="F2227">
        <v>1.56122448979592</v>
      </c>
      <c r="G2227">
        <v>2337.0738737240099</v>
      </c>
      <c r="H2227">
        <v>427.83790819271798</v>
      </c>
      <c r="I2227">
        <v>0.70875590330056004</v>
      </c>
      <c r="J2227">
        <v>0.16044411056320201</v>
      </c>
      <c r="K2227">
        <v>0.63095381405240603</v>
      </c>
      <c r="L2227" t="s">
        <v>38</v>
      </c>
      <c r="M2227" t="s">
        <v>34</v>
      </c>
      <c r="N2227" t="s">
        <v>35</v>
      </c>
      <c r="O2227">
        <v>0.71789525653627995</v>
      </c>
      <c r="P2227" t="s">
        <v>36</v>
      </c>
    </row>
    <row r="2228" spans="1:16">
      <c r="A2228">
        <v>2227</v>
      </c>
      <c r="B2228" t="s">
        <v>2289</v>
      </c>
      <c r="C2228">
        <v>41</v>
      </c>
      <c r="D2228">
        <v>96</v>
      </c>
      <c r="E2228">
        <v>54.6570025969407</v>
      </c>
      <c r="F2228">
        <v>0.42624094292416798</v>
      </c>
      <c r="G2228">
        <v>2346.2889958412102</v>
      </c>
      <c r="H2228">
        <v>402.46122470731302</v>
      </c>
      <c r="I2228">
        <v>0.62276815778310102</v>
      </c>
      <c r="J2228">
        <v>0.18203012985643999</v>
      </c>
      <c r="K2228">
        <v>0.703006012024048</v>
      </c>
      <c r="L2228" t="s">
        <v>211</v>
      </c>
      <c r="M2228" t="s">
        <v>34</v>
      </c>
      <c r="N2228" t="s">
        <v>35</v>
      </c>
      <c r="O2228">
        <v>0.63202841180476299</v>
      </c>
      <c r="P2228" t="s">
        <v>36</v>
      </c>
    </row>
    <row r="2229" spans="1:16">
      <c r="A2229">
        <v>2228</v>
      </c>
      <c r="B2229" t="s">
        <v>2290</v>
      </c>
      <c r="C2229">
        <v>71</v>
      </c>
      <c r="D2229">
        <v>64</v>
      </c>
      <c r="E2229">
        <v>54.700209598571298</v>
      </c>
      <c r="F2229">
        <v>1.1111112443159801</v>
      </c>
      <c r="G2229">
        <v>2350</v>
      </c>
      <c r="H2229">
        <v>265.56348919868498</v>
      </c>
      <c r="I2229">
        <v>0.62229348533404505</v>
      </c>
      <c r="J2229">
        <v>0.41873666904509199</v>
      </c>
      <c r="K2229">
        <v>0.73725490196078403</v>
      </c>
      <c r="L2229" t="s">
        <v>38</v>
      </c>
      <c r="M2229" t="s">
        <v>34</v>
      </c>
      <c r="N2229" t="s">
        <v>35</v>
      </c>
      <c r="O2229">
        <v>0.83302055599979197</v>
      </c>
      <c r="P2229" t="s">
        <v>36</v>
      </c>
    </row>
    <row r="2230" spans="1:16">
      <c r="A2230">
        <v>2229</v>
      </c>
      <c r="B2230" t="s">
        <v>2291</v>
      </c>
      <c r="C2230">
        <v>93</v>
      </c>
      <c r="D2230">
        <v>58</v>
      </c>
      <c r="E2230">
        <v>54.759047308765602</v>
      </c>
      <c r="F2230">
        <v>1.5887850467289699</v>
      </c>
      <c r="G2230">
        <v>2355.0582249527401</v>
      </c>
      <c r="H2230">
        <v>502.61683310477599</v>
      </c>
      <c r="I2230">
        <v>0.604375409688927</v>
      </c>
      <c r="J2230">
        <v>0.117148694712</v>
      </c>
      <c r="K2230">
        <v>0.55657030454178202</v>
      </c>
      <c r="L2230" t="s">
        <v>33</v>
      </c>
      <c r="M2230" t="s">
        <v>34</v>
      </c>
      <c r="N2230" t="s">
        <v>35</v>
      </c>
      <c r="O2230">
        <v>0.62817225968044299</v>
      </c>
      <c r="P2230" t="s">
        <v>36</v>
      </c>
    </row>
    <row r="2231" spans="1:16">
      <c r="A2231">
        <v>2230</v>
      </c>
      <c r="B2231" t="s">
        <v>2292</v>
      </c>
      <c r="C2231">
        <v>83</v>
      </c>
      <c r="D2231">
        <v>53</v>
      </c>
      <c r="E2231">
        <v>55.096686511286599</v>
      </c>
      <c r="F2231">
        <v>1.5670103092783501</v>
      </c>
      <c r="G2231">
        <v>2384.1899013232501</v>
      </c>
      <c r="H2231">
        <v>461.77367833645502</v>
      </c>
      <c r="I2231">
        <v>0.789245562387343</v>
      </c>
      <c r="J2231">
        <v>0.14050518793719699</v>
      </c>
      <c r="K2231">
        <v>0.623750826301668</v>
      </c>
      <c r="L2231" t="s">
        <v>33</v>
      </c>
      <c r="M2231" t="s">
        <v>34</v>
      </c>
      <c r="N2231" t="s">
        <v>35</v>
      </c>
      <c r="O2231">
        <v>0.70420122936921603</v>
      </c>
      <c r="P2231" t="s">
        <v>36</v>
      </c>
    </row>
    <row r="2232" spans="1:16">
      <c r="A2232">
        <v>2231</v>
      </c>
      <c r="B2232" t="s">
        <v>2293</v>
      </c>
      <c r="C2232">
        <v>64</v>
      </c>
      <c r="D2232">
        <v>74</v>
      </c>
      <c r="E2232">
        <v>55.119007808761701</v>
      </c>
      <c r="F2232">
        <v>0.86666666666666703</v>
      </c>
      <c r="G2232">
        <v>2386.1221043478299</v>
      </c>
      <c r="H2232">
        <v>536.63009793053504</v>
      </c>
      <c r="I2232">
        <v>0.66462879487445103</v>
      </c>
      <c r="J2232">
        <v>0.104124390784526</v>
      </c>
      <c r="K2232">
        <v>0.61936728395061702</v>
      </c>
      <c r="L2232" t="s">
        <v>47</v>
      </c>
      <c r="M2232" t="s">
        <v>34</v>
      </c>
      <c r="N2232" t="s">
        <v>35</v>
      </c>
      <c r="O2232">
        <v>0.94972094691797004</v>
      </c>
      <c r="P2232" t="s">
        <v>36</v>
      </c>
    </row>
    <row r="2233" spans="1:16">
      <c r="A2233">
        <v>2232</v>
      </c>
      <c r="B2233" t="s">
        <v>2294</v>
      </c>
      <c r="C2233">
        <v>58</v>
      </c>
      <c r="D2233">
        <v>96</v>
      </c>
      <c r="E2233">
        <v>55.428855131095702</v>
      </c>
      <c r="F2233">
        <v>0.60070668968787999</v>
      </c>
      <c r="G2233">
        <v>2413.0243156899801</v>
      </c>
      <c r="H2233">
        <v>416.95625784780702</v>
      </c>
      <c r="I2233">
        <v>0.71253484038798398</v>
      </c>
      <c r="J2233">
        <v>0.17441770579598501</v>
      </c>
      <c r="K2233">
        <v>0.57924218638504399</v>
      </c>
      <c r="L2233" t="s">
        <v>38</v>
      </c>
      <c r="M2233" t="s">
        <v>34</v>
      </c>
      <c r="N2233" t="s">
        <v>35</v>
      </c>
      <c r="O2233">
        <v>0.75166088083674498</v>
      </c>
      <c r="P2233" t="s">
        <v>36</v>
      </c>
    </row>
    <row r="2234" spans="1:16">
      <c r="A2234">
        <v>2233</v>
      </c>
      <c r="B2234" t="s">
        <v>2295</v>
      </c>
      <c r="C2234">
        <v>64</v>
      </c>
      <c r="D2234">
        <v>71</v>
      </c>
      <c r="E2234">
        <v>55.566229816164103</v>
      </c>
      <c r="F2234">
        <v>0.89999989210406806</v>
      </c>
      <c r="G2234">
        <v>2425</v>
      </c>
      <c r="H2234">
        <v>277.27921843528702</v>
      </c>
      <c r="I2234">
        <v>0.69813640456552095</v>
      </c>
      <c r="J2234">
        <v>0.39635739416898103</v>
      </c>
      <c r="K2234">
        <v>0.718518518518519</v>
      </c>
      <c r="L2234" t="s">
        <v>38</v>
      </c>
      <c r="M2234" t="s">
        <v>34</v>
      </c>
      <c r="N2234" t="s">
        <v>35</v>
      </c>
      <c r="O2234">
        <v>0.721244614174124</v>
      </c>
      <c r="P2234" t="s">
        <v>36</v>
      </c>
    </row>
    <row r="2235" spans="1:16">
      <c r="A2235">
        <v>2234</v>
      </c>
      <c r="B2235" t="s">
        <v>2296</v>
      </c>
      <c r="C2235">
        <v>80</v>
      </c>
      <c r="D2235">
        <v>46</v>
      </c>
      <c r="E2235">
        <v>55.743770162614297</v>
      </c>
      <c r="F2235">
        <v>1.72319368392322</v>
      </c>
      <c r="G2235">
        <v>2440.5210510397001</v>
      </c>
      <c r="H2235">
        <v>269.19569718298698</v>
      </c>
      <c r="I2235">
        <v>0.72804319536534601</v>
      </c>
      <c r="J2235">
        <v>0.42321026634556802</v>
      </c>
      <c r="K2235">
        <v>0.83080348107670499</v>
      </c>
      <c r="L2235" t="s">
        <v>33</v>
      </c>
      <c r="M2235" t="s">
        <v>34</v>
      </c>
      <c r="N2235" t="s">
        <v>35</v>
      </c>
      <c r="O2235">
        <v>0.73695129547775096</v>
      </c>
      <c r="P2235" t="s">
        <v>36</v>
      </c>
    </row>
    <row r="2236" spans="1:16">
      <c r="A2236">
        <v>2235</v>
      </c>
      <c r="B2236" t="s">
        <v>2297</v>
      </c>
      <c r="C2236">
        <v>62</v>
      </c>
      <c r="D2236">
        <v>62</v>
      </c>
      <c r="E2236">
        <v>55.760741930449299</v>
      </c>
      <c r="F2236">
        <v>0.98892304136183096</v>
      </c>
      <c r="G2236">
        <v>2442.0073610586001</v>
      </c>
      <c r="H2236">
        <v>262.91767225307001</v>
      </c>
      <c r="I2236">
        <v>0.78840614664206998</v>
      </c>
      <c r="J2236">
        <v>0.44393284240413899</v>
      </c>
      <c r="K2236">
        <v>0.84512113574404601</v>
      </c>
      <c r="L2236" t="s">
        <v>74</v>
      </c>
      <c r="M2236" t="s">
        <v>34</v>
      </c>
      <c r="N2236" t="s">
        <v>35</v>
      </c>
      <c r="O2236">
        <v>0.72278169710918805</v>
      </c>
      <c r="P2236" t="s">
        <v>36</v>
      </c>
    </row>
    <row r="2237" spans="1:16">
      <c r="A2237">
        <v>2236</v>
      </c>
      <c r="B2237" t="s">
        <v>2298</v>
      </c>
      <c r="C2237">
        <v>80</v>
      </c>
      <c r="D2237">
        <v>58</v>
      </c>
      <c r="E2237">
        <v>55.851919256200603</v>
      </c>
      <c r="F2237">
        <v>1.3846153341424701</v>
      </c>
      <c r="G2237">
        <v>2450</v>
      </c>
      <c r="H2237">
        <v>342.13203072547901</v>
      </c>
      <c r="I2237">
        <v>0.52057680988459498</v>
      </c>
      <c r="J2237">
        <v>0.26301982113209199</v>
      </c>
      <c r="K2237">
        <v>0.62222222222222201</v>
      </c>
      <c r="L2237" t="s">
        <v>101</v>
      </c>
      <c r="M2237" t="s">
        <v>34</v>
      </c>
      <c r="N2237" t="s">
        <v>35</v>
      </c>
      <c r="O2237">
        <v>0.65780658450670004</v>
      </c>
      <c r="P2237" t="s">
        <v>36</v>
      </c>
    </row>
    <row r="2238" spans="1:16">
      <c r="A2238">
        <v>2237</v>
      </c>
      <c r="B2238" t="s">
        <v>2299</v>
      </c>
      <c r="C2238">
        <v>88</v>
      </c>
      <c r="D2238">
        <v>52</v>
      </c>
      <c r="E2238">
        <v>56.041722465660499</v>
      </c>
      <c r="F2238">
        <v>1.6797258210660899</v>
      </c>
      <c r="G2238">
        <v>2466.6801073724</v>
      </c>
      <c r="H2238">
        <v>368.84483553015701</v>
      </c>
      <c r="I2238">
        <v>0.77171609815631403</v>
      </c>
      <c r="J2238">
        <v>0.227842785542648</v>
      </c>
      <c r="K2238">
        <v>0.69611174027935097</v>
      </c>
      <c r="L2238" t="s">
        <v>47</v>
      </c>
      <c r="M2238" t="s">
        <v>34</v>
      </c>
      <c r="N2238" t="s">
        <v>35</v>
      </c>
      <c r="O2238">
        <v>0.78625982671919503</v>
      </c>
      <c r="P2238" t="s">
        <v>36</v>
      </c>
    </row>
    <row r="2239" spans="1:16">
      <c r="A2239">
        <v>2238</v>
      </c>
      <c r="B2239" t="s">
        <v>2300</v>
      </c>
      <c r="C2239">
        <v>58</v>
      </c>
      <c r="D2239">
        <v>68</v>
      </c>
      <c r="E2239">
        <v>56.063667505947798</v>
      </c>
      <c r="F2239">
        <v>0.84425848984758201</v>
      </c>
      <c r="G2239">
        <v>2468.6123103969799</v>
      </c>
      <c r="H2239">
        <v>283.58113592178898</v>
      </c>
      <c r="I2239">
        <v>0.76405263631550902</v>
      </c>
      <c r="J2239">
        <v>0.38575190441340101</v>
      </c>
      <c r="K2239">
        <v>0.77387941477960998</v>
      </c>
      <c r="L2239" t="s">
        <v>38</v>
      </c>
      <c r="M2239" t="s">
        <v>34</v>
      </c>
      <c r="N2239" t="s">
        <v>35</v>
      </c>
      <c r="O2239">
        <v>0.75915909114414104</v>
      </c>
      <c r="P2239" t="s">
        <v>36</v>
      </c>
    </row>
    <row r="2240" spans="1:16">
      <c r="A2240">
        <v>2239</v>
      </c>
      <c r="B2240" t="s">
        <v>2301</v>
      </c>
      <c r="C2240">
        <v>88</v>
      </c>
      <c r="D2240">
        <v>88</v>
      </c>
      <c r="E2240">
        <v>56.094038772963302</v>
      </c>
      <c r="F2240">
        <v>1.00621118012422</v>
      </c>
      <c r="G2240">
        <v>2471.2876684309999</v>
      </c>
      <c r="H2240">
        <v>540.36247736630196</v>
      </c>
      <c r="I2240">
        <v>0.47868952215624599</v>
      </c>
      <c r="J2240">
        <v>0.106356196539586</v>
      </c>
      <c r="K2240">
        <v>0.428497796562122</v>
      </c>
      <c r="L2240" t="s">
        <v>38</v>
      </c>
      <c r="M2240" t="s">
        <v>34</v>
      </c>
      <c r="N2240" t="s">
        <v>35</v>
      </c>
      <c r="O2240">
        <v>0.75086739254333901</v>
      </c>
      <c r="P2240" t="s">
        <v>36</v>
      </c>
    </row>
    <row r="2241" spans="1:16">
      <c r="A2241">
        <v>2240</v>
      </c>
      <c r="B2241" t="s">
        <v>2302</v>
      </c>
      <c r="C2241">
        <v>88</v>
      </c>
      <c r="D2241">
        <v>49</v>
      </c>
      <c r="E2241">
        <v>56.178317252492803</v>
      </c>
      <c r="F2241">
        <v>1.80898876404494</v>
      </c>
      <c r="G2241">
        <v>2478.7192185255199</v>
      </c>
      <c r="H2241">
        <v>503.36518943962801</v>
      </c>
      <c r="I2241">
        <v>0.71431238685885801</v>
      </c>
      <c r="J2241">
        <v>0.122933668415505</v>
      </c>
      <c r="K2241">
        <v>0.65471890703517599</v>
      </c>
      <c r="L2241" t="s">
        <v>298</v>
      </c>
      <c r="M2241" t="s">
        <v>34</v>
      </c>
      <c r="N2241" t="s">
        <v>35</v>
      </c>
      <c r="O2241">
        <v>0.79035753172803502</v>
      </c>
      <c r="P2241" t="s">
        <v>36</v>
      </c>
    </row>
    <row r="2242" spans="1:16">
      <c r="A2242">
        <v>2241</v>
      </c>
      <c r="B2242" t="s">
        <v>2303</v>
      </c>
      <c r="C2242">
        <v>66</v>
      </c>
      <c r="D2242">
        <v>78</v>
      </c>
      <c r="E2242">
        <v>56.193473955116502</v>
      </c>
      <c r="F2242">
        <v>0.853011443136656</v>
      </c>
      <c r="G2242">
        <v>2480.0568975425299</v>
      </c>
      <c r="H2242">
        <v>455.33126180400001</v>
      </c>
      <c r="I2242">
        <v>0.70898963676319704</v>
      </c>
      <c r="J2242">
        <v>0.150319932108367</v>
      </c>
      <c r="K2242">
        <v>0.62745835370210201</v>
      </c>
      <c r="L2242" t="s">
        <v>49</v>
      </c>
      <c r="M2242" t="s">
        <v>34</v>
      </c>
      <c r="N2242" t="s">
        <v>35</v>
      </c>
      <c r="O2242">
        <v>0.69617630184821</v>
      </c>
      <c r="P2242" t="s">
        <v>36</v>
      </c>
    </row>
    <row r="2243" spans="1:16">
      <c r="A2243">
        <v>2242</v>
      </c>
      <c r="B2243" t="s">
        <v>2304</v>
      </c>
      <c r="C2243">
        <v>73</v>
      </c>
      <c r="D2243">
        <v>73</v>
      </c>
      <c r="E2243">
        <v>56.311220160701403</v>
      </c>
      <c r="F2243">
        <v>0.99253731173325999</v>
      </c>
      <c r="G2243">
        <v>2490.4610676748598</v>
      </c>
      <c r="H2243">
        <v>569.45273581048696</v>
      </c>
      <c r="I2243">
        <v>0.72569411652998195</v>
      </c>
      <c r="J2243">
        <v>9.6510430634995703E-2</v>
      </c>
      <c r="K2243">
        <v>0.56989320454390902</v>
      </c>
      <c r="L2243" t="s">
        <v>33</v>
      </c>
      <c r="M2243" t="s">
        <v>34</v>
      </c>
      <c r="N2243" t="s">
        <v>35</v>
      </c>
      <c r="O2243">
        <v>0.65737436063235299</v>
      </c>
      <c r="P2243" t="s">
        <v>36</v>
      </c>
    </row>
    <row r="2244" spans="1:16">
      <c r="A2244">
        <v>2243</v>
      </c>
      <c r="B2244" t="s">
        <v>2305</v>
      </c>
      <c r="C2244">
        <v>49</v>
      </c>
      <c r="D2244">
        <v>73</v>
      </c>
      <c r="E2244">
        <v>56.331380512261099</v>
      </c>
      <c r="F2244">
        <v>0.66417910447761197</v>
      </c>
      <c r="G2244">
        <v>2492.2446396975402</v>
      </c>
      <c r="H2244">
        <v>359.77927882153102</v>
      </c>
      <c r="I2244">
        <v>0.67533142736080998</v>
      </c>
      <c r="J2244">
        <v>0.24195145648437399</v>
      </c>
      <c r="K2244">
        <v>0.76142039778403403</v>
      </c>
      <c r="L2244" t="s">
        <v>38</v>
      </c>
      <c r="M2244" t="s">
        <v>34</v>
      </c>
      <c r="N2244" t="s">
        <v>35</v>
      </c>
      <c r="O2244">
        <v>0.77713076708074202</v>
      </c>
      <c r="P2244" t="s">
        <v>36</v>
      </c>
    </row>
    <row r="2245" spans="1:16">
      <c r="A2245">
        <v>2244</v>
      </c>
      <c r="B2245" t="s">
        <v>2306</v>
      </c>
      <c r="C2245">
        <v>80</v>
      </c>
      <c r="D2245">
        <v>75</v>
      </c>
      <c r="E2245">
        <v>56.351533651244303</v>
      </c>
      <c r="F2245">
        <v>1.07177701903253</v>
      </c>
      <c r="G2245">
        <v>2494.02821172023</v>
      </c>
      <c r="H2245">
        <v>502.85871938933502</v>
      </c>
      <c r="I2245">
        <v>0.62398370848043305</v>
      </c>
      <c r="J2245">
        <v>0.123942215703569</v>
      </c>
      <c r="K2245">
        <v>0.54027947710734803</v>
      </c>
      <c r="L2245" t="s">
        <v>38</v>
      </c>
      <c r="M2245" t="s">
        <v>34</v>
      </c>
      <c r="N2245" t="s">
        <v>35</v>
      </c>
      <c r="O2245">
        <v>0.78613968605283002</v>
      </c>
      <c r="P2245" t="s">
        <v>36</v>
      </c>
    </row>
    <row r="2246" spans="1:16">
      <c r="A2246">
        <v>2245</v>
      </c>
      <c r="B2246" t="s">
        <v>2307</v>
      </c>
      <c r="C2246">
        <v>80</v>
      </c>
      <c r="D2246">
        <v>46</v>
      </c>
      <c r="E2246">
        <v>56.550996863713898</v>
      </c>
      <c r="F2246">
        <v>1.7447726976442</v>
      </c>
      <c r="G2246">
        <v>2511.7153009451799</v>
      </c>
      <c r="H2246">
        <v>269.96124176471102</v>
      </c>
      <c r="I2246">
        <v>0.54376164683633499</v>
      </c>
      <c r="J2246">
        <v>0.43308928694304899</v>
      </c>
      <c r="K2246">
        <v>0.80949415596857599</v>
      </c>
      <c r="L2246" t="s">
        <v>47</v>
      </c>
      <c r="M2246" t="s">
        <v>34</v>
      </c>
      <c r="N2246" t="s">
        <v>35</v>
      </c>
      <c r="O2246">
        <v>0.93303653041270895</v>
      </c>
      <c r="P2246" t="s">
        <v>36</v>
      </c>
    </row>
    <row r="2247" spans="1:16">
      <c r="A2247">
        <v>2246</v>
      </c>
      <c r="B2247" t="s">
        <v>2308</v>
      </c>
      <c r="C2247">
        <v>98</v>
      </c>
      <c r="D2247">
        <v>51</v>
      </c>
      <c r="E2247">
        <v>56.6780178229399</v>
      </c>
      <c r="F2247">
        <v>1.91729345693828</v>
      </c>
      <c r="G2247">
        <v>2523.01125708885</v>
      </c>
      <c r="H2247">
        <v>317.19201586464197</v>
      </c>
      <c r="I2247">
        <v>0.573794795213173</v>
      </c>
      <c r="J2247">
        <v>0.31512623318308702</v>
      </c>
      <c r="K2247">
        <v>0.70438607411095899</v>
      </c>
      <c r="L2247" t="s">
        <v>33</v>
      </c>
      <c r="M2247" t="s">
        <v>34</v>
      </c>
      <c r="N2247" t="s">
        <v>35</v>
      </c>
      <c r="O2247">
        <v>0.84495100805191603</v>
      </c>
      <c r="P2247" t="s">
        <v>36</v>
      </c>
    </row>
    <row r="2248" spans="1:16">
      <c r="A2248">
        <v>2247</v>
      </c>
      <c r="B2248" t="s">
        <v>2309</v>
      </c>
      <c r="C2248">
        <v>49</v>
      </c>
      <c r="D2248">
        <v>88</v>
      </c>
      <c r="E2248">
        <v>56.699716592209199</v>
      </c>
      <c r="F2248">
        <v>0.55900621118012395</v>
      </c>
      <c r="G2248">
        <v>2524.9434601134199</v>
      </c>
      <c r="H2248">
        <v>440.43935301490501</v>
      </c>
      <c r="I2248">
        <v>0.73544317207203203</v>
      </c>
      <c r="J2248">
        <v>0.16356459009681701</v>
      </c>
      <c r="K2248">
        <v>0.68386940944406405</v>
      </c>
      <c r="L2248" t="s">
        <v>33</v>
      </c>
      <c r="M2248" t="s">
        <v>34</v>
      </c>
      <c r="N2248" t="s">
        <v>35</v>
      </c>
      <c r="O2248">
        <v>0.70368415275316698</v>
      </c>
      <c r="P2248" t="s">
        <v>36</v>
      </c>
    </row>
    <row r="2249" spans="1:16">
      <c r="A2249">
        <v>2248</v>
      </c>
      <c r="B2249" t="s">
        <v>2310</v>
      </c>
      <c r="C2249">
        <v>60</v>
      </c>
      <c r="D2249">
        <v>74</v>
      </c>
      <c r="E2249">
        <v>56.700351413869399</v>
      </c>
      <c r="F2249">
        <v>0.80952381869863299</v>
      </c>
      <c r="G2249">
        <v>2525</v>
      </c>
      <c r="H2249">
        <v>265.56348919868498</v>
      </c>
      <c r="I2249">
        <v>0.65770918344753604</v>
      </c>
      <c r="J2249">
        <v>0.449919186952705</v>
      </c>
      <c r="K2249">
        <v>0.74814814814814801</v>
      </c>
      <c r="L2249" t="s">
        <v>331</v>
      </c>
      <c r="M2249" t="s">
        <v>34</v>
      </c>
      <c r="N2249" t="s">
        <v>35</v>
      </c>
      <c r="O2249">
        <v>0.68631015520432503</v>
      </c>
      <c r="P2249" t="s">
        <v>36</v>
      </c>
    </row>
    <row r="2250" spans="1:16">
      <c r="A2250">
        <v>2249</v>
      </c>
      <c r="B2250" t="s">
        <v>2311</v>
      </c>
      <c r="C2250">
        <v>50</v>
      </c>
      <c r="D2250">
        <v>85</v>
      </c>
      <c r="E2250">
        <v>56.700351413869399</v>
      </c>
      <c r="F2250">
        <v>0.58823529411764697</v>
      </c>
      <c r="G2250">
        <v>2525</v>
      </c>
      <c r="H2250">
        <v>251.421353816986</v>
      </c>
      <c r="I2250">
        <v>0.63235269574517505</v>
      </c>
      <c r="J2250">
        <v>0.50195747419810499</v>
      </c>
      <c r="K2250">
        <v>0.84166666666666701</v>
      </c>
      <c r="L2250" t="s">
        <v>33</v>
      </c>
      <c r="M2250" t="s">
        <v>34</v>
      </c>
      <c r="N2250" t="s">
        <v>35</v>
      </c>
      <c r="O2250">
        <v>0.82956234599186096</v>
      </c>
      <c r="P2250" t="s">
        <v>36</v>
      </c>
    </row>
    <row r="2251" spans="1:16">
      <c r="A2251">
        <v>2250</v>
      </c>
      <c r="B2251" t="s">
        <v>2312</v>
      </c>
      <c r="C2251">
        <v>54</v>
      </c>
      <c r="D2251">
        <v>103</v>
      </c>
      <c r="E2251">
        <v>56.761429226161297</v>
      </c>
      <c r="F2251">
        <v>0.52680114829804703</v>
      </c>
      <c r="G2251">
        <v>2530.4428071833599</v>
      </c>
      <c r="H2251">
        <v>640.35369416122899</v>
      </c>
      <c r="I2251">
        <v>0.73268273230202996</v>
      </c>
      <c r="J2251">
        <v>7.7547276777431007E-2</v>
      </c>
      <c r="K2251">
        <v>0.58215079500769396</v>
      </c>
      <c r="L2251" t="s">
        <v>38</v>
      </c>
      <c r="M2251" t="s">
        <v>34</v>
      </c>
      <c r="N2251" t="s">
        <v>35</v>
      </c>
      <c r="O2251">
        <v>0.77608361128163295</v>
      </c>
      <c r="P2251" t="s">
        <v>36</v>
      </c>
    </row>
    <row r="2252" spans="1:16">
      <c r="A2252">
        <v>2251</v>
      </c>
      <c r="B2252" t="s">
        <v>2313</v>
      </c>
      <c r="C2252">
        <v>63</v>
      </c>
      <c r="D2252">
        <v>88</v>
      </c>
      <c r="E2252">
        <v>56.809751724530102</v>
      </c>
      <c r="F2252">
        <v>0.72049689440993803</v>
      </c>
      <c r="G2252">
        <v>2534.75310623819</v>
      </c>
      <c r="H2252">
        <v>598.55239649316502</v>
      </c>
      <c r="I2252">
        <v>0.56425238359343799</v>
      </c>
      <c r="J2252">
        <v>8.8908069435492801E-2</v>
      </c>
      <c r="K2252">
        <v>0.57888662593346896</v>
      </c>
      <c r="L2252" t="s">
        <v>38</v>
      </c>
      <c r="M2252" t="s">
        <v>34</v>
      </c>
      <c r="N2252" t="s">
        <v>35</v>
      </c>
      <c r="O2252">
        <v>0.80303399129741804</v>
      </c>
      <c r="P2252" t="s">
        <v>36</v>
      </c>
    </row>
    <row r="2253" spans="1:16">
      <c r="A2253">
        <v>2252</v>
      </c>
      <c r="B2253" t="s">
        <v>2314</v>
      </c>
      <c r="C2253">
        <v>52</v>
      </c>
      <c r="D2253">
        <v>95</v>
      </c>
      <c r="E2253">
        <v>56.834729998834803</v>
      </c>
      <c r="F2253">
        <v>0.55060833687148902</v>
      </c>
      <c r="G2253">
        <v>2536.9825712665402</v>
      </c>
      <c r="H2253">
        <v>368.907418739381</v>
      </c>
      <c r="I2253">
        <v>0.78273519433296901</v>
      </c>
      <c r="J2253">
        <v>0.234256995961552</v>
      </c>
      <c r="K2253">
        <v>0.62089411079989798</v>
      </c>
      <c r="L2253" t="s">
        <v>47</v>
      </c>
      <c r="M2253" t="s">
        <v>34</v>
      </c>
      <c r="N2253" t="s">
        <v>35</v>
      </c>
      <c r="O2253">
        <v>0.92040600140393403</v>
      </c>
      <c r="P2253" t="s">
        <v>36</v>
      </c>
    </row>
    <row r="2254" spans="1:16">
      <c r="A2254">
        <v>2253</v>
      </c>
      <c r="B2254" t="s">
        <v>2315</v>
      </c>
      <c r="C2254">
        <v>55</v>
      </c>
      <c r="D2254">
        <v>112</v>
      </c>
      <c r="E2254">
        <v>56.887980328486101</v>
      </c>
      <c r="F2254">
        <v>0.49157485770548398</v>
      </c>
      <c r="G2254">
        <v>2541.73876332703</v>
      </c>
      <c r="H2254">
        <v>494.37712741302403</v>
      </c>
      <c r="I2254">
        <v>0.69760898688970696</v>
      </c>
      <c r="J2254">
        <v>0.13068448684710601</v>
      </c>
      <c r="K2254">
        <v>0.56463169016409698</v>
      </c>
      <c r="L2254" t="s">
        <v>33</v>
      </c>
      <c r="M2254" t="s">
        <v>34</v>
      </c>
      <c r="N2254" t="s">
        <v>35</v>
      </c>
      <c r="O2254">
        <v>0.73959039077195399</v>
      </c>
      <c r="P2254" t="s">
        <v>36</v>
      </c>
    </row>
    <row r="2255" spans="1:16">
      <c r="A2255">
        <v>2254</v>
      </c>
      <c r="B2255" t="s">
        <v>2316</v>
      </c>
      <c r="C2255">
        <v>59</v>
      </c>
      <c r="D2255">
        <v>59</v>
      </c>
      <c r="E2255">
        <v>56.9029480051504</v>
      </c>
      <c r="F2255">
        <v>1.0096605818028099</v>
      </c>
      <c r="G2255">
        <v>2543.0764423440501</v>
      </c>
      <c r="H2255">
        <v>206.00916999671799</v>
      </c>
      <c r="I2255">
        <v>0.70849661201277403</v>
      </c>
      <c r="J2255">
        <v>0.75300207703066702</v>
      </c>
      <c r="K2255">
        <v>0.95267260579064605</v>
      </c>
      <c r="L2255" t="s">
        <v>33</v>
      </c>
      <c r="M2255" t="s">
        <v>34</v>
      </c>
      <c r="N2255" t="s">
        <v>35</v>
      </c>
      <c r="O2255">
        <v>0.85836357035467103</v>
      </c>
      <c r="P2255" t="s">
        <v>36</v>
      </c>
    </row>
    <row r="2256" spans="1:16">
      <c r="A2256">
        <v>2255</v>
      </c>
      <c r="B2256" t="s">
        <v>2317</v>
      </c>
      <c r="C2256">
        <v>55</v>
      </c>
      <c r="D2256">
        <v>65</v>
      </c>
      <c r="E2256">
        <v>56.957795834809197</v>
      </c>
      <c r="F2256">
        <v>0.85311917550230398</v>
      </c>
      <c r="G2256">
        <v>2547.9812654064299</v>
      </c>
      <c r="H2256">
        <v>256.69444452399802</v>
      </c>
      <c r="I2256">
        <v>0.74625580529926205</v>
      </c>
      <c r="J2256">
        <v>0.48592937697087502</v>
      </c>
      <c r="K2256">
        <v>0.86716576458090999</v>
      </c>
      <c r="L2256" t="s">
        <v>38</v>
      </c>
      <c r="M2256" t="s">
        <v>34</v>
      </c>
      <c r="N2256" t="s">
        <v>35</v>
      </c>
      <c r="O2256">
        <v>0.71595744082577095</v>
      </c>
      <c r="P2256" t="s">
        <v>36</v>
      </c>
    </row>
    <row r="2257" spans="1:16">
      <c r="A2257">
        <v>2256</v>
      </c>
      <c r="B2257" t="s">
        <v>2318</v>
      </c>
      <c r="C2257">
        <v>68</v>
      </c>
      <c r="D2257">
        <v>83</v>
      </c>
      <c r="E2257">
        <v>56.957795834809197</v>
      </c>
      <c r="F2257">
        <v>0.82236842105263197</v>
      </c>
      <c r="G2257">
        <v>2547.9812654064299</v>
      </c>
      <c r="H2257">
        <v>691.94620739159404</v>
      </c>
      <c r="I2257">
        <v>0.70910181260564098</v>
      </c>
      <c r="J2257">
        <v>6.6874635499356697E-2</v>
      </c>
      <c r="K2257">
        <v>0.52437905297932197</v>
      </c>
      <c r="L2257" t="s">
        <v>61</v>
      </c>
      <c r="M2257" t="s">
        <v>34</v>
      </c>
      <c r="N2257" t="s">
        <v>35</v>
      </c>
      <c r="O2257">
        <v>0.73756788140847596</v>
      </c>
      <c r="P2257" t="s">
        <v>36</v>
      </c>
    </row>
    <row r="2258" spans="1:16">
      <c r="A2258">
        <v>2257</v>
      </c>
      <c r="B2258" t="s">
        <v>2319</v>
      </c>
      <c r="C2258">
        <v>53</v>
      </c>
      <c r="D2258">
        <v>83</v>
      </c>
      <c r="E2258">
        <v>57.112083600527001</v>
      </c>
      <c r="F2258">
        <v>0.63815789473684204</v>
      </c>
      <c r="G2258">
        <v>2561.8039485822301</v>
      </c>
      <c r="H2258">
        <v>485.97303011873498</v>
      </c>
      <c r="I2258">
        <v>0.745017743758427</v>
      </c>
      <c r="J2258">
        <v>0.13631116157607701</v>
      </c>
      <c r="K2258">
        <v>0.66312711603570296</v>
      </c>
      <c r="L2258" t="s">
        <v>47</v>
      </c>
      <c r="M2258" t="s">
        <v>34</v>
      </c>
      <c r="N2258" t="s">
        <v>35</v>
      </c>
      <c r="O2258">
        <v>0.86790692835809902</v>
      </c>
      <c r="P2258" t="s">
        <v>36</v>
      </c>
    </row>
    <row r="2259" spans="1:16">
      <c r="A2259">
        <v>2258</v>
      </c>
      <c r="B2259" t="s">
        <v>2320</v>
      </c>
      <c r="C2259">
        <v>74</v>
      </c>
      <c r="D2259">
        <v>58</v>
      </c>
      <c r="E2259">
        <v>57.122023339590001</v>
      </c>
      <c r="F2259">
        <v>1.26168224299065</v>
      </c>
      <c r="G2259">
        <v>2562.6957345935698</v>
      </c>
      <c r="H2259">
        <v>331.61506355741699</v>
      </c>
      <c r="I2259">
        <v>0.78097579729050404</v>
      </c>
      <c r="J2259">
        <v>0.292845402271732</v>
      </c>
      <c r="K2259">
        <v>0.77384318477626701</v>
      </c>
      <c r="L2259" t="s">
        <v>298</v>
      </c>
      <c r="M2259" t="s">
        <v>34</v>
      </c>
      <c r="N2259" t="s">
        <v>35</v>
      </c>
      <c r="O2259">
        <v>0.638013535903593</v>
      </c>
      <c r="P2259" t="s">
        <v>36</v>
      </c>
    </row>
    <row r="2260" spans="1:16">
      <c r="A2260">
        <v>2259</v>
      </c>
      <c r="B2260" t="s">
        <v>2321</v>
      </c>
      <c r="C2260">
        <v>73</v>
      </c>
      <c r="D2260">
        <v>58</v>
      </c>
      <c r="E2260">
        <v>57.128648871519701</v>
      </c>
      <c r="F2260">
        <v>1.2641509433962299</v>
      </c>
      <c r="G2260">
        <v>2563.2902586011301</v>
      </c>
      <c r="H2260">
        <v>413.47516693509101</v>
      </c>
      <c r="I2260">
        <v>0.68330034392608197</v>
      </c>
      <c r="J2260">
        <v>0.18841209935200601</v>
      </c>
      <c r="K2260">
        <v>0.70048740861088499</v>
      </c>
      <c r="L2260" t="s">
        <v>38</v>
      </c>
      <c r="M2260" t="s">
        <v>34</v>
      </c>
      <c r="N2260" t="s">
        <v>35</v>
      </c>
      <c r="O2260">
        <v>0.68586859302606196</v>
      </c>
      <c r="P2260" t="s">
        <v>36</v>
      </c>
    </row>
    <row r="2261" spans="1:16">
      <c r="A2261">
        <v>2260</v>
      </c>
      <c r="B2261" t="s">
        <v>2322</v>
      </c>
      <c r="C2261">
        <v>80</v>
      </c>
      <c r="D2261">
        <v>58</v>
      </c>
      <c r="E2261">
        <v>57.252735629609099</v>
      </c>
      <c r="F2261">
        <v>1.38656859145122</v>
      </c>
      <c r="G2261">
        <v>2574.4375837429102</v>
      </c>
      <c r="H2261">
        <v>341.00000123262402</v>
      </c>
      <c r="I2261">
        <v>0.74624805157555596</v>
      </c>
      <c r="J2261">
        <v>0.27821687607576301</v>
      </c>
      <c r="K2261">
        <v>0.75532007674864798</v>
      </c>
      <c r="L2261" t="s">
        <v>298</v>
      </c>
      <c r="M2261" t="s">
        <v>34</v>
      </c>
      <c r="N2261" t="s">
        <v>35</v>
      </c>
      <c r="O2261">
        <v>0.62933142426546795</v>
      </c>
      <c r="P2261" t="s">
        <v>36</v>
      </c>
    </row>
    <row r="2262" spans="1:16">
      <c r="A2262">
        <v>2261</v>
      </c>
      <c r="B2262" t="s">
        <v>2323</v>
      </c>
      <c r="C2262">
        <v>50</v>
      </c>
      <c r="D2262">
        <v>105</v>
      </c>
      <c r="E2262">
        <v>57.258989055807199</v>
      </c>
      <c r="F2262">
        <v>0.476190476190476</v>
      </c>
      <c r="G2262">
        <v>2575</v>
      </c>
      <c r="H2262">
        <v>420.416301488876</v>
      </c>
      <c r="I2262">
        <v>0.77450577494466299</v>
      </c>
      <c r="J2262">
        <v>0.18307456159483099</v>
      </c>
      <c r="K2262">
        <v>0.59710144927536202</v>
      </c>
      <c r="L2262" t="s">
        <v>33</v>
      </c>
      <c r="M2262" t="s">
        <v>34</v>
      </c>
      <c r="N2262" t="s">
        <v>35</v>
      </c>
      <c r="O2262">
        <v>0.71124685032005197</v>
      </c>
      <c r="P2262" t="s">
        <v>36</v>
      </c>
    </row>
    <row r="2263" spans="1:16">
      <c r="A2263">
        <v>2262</v>
      </c>
      <c r="B2263" t="s">
        <v>2324</v>
      </c>
      <c r="C2263">
        <v>83</v>
      </c>
      <c r="D2263">
        <v>69</v>
      </c>
      <c r="E2263">
        <v>57.605327106774801</v>
      </c>
      <c r="F2263">
        <v>1.2063492063492101</v>
      </c>
      <c r="G2263">
        <v>2606.2446181474502</v>
      </c>
      <c r="H2263">
        <v>583.15401765377601</v>
      </c>
      <c r="I2263">
        <v>0.65167523005197103</v>
      </c>
      <c r="J2263">
        <v>9.6307142098440393E-2</v>
      </c>
      <c r="K2263">
        <v>0.54360293889698397</v>
      </c>
      <c r="L2263" t="s">
        <v>33</v>
      </c>
      <c r="M2263" t="s">
        <v>34</v>
      </c>
      <c r="N2263" t="s">
        <v>35</v>
      </c>
      <c r="O2263">
        <v>0.71574006448504102</v>
      </c>
      <c r="P2263" t="s">
        <v>36</v>
      </c>
    </row>
    <row r="2264" spans="1:16">
      <c r="A2264">
        <v>2263</v>
      </c>
      <c r="B2264" t="s">
        <v>2325</v>
      </c>
      <c r="C2264">
        <v>104</v>
      </c>
      <c r="D2264">
        <v>46</v>
      </c>
      <c r="E2264">
        <v>57.621750578842402</v>
      </c>
      <c r="F2264">
        <v>2.2451798597713899</v>
      </c>
      <c r="G2264">
        <v>2607.7309281663502</v>
      </c>
      <c r="H2264">
        <v>485.124481620685</v>
      </c>
      <c r="I2264">
        <v>0.68450503098790705</v>
      </c>
      <c r="J2264">
        <v>0.13924071941813401</v>
      </c>
      <c r="K2264">
        <v>0.58378252478871395</v>
      </c>
      <c r="L2264" t="s">
        <v>288</v>
      </c>
      <c r="M2264" t="s">
        <v>34</v>
      </c>
      <c r="N2264" t="s">
        <v>35</v>
      </c>
      <c r="O2264">
        <v>0.72887379376946504</v>
      </c>
      <c r="P2264" t="s">
        <v>36</v>
      </c>
    </row>
    <row r="2265" spans="1:16">
      <c r="A2265">
        <v>2264</v>
      </c>
      <c r="B2265" t="s">
        <v>2326</v>
      </c>
      <c r="C2265">
        <v>73</v>
      </c>
      <c r="D2265">
        <v>68</v>
      </c>
      <c r="E2265">
        <v>57.644735578705301</v>
      </c>
      <c r="F2265">
        <v>1.0640000000000001</v>
      </c>
      <c r="G2265">
        <v>2609.81176219282</v>
      </c>
      <c r="H2265">
        <v>372.46762056423302</v>
      </c>
      <c r="I2265">
        <v>0.60023424853632601</v>
      </c>
      <c r="J2265">
        <v>0.236397020813016</v>
      </c>
      <c r="K2265">
        <v>0.66255376952682798</v>
      </c>
      <c r="L2265" t="s">
        <v>331</v>
      </c>
      <c r="M2265" t="s">
        <v>34</v>
      </c>
      <c r="N2265" t="s">
        <v>35</v>
      </c>
      <c r="O2265">
        <v>0.68625731048954997</v>
      </c>
      <c r="P2265" t="s">
        <v>36</v>
      </c>
    </row>
    <row r="2266" spans="1:16">
      <c r="A2266">
        <v>2265</v>
      </c>
      <c r="B2266" t="s">
        <v>2327</v>
      </c>
      <c r="C2266">
        <v>46</v>
      </c>
      <c r="D2266">
        <v>81</v>
      </c>
      <c r="E2266">
        <v>57.674274261442598</v>
      </c>
      <c r="F2266">
        <v>0.57045120533036198</v>
      </c>
      <c r="G2266">
        <v>2612.48712022684</v>
      </c>
      <c r="H2266">
        <v>281.32277167454998</v>
      </c>
      <c r="I2266">
        <v>0.80029708871444205</v>
      </c>
      <c r="J2266">
        <v>0.41481480374457702</v>
      </c>
      <c r="K2266">
        <v>0.86778573191804498</v>
      </c>
      <c r="L2266" t="s">
        <v>33</v>
      </c>
      <c r="M2266" t="s">
        <v>34</v>
      </c>
      <c r="N2266" t="s">
        <v>35</v>
      </c>
      <c r="O2266">
        <v>0.70657296872322894</v>
      </c>
      <c r="P2266" t="s">
        <v>36</v>
      </c>
    </row>
    <row r="2267" spans="1:16">
      <c r="A2267">
        <v>2266</v>
      </c>
      <c r="B2267" t="s">
        <v>2328</v>
      </c>
      <c r="C2267">
        <v>63</v>
      </c>
      <c r="D2267">
        <v>63</v>
      </c>
      <c r="E2267">
        <v>57.761161550393602</v>
      </c>
      <c r="F2267">
        <v>0.99137931034482796</v>
      </c>
      <c r="G2267">
        <v>2620.3645633270298</v>
      </c>
      <c r="H2267">
        <v>379.858777757935</v>
      </c>
      <c r="I2267">
        <v>0.72831635637264902</v>
      </c>
      <c r="J2267">
        <v>0.22820609977001</v>
      </c>
      <c r="K2267">
        <v>0.77074407624376995</v>
      </c>
      <c r="L2267" t="s">
        <v>38</v>
      </c>
      <c r="M2267" t="s">
        <v>34</v>
      </c>
      <c r="N2267" t="s">
        <v>35</v>
      </c>
      <c r="O2267">
        <v>0.82295116268703905</v>
      </c>
      <c r="P2267" t="s">
        <v>36</v>
      </c>
    </row>
    <row r="2268" spans="1:16">
      <c r="A2268">
        <v>2267</v>
      </c>
      <c r="B2268" t="s">
        <v>2329</v>
      </c>
      <c r="C2268">
        <v>73</v>
      </c>
      <c r="D2268">
        <v>63</v>
      </c>
      <c r="E2268">
        <v>57.8021007869106</v>
      </c>
      <c r="F2268">
        <v>1.1551724137931001</v>
      </c>
      <c r="G2268">
        <v>2624.08033837429</v>
      </c>
      <c r="H2268">
        <v>484.29863060381098</v>
      </c>
      <c r="I2268">
        <v>0.66000178844748503</v>
      </c>
      <c r="J2268">
        <v>0.14059196764950799</v>
      </c>
      <c r="K2268">
        <v>0.66630184549194205</v>
      </c>
      <c r="L2268" t="s">
        <v>188</v>
      </c>
      <c r="M2268" t="s">
        <v>34</v>
      </c>
      <c r="N2268" t="s">
        <v>35</v>
      </c>
      <c r="O2268">
        <v>0.83274001960671695</v>
      </c>
      <c r="P2268" t="s">
        <v>36</v>
      </c>
    </row>
    <row r="2269" spans="1:16">
      <c r="A2269">
        <v>2268</v>
      </c>
      <c r="B2269" t="s">
        <v>2330</v>
      </c>
      <c r="C2269">
        <v>65</v>
      </c>
      <c r="D2269">
        <v>85</v>
      </c>
      <c r="E2269">
        <v>57.812228852811103</v>
      </c>
      <c r="F2269">
        <v>0.76470588235294101</v>
      </c>
      <c r="G2269">
        <v>2625</v>
      </c>
      <c r="H2269">
        <v>433.84775996208202</v>
      </c>
      <c r="I2269">
        <v>0.66059217538402604</v>
      </c>
      <c r="J2269">
        <v>0.17525259318195699</v>
      </c>
      <c r="K2269">
        <v>0.59322033898305104</v>
      </c>
      <c r="L2269" t="s">
        <v>38</v>
      </c>
      <c r="M2269" t="s">
        <v>34</v>
      </c>
      <c r="N2269" t="s">
        <v>35</v>
      </c>
      <c r="O2269">
        <v>0.647344422999096</v>
      </c>
      <c r="P2269" t="s">
        <v>36</v>
      </c>
    </row>
    <row r="2270" spans="1:16">
      <c r="A2270">
        <v>2269</v>
      </c>
      <c r="B2270" t="s">
        <v>2331</v>
      </c>
      <c r="C2270">
        <v>63</v>
      </c>
      <c r="D2270">
        <v>93</v>
      </c>
      <c r="E2270">
        <v>57.875718436087602</v>
      </c>
      <c r="F2270">
        <v>0.67874929971864095</v>
      </c>
      <c r="G2270">
        <v>2630.7687334593602</v>
      </c>
      <c r="H2270">
        <v>486.05052480075699</v>
      </c>
      <c r="I2270">
        <v>0.83108898929218</v>
      </c>
      <c r="J2270">
        <v>0.13993607966410701</v>
      </c>
      <c r="K2270">
        <v>0.56585677749360597</v>
      </c>
      <c r="L2270" t="s">
        <v>33</v>
      </c>
      <c r="M2270" t="s">
        <v>34</v>
      </c>
      <c r="N2270" t="s">
        <v>35</v>
      </c>
      <c r="O2270">
        <v>0.71112802114150597</v>
      </c>
      <c r="P2270" t="s">
        <v>36</v>
      </c>
    </row>
    <row r="2271" spans="1:16">
      <c r="A2271">
        <v>2270</v>
      </c>
      <c r="B2271" t="s">
        <v>2332</v>
      </c>
      <c r="C2271">
        <v>59</v>
      </c>
      <c r="D2271">
        <v>97</v>
      </c>
      <c r="E2271">
        <v>57.981890026024701</v>
      </c>
      <c r="F2271">
        <v>0.60721874900975803</v>
      </c>
      <c r="G2271">
        <v>2640.4297485822299</v>
      </c>
      <c r="H2271">
        <v>423.79555002886298</v>
      </c>
      <c r="I2271">
        <v>0.81160419294465702</v>
      </c>
      <c r="J2271">
        <v>0.1847445760685</v>
      </c>
      <c r="K2271">
        <v>0.60811967274843404</v>
      </c>
      <c r="L2271" t="s">
        <v>38</v>
      </c>
      <c r="M2271" t="s">
        <v>34</v>
      </c>
      <c r="N2271" t="s">
        <v>35</v>
      </c>
      <c r="O2271">
        <v>0.85562934822370496</v>
      </c>
      <c r="P2271" t="s">
        <v>36</v>
      </c>
    </row>
    <row r="2272" spans="1:16">
      <c r="A2272">
        <v>2271</v>
      </c>
      <c r="B2272" t="s">
        <v>2333</v>
      </c>
      <c r="C2272">
        <v>83</v>
      </c>
      <c r="D2272">
        <v>93</v>
      </c>
      <c r="E2272">
        <v>57.986785560139097</v>
      </c>
      <c r="F2272">
        <v>0.89411762805133199</v>
      </c>
      <c r="G2272">
        <v>2640.8756415879002</v>
      </c>
      <c r="H2272">
        <v>586.18343571704395</v>
      </c>
      <c r="I2272">
        <v>0.63236922742471402</v>
      </c>
      <c r="J2272">
        <v>9.6580784949155701E-2</v>
      </c>
      <c r="K2272">
        <v>0.452065947486261</v>
      </c>
      <c r="L2272" t="s">
        <v>38</v>
      </c>
      <c r="M2272" t="s">
        <v>34</v>
      </c>
      <c r="N2272" t="s">
        <v>35</v>
      </c>
      <c r="O2272">
        <v>0.69478641771808802</v>
      </c>
      <c r="P2272" t="s">
        <v>36</v>
      </c>
    </row>
    <row r="2273" spans="1:16">
      <c r="A2273">
        <v>2272</v>
      </c>
      <c r="B2273" t="s">
        <v>2334</v>
      </c>
      <c r="C2273">
        <v>88</v>
      </c>
      <c r="D2273">
        <v>58</v>
      </c>
      <c r="E2273">
        <v>58.022673522680201</v>
      </c>
      <c r="F2273">
        <v>1.52476892984336</v>
      </c>
      <c r="G2273">
        <v>2644.1455236294901</v>
      </c>
      <c r="H2273">
        <v>380.46543997142601</v>
      </c>
      <c r="I2273">
        <v>0.57032643038416198</v>
      </c>
      <c r="J2273">
        <v>0.229543389840344</v>
      </c>
      <c r="K2273">
        <v>0.72473214649448003</v>
      </c>
      <c r="L2273" t="s">
        <v>38</v>
      </c>
      <c r="M2273" t="s">
        <v>34</v>
      </c>
      <c r="N2273" t="s">
        <v>35</v>
      </c>
      <c r="O2273">
        <v>0.74177102827156505</v>
      </c>
      <c r="P2273" t="s">
        <v>36</v>
      </c>
    </row>
    <row r="2274" spans="1:16">
      <c r="A2274">
        <v>2273</v>
      </c>
      <c r="B2274" t="s">
        <v>2335</v>
      </c>
      <c r="C2274">
        <v>77</v>
      </c>
      <c r="D2274">
        <v>58</v>
      </c>
      <c r="E2274">
        <v>58.109039871487198</v>
      </c>
      <c r="F2274">
        <v>1.3271028037383199</v>
      </c>
      <c r="G2274">
        <v>2652.0229667296799</v>
      </c>
      <c r="H2274">
        <v>350.73641959408099</v>
      </c>
      <c r="I2274">
        <v>0.77587140253071996</v>
      </c>
      <c r="J2274">
        <v>0.27091023701721501</v>
      </c>
      <c r="K2274">
        <v>0.75112607872026904</v>
      </c>
      <c r="L2274" t="s">
        <v>38</v>
      </c>
      <c r="M2274" t="s">
        <v>34</v>
      </c>
      <c r="N2274" t="s">
        <v>35</v>
      </c>
      <c r="O2274">
        <v>0.70453782627587602</v>
      </c>
      <c r="P2274" t="s">
        <v>36</v>
      </c>
    </row>
    <row r="2275" spans="1:16">
      <c r="A2275">
        <v>2274</v>
      </c>
      <c r="B2275" t="s">
        <v>2336</v>
      </c>
      <c r="C2275">
        <v>87</v>
      </c>
      <c r="D2275">
        <v>83</v>
      </c>
      <c r="E2275">
        <v>58.1334598817566</v>
      </c>
      <c r="F2275">
        <v>1.0526315789473699</v>
      </c>
      <c r="G2275">
        <v>2654.2524317580301</v>
      </c>
      <c r="H2275">
        <v>505.14918335624401</v>
      </c>
      <c r="I2275">
        <v>0.72367940408363496</v>
      </c>
      <c r="J2275">
        <v>0.130711192701499</v>
      </c>
      <c r="K2275">
        <v>0.55325608773777801</v>
      </c>
      <c r="L2275" t="s">
        <v>298</v>
      </c>
      <c r="M2275" t="s">
        <v>34</v>
      </c>
      <c r="N2275" t="s">
        <v>35</v>
      </c>
      <c r="O2275">
        <v>0.735612311429515</v>
      </c>
      <c r="P2275" t="s">
        <v>36</v>
      </c>
    </row>
    <row r="2276" spans="1:16">
      <c r="A2276">
        <v>2275</v>
      </c>
      <c r="B2276" t="s">
        <v>2337</v>
      </c>
      <c r="C2276">
        <v>63</v>
      </c>
      <c r="D2276">
        <v>68</v>
      </c>
      <c r="E2276">
        <v>58.156242639912101</v>
      </c>
      <c r="F2276">
        <v>0.92800000000000005</v>
      </c>
      <c r="G2276">
        <v>2656.3332657844999</v>
      </c>
      <c r="H2276">
        <v>511.34971360413903</v>
      </c>
      <c r="I2276">
        <v>0.66851206062632196</v>
      </c>
      <c r="J2276">
        <v>0.127660455884373</v>
      </c>
      <c r="K2276">
        <v>0.65532414197711897</v>
      </c>
      <c r="L2276" t="s">
        <v>33</v>
      </c>
      <c r="M2276" t="s">
        <v>34</v>
      </c>
      <c r="N2276" t="s">
        <v>35</v>
      </c>
      <c r="O2276">
        <v>0.68504010001059601</v>
      </c>
      <c r="P2276" t="s">
        <v>36</v>
      </c>
    </row>
    <row r="2277" spans="1:16">
      <c r="A2277">
        <v>2276</v>
      </c>
      <c r="B2277" t="s">
        <v>2338</v>
      </c>
      <c r="C2277">
        <v>107</v>
      </c>
      <c r="D2277">
        <v>39</v>
      </c>
      <c r="E2277">
        <v>58.2212871101244</v>
      </c>
      <c r="F2277">
        <v>2.77464788732394</v>
      </c>
      <c r="G2277">
        <v>2662.2785058601098</v>
      </c>
      <c r="H2277">
        <v>483.450082105761</v>
      </c>
      <c r="I2277">
        <v>0.83409091474471297</v>
      </c>
      <c r="J2277">
        <v>0.143139690300598</v>
      </c>
      <c r="K2277">
        <v>0.66005822309024598</v>
      </c>
      <c r="L2277" t="s">
        <v>33</v>
      </c>
      <c r="M2277" t="s">
        <v>34</v>
      </c>
      <c r="N2277" t="s">
        <v>35</v>
      </c>
      <c r="O2277">
        <v>0.71057086696060001</v>
      </c>
      <c r="P2277" t="s">
        <v>36</v>
      </c>
    </row>
    <row r="2278" spans="1:16">
      <c r="A2278">
        <v>2277</v>
      </c>
      <c r="B2278" t="s">
        <v>2339</v>
      </c>
      <c r="C2278">
        <v>97</v>
      </c>
      <c r="D2278">
        <v>46</v>
      </c>
      <c r="E2278">
        <v>58.325207384004102</v>
      </c>
      <c r="F2278">
        <v>2.1281907812614902</v>
      </c>
      <c r="G2278">
        <v>2671.7908899811</v>
      </c>
      <c r="H2278">
        <v>319.88486471445702</v>
      </c>
      <c r="I2278">
        <v>0.66963734854964496</v>
      </c>
      <c r="J2278">
        <v>0.32811413855143601</v>
      </c>
      <c r="K2278">
        <v>0.79441400035354404</v>
      </c>
      <c r="L2278" t="s">
        <v>298</v>
      </c>
      <c r="M2278" t="s">
        <v>34</v>
      </c>
      <c r="N2278" t="s">
        <v>35</v>
      </c>
      <c r="O2278">
        <v>0.678633891092288</v>
      </c>
      <c r="P2278" t="s">
        <v>36</v>
      </c>
    </row>
    <row r="2279" spans="1:16">
      <c r="A2279">
        <v>2278</v>
      </c>
      <c r="B2279" t="s">
        <v>2340</v>
      </c>
      <c r="C2279">
        <v>83</v>
      </c>
      <c r="D2279">
        <v>63</v>
      </c>
      <c r="E2279">
        <v>58.349536925538601</v>
      </c>
      <c r="F2279">
        <v>1.31034482758621</v>
      </c>
      <c r="G2279">
        <v>2674.0203550094502</v>
      </c>
      <c r="H2279">
        <v>455.76023717227201</v>
      </c>
      <c r="I2279">
        <v>0.62973869997309695</v>
      </c>
      <c r="J2279">
        <v>0.16177138658784501</v>
      </c>
      <c r="K2279">
        <v>0.58730780530800097</v>
      </c>
      <c r="L2279" t="s">
        <v>43</v>
      </c>
      <c r="M2279" t="s">
        <v>34</v>
      </c>
      <c r="N2279" t="s">
        <v>35</v>
      </c>
      <c r="O2279">
        <v>0.700717387587518</v>
      </c>
      <c r="P2279" t="s">
        <v>36</v>
      </c>
    </row>
    <row r="2280" spans="1:16">
      <c r="A2280">
        <v>2279</v>
      </c>
      <c r="B2280" t="s">
        <v>2341</v>
      </c>
      <c r="C2280">
        <v>43</v>
      </c>
      <c r="D2280">
        <v>115</v>
      </c>
      <c r="E2280">
        <v>58.354401616607603</v>
      </c>
      <c r="F2280">
        <v>0.37475601085820798</v>
      </c>
      <c r="G2280">
        <v>2674.4662480151201</v>
      </c>
      <c r="H2280">
        <v>394.64109214533897</v>
      </c>
      <c r="I2280">
        <v>0.84713671127489698</v>
      </c>
      <c r="J2280">
        <v>0.21579549637828899</v>
      </c>
      <c r="K2280">
        <v>0.69365097721753199</v>
      </c>
      <c r="L2280" t="s">
        <v>47</v>
      </c>
      <c r="M2280" t="s">
        <v>34</v>
      </c>
      <c r="N2280" t="s">
        <v>35</v>
      </c>
      <c r="O2280">
        <v>0.93606215019446803</v>
      </c>
      <c r="P2280" t="s">
        <v>36</v>
      </c>
    </row>
    <row r="2281" spans="1:16">
      <c r="A2281">
        <v>2280</v>
      </c>
      <c r="B2281" t="s">
        <v>2342</v>
      </c>
      <c r="C2281">
        <v>83</v>
      </c>
      <c r="D2281">
        <v>54</v>
      </c>
      <c r="E2281">
        <v>58.360224315594898</v>
      </c>
      <c r="F2281">
        <v>1.5416666296444299</v>
      </c>
      <c r="G2281">
        <v>2675</v>
      </c>
      <c r="H2281">
        <v>264.85281229019199</v>
      </c>
      <c r="I2281">
        <v>0.42741603843567</v>
      </c>
      <c r="J2281">
        <v>0.47920845592254802</v>
      </c>
      <c r="K2281">
        <v>0.80149812734082404</v>
      </c>
      <c r="L2281" t="s">
        <v>38</v>
      </c>
      <c r="M2281" t="s">
        <v>34</v>
      </c>
      <c r="N2281" t="s">
        <v>35</v>
      </c>
      <c r="O2281">
        <v>0.70143091045366202</v>
      </c>
      <c r="P2281" t="s">
        <v>36</v>
      </c>
    </row>
    <row r="2282" spans="1:16">
      <c r="A2282">
        <v>2281</v>
      </c>
      <c r="B2282" t="s">
        <v>2343</v>
      </c>
      <c r="C2282">
        <v>57</v>
      </c>
      <c r="D2282">
        <v>79</v>
      </c>
      <c r="E2282">
        <v>58.393304555339803</v>
      </c>
      <c r="F2282">
        <v>0.72154100945992194</v>
      </c>
      <c r="G2282">
        <v>2678.0333920604899</v>
      </c>
      <c r="H2282">
        <v>308.23216055351799</v>
      </c>
      <c r="I2282">
        <v>0.72408185760163302</v>
      </c>
      <c r="J2282">
        <v>0.35421744891588802</v>
      </c>
      <c r="K2282">
        <v>0.78485864877815004</v>
      </c>
      <c r="L2282" t="s">
        <v>38</v>
      </c>
      <c r="M2282" t="s">
        <v>34</v>
      </c>
      <c r="N2282" t="s">
        <v>35</v>
      </c>
      <c r="O2282">
        <v>0.65160713973623696</v>
      </c>
      <c r="P2282" t="s">
        <v>36</v>
      </c>
    </row>
    <row r="2283" spans="1:16">
      <c r="A2283">
        <v>2282</v>
      </c>
      <c r="B2283" t="s">
        <v>2344</v>
      </c>
      <c r="C2283">
        <v>65</v>
      </c>
      <c r="D2283">
        <v>55</v>
      </c>
      <c r="E2283">
        <v>58.668128525233598</v>
      </c>
      <c r="F2283">
        <v>1.1901408193860099</v>
      </c>
      <c r="G2283">
        <v>2703.3006623818501</v>
      </c>
      <c r="H2283">
        <v>262.01432655417398</v>
      </c>
      <c r="I2283">
        <v>0.71035247563868897</v>
      </c>
      <c r="J2283">
        <v>0.49482785348568598</v>
      </c>
      <c r="K2283">
        <v>0.88115885858243304</v>
      </c>
      <c r="L2283" t="s">
        <v>49</v>
      </c>
      <c r="M2283" t="s">
        <v>34</v>
      </c>
      <c r="N2283" t="s">
        <v>35</v>
      </c>
      <c r="O2283">
        <v>0.64838715946009395</v>
      </c>
      <c r="P2283" t="s">
        <v>36</v>
      </c>
    </row>
    <row r="2284" spans="1:16">
      <c r="A2284">
        <v>2283</v>
      </c>
      <c r="B2284" t="s">
        <v>2345</v>
      </c>
      <c r="C2284">
        <v>83</v>
      </c>
      <c r="D2284">
        <v>69</v>
      </c>
      <c r="E2284">
        <v>58.788965970170501</v>
      </c>
      <c r="F2284">
        <v>1.2142856191345199</v>
      </c>
      <c r="G2284">
        <v>2714.4479875236302</v>
      </c>
      <c r="H2284">
        <v>367.092941333211</v>
      </c>
      <c r="I2284">
        <v>0.62720495600066095</v>
      </c>
      <c r="J2284">
        <v>0.25312749481445401</v>
      </c>
      <c r="K2284">
        <v>0.68390503295386496</v>
      </c>
      <c r="L2284" t="s">
        <v>47</v>
      </c>
      <c r="M2284" t="s">
        <v>34</v>
      </c>
      <c r="N2284" t="s">
        <v>35</v>
      </c>
      <c r="O2284">
        <v>0.93616655542285798</v>
      </c>
      <c r="P2284" t="s">
        <v>36</v>
      </c>
    </row>
    <row r="2285" spans="1:16">
      <c r="A2285">
        <v>2284</v>
      </c>
      <c r="B2285" t="s">
        <v>2346</v>
      </c>
      <c r="C2285">
        <v>74</v>
      </c>
      <c r="D2285">
        <v>74</v>
      </c>
      <c r="E2285">
        <v>58.9721646790113</v>
      </c>
      <c r="F2285">
        <v>1</v>
      </c>
      <c r="G2285">
        <v>2731.3919217391299</v>
      </c>
      <c r="H2285">
        <v>621.73880817485895</v>
      </c>
      <c r="I2285">
        <v>0.59847876671341405</v>
      </c>
      <c r="J2285">
        <v>8.8792836938811098E-2</v>
      </c>
      <c r="K2285">
        <v>0.61107970604861495</v>
      </c>
      <c r="L2285" t="s">
        <v>33</v>
      </c>
      <c r="M2285" t="s">
        <v>34</v>
      </c>
      <c r="N2285" t="s">
        <v>35</v>
      </c>
      <c r="O2285">
        <v>0.69436877240855599</v>
      </c>
      <c r="P2285" t="s">
        <v>36</v>
      </c>
    </row>
    <row r="2286" spans="1:16">
      <c r="A2286">
        <v>2285</v>
      </c>
      <c r="B2286" t="s">
        <v>2347</v>
      </c>
      <c r="C2286">
        <v>57</v>
      </c>
      <c r="D2286">
        <v>80</v>
      </c>
      <c r="E2286">
        <v>59.002642495424404</v>
      </c>
      <c r="F2286">
        <v>0.706445994387773</v>
      </c>
      <c r="G2286">
        <v>2734.2159107750499</v>
      </c>
      <c r="H2286">
        <v>301.16038432639601</v>
      </c>
      <c r="I2286">
        <v>0.57836077762577598</v>
      </c>
      <c r="J2286">
        <v>0.378832286129128</v>
      </c>
      <c r="K2286">
        <v>0.82062720256947896</v>
      </c>
      <c r="L2286" t="s">
        <v>43</v>
      </c>
      <c r="M2286" t="s">
        <v>34</v>
      </c>
      <c r="N2286" t="s">
        <v>35</v>
      </c>
      <c r="O2286">
        <v>0.67452896783139205</v>
      </c>
      <c r="P2286" t="s">
        <v>36</v>
      </c>
    </row>
    <row r="2287" spans="1:16">
      <c r="A2287">
        <v>2286</v>
      </c>
      <c r="B2287" t="s">
        <v>2348</v>
      </c>
      <c r="C2287">
        <v>102</v>
      </c>
      <c r="D2287">
        <v>78</v>
      </c>
      <c r="E2287">
        <v>59.1163942164495</v>
      </c>
      <c r="F2287">
        <v>1.3076923076923099</v>
      </c>
      <c r="G2287">
        <v>2744.7687119092602</v>
      </c>
      <c r="H2287">
        <v>628.46850595422404</v>
      </c>
      <c r="I2287">
        <v>0.68680505411860004</v>
      </c>
      <c r="J2287">
        <v>8.73270079621071E-2</v>
      </c>
      <c r="K2287">
        <v>0.52364884024272695</v>
      </c>
      <c r="L2287" t="s">
        <v>38</v>
      </c>
      <c r="M2287" t="s">
        <v>34</v>
      </c>
      <c r="N2287" t="s">
        <v>35</v>
      </c>
      <c r="O2287">
        <v>0.74311089039756695</v>
      </c>
      <c r="P2287" t="s">
        <v>36</v>
      </c>
    </row>
    <row r="2288" spans="1:16">
      <c r="A2288">
        <v>2287</v>
      </c>
      <c r="B2288" t="s">
        <v>2349</v>
      </c>
      <c r="C2288">
        <v>98</v>
      </c>
      <c r="D2288">
        <v>78</v>
      </c>
      <c r="E2288">
        <v>59.215547983986902</v>
      </c>
      <c r="F2288">
        <v>1.2517482517482501</v>
      </c>
      <c r="G2288">
        <v>2753.98383402647</v>
      </c>
      <c r="H2288">
        <v>803.763922188489</v>
      </c>
      <c r="I2288">
        <v>0.70165943023988497</v>
      </c>
      <c r="J2288">
        <v>5.35690856454124E-2</v>
      </c>
      <c r="K2288">
        <v>0.430596546675652</v>
      </c>
      <c r="L2288" t="s">
        <v>38</v>
      </c>
      <c r="M2288" t="s">
        <v>34</v>
      </c>
      <c r="N2288" t="s">
        <v>35</v>
      </c>
      <c r="O2288">
        <v>0.73689544179787803</v>
      </c>
      <c r="P2288" t="s">
        <v>36</v>
      </c>
    </row>
    <row r="2289" spans="1:16">
      <c r="A2289">
        <v>2288</v>
      </c>
      <c r="B2289" t="s">
        <v>2350</v>
      </c>
      <c r="C2289">
        <v>68</v>
      </c>
      <c r="D2289">
        <v>74</v>
      </c>
      <c r="E2289">
        <v>59.217145877803297</v>
      </c>
      <c r="F2289">
        <v>0.91851851851851896</v>
      </c>
      <c r="G2289">
        <v>2754.13246502836</v>
      </c>
      <c r="H2289">
        <v>414.48810703567801</v>
      </c>
      <c r="I2289">
        <v>0.48486005552211398</v>
      </c>
      <c r="J2289">
        <v>0.20145151649837501</v>
      </c>
      <c r="K2289">
        <v>0.67452950384041399</v>
      </c>
      <c r="L2289" t="s">
        <v>38</v>
      </c>
      <c r="M2289" t="s">
        <v>34</v>
      </c>
      <c r="N2289" t="s">
        <v>35</v>
      </c>
      <c r="O2289">
        <v>0.87979445478370699</v>
      </c>
      <c r="P2289" t="s">
        <v>36</v>
      </c>
    </row>
    <row r="2290" spans="1:16">
      <c r="A2290">
        <v>2289</v>
      </c>
      <c r="B2290" t="s">
        <v>2351</v>
      </c>
      <c r="C2290">
        <v>141</v>
      </c>
      <c r="D2290">
        <v>49</v>
      </c>
      <c r="E2290">
        <v>59.610513792456103</v>
      </c>
      <c r="F2290">
        <v>2.9101121726924899</v>
      </c>
      <c r="G2290">
        <v>2790.8443224952698</v>
      </c>
      <c r="H2290">
        <v>572.88843176085004</v>
      </c>
      <c r="I2290">
        <v>0.85120083901441201</v>
      </c>
      <c r="J2290">
        <v>0.106857588777322</v>
      </c>
      <c r="K2290">
        <v>0.52906370629173605</v>
      </c>
      <c r="L2290" t="s">
        <v>33</v>
      </c>
      <c r="M2290" t="s">
        <v>34</v>
      </c>
      <c r="N2290" t="s">
        <v>35</v>
      </c>
      <c r="O2290">
        <v>0.78002703430238796</v>
      </c>
      <c r="P2290" t="s">
        <v>36</v>
      </c>
    </row>
    <row r="2291" spans="1:16">
      <c r="A2291">
        <v>2290</v>
      </c>
      <c r="B2291" t="s">
        <v>2352</v>
      </c>
      <c r="C2291">
        <v>57</v>
      </c>
      <c r="D2291">
        <v>115</v>
      </c>
      <c r="E2291">
        <v>59.7199389866906</v>
      </c>
      <c r="F2291">
        <v>0.49687773585602102</v>
      </c>
      <c r="G2291">
        <v>2801.0998616257102</v>
      </c>
      <c r="H2291">
        <v>708.060842846166</v>
      </c>
      <c r="I2291">
        <v>0.79976362154938596</v>
      </c>
      <c r="J2291">
        <v>7.0209729638004703E-2</v>
      </c>
      <c r="K2291">
        <v>0.51413138367525102</v>
      </c>
      <c r="L2291" t="s">
        <v>298</v>
      </c>
      <c r="M2291" t="s">
        <v>34</v>
      </c>
      <c r="N2291" t="s">
        <v>35</v>
      </c>
      <c r="O2291">
        <v>0.68928801893675495</v>
      </c>
      <c r="P2291" t="s">
        <v>36</v>
      </c>
    </row>
    <row r="2292" spans="1:16">
      <c r="A2292">
        <v>2291</v>
      </c>
      <c r="B2292" t="s">
        <v>2353</v>
      </c>
      <c r="C2292">
        <v>128</v>
      </c>
      <c r="D2292">
        <v>54</v>
      </c>
      <c r="E2292">
        <v>59.8418149248578</v>
      </c>
      <c r="F2292">
        <v>2.3636363636363602</v>
      </c>
      <c r="G2292">
        <v>2812.5444487712698</v>
      </c>
      <c r="H2292">
        <v>696.94670845518897</v>
      </c>
      <c r="I2292">
        <v>0.84125207025530502</v>
      </c>
      <c r="J2292">
        <v>7.2762919476212704E-2</v>
      </c>
      <c r="K2292">
        <v>0.53151508342228004</v>
      </c>
      <c r="L2292" t="s">
        <v>298</v>
      </c>
      <c r="M2292" t="s">
        <v>34</v>
      </c>
      <c r="N2292" t="s">
        <v>35</v>
      </c>
      <c r="O2292">
        <v>0.71617256257611595</v>
      </c>
      <c r="P2292" t="s">
        <v>36</v>
      </c>
    </row>
    <row r="2293" spans="1:16">
      <c r="A2293">
        <v>2292</v>
      </c>
      <c r="B2293" t="s">
        <v>2354</v>
      </c>
      <c r="C2293">
        <v>67</v>
      </c>
      <c r="D2293">
        <v>65</v>
      </c>
      <c r="E2293">
        <v>59.9949945563081</v>
      </c>
      <c r="F2293">
        <v>1.0250000031789099</v>
      </c>
      <c r="G2293">
        <v>2826.9616559546298</v>
      </c>
      <c r="H2293">
        <v>339.803865052513</v>
      </c>
      <c r="I2293">
        <v>0.67814572721793498</v>
      </c>
      <c r="J2293">
        <v>0.30766150002566001</v>
      </c>
      <c r="K2293">
        <v>0.74920234765825</v>
      </c>
      <c r="L2293" t="s">
        <v>33</v>
      </c>
      <c r="M2293" t="s">
        <v>34</v>
      </c>
      <c r="N2293" t="s">
        <v>35</v>
      </c>
      <c r="O2293">
        <v>0.71679870288855596</v>
      </c>
      <c r="P2293" t="s">
        <v>36</v>
      </c>
    </row>
    <row r="2294" spans="1:16">
      <c r="A2294">
        <v>2293</v>
      </c>
      <c r="B2294" t="s">
        <v>2355</v>
      </c>
      <c r="C2294">
        <v>98</v>
      </c>
      <c r="D2294">
        <v>53</v>
      </c>
      <c r="E2294">
        <v>60.053320957055398</v>
      </c>
      <c r="F2294">
        <v>1.85189311678988</v>
      </c>
      <c r="G2294">
        <v>2832.4610030245699</v>
      </c>
      <c r="H2294">
        <v>384.35280877123699</v>
      </c>
      <c r="I2294">
        <v>0.53626478644003595</v>
      </c>
      <c r="J2294">
        <v>0.240942651318411</v>
      </c>
      <c r="K2294">
        <v>0.72756079868667201</v>
      </c>
      <c r="L2294" t="s">
        <v>33</v>
      </c>
      <c r="M2294" t="s">
        <v>34</v>
      </c>
      <c r="N2294" t="s">
        <v>35</v>
      </c>
      <c r="O2294">
        <v>0.781883091196519</v>
      </c>
      <c r="P2294" t="s">
        <v>36</v>
      </c>
    </row>
    <row r="2295" spans="1:16">
      <c r="A2295">
        <v>2294</v>
      </c>
      <c r="B2295" t="s">
        <v>2356</v>
      </c>
      <c r="C2295">
        <v>80</v>
      </c>
      <c r="D2295">
        <v>47</v>
      </c>
      <c r="E2295">
        <v>60.1067151671594</v>
      </c>
      <c r="F2295">
        <v>1.7142857723124001</v>
      </c>
      <c r="G2295">
        <v>2837.5</v>
      </c>
      <c r="H2295">
        <v>216.06601536273999</v>
      </c>
      <c r="I2295">
        <v>0.58843110459235104</v>
      </c>
      <c r="J2295">
        <v>0.76378796078237898</v>
      </c>
      <c r="K2295">
        <v>0.94190871369294604</v>
      </c>
      <c r="L2295" t="s">
        <v>49</v>
      </c>
      <c r="M2295" t="s">
        <v>34</v>
      </c>
      <c r="N2295" t="s">
        <v>35</v>
      </c>
      <c r="O2295">
        <v>0.68174360244627996</v>
      </c>
      <c r="P2295" t="s">
        <v>36</v>
      </c>
    </row>
    <row r="2296" spans="1:16">
      <c r="A2296">
        <v>2295</v>
      </c>
      <c r="B2296" t="s">
        <v>2357</v>
      </c>
      <c r="C2296">
        <v>93</v>
      </c>
      <c r="D2296">
        <v>54</v>
      </c>
      <c r="E2296">
        <v>60.1273296664885</v>
      </c>
      <c r="F2296">
        <v>1.7004393280627399</v>
      </c>
      <c r="G2296">
        <v>2839.44666011342</v>
      </c>
      <c r="H2296">
        <v>463.50125882210898</v>
      </c>
      <c r="I2296">
        <v>0.60914904918884005</v>
      </c>
      <c r="J2296">
        <v>0.16608933368298601</v>
      </c>
      <c r="K2296">
        <v>0.64111685348009895</v>
      </c>
      <c r="L2296" t="s">
        <v>47</v>
      </c>
      <c r="M2296" t="s">
        <v>34</v>
      </c>
      <c r="N2296" t="s">
        <v>35</v>
      </c>
      <c r="O2296">
        <v>0.952517589924196</v>
      </c>
      <c r="P2296" t="s">
        <v>36</v>
      </c>
    </row>
    <row r="2297" spans="1:16">
      <c r="A2297">
        <v>2296</v>
      </c>
      <c r="B2297" t="s">
        <v>2358</v>
      </c>
      <c r="C2297">
        <v>78</v>
      </c>
      <c r="D2297">
        <v>73</v>
      </c>
      <c r="E2297">
        <v>60.2153914999869</v>
      </c>
      <c r="F2297">
        <v>1.0751879699248099</v>
      </c>
      <c r="G2297">
        <v>2847.7699962192801</v>
      </c>
      <c r="H2297">
        <v>517.67313349640904</v>
      </c>
      <c r="I2297">
        <v>0.55626135373091501</v>
      </c>
      <c r="J2297">
        <v>0.13353758611279501</v>
      </c>
      <c r="K2297">
        <v>0.66265476931590195</v>
      </c>
      <c r="L2297" t="s">
        <v>101</v>
      </c>
      <c r="M2297" t="s">
        <v>34</v>
      </c>
      <c r="N2297" t="s">
        <v>35</v>
      </c>
      <c r="O2297">
        <v>0.65945015820136499</v>
      </c>
      <c r="P2297" t="s">
        <v>36</v>
      </c>
    </row>
    <row r="2298" spans="1:16">
      <c r="A2298">
        <v>2297</v>
      </c>
      <c r="B2298" t="s">
        <v>2359</v>
      </c>
      <c r="C2298">
        <v>78</v>
      </c>
      <c r="D2298">
        <v>103</v>
      </c>
      <c r="E2298">
        <v>60.287631778657499</v>
      </c>
      <c r="F2298">
        <v>0.75661375661375696</v>
      </c>
      <c r="G2298">
        <v>2854.6070223062402</v>
      </c>
      <c r="H2298">
        <v>668.01143937504798</v>
      </c>
      <c r="I2298">
        <v>0.78397079693038096</v>
      </c>
      <c r="J2298">
        <v>8.0387476307696298E-2</v>
      </c>
      <c r="K2298">
        <v>0.50155380879011802</v>
      </c>
      <c r="L2298" t="s">
        <v>288</v>
      </c>
      <c r="M2298" t="s">
        <v>34</v>
      </c>
      <c r="N2298" t="s">
        <v>35</v>
      </c>
      <c r="O2298">
        <v>0.66497605567385798</v>
      </c>
      <c r="P2298" t="s">
        <v>36</v>
      </c>
    </row>
    <row r="2299" spans="1:16">
      <c r="A2299">
        <v>2298</v>
      </c>
      <c r="B2299" t="s">
        <v>2360</v>
      </c>
      <c r="C2299">
        <v>54</v>
      </c>
      <c r="D2299">
        <v>83</v>
      </c>
      <c r="E2299">
        <v>60.419325935417</v>
      </c>
      <c r="F2299">
        <v>0.64705882352941202</v>
      </c>
      <c r="G2299">
        <v>2867.0920264650299</v>
      </c>
      <c r="H2299">
        <v>327.96958104216498</v>
      </c>
      <c r="I2299">
        <v>0.71939944015409596</v>
      </c>
      <c r="J2299">
        <v>0.334953381729725</v>
      </c>
      <c r="K2299">
        <v>0.81841323716588898</v>
      </c>
      <c r="L2299" t="s">
        <v>38</v>
      </c>
      <c r="M2299" t="s">
        <v>34</v>
      </c>
      <c r="N2299" t="s">
        <v>35</v>
      </c>
      <c r="O2299">
        <v>0.71969518342044903</v>
      </c>
      <c r="P2299" t="s">
        <v>36</v>
      </c>
    </row>
    <row r="2300" spans="1:16">
      <c r="A2300">
        <v>2299</v>
      </c>
      <c r="B2300" t="s">
        <v>2361</v>
      </c>
      <c r="C2300">
        <v>68</v>
      </c>
      <c r="D2300">
        <v>63</v>
      </c>
      <c r="E2300">
        <v>60.477243097299201</v>
      </c>
      <c r="F2300">
        <v>1.07758620689655</v>
      </c>
      <c r="G2300">
        <v>2872.59137353497</v>
      </c>
      <c r="H2300">
        <v>406.00651505936798</v>
      </c>
      <c r="I2300">
        <v>0.55124175800615904</v>
      </c>
      <c r="J2300">
        <v>0.218986685703456</v>
      </c>
      <c r="K2300">
        <v>0.78757131214343901</v>
      </c>
      <c r="L2300" t="s">
        <v>72</v>
      </c>
      <c r="M2300" t="s">
        <v>34</v>
      </c>
      <c r="N2300" t="s">
        <v>35</v>
      </c>
      <c r="O2300">
        <v>0.83928863725637404</v>
      </c>
      <c r="P2300" t="s">
        <v>36</v>
      </c>
    </row>
    <row r="2301" spans="1:16">
      <c r="A2301">
        <v>2300</v>
      </c>
      <c r="B2301" t="s">
        <v>2362</v>
      </c>
      <c r="C2301">
        <v>53</v>
      </c>
      <c r="D2301">
        <v>95</v>
      </c>
      <c r="E2301">
        <v>60.494451019996902</v>
      </c>
      <c r="F2301">
        <v>0.55142781212287595</v>
      </c>
      <c r="G2301">
        <v>2874.2263145557699</v>
      </c>
      <c r="H2301">
        <v>475.862433589852</v>
      </c>
      <c r="I2301">
        <v>0.82138288265306403</v>
      </c>
      <c r="J2301">
        <v>0.15950267929794901</v>
      </c>
      <c r="K2301">
        <v>0.684627911916732</v>
      </c>
      <c r="L2301" t="s">
        <v>33</v>
      </c>
      <c r="M2301" t="s">
        <v>34</v>
      </c>
      <c r="N2301" t="s">
        <v>35</v>
      </c>
      <c r="O2301">
        <v>0.763013864946812</v>
      </c>
      <c r="P2301" t="s">
        <v>36</v>
      </c>
    </row>
    <row r="2302" spans="1:16">
      <c r="A2302">
        <v>2301</v>
      </c>
      <c r="B2302" t="s">
        <v>2363</v>
      </c>
      <c r="C2302">
        <v>76</v>
      </c>
      <c r="D2302">
        <v>54</v>
      </c>
      <c r="E2302">
        <v>60.751984968604702</v>
      </c>
      <c r="F2302">
        <v>1.41857577521372</v>
      </c>
      <c r="G2302">
        <v>2898.7504298676799</v>
      </c>
      <c r="H2302">
        <v>273.68972819628902</v>
      </c>
      <c r="I2302">
        <v>0.68652914654160802</v>
      </c>
      <c r="J2302">
        <v>0.48629935495822002</v>
      </c>
      <c r="K2302">
        <v>0.85554483242674195</v>
      </c>
      <c r="L2302" t="s">
        <v>288</v>
      </c>
      <c r="M2302" t="s">
        <v>34</v>
      </c>
      <c r="N2302" t="s">
        <v>35</v>
      </c>
      <c r="O2302">
        <v>0.62448057864288198</v>
      </c>
      <c r="P2302" t="s">
        <v>36</v>
      </c>
    </row>
    <row r="2303" spans="1:16">
      <c r="A2303">
        <v>2302</v>
      </c>
      <c r="B2303" t="s">
        <v>2364</v>
      </c>
      <c r="C2303">
        <v>69</v>
      </c>
      <c r="D2303">
        <v>66</v>
      </c>
      <c r="E2303">
        <v>60.781570332955397</v>
      </c>
      <c r="F2303">
        <v>1.04230464980799</v>
      </c>
      <c r="G2303">
        <v>2901.57441890359</v>
      </c>
      <c r="H2303">
        <v>302.62499727643097</v>
      </c>
      <c r="I2303">
        <v>0.74259784252174599</v>
      </c>
      <c r="J2303">
        <v>0.39813832102129798</v>
      </c>
      <c r="K2303">
        <v>0.79187117186549305</v>
      </c>
      <c r="L2303" t="s">
        <v>38</v>
      </c>
      <c r="M2303" t="s">
        <v>34</v>
      </c>
      <c r="N2303" t="s">
        <v>35</v>
      </c>
      <c r="O2303">
        <v>0.75814033450484797</v>
      </c>
      <c r="P2303" t="s">
        <v>36</v>
      </c>
    </row>
    <row r="2304" spans="1:16">
      <c r="A2304">
        <v>2303</v>
      </c>
      <c r="B2304" t="s">
        <v>2365</v>
      </c>
      <c r="C2304">
        <v>55</v>
      </c>
      <c r="D2304">
        <v>102</v>
      </c>
      <c r="E2304">
        <v>60.836032025119103</v>
      </c>
      <c r="F2304">
        <v>0.53734731703900696</v>
      </c>
      <c r="G2304">
        <v>2906.7765039697501</v>
      </c>
      <c r="H2304">
        <v>509.79820373358899</v>
      </c>
      <c r="I2304">
        <v>0.55244439139384605</v>
      </c>
      <c r="J2304">
        <v>0.14054807549810999</v>
      </c>
      <c r="K2304">
        <v>0.59041782393430697</v>
      </c>
      <c r="L2304" t="s">
        <v>298</v>
      </c>
      <c r="M2304" t="s">
        <v>34</v>
      </c>
      <c r="N2304" t="s">
        <v>35</v>
      </c>
      <c r="O2304">
        <v>0.625027927496691</v>
      </c>
      <c r="P2304" t="s">
        <v>36</v>
      </c>
    </row>
    <row r="2305" spans="1:16">
      <c r="A2305">
        <v>2304</v>
      </c>
      <c r="B2305" t="s">
        <v>2366</v>
      </c>
      <c r="C2305">
        <v>93</v>
      </c>
      <c r="D2305">
        <v>49</v>
      </c>
      <c r="E2305">
        <v>60.954124147747599</v>
      </c>
      <c r="F2305">
        <v>1.8888888888888899</v>
      </c>
      <c r="G2305">
        <v>2918.0724601134202</v>
      </c>
      <c r="H2305">
        <v>385.63033263755898</v>
      </c>
      <c r="I2305">
        <v>0.68641837045369303</v>
      </c>
      <c r="J2305">
        <v>0.246583244066685</v>
      </c>
      <c r="K2305">
        <v>0.78300231315306701</v>
      </c>
      <c r="L2305" t="s">
        <v>74</v>
      </c>
      <c r="M2305" t="s">
        <v>34</v>
      </c>
      <c r="N2305" t="s">
        <v>35</v>
      </c>
      <c r="O2305">
        <v>0.71437507761027297</v>
      </c>
      <c r="P2305" t="s">
        <v>36</v>
      </c>
    </row>
    <row r="2306" spans="1:16">
      <c r="A2306">
        <v>2305</v>
      </c>
      <c r="B2306" t="s">
        <v>2367</v>
      </c>
      <c r="C2306">
        <v>87</v>
      </c>
      <c r="D2306">
        <v>68</v>
      </c>
      <c r="E2306">
        <v>61.023939398666698</v>
      </c>
      <c r="F2306">
        <v>1.29032249331597</v>
      </c>
      <c r="G2306">
        <v>2924.7608551984899</v>
      </c>
      <c r="H2306">
        <v>592.21017212390905</v>
      </c>
      <c r="I2306">
        <v>0.77541578581238102</v>
      </c>
      <c r="J2306">
        <v>0.104796915442268</v>
      </c>
      <c r="K2306">
        <v>0.604769807609564</v>
      </c>
      <c r="L2306" t="s">
        <v>38</v>
      </c>
      <c r="M2306" t="s">
        <v>34</v>
      </c>
      <c r="N2306" t="s">
        <v>35</v>
      </c>
      <c r="O2306">
        <v>0.79494429504616704</v>
      </c>
      <c r="P2306" t="s">
        <v>36</v>
      </c>
    </row>
    <row r="2307" spans="1:16">
      <c r="A2307">
        <v>2306</v>
      </c>
      <c r="B2307" t="s">
        <v>2368</v>
      </c>
      <c r="C2307">
        <v>79</v>
      </c>
      <c r="D2307">
        <v>98</v>
      </c>
      <c r="E2307">
        <v>61.068889157560299</v>
      </c>
      <c r="F2307">
        <v>0.80446924040712198</v>
      </c>
      <c r="G2307">
        <v>2929.0711542533099</v>
      </c>
      <c r="H2307">
        <v>646.44463000743303</v>
      </c>
      <c r="I2307">
        <v>0.54100229014907497</v>
      </c>
      <c r="J2307">
        <v>8.8079962614247706E-2</v>
      </c>
      <c r="K2307">
        <v>0.530971305402129</v>
      </c>
      <c r="L2307" t="s">
        <v>33</v>
      </c>
      <c r="M2307" t="s">
        <v>34</v>
      </c>
      <c r="N2307" t="s">
        <v>35</v>
      </c>
      <c r="O2307">
        <v>0.70581284213990803</v>
      </c>
      <c r="P2307" t="s">
        <v>36</v>
      </c>
    </row>
    <row r="2308" spans="1:16">
      <c r="A2308">
        <v>2307</v>
      </c>
      <c r="B2308" t="s">
        <v>2369</v>
      </c>
      <c r="C2308">
        <v>63</v>
      </c>
      <c r="D2308">
        <v>63</v>
      </c>
      <c r="E2308">
        <v>61.118450526433897</v>
      </c>
      <c r="F2308">
        <v>1</v>
      </c>
      <c r="G2308">
        <v>2933.8273463137998</v>
      </c>
      <c r="H2308">
        <v>307.11902828973302</v>
      </c>
      <c r="I2308">
        <v>0.68729859105934299</v>
      </c>
      <c r="J2308">
        <v>0.39086876474108101</v>
      </c>
      <c r="K2308">
        <v>0.85832934730617005</v>
      </c>
      <c r="L2308" t="s">
        <v>33</v>
      </c>
      <c r="M2308" t="s">
        <v>34</v>
      </c>
      <c r="N2308" t="s">
        <v>35</v>
      </c>
      <c r="O2308">
        <v>0.68394006198930801</v>
      </c>
      <c r="P2308" t="s">
        <v>36</v>
      </c>
    </row>
    <row r="2309" spans="1:16">
      <c r="A2309">
        <v>2308</v>
      </c>
      <c r="B2309" t="s">
        <v>2370</v>
      </c>
      <c r="C2309">
        <v>78</v>
      </c>
      <c r="D2309">
        <v>59</v>
      </c>
      <c r="E2309">
        <v>61.350235738171499</v>
      </c>
      <c r="F2309">
        <v>1.31560506798837</v>
      </c>
      <c r="G2309">
        <v>2956.1219965973501</v>
      </c>
      <c r="H2309">
        <v>314.30039891854602</v>
      </c>
      <c r="I2309">
        <v>0.60255495951344495</v>
      </c>
      <c r="J2309">
        <v>0.37604719417768001</v>
      </c>
      <c r="K2309">
        <v>0.81693091267559304</v>
      </c>
      <c r="L2309" t="s">
        <v>33</v>
      </c>
      <c r="M2309" t="s">
        <v>34</v>
      </c>
      <c r="N2309" t="s">
        <v>35</v>
      </c>
      <c r="O2309">
        <v>0.74792283156355499</v>
      </c>
      <c r="P2309" t="s">
        <v>36</v>
      </c>
    </row>
    <row r="2310" spans="1:16">
      <c r="A2310">
        <v>2309</v>
      </c>
      <c r="B2310" t="s">
        <v>2371</v>
      </c>
      <c r="C2310">
        <v>93</v>
      </c>
      <c r="D2310">
        <v>49</v>
      </c>
      <c r="E2310">
        <v>61.545817449986899</v>
      </c>
      <c r="F2310">
        <v>1.92500010567519</v>
      </c>
      <c r="G2310">
        <v>2975</v>
      </c>
      <c r="H2310">
        <v>281.42135381698603</v>
      </c>
      <c r="I2310">
        <v>0.60412391006948596</v>
      </c>
      <c r="J2310">
        <v>0.472044278660322</v>
      </c>
      <c r="K2310">
        <v>0.81786941580756001</v>
      </c>
      <c r="L2310" t="s">
        <v>43</v>
      </c>
      <c r="M2310" t="s">
        <v>34</v>
      </c>
      <c r="N2310" t="s">
        <v>35</v>
      </c>
      <c r="O2310">
        <v>0.65090919619008503</v>
      </c>
      <c r="P2310" t="s">
        <v>36</v>
      </c>
    </row>
    <row r="2311" spans="1:16">
      <c r="A2311">
        <v>2310</v>
      </c>
      <c r="B2311" t="s">
        <v>2372</v>
      </c>
      <c r="C2311">
        <v>59</v>
      </c>
      <c r="D2311">
        <v>68</v>
      </c>
      <c r="E2311">
        <v>61.641044178406901</v>
      </c>
      <c r="F2311">
        <v>0.87096772605744999</v>
      </c>
      <c r="G2311">
        <v>2984.2132559546299</v>
      </c>
      <c r="H2311">
        <v>317.813589550931</v>
      </c>
      <c r="I2311">
        <v>0.59752303494347603</v>
      </c>
      <c r="J2311">
        <v>0.37127421818434397</v>
      </c>
      <c r="K2311">
        <v>0.85818088562147399</v>
      </c>
      <c r="L2311" t="s">
        <v>38</v>
      </c>
      <c r="M2311" t="s">
        <v>34</v>
      </c>
      <c r="N2311" t="s">
        <v>35</v>
      </c>
      <c r="O2311">
        <v>0.71012666655152701</v>
      </c>
      <c r="P2311" t="s">
        <v>36</v>
      </c>
    </row>
    <row r="2312" spans="1:16">
      <c r="A2312">
        <v>2311</v>
      </c>
      <c r="B2312" t="s">
        <v>2373</v>
      </c>
      <c r="C2312">
        <v>123</v>
      </c>
      <c r="D2312">
        <v>73</v>
      </c>
      <c r="E2312">
        <v>61.6625309857845</v>
      </c>
      <c r="F2312">
        <v>1.69172932330827</v>
      </c>
      <c r="G2312">
        <v>2986.2940899811001</v>
      </c>
      <c r="H2312">
        <v>658.94588266642199</v>
      </c>
      <c r="I2312">
        <v>0.58085180500713796</v>
      </c>
      <c r="J2312">
        <v>8.6425707090211995E-2</v>
      </c>
      <c r="K2312">
        <v>0.50783540592457799</v>
      </c>
      <c r="L2312" t="s">
        <v>38</v>
      </c>
      <c r="M2312" t="s">
        <v>34</v>
      </c>
      <c r="N2312" t="s">
        <v>35</v>
      </c>
      <c r="O2312">
        <v>0.72736241616938402</v>
      </c>
      <c r="P2312" t="s">
        <v>36</v>
      </c>
    </row>
    <row r="2313" spans="1:16">
      <c r="A2313">
        <v>2312</v>
      </c>
      <c r="B2313" t="s">
        <v>2374</v>
      </c>
      <c r="C2313">
        <v>77</v>
      </c>
      <c r="D2313">
        <v>68</v>
      </c>
      <c r="E2313">
        <v>61.711615595336802</v>
      </c>
      <c r="F2313">
        <v>1.1397317317140301</v>
      </c>
      <c r="G2313">
        <v>2991.05028204159</v>
      </c>
      <c r="H2313">
        <v>422.46322896169602</v>
      </c>
      <c r="I2313">
        <v>0.55917290223347704</v>
      </c>
      <c r="J2313">
        <v>0.21059873091164399</v>
      </c>
      <c r="K2313">
        <v>0.68184590363895103</v>
      </c>
      <c r="L2313" t="s">
        <v>33</v>
      </c>
      <c r="M2313" t="s">
        <v>34</v>
      </c>
      <c r="N2313" t="s">
        <v>35</v>
      </c>
      <c r="O2313">
        <v>0.76965556841364602</v>
      </c>
      <c r="P2313" t="s">
        <v>36</v>
      </c>
    </row>
    <row r="2314" spans="1:16">
      <c r="A2314">
        <v>2313</v>
      </c>
      <c r="B2314" t="s">
        <v>2375</v>
      </c>
      <c r="C2314">
        <v>117</v>
      </c>
      <c r="D2314">
        <v>55</v>
      </c>
      <c r="E2314">
        <v>61.748403446947002</v>
      </c>
      <c r="F2314">
        <v>2.1558489552812001</v>
      </c>
      <c r="G2314">
        <v>2994.6174260869602</v>
      </c>
      <c r="H2314">
        <v>489.74140227836102</v>
      </c>
      <c r="I2314">
        <v>0.72470206753176403</v>
      </c>
      <c r="J2314">
        <v>0.15689805890532499</v>
      </c>
      <c r="K2314">
        <v>0.61449310723435402</v>
      </c>
      <c r="L2314" t="s">
        <v>33</v>
      </c>
      <c r="M2314" t="s">
        <v>34</v>
      </c>
      <c r="N2314" t="s">
        <v>35</v>
      </c>
      <c r="O2314">
        <v>0.66936842256481</v>
      </c>
      <c r="P2314" t="s">
        <v>36</v>
      </c>
    </row>
    <row r="2315" spans="1:16">
      <c r="A2315">
        <v>2314</v>
      </c>
      <c r="B2315" t="s">
        <v>2376</v>
      </c>
      <c r="C2315">
        <v>68</v>
      </c>
      <c r="D2315">
        <v>98</v>
      </c>
      <c r="E2315">
        <v>61.749935798477701</v>
      </c>
      <c r="F2315">
        <v>0.69444444444444398</v>
      </c>
      <c r="G2315">
        <v>2994.7660570888502</v>
      </c>
      <c r="H2315">
        <v>579.805218623928</v>
      </c>
      <c r="I2315">
        <v>0.67062940688096695</v>
      </c>
      <c r="J2315">
        <v>0.111945986092766</v>
      </c>
      <c r="K2315">
        <v>0.59543721741186195</v>
      </c>
      <c r="L2315" t="s">
        <v>38</v>
      </c>
      <c r="M2315" t="s">
        <v>34</v>
      </c>
      <c r="N2315" t="s">
        <v>35</v>
      </c>
      <c r="O2315">
        <v>0.73503071155024202</v>
      </c>
      <c r="P2315" t="s">
        <v>36</v>
      </c>
    </row>
    <row r="2316" spans="1:16">
      <c r="A2316">
        <v>2315</v>
      </c>
      <c r="B2316" t="s">
        <v>2377</v>
      </c>
      <c r="C2316">
        <v>88</v>
      </c>
      <c r="D2316">
        <v>52</v>
      </c>
      <c r="E2316">
        <v>61.795888675473698</v>
      </c>
      <c r="F2316">
        <v>1.6820745964000701</v>
      </c>
      <c r="G2316">
        <v>2999.2249871455601</v>
      </c>
      <c r="H2316">
        <v>322.57220432996797</v>
      </c>
      <c r="I2316">
        <v>0.70288977089943205</v>
      </c>
      <c r="J2316">
        <v>0.36221382761698401</v>
      </c>
      <c r="K2316">
        <v>0.78873514696685398</v>
      </c>
      <c r="L2316" t="s">
        <v>33</v>
      </c>
      <c r="M2316" t="s">
        <v>34</v>
      </c>
      <c r="N2316" t="s">
        <v>35</v>
      </c>
      <c r="O2316">
        <v>0.69987398625644703</v>
      </c>
      <c r="P2316" t="s">
        <v>36</v>
      </c>
    </row>
    <row r="2317" spans="1:16">
      <c r="A2317">
        <v>2316</v>
      </c>
      <c r="B2317" t="s">
        <v>2378</v>
      </c>
      <c r="C2317">
        <v>83</v>
      </c>
      <c r="D2317">
        <v>72</v>
      </c>
      <c r="E2317">
        <v>61.881576077744199</v>
      </c>
      <c r="F2317">
        <v>1.1505376930409199</v>
      </c>
      <c r="G2317">
        <v>3007.5483232514198</v>
      </c>
      <c r="H2317">
        <v>449.48221224235499</v>
      </c>
      <c r="I2317">
        <v>0.67122949225325501</v>
      </c>
      <c r="J2317">
        <v>0.187067119382446</v>
      </c>
      <c r="K2317">
        <v>0.66516551066697305</v>
      </c>
      <c r="L2317" t="s">
        <v>38</v>
      </c>
      <c r="M2317" t="s">
        <v>34</v>
      </c>
      <c r="N2317" t="s">
        <v>35</v>
      </c>
      <c r="O2317">
        <v>0.74156857475480398</v>
      </c>
      <c r="P2317" t="s">
        <v>36</v>
      </c>
    </row>
    <row r="2318" spans="1:16">
      <c r="A2318">
        <v>2317</v>
      </c>
      <c r="B2318" t="s">
        <v>2379</v>
      </c>
      <c r="C2318">
        <v>70</v>
      </c>
      <c r="D2318">
        <v>66</v>
      </c>
      <c r="E2318">
        <v>61.881576077744199</v>
      </c>
      <c r="F2318">
        <v>1.05336422069203</v>
      </c>
      <c r="G2318">
        <v>3007.5483232514198</v>
      </c>
      <c r="H2318">
        <v>312.758291286489</v>
      </c>
      <c r="I2318">
        <v>0.723102346814951</v>
      </c>
      <c r="J2318">
        <v>0.38637126029181301</v>
      </c>
      <c r="K2318">
        <v>0.80949713965675896</v>
      </c>
      <c r="L2318" t="s">
        <v>38</v>
      </c>
      <c r="M2318" t="s">
        <v>34</v>
      </c>
      <c r="N2318" t="s">
        <v>35</v>
      </c>
      <c r="O2318">
        <v>0.79010029385879199</v>
      </c>
      <c r="P2318" t="s">
        <v>36</v>
      </c>
    </row>
    <row r="2319" spans="1:16">
      <c r="A2319">
        <v>2318</v>
      </c>
      <c r="B2319" t="s">
        <v>2380</v>
      </c>
      <c r="C2319">
        <v>73</v>
      </c>
      <c r="D2319">
        <v>98</v>
      </c>
      <c r="E2319">
        <v>62.020565613037199</v>
      </c>
      <c r="F2319">
        <v>0.74860335195530703</v>
      </c>
      <c r="G2319">
        <v>3021.0737444234401</v>
      </c>
      <c r="H2319">
        <v>593.10022258012202</v>
      </c>
      <c r="I2319">
        <v>0.62301569042619498</v>
      </c>
      <c r="J2319">
        <v>0.107923250328087</v>
      </c>
      <c r="K2319">
        <v>0.57491161080469499</v>
      </c>
      <c r="L2319" t="s">
        <v>38</v>
      </c>
      <c r="M2319" t="s">
        <v>34</v>
      </c>
      <c r="N2319" t="s">
        <v>35</v>
      </c>
      <c r="O2319">
        <v>0.69846496033553096</v>
      </c>
      <c r="P2319" t="s">
        <v>36</v>
      </c>
    </row>
    <row r="2320" spans="1:16">
      <c r="A2320">
        <v>2319</v>
      </c>
      <c r="B2320" t="s">
        <v>2381</v>
      </c>
      <c r="C2320">
        <v>54</v>
      </c>
      <c r="D2320">
        <v>94</v>
      </c>
      <c r="E2320">
        <v>62.927792251120003</v>
      </c>
      <c r="F2320">
        <v>0.57864629407479196</v>
      </c>
      <c r="G2320">
        <v>3110.1037145557698</v>
      </c>
      <c r="H2320">
        <v>439.74579388089802</v>
      </c>
      <c r="I2320">
        <v>0.84801257639729399</v>
      </c>
      <c r="J2320">
        <v>0.20210699628536</v>
      </c>
      <c r="K2320">
        <v>0.71808510638297895</v>
      </c>
      <c r="L2320" t="s">
        <v>38</v>
      </c>
      <c r="M2320" t="s">
        <v>34</v>
      </c>
      <c r="N2320" t="s">
        <v>35</v>
      </c>
      <c r="O2320">
        <v>0.80899280673823704</v>
      </c>
      <c r="P2320" t="s">
        <v>36</v>
      </c>
    </row>
    <row r="2321" spans="1:16">
      <c r="A2321">
        <v>2320</v>
      </c>
      <c r="B2321" t="s">
        <v>2382</v>
      </c>
      <c r="C2321">
        <v>107</v>
      </c>
      <c r="D2321">
        <v>69</v>
      </c>
      <c r="E2321">
        <v>63.203858470265203</v>
      </c>
      <c r="F2321">
        <v>1.5634920634920599</v>
      </c>
      <c r="G2321">
        <v>3137.4518189035898</v>
      </c>
      <c r="H2321">
        <v>433.49986867065002</v>
      </c>
      <c r="I2321">
        <v>0.69972294951571001</v>
      </c>
      <c r="J2321">
        <v>0.20980169314484701</v>
      </c>
      <c r="K2321">
        <v>0.61657319780348196</v>
      </c>
      <c r="L2321" t="s">
        <v>38</v>
      </c>
      <c r="M2321" t="s">
        <v>34</v>
      </c>
      <c r="N2321" t="s">
        <v>35</v>
      </c>
      <c r="O2321">
        <v>0.75691969308804796</v>
      </c>
      <c r="P2321" t="s">
        <v>36</v>
      </c>
    </row>
    <row r="2322" spans="1:16">
      <c r="A2322">
        <v>2321</v>
      </c>
      <c r="B2322" t="s">
        <v>2383</v>
      </c>
      <c r="C2322">
        <v>80</v>
      </c>
      <c r="D2322">
        <v>57</v>
      </c>
      <c r="E2322">
        <v>63.204343771663098</v>
      </c>
      <c r="F2322">
        <v>1.40476180722786</v>
      </c>
      <c r="G2322">
        <v>3137.5</v>
      </c>
      <c r="H2322">
        <v>246.06601536273999</v>
      </c>
      <c r="I2322">
        <v>0.62859279993722195</v>
      </c>
      <c r="J2322">
        <v>0.65116391447433597</v>
      </c>
      <c r="K2322">
        <v>0.86851211072664403</v>
      </c>
      <c r="L2322" t="s">
        <v>38</v>
      </c>
      <c r="M2322" t="s">
        <v>34</v>
      </c>
      <c r="N2322" t="s">
        <v>35</v>
      </c>
      <c r="O2322">
        <v>0.75279152226474699</v>
      </c>
      <c r="P2322" t="s">
        <v>36</v>
      </c>
    </row>
    <row r="2323" spans="1:16">
      <c r="A2323">
        <v>2322</v>
      </c>
      <c r="B2323" t="s">
        <v>2384</v>
      </c>
      <c r="C2323">
        <v>63</v>
      </c>
      <c r="D2323">
        <v>122</v>
      </c>
      <c r="E2323">
        <v>63.2532429224959</v>
      </c>
      <c r="F2323">
        <v>0.51339285714285698</v>
      </c>
      <c r="G2323">
        <v>3142.3566419659701</v>
      </c>
      <c r="H2323">
        <v>642.10558835817403</v>
      </c>
      <c r="I2323">
        <v>0.74843908902686695</v>
      </c>
      <c r="J2323">
        <v>9.5775061263088906E-2</v>
      </c>
      <c r="K2323">
        <v>0.54072994194224899</v>
      </c>
      <c r="L2323" t="s">
        <v>38</v>
      </c>
      <c r="M2323" t="s">
        <v>34</v>
      </c>
      <c r="N2323" t="s">
        <v>35</v>
      </c>
      <c r="O2323">
        <v>0.78994531113307798</v>
      </c>
      <c r="P2323" t="s">
        <v>36</v>
      </c>
    </row>
    <row r="2324" spans="1:16">
      <c r="A2324">
        <v>2323</v>
      </c>
      <c r="B2324" t="s">
        <v>2385</v>
      </c>
      <c r="C2324">
        <v>73</v>
      </c>
      <c r="D2324">
        <v>53</v>
      </c>
      <c r="E2324">
        <v>63.3593638219646</v>
      </c>
      <c r="F2324">
        <v>1.3609468165204599</v>
      </c>
      <c r="G2324">
        <v>3152.9094431001899</v>
      </c>
      <c r="H2324">
        <v>223.96259656875</v>
      </c>
      <c r="I2324">
        <v>0.61858914594804204</v>
      </c>
      <c r="J2324">
        <v>0.78989683442483205</v>
      </c>
      <c r="K2324">
        <v>0.96449031554060205</v>
      </c>
      <c r="L2324" t="s">
        <v>43</v>
      </c>
      <c r="M2324" t="s">
        <v>34</v>
      </c>
      <c r="N2324" t="s">
        <v>35</v>
      </c>
      <c r="O2324">
        <v>0.69036912083831803</v>
      </c>
      <c r="P2324" t="s">
        <v>36</v>
      </c>
    </row>
    <row r="2325" spans="1:16">
      <c r="A2325">
        <v>2324</v>
      </c>
      <c r="B2325" t="s">
        <v>2386</v>
      </c>
      <c r="C2325">
        <v>73</v>
      </c>
      <c r="D2325">
        <v>64</v>
      </c>
      <c r="E2325">
        <v>63.419072042180602</v>
      </c>
      <c r="F2325">
        <v>1.13884683415497</v>
      </c>
      <c r="G2325">
        <v>3158.8546831757999</v>
      </c>
      <c r="H2325">
        <v>368.97712741302399</v>
      </c>
      <c r="I2325">
        <v>0.69017249168066697</v>
      </c>
      <c r="J2325">
        <v>0.29156851213384699</v>
      </c>
      <c r="K2325">
        <v>0.80831399992393405</v>
      </c>
      <c r="L2325" t="s">
        <v>33</v>
      </c>
      <c r="M2325" t="s">
        <v>34</v>
      </c>
      <c r="N2325" t="s">
        <v>35</v>
      </c>
      <c r="O2325">
        <v>0.71278806037548603</v>
      </c>
      <c r="P2325" t="s">
        <v>36</v>
      </c>
    </row>
    <row r="2326" spans="1:16">
      <c r="A2326">
        <v>2325</v>
      </c>
      <c r="B2326" t="s">
        <v>2387</v>
      </c>
      <c r="C2326">
        <v>68</v>
      </c>
      <c r="D2326">
        <v>94</v>
      </c>
      <c r="E2326">
        <v>63.422055977630201</v>
      </c>
      <c r="F2326">
        <v>0.72421928155102</v>
      </c>
      <c r="G2326">
        <v>3159.1519451795798</v>
      </c>
      <c r="H2326">
        <v>525.25137977382406</v>
      </c>
      <c r="I2326">
        <v>0.58928552297625403</v>
      </c>
      <c r="J2326">
        <v>0.143895089873226</v>
      </c>
      <c r="K2326">
        <v>0.60338954181570403</v>
      </c>
      <c r="L2326" t="s">
        <v>41</v>
      </c>
      <c r="M2326" t="s">
        <v>34</v>
      </c>
      <c r="N2326" t="s">
        <v>35</v>
      </c>
      <c r="O2326">
        <v>0.63611248224365102</v>
      </c>
      <c r="P2326" t="s">
        <v>36</v>
      </c>
    </row>
    <row r="2327" spans="1:16">
      <c r="A2327">
        <v>2326</v>
      </c>
      <c r="B2327" t="s">
        <v>2388</v>
      </c>
      <c r="C2327">
        <v>99</v>
      </c>
      <c r="D2327">
        <v>53</v>
      </c>
      <c r="E2327">
        <v>63.453378827942998</v>
      </c>
      <c r="F2327">
        <v>1.85438641030346</v>
      </c>
      <c r="G2327">
        <v>3162.2731962192802</v>
      </c>
      <c r="H2327">
        <v>511.73718701424798</v>
      </c>
      <c r="I2327">
        <v>0.74774319224544805</v>
      </c>
      <c r="J2327">
        <v>0.15174531654916801</v>
      </c>
      <c r="K2327">
        <v>0.74085939132251599</v>
      </c>
      <c r="L2327" t="s">
        <v>38</v>
      </c>
      <c r="M2327" t="s">
        <v>34</v>
      </c>
      <c r="N2327" t="s">
        <v>35</v>
      </c>
      <c r="O2327">
        <v>0.69810553175023005</v>
      </c>
      <c r="P2327" t="s">
        <v>36</v>
      </c>
    </row>
    <row r="2328" spans="1:16">
      <c r="A2328">
        <v>2327</v>
      </c>
      <c r="B2328" t="s">
        <v>2389</v>
      </c>
      <c r="C2328">
        <v>70</v>
      </c>
      <c r="D2328">
        <v>68</v>
      </c>
      <c r="E2328">
        <v>63.580937037245199</v>
      </c>
      <c r="F2328">
        <v>1.02409640911994</v>
      </c>
      <c r="G2328">
        <v>3175</v>
      </c>
      <c r="H2328">
        <v>277.27921843528702</v>
      </c>
      <c r="I2328">
        <v>0.67528770830308904</v>
      </c>
      <c r="J2328">
        <v>0.51894215525217102</v>
      </c>
      <c r="K2328">
        <v>0.84385382059800695</v>
      </c>
      <c r="L2328" t="s">
        <v>43</v>
      </c>
      <c r="M2328" t="s">
        <v>34</v>
      </c>
      <c r="N2328" t="s">
        <v>35</v>
      </c>
      <c r="O2328">
        <v>0.76067710800761201</v>
      </c>
      <c r="P2328" t="s">
        <v>36</v>
      </c>
    </row>
    <row r="2329" spans="1:16">
      <c r="A2329">
        <v>2328</v>
      </c>
      <c r="B2329" t="s">
        <v>2390</v>
      </c>
      <c r="C2329">
        <v>101</v>
      </c>
      <c r="D2329">
        <v>66</v>
      </c>
      <c r="E2329">
        <v>63.698950996835201</v>
      </c>
      <c r="F2329">
        <v>1.52880828036373</v>
      </c>
      <c r="G2329">
        <v>3186.7973115311902</v>
      </c>
      <c r="H2329">
        <v>631.33353241495502</v>
      </c>
      <c r="I2329">
        <v>0.76268299177167498</v>
      </c>
      <c r="J2329">
        <v>0.100472357408563</v>
      </c>
      <c r="K2329">
        <v>0.59596408816743995</v>
      </c>
      <c r="L2329" t="s">
        <v>74</v>
      </c>
      <c r="M2329" t="s">
        <v>34</v>
      </c>
      <c r="N2329" t="s">
        <v>35</v>
      </c>
      <c r="O2329">
        <v>0.72523486313991203</v>
      </c>
      <c r="P2329" t="s">
        <v>36</v>
      </c>
    </row>
    <row r="2330" spans="1:16">
      <c r="A2330">
        <v>2329</v>
      </c>
      <c r="B2330" t="s">
        <v>2391</v>
      </c>
      <c r="C2330">
        <v>67</v>
      </c>
      <c r="D2330">
        <v>94</v>
      </c>
      <c r="E2330">
        <v>63.7598252486126</v>
      </c>
      <c r="F2330">
        <v>0.71480316254519805</v>
      </c>
      <c r="G2330">
        <v>3192.8911826087001</v>
      </c>
      <c r="H2330">
        <v>377.86499727643098</v>
      </c>
      <c r="I2330">
        <v>0.83333702810342802</v>
      </c>
      <c r="J2330">
        <v>0.28100927462523001</v>
      </c>
      <c r="K2330">
        <v>0.71990616621983905</v>
      </c>
      <c r="L2330" t="s">
        <v>38</v>
      </c>
      <c r="M2330" t="s">
        <v>34</v>
      </c>
      <c r="N2330" t="s">
        <v>35</v>
      </c>
      <c r="O2330">
        <v>0.70977919639381404</v>
      </c>
      <c r="P2330" t="s">
        <v>36</v>
      </c>
    </row>
    <row r="2331" spans="1:16">
      <c r="A2331">
        <v>2330</v>
      </c>
      <c r="B2331" t="s">
        <v>2392</v>
      </c>
      <c r="C2331">
        <v>64</v>
      </c>
      <c r="D2331">
        <v>88</v>
      </c>
      <c r="E2331">
        <v>63.8562142804468</v>
      </c>
      <c r="F2331">
        <v>0.72222222222222199</v>
      </c>
      <c r="G2331">
        <v>3202.5521977315698</v>
      </c>
      <c r="H2331">
        <v>419.51130558045003</v>
      </c>
      <c r="I2331">
        <v>0.56517441377684896</v>
      </c>
      <c r="J2331">
        <v>0.228675028756329</v>
      </c>
      <c r="K2331">
        <v>0.73816375471051698</v>
      </c>
      <c r="L2331" t="s">
        <v>33</v>
      </c>
      <c r="M2331" t="s">
        <v>34</v>
      </c>
      <c r="N2331" t="s">
        <v>35</v>
      </c>
      <c r="O2331">
        <v>0.75197021417579002</v>
      </c>
      <c r="P2331" t="s">
        <v>36</v>
      </c>
    </row>
    <row r="2332" spans="1:16">
      <c r="A2332">
        <v>2331</v>
      </c>
      <c r="B2332" t="s">
        <v>2393</v>
      </c>
      <c r="C2332">
        <v>88</v>
      </c>
      <c r="D2332">
        <v>57</v>
      </c>
      <c r="E2332">
        <v>63.863622795580902</v>
      </c>
      <c r="F2332">
        <v>1.55282460507097</v>
      </c>
      <c r="G2332">
        <v>3203.29535274102</v>
      </c>
      <c r="H2332">
        <v>343.12607359699598</v>
      </c>
      <c r="I2332">
        <v>0.76530053804611398</v>
      </c>
      <c r="J2332">
        <v>0.34190024058470497</v>
      </c>
      <c r="K2332">
        <v>0.813467200120782</v>
      </c>
      <c r="L2332" t="s">
        <v>38</v>
      </c>
      <c r="M2332" t="s">
        <v>34</v>
      </c>
      <c r="N2332" t="s">
        <v>35</v>
      </c>
      <c r="O2332">
        <v>0.70462136160010802</v>
      </c>
      <c r="P2332" t="s">
        <v>36</v>
      </c>
    </row>
    <row r="2333" spans="1:16">
      <c r="A2333">
        <v>2332</v>
      </c>
      <c r="B2333" t="s">
        <v>2394</v>
      </c>
      <c r="C2333">
        <v>78</v>
      </c>
      <c r="D2333">
        <v>89</v>
      </c>
      <c r="E2333">
        <v>63.882880914025698</v>
      </c>
      <c r="F2333">
        <v>0.877300613496933</v>
      </c>
      <c r="G2333">
        <v>3205.2275557655998</v>
      </c>
      <c r="H2333">
        <v>424.324717560333</v>
      </c>
      <c r="I2333">
        <v>0.67876928490138899</v>
      </c>
      <c r="J2333">
        <v>0.22370313488129001</v>
      </c>
      <c r="K2333">
        <v>0.656688693321965</v>
      </c>
      <c r="L2333" t="s">
        <v>38</v>
      </c>
      <c r="M2333" t="s">
        <v>34</v>
      </c>
      <c r="N2333" t="s">
        <v>35</v>
      </c>
      <c r="O2333">
        <v>0.765203062290015</v>
      </c>
      <c r="P2333" t="s">
        <v>36</v>
      </c>
    </row>
    <row r="2334" spans="1:16">
      <c r="A2334">
        <v>2333</v>
      </c>
      <c r="B2334" t="s">
        <v>2395</v>
      </c>
      <c r="C2334">
        <v>78</v>
      </c>
      <c r="D2334">
        <v>77</v>
      </c>
      <c r="E2334">
        <v>63.939140617500001</v>
      </c>
      <c r="F2334">
        <v>1.0070422550346001</v>
      </c>
      <c r="G2334">
        <v>3210.8755338374299</v>
      </c>
      <c r="H2334">
        <v>774.38087326309005</v>
      </c>
      <c r="I2334">
        <v>0.63513512060292798</v>
      </c>
      <c r="J2334">
        <v>6.7285905252817205E-2</v>
      </c>
      <c r="K2334">
        <v>0.59155508091678299</v>
      </c>
      <c r="L2334" t="s">
        <v>33</v>
      </c>
      <c r="M2334" t="s">
        <v>34</v>
      </c>
      <c r="N2334" t="s">
        <v>35</v>
      </c>
      <c r="O2334">
        <v>0.66318427635062305</v>
      </c>
      <c r="P2334" t="s">
        <v>36</v>
      </c>
    </row>
    <row r="2335" spans="1:16">
      <c r="A2335">
        <v>2334</v>
      </c>
      <c r="B2335" t="s">
        <v>2396</v>
      </c>
      <c r="C2335">
        <v>88</v>
      </c>
      <c r="D2335">
        <v>73</v>
      </c>
      <c r="E2335">
        <v>63.962814109538101</v>
      </c>
      <c r="F2335">
        <v>1.21804511278195</v>
      </c>
      <c r="G2335">
        <v>3213.25362986768</v>
      </c>
      <c r="H2335">
        <v>620.64837339225005</v>
      </c>
      <c r="I2335">
        <v>0.66157130054048097</v>
      </c>
      <c r="J2335">
        <v>0.10482469991264499</v>
      </c>
      <c r="K2335">
        <v>0.63145135379852202</v>
      </c>
      <c r="L2335" t="s">
        <v>43</v>
      </c>
      <c r="M2335" t="s">
        <v>34</v>
      </c>
      <c r="N2335" t="s">
        <v>35</v>
      </c>
      <c r="O2335">
        <v>0.77687302981920003</v>
      </c>
      <c r="P2335" t="s">
        <v>36</v>
      </c>
    </row>
    <row r="2336" spans="1:16">
      <c r="A2336">
        <v>2335</v>
      </c>
      <c r="B2336" t="s">
        <v>2397</v>
      </c>
      <c r="C2336">
        <v>50</v>
      </c>
      <c r="D2336">
        <v>80</v>
      </c>
      <c r="E2336">
        <v>64.079618692458695</v>
      </c>
      <c r="F2336">
        <v>0.625</v>
      </c>
      <c r="G2336">
        <v>3225</v>
      </c>
      <c r="H2336">
        <v>224.85281229019199</v>
      </c>
      <c r="I2336">
        <v>0.66377555135851796</v>
      </c>
      <c r="J2336">
        <v>0.80157273304748</v>
      </c>
      <c r="K2336">
        <v>0.962686567164179</v>
      </c>
      <c r="L2336" t="s">
        <v>38</v>
      </c>
      <c r="M2336" t="s">
        <v>34</v>
      </c>
      <c r="N2336" t="s">
        <v>35</v>
      </c>
      <c r="O2336">
        <v>0.71245769343355103</v>
      </c>
      <c r="P2336" t="s">
        <v>36</v>
      </c>
    </row>
    <row r="2337" spans="1:16">
      <c r="A2337">
        <v>2336</v>
      </c>
      <c r="B2337" t="s">
        <v>2398</v>
      </c>
      <c r="C2337">
        <v>63</v>
      </c>
      <c r="D2337">
        <v>84</v>
      </c>
      <c r="E2337">
        <v>64.190225039838495</v>
      </c>
      <c r="F2337">
        <v>0.75198356834621805</v>
      </c>
      <c r="G2337">
        <v>3236.1428041587901</v>
      </c>
      <c r="H2337">
        <v>384.959470984728</v>
      </c>
      <c r="I2337">
        <v>0.74384103029663695</v>
      </c>
      <c r="J2337">
        <v>0.27441479604399199</v>
      </c>
      <c r="K2337">
        <v>0.80901423104076098</v>
      </c>
      <c r="L2337" t="s">
        <v>38</v>
      </c>
      <c r="M2337" t="s">
        <v>34</v>
      </c>
      <c r="N2337" t="s">
        <v>35</v>
      </c>
      <c r="O2337">
        <v>0.68638587045601995</v>
      </c>
      <c r="P2337" t="s">
        <v>36</v>
      </c>
    </row>
    <row r="2338" spans="1:16">
      <c r="A2338">
        <v>2337</v>
      </c>
      <c r="B2338" t="s">
        <v>2399</v>
      </c>
      <c r="C2338">
        <v>71</v>
      </c>
      <c r="D2338">
        <v>84</v>
      </c>
      <c r="E2338">
        <v>64.271248225548206</v>
      </c>
      <c r="F2338">
        <v>0.84879336271683004</v>
      </c>
      <c r="G2338">
        <v>3244.3175092627598</v>
      </c>
      <c r="H2338">
        <v>320.96979026276102</v>
      </c>
      <c r="I2338">
        <v>0.52583994171516402</v>
      </c>
      <c r="J2338">
        <v>0.39573539659861801</v>
      </c>
      <c r="K2338">
        <v>0.78693489076357304</v>
      </c>
      <c r="L2338" t="s">
        <v>33</v>
      </c>
      <c r="M2338" t="s">
        <v>34</v>
      </c>
      <c r="N2338" t="s">
        <v>35</v>
      </c>
      <c r="O2338">
        <v>0.81176834848368595</v>
      </c>
      <c r="P2338" t="s">
        <v>36</v>
      </c>
    </row>
    <row r="2339" spans="1:16">
      <c r="A2339">
        <v>2338</v>
      </c>
      <c r="B2339" t="s">
        <v>2400</v>
      </c>
      <c r="C2339">
        <v>65</v>
      </c>
      <c r="D2339">
        <v>83</v>
      </c>
      <c r="E2339">
        <v>64.400673295843006</v>
      </c>
      <c r="F2339">
        <v>0.788983779486646</v>
      </c>
      <c r="G2339">
        <v>3257.3970374291098</v>
      </c>
      <c r="H2339">
        <v>288.224647064831</v>
      </c>
      <c r="I2339">
        <v>0.72225406431874795</v>
      </c>
      <c r="J2339">
        <v>0.49274057839325902</v>
      </c>
      <c r="K2339">
        <v>0.81645121633200501</v>
      </c>
      <c r="L2339" t="s">
        <v>33</v>
      </c>
      <c r="M2339" t="s">
        <v>34</v>
      </c>
      <c r="N2339" t="s">
        <v>35</v>
      </c>
      <c r="O2339">
        <v>0.77603184314587603</v>
      </c>
      <c r="P2339" t="s">
        <v>36</v>
      </c>
    </row>
    <row r="2340" spans="1:16">
      <c r="A2340">
        <v>2339</v>
      </c>
      <c r="B2340" t="s">
        <v>2401</v>
      </c>
      <c r="C2340">
        <v>77</v>
      </c>
      <c r="D2340">
        <v>85</v>
      </c>
      <c r="E2340">
        <v>64.594324670900605</v>
      </c>
      <c r="F2340">
        <v>0.902476906520712</v>
      </c>
      <c r="G2340">
        <v>3277.01632967864</v>
      </c>
      <c r="H2340">
        <v>426.528284606726</v>
      </c>
      <c r="I2340">
        <v>0.72953461019187404</v>
      </c>
      <c r="J2340">
        <v>0.22635640998405701</v>
      </c>
      <c r="K2340">
        <v>0.649770128492279</v>
      </c>
      <c r="L2340" t="s">
        <v>33</v>
      </c>
      <c r="M2340" t="s">
        <v>34</v>
      </c>
      <c r="N2340" t="s">
        <v>35</v>
      </c>
      <c r="O2340">
        <v>0.69098052656666198</v>
      </c>
      <c r="P2340" t="s">
        <v>36</v>
      </c>
    </row>
    <row r="2341" spans="1:16">
      <c r="A2341">
        <v>2340</v>
      </c>
      <c r="B2341" t="s">
        <v>2402</v>
      </c>
      <c r="C2341">
        <v>83</v>
      </c>
      <c r="D2341">
        <v>68</v>
      </c>
      <c r="E2341">
        <v>64.638255435656205</v>
      </c>
      <c r="F2341">
        <v>1.2338708734661099</v>
      </c>
      <c r="G2341">
        <v>3281.4752597353499</v>
      </c>
      <c r="H2341">
        <v>496.84527822515201</v>
      </c>
      <c r="I2341">
        <v>0.65204813886002</v>
      </c>
      <c r="J2341">
        <v>0.16704622459511601</v>
      </c>
      <c r="K2341">
        <v>0.67765500306936799</v>
      </c>
      <c r="L2341" t="s">
        <v>33</v>
      </c>
      <c r="M2341" t="s">
        <v>34</v>
      </c>
      <c r="N2341" t="s">
        <v>35</v>
      </c>
      <c r="O2341">
        <v>0.74226330120719297</v>
      </c>
      <c r="P2341" t="s">
        <v>36</v>
      </c>
    </row>
    <row r="2342" spans="1:16">
      <c r="A2342">
        <v>2341</v>
      </c>
      <c r="B2342" t="s">
        <v>2403</v>
      </c>
      <c r="C2342">
        <v>68</v>
      </c>
      <c r="D2342">
        <v>93</v>
      </c>
      <c r="E2342">
        <v>64.651428844131203</v>
      </c>
      <c r="F2342">
        <v>0.72941176470588198</v>
      </c>
      <c r="G2342">
        <v>3282.81293875236</v>
      </c>
      <c r="H2342">
        <v>485.80863851619802</v>
      </c>
      <c r="I2342">
        <v>0.69585274826058097</v>
      </c>
      <c r="J2342">
        <v>0.17479360295272101</v>
      </c>
      <c r="K2342">
        <v>0.66174311651736195</v>
      </c>
      <c r="L2342" t="s">
        <v>38</v>
      </c>
      <c r="M2342" t="s">
        <v>34</v>
      </c>
      <c r="N2342" t="s">
        <v>35</v>
      </c>
      <c r="O2342">
        <v>0.80362168271323198</v>
      </c>
      <c r="P2342" t="s">
        <v>36</v>
      </c>
    </row>
    <row r="2343" spans="1:16">
      <c r="A2343">
        <v>2342</v>
      </c>
      <c r="B2343" t="s">
        <v>2404</v>
      </c>
      <c r="C2343">
        <v>94</v>
      </c>
      <c r="D2343">
        <v>80</v>
      </c>
      <c r="E2343">
        <v>64.905589210985198</v>
      </c>
      <c r="F2343">
        <v>1.17993866537351</v>
      </c>
      <c r="G2343">
        <v>3308.67473308129</v>
      </c>
      <c r="H2343">
        <v>696.30794652202906</v>
      </c>
      <c r="I2343">
        <v>0.77936488898523104</v>
      </c>
      <c r="J2343">
        <v>8.5755352389217998E-2</v>
      </c>
      <c r="K2343">
        <v>0.55079671417260501</v>
      </c>
      <c r="L2343" t="s">
        <v>38</v>
      </c>
      <c r="M2343" t="s">
        <v>34</v>
      </c>
      <c r="N2343" t="s">
        <v>35</v>
      </c>
      <c r="O2343">
        <v>0.64629967638905705</v>
      </c>
      <c r="P2343" t="s">
        <v>36</v>
      </c>
    </row>
    <row r="2344" spans="1:16">
      <c r="A2344">
        <v>2343</v>
      </c>
      <c r="B2344" t="s">
        <v>2405</v>
      </c>
      <c r="C2344">
        <v>65</v>
      </c>
      <c r="D2344">
        <v>74</v>
      </c>
      <c r="E2344">
        <v>65.039571452998899</v>
      </c>
      <c r="F2344">
        <v>0.87908349786680495</v>
      </c>
      <c r="G2344">
        <v>3322.3487852551998</v>
      </c>
      <c r="H2344">
        <v>262.14110920273703</v>
      </c>
      <c r="I2344">
        <v>0.65583162521078497</v>
      </c>
      <c r="J2344">
        <v>0.60755391249524104</v>
      </c>
      <c r="K2344">
        <v>0.88984872611465005</v>
      </c>
      <c r="L2344" t="s">
        <v>144</v>
      </c>
      <c r="M2344" t="s">
        <v>34</v>
      </c>
      <c r="N2344" t="s">
        <v>35</v>
      </c>
      <c r="O2344">
        <v>0.81248509087894205</v>
      </c>
      <c r="P2344" t="s">
        <v>36</v>
      </c>
    </row>
    <row r="2345" spans="1:16">
      <c r="A2345">
        <v>2344</v>
      </c>
      <c r="B2345" t="s">
        <v>2406</v>
      </c>
      <c r="C2345">
        <v>73</v>
      </c>
      <c r="D2345">
        <v>93</v>
      </c>
      <c r="E2345">
        <v>65.134066672413994</v>
      </c>
      <c r="F2345">
        <v>0.78823529411764703</v>
      </c>
      <c r="G2345">
        <v>3332.0098003780699</v>
      </c>
      <c r="H2345">
        <v>514.32433446656103</v>
      </c>
      <c r="I2345">
        <v>0.709706609452458</v>
      </c>
      <c r="J2345">
        <v>0.15828581203363801</v>
      </c>
      <c r="K2345">
        <v>0.66331331183241105</v>
      </c>
      <c r="L2345" t="s">
        <v>49</v>
      </c>
      <c r="M2345" t="s">
        <v>34</v>
      </c>
      <c r="N2345" t="s">
        <v>35</v>
      </c>
      <c r="O2345">
        <v>0.745531219261381</v>
      </c>
      <c r="P2345" t="s">
        <v>36</v>
      </c>
    </row>
    <row r="2346" spans="1:16">
      <c r="A2346">
        <v>2345</v>
      </c>
      <c r="B2346" t="s">
        <v>2407</v>
      </c>
      <c r="C2346">
        <v>92</v>
      </c>
      <c r="D2346">
        <v>59</v>
      </c>
      <c r="E2346">
        <v>65.229875598933802</v>
      </c>
      <c r="F2346">
        <v>1.57380429252915</v>
      </c>
      <c r="G2346">
        <v>3341.81944650284</v>
      </c>
      <c r="H2346">
        <v>363.09597813170899</v>
      </c>
      <c r="I2346">
        <v>0.77037670942168202</v>
      </c>
      <c r="J2346">
        <v>0.31852972676469199</v>
      </c>
      <c r="K2346">
        <v>0.82914776708337901</v>
      </c>
      <c r="L2346" t="s">
        <v>298</v>
      </c>
      <c r="M2346" t="s">
        <v>34</v>
      </c>
      <c r="N2346" t="s">
        <v>35</v>
      </c>
      <c r="O2346">
        <v>0.73129945229443405</v>
      </c>
      <c r="P2346" t="s">
        <v>36</v>
      </c>
    </row>
    <row r="2347" spans="1:16">
      <c r="A2347">
        <v>2346</v>
      </c>
      <c r="B2347" t="s">
        <v>2408</v>
      </c>
      <c r="C2347">
        <v>79</v>
      </c>
      <c r="D2347">
        <v>73</v>
      </c>
      <c r="E2347">
        <v>65.377667772021297</v>
      </c>
      <c r="F2347">
        <v>1.07462686567164</v>
      </c>
      <c r="G2347">
        <v>3356.9798086956498</v>
      </c>
      <c r="H2347">
        <v>492.06396596493897</v>
      </c>
      <c r="I2347">
        <v>0.73829167094668802</v>
      </c>
      <c r="J2347">
        <v>0.17422700369852501</v>
      </c>
      <c r="K2347">
        <v>0.70693918432501801</v>
      </c>
      <c r="L2347" t="s">
        <v>47</v>
      </c>
      <c r="M2347" t="s">
        <v>34</v>
      </c>
      <c r="N2347" t="s">
        <v>35</v>
      </c>
      <c r="O2347">
        <v>0.89698800143967405</v>
      </c>
      <c r="P2347" t="s">
        <v>36</v>
      </c>
    </row>
    <row r="2348" spans="1:16">
      <c r="A2348">
        <v>2347</v>
      </c>
      <c r="B2348" t="s">
        <v>2409</v>
      </c>
      <c r="C2348">
        <v>88</v>
      </c>
      <c r="D2348">
        <v>73</v>
      </c>
      <c r="E2348">
        <v>65.402267331376606</v>
      </c>
      <c r="F2348">
        <v>1.2105263157894699</v>
      </c>
      <c r="G2348">
        <v>3359.5065357277899</v>
      </c>
      <c r="H2348">
        <v>574.58552875695</v>
      </c>
      <c r="I2348">
        <v>0.63510862589094796</v>
      </c>
      <c r="J2348">
        <v>0.127872155685852</v>
      </c>
      <c r="K2348">
        <v>0.62941717022639299</v>
      </c>
      <c r="L2348" t="s">
        <v>893</v>
      </c>
      <c r="M2348" t="s">
        <v>34</v>
      </c>
      <c r="N2348" t="s">
        <v>35</v>
      </c>
      <c r="O2348">
        <v>0.767521099646577</v>
      </c>
      <c r="P2348" t="s">
        <v>36</v>
      </c>
    </row>
    <row r="2349" spans="1:16">
      <c r="A2349">
        <v>2348</v>
      </c>
      <c r="B2349" t="s">
        <v>2410</v>
      </c>
      <c r="C2349">
        <v>58</v>
      </c>
      <c r="D2349">
        <v>122</v>
      </c>
      <c r="E2349">
        <v>65.571319856923395</v>
      </c>
      <c r="F2349">
        <v>0.47982062504114098</v>
      </c>
      <c r="G2349">
        <v>3376.8963629489599</v>
      </c>
      <c r="H2349">
        <v>708.24793192987897</v>
      </c>
      <c r="I2349">
        <v>0.81177414987371799</v>
      </c>
      <c r="J2349">
        <v>8.4597390358398195E-2</v>
      </c>
      <c r="K2349">
        <v>0.57039566177947398</v>
      </c>
      <c r="L2349" t="s">
        <v>33</v>
      </c>
      <c r="M2349" t="s">
        <v>34</v>
      </c>
      <c r="N2349" t="s">
        <v>35</v>
      </c>
      <c r="O2349">
        <v>0.68247983568932802</v>
      </c>
      <c r="P2349" t="s">
        <v>36</v>
      </c>
    </row>
    <row r="2350" spans="1:16">
      <c r="A2350">
        <v>2349</v>
      </c>
      <c r="B2350" t="s">
        <v>2411</v>
      </c>
      <c r="C2350">
        <v>68</v>
      </c>
      <c r="D2350">
        <v>73</v>
      </c>
      <c r="E2350">
        <v>65.695303291243604</v>
      </c>
      <c r="F2350">
        <v>0.93100703625577297</v>
      </c>
      <c r="G2350">
        <v>3389.67862911153</v>
      </c>
      <c r="H2350">
        <v>340.41603650030902</v>
      </c>
      <c r="I2350">
        <v>0.70342232183474596</v>
      </c>
      <c r="J2350">
        <v>0.36757703269952502</v>
      </c>
      <c r="K2350">
        <v>0.8145</v>
      </c>
      <c r="L2350" t="s">
        <v>38</v>
      </c>
      <c r="M2350" t="s">
        <v>34</v>
      </c>
      <c r="N2350" t="s">
        <v>35</v>
      </c>
      <c r="O2350">
        <v>0.84118789317375098</v>
      </c>
      <c r="P2350" t="s">
        <v>36</v>
      </c>
    </row>
    <row r="2351" spans="1:16">
      <c r="A2351">
        <v>2350</v>
      </c>
      <c r="B2351" t="s">
        <v>2412</v>
      </c>
      <c r="C2351">
        <v>98</v>
      </c>
      <c r="D2351">
        <v>68</v>
      </c>
      <c r="E2351">
        <v>65.849235846217496</v>
      </c>
      <c r="F2351">
        <v>1.44</v>
      </c>
      <c r="G2351">
        <v>3405.5821463138</v>
      </c>
      <c r="H2351">
        <v>765.98617820729396</v>
      </c>
      <c r="I2351">
        <v>0.53841499514536695</v>
      </c>
      <c r="J2351">
        <v>7.2938924996142004E-2</v>
      </c>
      <c r="K2351">
        <v>0.58101734455827203</v>
      </c>
      <c r="L2351" t="s">
        <v>38</v>
      </c>
      <c r="M2351" t="s">
        <v>34</v>
      </c>
      <c r="N2351" t="s">
        <v>35</v>
      </c>
      <c r="O2351">
        <v>0.67845362780308105</v>
      </c>
      <c r="P2351" t="s">
        <v>36</v>
      </c>
    </row>
    <row r="2352" spans="1:16">
      <c r="A2352">
        <v>2351</v>
      </c>
      <c r="B2352" t="s">
        <v>2413</v>
      </c>
      <c r="C2352">
        <v>78</v>
      </c>
      <c r="D2352">
        <v>77</v>
      </c>
      <c r="E2352">
        <v>65.991339625587599</v>
      </c>
      <c r="F2352">
        <v>1.00452788533629</v>
      </c>
      <c r="G2352">
        <v>3420.2966155009499</v>
      </c>
      <c r="H2352">
        <v>395.54443784423501</v>
      </c>
      <c r="I2352">
        <v>0.71671719884333596</v>
      </c>
      <c r="J2352">
        <v>0.27471544125012398</v>
      </c>
      <c r="K2352">
        <v>0.74692459995455895</v>
      </c>
      <c r="L2352" t="s">
        <v>74</v>
      </c>
      <c r="M2352" t="s">
        <v>34</v>
      </c>
      <c r="N2352" t="s">
        <v>35</v>
      </c>
      <c r="O2352">
        <v>0.66551552209564702</v>
      </c>
      <c r="P2352" t="s">
        <v>36</v>
      </c>
    </row>
    <row r="2353" spans="1:16">
      <c r="A2353">
        <v>2352</v>
      </c>
      <c r="B2353" t="s">
        <v>2414</v>
      </c>
      <c r="C2353">
        <v>57</v>
      </c>
      <c r="D2353">
        <v>111</v>
      </c>
      <c r="E2353">
        <v>66.036697681803702</v>
      </c>
      <c r="F2353">
        <v>0.51369858541397895</v>
      </c>
      <c r="G2353">
        <v>3425</v>
      </c>
      <c r="H2353">
        <v>353.84775996208202</v>
      </c>
      <c r="I2353">
        <v>0.79911876450222996</v>
      </c>
      <c r="J2353">
        <v>0.343745909265184</v>
      </c>
      <c r="K2353">
        <v>0.66183574879227103</v>
      </c>
      <c r="L2353" t="s">
        <v>38</v>
      </c>
      <c r="M2353" t="s">
        <v>34</v>
      </c>
      <c r="N2353" t="s">
        <v>35</v>
      </c>
      <c r="O2353">
        <v>0.71121479584263403</v>
      </c>
      <c r="P2353" t="s">
        <v>36</v>
      </c>
    </row>
    <row r="2354" spans="1:16">
      <c r="A2354">
        <v>2353</v>
      </c>
      <c r="B2354" t="s">
        <v>2415</v>
      </c>
      <c r="C2354">
        <v>76</v>
      </c>
      <c r="D2354">
        <v>82</v>
      </c>
      <c r="E2354">
        <v>66.094495929393602</v>
      </c>
      <c r="F2354">
        <v>0.92663053852854005</v>
      </c>
      <c r="G2354">
        <v>3430.9980476370501</v>
      </c>
      <c r="H2354">
        <v>362.33432655417403</v>
      </c>
      <c r="I2354">
        <v>0.85632742254940797</v>
      </c>
      <c r="J2354">
        <v>0.32840622091939398</v>
      </c>
      <c r="K2354">
        <v>0.75697655353336601</v>
      </c>
      <c r="L2354" t="s">
        <v>298</v>
      </c>
      <c r="M2354" t="s">
        <v>34</v>
      </c>
      <c r="N2354" t="s">
        <v>35</v>
      </c>
      <c r="O2354">
        <v>0.71791861737207496</v>
      </c>
      <c r="P2354" t="s">
        <v>36</v>
      </c>
    </row>
    <row r="2355" spans="1:16">
      <c r="A2355">
        <v>2354</v>
      </c>
      <c r="B2355" t="s">
        <v>2416</v>
      </c>
      <c r="C2355">
        <v>74</v>
      </c>
      <c r="D2355">
        <v>74</v>
      </c>
      <c r="E2355">
        <v>66.157092855015307</v>
      </c>
      <c r="F2355">
        <v>0.99999993577623003</v>
      </c>
      <c r="G2355">
        <v>3437.5</v>
      </c>
      <c r="H2355">
        <v>300.208150744438</v>
      </c>
      <c r="I2355">
        <v>0.54648435198670697</v>
      </c>
      <c r="J2355">
        <v>0.47930020226668202</v>
      </c>
      <c r="K2355">
        <v>0.79250720461095103</v>
      </c>
      <c r="L2355" t="s">
        <v>38</v>
      </c>
      <c r="M2355" t="s">
        <v>34</v>
      </c>
      <c r="N2355" t="s">
        <v>35</v>
      </c>
      <c r="O2355">
        <v>0.70891302480570395</v>
      </c>
      <c r="P2355" t="s">
        <v>36</v>
      </c>
    </row>
    <row r="2356" spans="1:16">
      <c r="A2356">
        <v>2355</v>
      </c>
      <c r="B2356" t="s">
        <v>2417</v>
      </c>
      <c r="C2356">
        <v>97</v>
      </c>
      <c r="D2356">
        <v>71</v>
      </c>
      <c r="E2356">
        <v>66.2074963944861</v>
      </c>
      <c r="F2356">
        <v>1.3564681062772801</v>
      </c>
      <c r="G2356">
        <v>3442.7398967863901</v>
      </c>
      <c r="H2356">
        <v>553.15101127220203</v>
      </c>
      <c r="I2356">
        <v>0.626217958065586</v>
      </c>
      <c r="J2356">
        <v>0.141392591694707</v>
      </c>
      <c r="K2356">
        <v>0.660441377737226</v>
      </c>
      <c r="L2356" t="s">
        <v>49</v>
      </c>
      <c r="M2356" t="s">
        <v>34</v>
      </c>
      <c r="N2356" t="s">
        <v>35</v>
      </c>
      <c r="O2356">
        <v>0.65958974649931201</v>
      </c>
      <c r="P2356" t="s">
        <v>36</v>
      </c>
    </row>
    <row r="2357" spans="1:16">
      <c r="A2357">
        <v>2356</v>
      </c>
      <c r="B2357" t="s">
        <v>2418</v>
      </c>
      <c r="C2357">
        <v>59</v>
      </c>
      <c r="D2357">
        <v>113</v>
      </c>
      <c r="E2357">
        <v>66.343128139981602</v>
      </c>
      <c r="F2357">
        <v>0.521447708624594</v>
      </c>
      <c r="G2357">
        <v>3456.8598419659702</v>
      </c>
      <c r="H2357">
        <v>536.92678141593899</v>
      </c>
      <c r="I2357">
        <v>0.62819223692145598</v>
      </c>
      <c r="J2357">
        <v>0.15068204375588801</v>
      </c>
      <c r="K2357">
        <v>0.67498621470238296</v>
      </c>
      <c r="L2357" t="s">
        <v>47</v>
      </c>
      <c r="M2357" t="s">
        <v>34</v>
      </c>
      <c r="N2357" t="s">
        <v>35</v>
      </c>
      <c r="O2357">
        <v>0.92877540161026995</v>
      </c>
      <c r="P2357" t="s">
        <v>36</v>
      </c>
    </row>
    <row r="2358" spans="1:16">
      <c r="A2358">
        <v>2357</v>
      </c>
      <c r="B2358" t="s">
        <v>2419</v>
      </c>
      <c r="C2358">
        <v>67</v>
      </c>
      <c r="D2358">
        <v>71</v>
      </c>
      <c r="E2358">
        <v>66.345980565037905</v>
      </c>
      <c r="F2358">
        <v>0.94896021824691401</v>
      </c>
      <c r="G2358">
        <v>3457.1571039697501</v>
      </c>
      <c r="H2358">
        <v>240.34181578905699</v>
      </c>
      <c r="I2358">
        <v>0.752735033211274</v>
      </c>
      <c r="J2358">
        <v>0.75209084782930602</v>
      </c>
      <c r="K2358">
        <v>0.96807757938985295</v>
      </c>
      <c r="L2358" t="s">
        <v>38</v>
      </c>
      <c r="M2358" t="s">
        <v>34</v>
      </c>
      <c r="N2358" t="s">
        <v>35</v>
      </c>
      <c r="O2358">
        <v>0.83587445899346302</v>
      </c>
      <c r="P2358" t="s">
        <v>36</v>
      </c>
    </row>
    <row r="2359" spans="1:16">
      <c r="A2359">
        <v>2358</v>
      </c>
      <c r="B2359" t="s">
        <v>2420</v>
      </c>
      <c r="C2359">
        <v>115</v>
      </c>
      <c r="D2359">
        <v>59</v>
      </c>
      <c r="E2359">
        <v>66.411552527543606</v>
      </c>
      <c r="F2359">
        <v>1.94907394496543</v>
      </c>
      <c r="G2359">
        <v>3463.9941300567102</v>
      </c>
      <c r="H2359">
        <v>538.20430528226098</v>
      </c>
      <c r="I2359">
        <v>0.71746516703394903</v>
      </c>
      <c r="J2359">
        <v>0.150277055296654</v>
      </c>
      <c r="K2359">
        <v>0.61553495496923105</v>
      </c>
      <c r="L2359" t="s">
        <v>33</v>
      </c>
      <c r="M2359" t="s">
        <v>34</v>
      </c>
      <c r="N2359" t="s">
        <v>35</v>
      </c>
      <c r="O2359">
        <v>0.84966365626589702</v>
      </c>
      <c r="P2359" t="s">
        <v>36</v>
      </c>
    </row>
    <row r="2360" spans="1:16">
      <c r="A2360">
        <v>2359</v>
      </c>
      <c r="B2360" t="s">
        <v>2421</v>
      </c>
      <c r="C2360">
        <v>68</v>
      </c>
      <c r="D2360">
        <v>77</v>
      </c>
      <c r="E2360">
        <v>66.495561042827006</v>
      </c>
      <c r="F2360">
        <v>0.88028177186816003</v>
      </c>
      <c r="G2360">
        <v>3472.7633591682402</v>
      </c>
      <c r="H2360">
        <v>296.66635331309402</v>
      </c>
      <c r="I2360">
        <v>0.74650717837579506</v>
      </c>
      <c r="J2360">
        <v>0.49584788858896101</v>
      </c>
      <c r="K2360">
        <v>0.860050796922737</v>
      </c>
      <c r="L2360" t="s">
        <v>2422</v>
      </c>
      <c r="M2360" t="s">
        <v>34</v>
      </c>
      <c r="N2360" t="s">
        <v>35</v>
      </c>
      <c r="O2360">
        <v>0.65949261582034502</v>
      </c>
      <c r="P2360" t="s">
        <v>36</v>
      </c>
    </row>
    <row r="2361" spans="1:16">
      <c r="A2361">
        <v>2360</v>
      </c>
      <c r="B2361" t="s">
        <v>2423</v>
      </c>
      <c r="C2361">
        <v>88</v>
      </c>
      <c r="D2361">
        <v>77</v>
      </c>
      <c r="E2361">
        <v>66.524014429256596</v>
      </c>
      <c r="F2361">
        <v>1.13380281690141</v>
      </c>
      <c r="G2361">
        <v>3475.7359792060502</v>
      </c>
      <c r="H2361">
        <v>498.20969901198902</v>
      </c>
      <c r="I2361">
        <v>0.676640429146249</v>
      </c>
      <c r="J2361">
        <v>0.175967428506454</v>
      </c>
      <c r="K2361">
        <v>0.73825609294102801</v>
      </c>
      <c r="L2361" t="s">
        <v>38</v>
      </c>
      <c r="M2361" t="s">
        <v>34</v>
      </c>
      <c r="N2361" t="s">
        <v>35</v>
      </c>
      <c r="O2361">
        <v>0.703413924615508</v>
      </c>
      <c r="P2361" t="s">
        <v>36</v>
      </c>
    </row>
    <row r="2362" spans="1:16">
      <c r="A2362">
        <v>2361</v>
      </c>
      <c r="B2362" t="s">
        <v>2424</v>
      </c>
      <c r="C2362">
        <v>63</v>
      </c>
      <c r="D2362">
        <v>77</v>
      </c>
      <c r="E2362">
        <v>66.7923004399387</v>
      </c>
      <c r="F2362">
        <v>0.82305841673352498</v>
      </c>
      <c r="G2362">
        <v>3503.82723856333</v>
      </c>
      <c r="H2362">
        <v>253.20784437697901</v>
      </c>
      <c r="I2362">
        <v>0.73611715712498305</v>
      </c>
      <c r="J2362">
        <v>0.68674931755636903</v>
      </c>
      <c r="K2362">
        <v>0.93038124556002799</v>
      </c>
      <c r="L2362" t="s">
        <v>33</v>
      </c>
      <c r="M2362" t="s">
        <v>34</v>
      </c>
      <c r="N2362" t="s">
        <v>35</v>
      </c>
      <c r="O2362">
        <v>0.69865769750304096</v>
      </c>
      <c r="P2362" t="s">
        <v>36</v>
      </c>
    </row>
    <row r="2363" spans="1:16">
      <c r="A2363">
        <v>2362</v>
      </c>
      <c r="B2363" t="s">
        <v>2425</v>
      </c>
      <c r="C2363">
        <v>60</v>
      </c>
      <c r="D2363">
        <v>102</v>
      </c>
      <c r="E2363">
        <v>66.871585884687505</v>
      </c>
      <c r="F2363">
        <v>0.58914930357183104</v>
      </c>
      <c r="G2363">
        <v>3512.1505746691901</v>
      </c>
      <c r="H2363">
        <v>372.83239649316499</v>
      </c>
      <c r="I2363">
        <v>0.70874126294770701</v>
      </c>
      <c r="J2363">
        <v>0.31750875575165399</v>
      </c>
      <c r="K2363">
        <v>0.78359198832736399</v>
      </c>
      <c r="L2363" t="s">
        <v>33</v>
      </c>
      <c r="M2363" t="s">
        <v>34</v>
      </c>
      <c r="N2363" t="s">
        <v>35</v>
      </c>
      <c r="O2363">
        <v>0.64074873634947604</v>
      </c>
      <c r="P2363" t="s">
        <v>36</v>
      </c>
    </row>
    <row r="2364" spans="1:16">
      <c r="A2364">
        <v>2363</v>
      </c>
      <c r="B2364" t="s">
        <v>2426</v>
      </c>
      <c r="C2364">
        <v>88</v>
      </c>
      <c r="D2364">
        <v>69</v>
      </c>
      <c r="E2364">
        <v>67.083495951762998</v>
      </c>
      <c r="F2364">
        <v>1.28571428571429</v>
      </c>
      <c r="G2364">
        <v>3534.4452249527399</v>
      </c>
      <c r="H2364">
        <v>486.08262452042601</v>
      </c>
      <c r="I2364">
        <v>0.61666460044439197</v>
      </c>
      <c r="J2364">
        <v>0.18797968842184301</v>
      </c>
      <c r="K2364">
        <v>0.68390325271059205</v>
      </c>
      <c r="L2364" t="s">
        <v>33</v>
      </c>
      <c r="M2364" t="s">
        <v>34</v>
      </c>
      <c r="N2364" t="s">
        <v>35</v>
      </c>
      <c r="O2364">
        <v>0.64657665903374795</v>
      </c>
      <c r="P2364" t="s">
        <v>36</v>
      </c>
    </row>
    <row r="2365" spans="1:16">
      <c r="A2365">
        <v>2364</v>
      </c>
      <c r="B2365" t="s">
        <v>2427</v>
      </c>
      <c r="C2365">
        <v>88</v>
      </c>
      <c r="D2365">
        <v>73</v>
      </c>
      <c r="E2365">
        <v>67.099009684727704</v>
      </c>
      <c r="F2365">
        <v>1.20149253731343</v>
      </c>
      <c r="G2365">
        <v>3536.0801659735398</v>
      </c>
      <c r="H2365">
        <v>518.21170326637196</v>
      </c>
      <c r="I2365">
        <v>0.58639663827821997</v>
      </c>
      <c r="J2365">
        <v>0.16546933922300899</v>
      </c>
      <c r="K2365">
        <v>0.67605353641556098</v>
      </c>
      <c r="L2365" t="s">
        <v>38</v>
      </c>
      <c r="M2365" t="s">
        <v>34</v>
      </c>
      <c r="N2365" t="s">
        <v>35</v>
      </c>
      <c r="O2365">
        <v>0.74841587616499405</v>
      </c>
      <c r="P2365" t="s">
        <v>36</v>
      </c>
    </row>
    <row r="2366" spans="1:16">
      <c r="A2366">
        <v>2365</v>
      </c>
      <c r="B2366" t="s">
        <v>2428</v>
      </c>
      <c r="C2366">
        <v>78</v>
      </c>
      <c r="D2366">
        <v>58</v>
      </c>
      <c r="E2366">
        <v>67.293332631235302</v>
      </c>
      <c r="F2366">
        <v>1.32762270317788</v>
      </c>
      <c r="G2366">
        <v>3556.5912442344102</v>
      </c>
      <c r="H2366">
        <v>246.113370668681</v>
      </c>
      <c r="I2366">
        <v>0.59969793326493603</v>
      </c>
      <c r="J2366">
        <v>0.737859039616376</v>
      </c>
      <c r="K2366">
        <v>0.941641744057925</v>
      </c>
      <c r="L2366" t="s">
        <v>298</v>
      </c>
      <c r="M2366" t="s">
        <v>34</v>
      </c>
      <c r="N2366" t="s">
        <v>35</v>
      </c>
      <c r="O2366">
        <v>0.66460840813378397</v>
      </c>
      <c r="P2366" t="s">
        <v>36</v>
      </c>
    </row>
    <row r="2367" spans="1:16">
      <c r="A2367">
        <v>2366</v>
      </c>
      <c r="B2367" t="s">
        <v>2429</v>
      </c>
      <c r="C2367">
        <v>83</v>
      </c>
      <c r="D2367">
        <v>112</v>
      </c>
      <c r="E2367">
        <v>67.524941244201401</v>
      </c>
      <c r="F2367">
        <v>0.73786407766990303</v>
      </c>
      <c r="G2367">
        <v>3581.1153595463102</v>
      </c>
      <c r="H2367">
        <v>666.92100459243898</v>
      </c>
      <c r="I2367">
        <v>0.509226453116286</v>
      </c>
      <c r="J2367">
        <v>0.10117643760506401</v>
      </c>
      <c r="K2367">
        <v>0.51892054877129501</v>
      </c>
      <c r="L2367" t="s">
        <v>38</v>
      </c>
      <c r="M2367" t="s">
        <v>34</v>
      </c>
      <c r="N2367" t="s">
        <v>35</v>
      </c>
      <c r="O2367">
        <v>0.72875459377795904</v>
      </c>
      <c r="P2367" t="s">
        <v>36</v>
      </c>
    </row>
    <row r="2368" spans="1:16">
      <c r="A2368">
        <v>2367</v>
      </c>
      <c r="B2368" t="s">
        <v>2430</v>
      </c>
      <c r="C2368">
        <v>126</v>
      </c>
      <c r="D2368">
        <v>55</v>
      </c>
      <c r="E2368">
        <v>67.582369355248602</v>
      </c>
      <c r="F2368">
        <v>2.29419520616573</v>
      </c>
      <c r="G2368">
        <v>3587.2092306238201</v>
      </c>
      <c r="H2368">
        <v>481.446899385763</v>
      </c>
      <c r="I2368">
        <v>0.604427557558878</v>
      </c>
      <c r="J2368">
        <v>0.19447768862186099</v>
      </c>
      <c r="K2368">
        <v>0.71460294901403398</v>
      </c>
      <c r="L2368" t="s">
        <v>49</v>
      </c>
      <c r="M2368" t="s">
        <v>34</v>
      </c>
      <c r="N2368" t="s">
        <v>35</v>
      </c>
      <c r="O2368">
        <v>0.74019007003630299</v>
      </c>
      <c r="P2368" t="s">
        <v>36</v>
      </c>
    </row>
    <row r="2369" spans="1:16">
      <c r="A2369">
        <v>2368</v>
      </c>
      <c r="B2369" t="s">
        <v>2431</v>
      </c>
      <c r="C2369">
        <v>88</v>
      </c>
      <c r="D2369">
        <v>107</v>
      </c>
      <c r="E2369">
        <v>67.797640442149799</v>
      </c>
      <c r="F2369">
        <v>0.81725888324873097</v>
      </c>
      <c r="G2369">
        <v>3610.0984049149301</v>
      </c>
      <c r="H2369">
        <v>699.19177745974605</v>
      </c>
      <c r="I2369">
        <v>0.27100242598948499</v>
      </c>
      <c r="J2369">
        <v>9.2797500688517498E-2</v>
      </c>
      <c r="K2369">
        <v>0.47857269521013501</v>
      </c>
      <c r="L2369" t="s">
        <v>33</v>
      </c>
      <c r="M2369" t="s">
        <v>34</v>
      </c>
      <c r="N2369" t="s">
        <v>35</v>
      </c>
      <c r="O2369">
        <v>0.71819145221597003</v>
      </c>
      <c r="P2369" t="s">
        <v>36</v>
      </c>
    </row>
    <row r="2370" spans="1:16">
      <c r="A2370">
        <v>2369</v>
      </c>
      <c r="B2370" t="s">
        <v>2432</v>
      </c>
      <c r="C2370">
        <v>75</v>
      </c>
      <c r="D2370">
        <v>76</v>
      </c>
      <c r="E2370">
        <v>67.937422306597398</v>
      </c>
      <c r="F2370">
        <v>0.989690725543519</v>
      </c>
      <c r="G2370">
        <v>3625</v>
      </c>
      <c r="H2370">
        <v>281.42135381698603</v>
      </c>
      <c r="I2370">
        <v>0.77157983723871104</v>
      </c>
      <c r="J2370">
        <v>0.57518000340963604</v>
      </c>
      <c r="K2370">
        <v>0.873493975903614</v>
      </c>
      <c r="L2370" t="s">
        <v>38</v>
      </c>
      <c r="M2370" t="s">
        <v>34</v>
      </c>
      <c r="N2370" t="s">
        <v>35</v>
      </c>
      <c r="O2370">
        <v>0.75337995824862503</v>
      </c>
      <c r="P2370" t="s">
        <v>36</v>
      </c>
    </row>
    <row r="2371" spans="1:16">
      <c r="A2371">
        <v>2370</v>
      </c>
      <c r="B2371" t="s">
        <v>2433</v>
      </c>
      <c r="C2371">
        <v>75</v>
      </c>
      <c r="D2371">
        <v>118</v>
      </c>
      <c r="E2371">
        <v>67.957950082965098</v>
      </c>
      <c r="F2371">
        <v>0.63741593831255605</v>
      </c>
      <c r="G2371">
        <v>3627.1909701323302</v>
      </c>
      <c r="H2371">
        <v>622.29067318750504</v>
      </c>
      <c r="I2371">
        <v>0.73580266478238299</v>
      </c>
      <c r="J2371">
        <v>0.11770467211369499</v>
      </c>
      <c r="K2371">
        <v>0.59944486748053305</v>
      </c>
      <c r="L2371" t="s">
        <v>38</v>
      </c>
      <c r="M2371" t="s">
        <v>34</v>
      </c>
      <c r="N2371" t="s">
        <v>35</v>
      </c>
      <c r="O2371">
        <v>0.74279432707614901</v>
      </c>
      <c r="P2371" t="s">
        <v>36</v>
      </c>
    </row>
    <row r="2372" spans="1:16">
      <c r="A2372">
        <v>2371</v>
      </c>
      <c r="B2372" t="s">
        <v>2434</v>
      </c>
      <c r="C2372">
        <v>60</v>
      </c>
      <c r="D2372">
        <v>107</v>
      </c>
      <c r="E2372">
        <v>67.976048258030701</v>
      </c>
      <c r="F2372">
        <v>0.56645152782660702</v>
      </c>
      <c r="G2372">
        <v>3629.1231731569001</v>
      </c>
      <c r="H2372">
        <v>441.28790151295499</v>
      </c>
      <c r="I2372">
        <v>0.64244732726199405</v>
      </c>
      <c r="J2372">
        <v>0.23418956008776301</v>
      </c>
      <c r="K2372">
        <v>0.69311343249687796</v>
      </c>
      <c r="L2372" t="s">
        <v>33</v>
      </c>
      <c r="M2372" t="s">
        <v>34</v>
      </c>
      <c r="N2372" t="s">
        <v>35</v>
      </c>
      <c r="O2372">
        <v>0.66256532283842096</v>
      </c>
      <c r="P2372" t="s">
        <v>36</v>
      </c>
    </row>
    <row r="2373" spans="1:16">
      <c r="A2373">
        <v>2372</v>
      </c>
      <c r="B2373" t="s">
        <v>2435</v>
      </c>
      <c r="C2373">
        <v>61</v>
      </c>
      <c r="D2373">
        <v>112</v>
      </c>
      <c r="E2373">
        <v>68.009447620447901</v>
      </c>
      <c r="F2373">
        <v>0.545874685432441</v>
      </c>
      <c r="G2373">
        <v>3632.6903172022699</v>
      </c>
      <c r="H2373">
        <v>566.15873398148506</v>
      </c>
      <c r="I2373">
        <v>0.73430964865492898</v>
      </c>
      <c r="J2373">
        <v>0.142416994846776</v>
      </c>
      <c r="K2373">
        <v>0.60229176934450501</v>
      </c>
      <c r="L2373" t="s">
        <v>38</v>
      </c>
      <c r="M2373" t="s">
        <v>34</v>
      </c>
      <c r="N2373" t="s">
        <v>35</v>
      </c>
      <c r="O2373">
        <v>0.69378593968067703</v>
      </c>
      <c r="P2373" t="s">
        <v>36</v>
      </c>
    </row>
    <row r="2374" spans="1:16">
      <c r="A2374">
        <v>2373</v>
      </c>
      <c r="B2374" t="s">
        <v>2436</v>
      </c>
      <c r="C2374">
        <v>98</v>
      </c>
      <c r="D2374">
        <v>68</v>
      </c>
      <c r="E2374">
        <v>68.131771869857701</v>
      </c>
      <c r="F2374">
        <v>1.4356719040769399</v>
      </c>
      <c r="G2374">
        <v>3645.7698453686198</v>
      </c>
      <c r="H2374">
        <v>527.77432778679804</v>
      </c>
      <c r="I2374">
        <v>0.72094682670135701</v>
      </c>
      <c r="J2374">
        <v>0.164476020618499</v>
      </c>
      <c r="K2374">
        <v>0.70829603534405605</v>
      </c>
      <c r="L2374" t="s">
        <v>38</v>
      </c>
      <c r="M2374" t="s">
        <v>34</v>
      </c>
      <c r="N2374" t="s">
        <v>35</v>
      </c>
      <c r="O2374">
        <v>0.80737992327396002</v>
      </c>
      <c r="P2374" t="s">
        <v>36</v>
      </c>
    </row>
    <row r="2375" spans="1:16">
      <c r="A2375">
        <v>2374</v>
      </c>
      <c r="B2375" t="s">
        <v>2437</v>
      </c>
      <c r="C2375">
        <v>64</v>
      </c>
      <c r="D2375">
        <v>115</v>
      </c>
      <c r="E2375">
        <v>68.361924010448107</v>
      </c>
      <c r="F2375">
        <v>0.55217575421510801</v>
      </c>
      <c r="G2375">
        <v>3670.4425916824198</v>
      </c>
      <c r="H2375">
        <v>522.16716450971103</v>
      </c>
      <c r="I2375">
        <v>0.73677145790777399</v>
      </c>
      <c r="J2375">
        <v>0.16916448178948701</v>
      </c>
      <c r="K2375">
        <v>0.63491451343360295</v>
      </c>
      <c r="L2375" t="s">
        <v>33</v>
      </c>
      <c r="M2375" t="s">
        <v>34</v>
      </c>
      <c r="N2375" t="s">
        <v>35</v>
      </c>
      <c r="O2375">
        <v>0.65004488115845804</v>
      </c>
      <c r="P2375" t="s">
        <v>36</v>
      </c>
    </row>
    <row r="2376" spans="1:16">
      <c r="A2376">
        <v>2375</v>
      </c>
      <c r="B2376" t="s">
        <v>2438</v>
      </c>
      <c r="C2376">
        <v>103</v>
      </c>
      <c r="D2376">
        <v>58</v>
      </c>
      <c r="E2376">
        <v>68.444921115895099</v>
      </c>
      <c r="F2376">
        <v>1.75700931114258</v>
      </c>
      <c r="G2376">
        <v>3679.3604517958402</v>
      </c>
      <c r="H2376">
        <v>555.51896992113302</v>
      </c>
      <c r="I2376">
        <v>0.77447447821470705</v>
      </c>
      <c r="J2376">
        <v>0.14982504342750899</v>
      </c>
      <c r="K2376">
        <v>0.65043747865156698</v>
      </c>
      <c r="L2376" t="s">
        <v>49</v>
      </c>
      <c r="M2376" t="s">
        <v>34</v>
      </c>
      <c r="N2376" t="s">
        <v>35</v>
      </c>
      <c r="O2376">
        <v>0.79391547265953799</v>
      </c>
      <c r="P2376" t="s">
        <v>36</v>
      </c>
    </row>
    <row r="2377" spans="1:16">
      <c r="A2377">
        <v>2376</v>
      </c>
      <c r="B2377" t="s">
        <v>2439</v>
      </c>
      <c r="C2377">
        <v>71</v>
      </c>
      <c r="D2377">
        <v>138</v>
      </c>
      <c r="E2377">
        <v>68.4476859528462</v>
      </c>
      <c r="F2377">
        <v>0.51068982024007403</v>
      </c>
      <c r="G2377">
        <v>3679.6577137996201</v>
      </c>
      <c r="H2377">
        <v>616.02205049608096</v>
      </c>
      <c r="I2377">
        <v>0.74723336450117195</v>
      </c>
      <c r="J2377">
        <v>0.12184978577050801</v>
      </c>
      <c r="K2377">
        <v>0.49696884535089098</v>
      </c>
      <c r="L2377" t="s">
        <v>38</v>
      </c>
      <c r="M2377" t="s">
        <v>34</v>
      </c>
      <c r="N2377" t="s">
        <v>35</v>
      </c>
      <c r="O2377">
        <v>0.69627260678532898</v>
      </c>
      <c r="P2377" t="s">
        <v>36</v>
      </c>
    </row>
    <row r="2378" spans="1:16">
      <c r="A2378">
        <v>2377</v>
      </c>
      <c r="B2378" t="s">
        <v>2440</v>
      </c>
      <c r="C2378">
        <v>101</v>
      </c>
      <c r="D2378">
        <v>61</v>
      </c>
      <c r="E2378">
        <v>68.479473554420693</v>
      </c>
      <c r="F2378">
        <v>1.64428206753063</v>
      </c>
      <c r="G2378">
        <v>3683.0762268430999</v>
      </c>
      <c r="H2378">
        <v>377.116640941578</v>
      </c>
      <c r="I2378">
        <v>0.78260819148020999</v>
      </c>
      <c r="J2378">
        <v>0.32543868595326297</v>
      </c>
      <c r="K2378">
        <v>0.750317931326833</v>
      </c>
      <c r="L2378" t="s">
        <v>33</v>
      </c>
      <c r="M2378" t="s">
        <v>34</v>
      </c>
      <c r="N2378" t="s">
        <v>35</v>
      </c>
      <c r="O2378">
        <v>0.69960707457585103</v>
      </c>
      <c r="P2378" t="s">
        <v>36</v>
      </c>
    </row>
    <row r="2379" spans="1:16">
      <c r="A2379">
        <v>2378</v>
      </c>
      <c r="B2379" t="s">
        <v>2441</v>
      </c>
      <c r="C2379">
        <v>67</v>
      </c>
      <c r="D2379">
        <v>93</v>
      </c>
      <c r="E2379">
        <v>68.806168751692397</v>
      </c>
      <c r="F2379">
        <v>0.71590559252435204</v>
      </c>
      <c r="G2379">
        <v>3718.3017742911202</v>
      </c>
      <c r="H2379">
        <v>444.48171117875899</v>
      </c>
      <c r="I2379">
        <v>0.57297321346369701</v>
      </c>
      <c r="J2379">
        <v>0.23650847393741201</v>
      </c>
      <c r="K2379">
        <v>0.77284522706209502</v>
      </c>
      <c r="L2379" t="s">
        <v>33</v>
      </c>
      <c r="M2379" t="s">
        <v>34</v>
      </c>
      <c r="N2379" t="s">
        <v>35</v>
      </c>
      <c r="O2379">
        <v>0.63686038672860901</v>
      </c>
      <c r="P2379" t="s">
        <v>36</v>
      </c>
    </row>
    <row r="2380" spans="1:16">
      <c r="A2380">
        <v>2379</v>
      </c>
      <c r="B2380" t="s">
        <v>2442</v>
      </c>
      <c r="C2380">
        <v>88</v>
      </c>
      <c r="D2380">
        <v>78</v>
      </c>
      <c r="E2380">
        <v>69.058739824989303</v>
      </c>
      <c r="F2380">
        <v>1.12587412587413</v>
      </c>
      <c r="G2380">
        <v>3745.6498786389402</v>
      </c>
      <c r="H2380">
        <v>452.48893282444601</v>
      </c>
      <c r="I2380">
        <v>0.67986566303335405</v>
      </c>
      <c r="J2380">
        <v>0.22989055071490599</v>
      </c>
      <c r="K2380">
        <v>0.71267780888549503</v>
      </c>
      <c r="L2380" t="s">
        <v>33</v>
      </c>
      <c r="M2380" t="s">
        <v>34</v>
      </c>
      <c r="N2380" t="s">
        <v>35</v>
      </c>
      <c r="O2380">
        <v>0.72102038953237302</v>
      </c>
      <c r="P2380" t="s">
        <v>36</v>
      </c>
    </row>
    <row r="2381" spans="1:16">
      <c r="A2381">
        <v>2380</v>
      </c>
      <c r="B2381" t="s">
        <v>2443</v>
      </c>
      <c r="C2381">
        <v>73</v>
      </c>
      <c r="D2381">
        <v>105</v>
      </c>
      <c r="E2381">
        <v>69.083398279621505</v>
      </c>
      <c r="F2381">
        <v>0.69630771091843002</v>
      </c>
      <c r="G2381">
        <v>3748.3252366729698</v>
      </c>
      <c r="H2381">
        <v>455.386059004846</v>
      </c>
      <c r="I2381">
        <v>0.54958747871760005</v>
      </c>
      <c r="J2381">
        <v>0.22713688663481599</v>
      </c>
      <c r="K2381">
        <v>0.68288654210668798</v>
      </c>
      <c r="L2381" t="s">
        <v>33</v>
      </c>
      <c r="M2381" t="s">
        <v>34</v>
      </c>
      <c r="N2381" t="s">
        <v>35</v>
      </c>
      <c r="O2381">
        <v>0.77835538506870305</v>
      </c>
      <c r="P2381" t="s">
        <v>36</v>
      </c>
    </row>
    <row r="2382" spans="1:16">
      <c r="A2382">
        <v>2381</v>
      </c>
      <c r="B2382" t="s">
        <v>2444</v>
      </c>
      <c r="C2382">
        <v>88</v>
      </c>
      <c r="D2382">
        <v>69</v>
      </c>
      <c r="E2382">
        <v>69.469933423308206</v>
      </c>
      <c r="F2382">
        <v>1.2777777777777799</v>
      </c>
      <c r="G2382">
        <v>3790.3878102079402</v>
      </c>
      <c r="H2382">
        <v>367.94148983126098</v>
      </c>
      <c r="I2382">
        <v>0.62557238554334704</v>
      </c>
      <c r="J2382">
        <v>0.35183252543967303</v>
      </c>
      <c r="K2382">
        <v>0.82039568923918305</v>
      </c>
      <c r="L2382" t="s">
        <v>72</v>
      </c>
      <c r="M2382" t="s">
        <v>34</v>
      </c>
      <c r="N2382" t="s">
        <v>35</v>
      </c>
      <c r="O2382">
        <v>0.75946866486751996</v>
      </c>
      <c r="P2382" t="s">
        <v>36</v>
      </c>
    </row>
    <row r="2383" spans="1:16">
      <c r="A2383">
        <v>2382</v>
      </c>
      <c r="B2383" t="s">
        <v>2445</v>
      </c>
      <c r="C2383">
        <v>85</v>
      </c>
      <c r="D2383">
        <v>79</v>
      </c>
      <c r="E2383">
        <v>69.831298520368804</v>
      </c>
      <c r="F2383">
        <v>1.07471689976037</v>
      </c>
      <c r="G2383">
        <v>3829.9236567107801</v>
      </c>
      <c r="H2383">
        <v>399.82868229264801</v>
      </c>
      <c r="I2383">
        <v>0.62160562541063302</v>
      </c>
      <c r="J2383">
        <v>0.30105932933859098</v>
      </c>
      <c r="K2383">
        <v>0.75457553661893495</v>
      </c>
      <c r="L2383" t="s">
        <v>47</v>
      </c>
      <c r="M2383" t="s">
        <v>34</v>
      </c>
      <c r="N2383" t="s">
        <v>35</v>
      </c>
      <c r="O2383">
        <v>0.940955027084036</v>
      </c>
      <c r="P2383" t="s">
        <v>36</v>
      </c>
    </row>
    <row r="2384" spans="1:16">
      <c r="A2384">
        <v>2383</v>
      </c>
      <c r="B2384" t="s">
        <v>2446</v>
      </c>
      <c r="C2384">
        <v>58</v>
      </c>
      <c r="D2384">
        <v>98</v>
      </c>
      <c r="E2384">
        <v>70.024795489409698</v>
      </c>
      <c r="F2384">
        <v>0.59776536312849204</v>
      </c>
      <c r="G2384">
        <v>3851.1778899811002</v>
      </c>
      <c r="H2384">
        <v>409.13612528583297</v>
      </c>
      <c r="I2384">
        <v>0.81051319816262302</v>
      </c>
      <c r="J2384">
        <v>0.28911311162164299</v>
      </c>
      <c r="K2384">
        <v>0.78680310943762899</v>
      </c>
      <c r="L2384" t="s">
        <v>49</v>
      </c>
      <c r="M2384" t="s">
        <v>34</v>
      </c>
      <c r="N2384" t="s">
        <v>35</v>
      </c>
      <c r="O2384">
        <v>0.74788600416314399</v>
      </c>
      <c r="P2384" t="s">
        <v>36</v>
      </c>
    </row>
    <row r="2385" spans="1:16">
      <c r="A2385">
        <v>2384</v>
      </c>
      <c r="B2385" t="s">
        <v>2447</v>
      </c>
      <c r="C2385">
        <v>94</v>
      </c>
      <c r="D2385">
        <v>56</v>
      </c>
      <c r="E2385">
        <v>70.036955738783206</v>
      </c>
      <c r="F2385">
        <v>1.6714647578796</v>
      </c>
      <c r="G2385">
        <v>3852.5155689981102</v>
      </c>
      <c r="H2385">
        <v>299.58066774036598</v>
      </c>
      <c r="I2385">
        <v>0.65296759127410098</v>
      </c>
      <c r="J2385">
        <v>0.53941956891513898</v>
      </c>
      <c r="K2385">
        <v>0.86087216446909598</v>
      </c>
      <c r="L2385" t="s">
        <v>47</v>
      </c>
      <c r="M2385" t="s">
        <v>34</v>
      </c>
      <c r="N2385" t="s">
        <v>35</v>
      </c>
      <c r="O2385">
        <v>0.89361036216191703</v>
      </c>
      <c r="P2385" t="s">
        <v>36</v>
      </c>
    </row>
    <row r="2386" spans="1:16">
      <c r="A2386">
        <v>2385</v>
      </c>
      <c r="B2386" t="s">
        <v>2448</v>
      </c>
      <c r="C2386">
        <v>83</v>
      </c>
      <c r="D2386">
        <v>64</v>
      </c>
      <c r="E2386">
        <v>70.103124536258207</v>
      </c>
      <c r="F2386">
        <v>1.3076923076923099</v>
      </c>
      <c r="G2386">
        <v>3859.7984880907402</v>
      </c>
      <c r="H2386">
        <v>396.34759137993302</v>
      </c>
      <c r="I2386">
        <v>0.59831375043711998</v>
      </c>
      <c r="J2386">
        <v>0.30876072289579098</v>
      </c>
      <c r="K2386">
        <v>0.84443794101388503</v>
      </c>
      <c r="L2386" t="s">
        <v>38</v>
      </c>
      <c r="M2386" t="s">
        <v>34</v>
      </c>
      <c r="N2386" t="s">
        <v>35</v>
      </c>
      <c r="O2386">
        <v>0.751910862341582</v>
      </c>
      <c r="P2386" t="s">
        <v>36</v>
      </c>
    </row>
    <row r="2387" spans="1:16">
      <c r="A2387">
        <v>2386</v>
      </c>
      <c r="B2387" t="s">
        <v>2449</v>
      </c>
      <c r="C2387">
        <v>103</v>
      </c>
      <c r="D2387">
        <v>88</v>
      </c>
      <c r="E2387">
        <v>70.117970173894093</v>
      </c>
      <c r="F2387">
        <v>1.1677018633540399</v>
      </c>
      <c r="G2387">
        <v>3861.4334291115301</v>
      </c>
      <c r="H2387">
        <v>703.57621407135696</v>
      </c>
      <c r="I2387">
        <v>0.56916425692193595</v>
      </c>
      <c r="J2387">
        <v>9.8024834679199396E-2</v>
      </c>
      <c r="K2387">
        <v>0.46229403181607898</v>
      </c>
      <c r="L2387" t="s">
        <v>33</v>
      </c>
      <c r="M2387" t="s">
        <v>34</v>
      </c>
      <c r="N2387" t="s">
        <v>35</v>
      </c>
      <c r="O2387">
        <v>0.68580341006777901</v>
      </c>
      <c r="P2387" t="s">
        <v>36</v>
      </c>
    </row>
    <row r="2388" spans="1:16">
      <c r="A2388">
        <v>2387</v>
      </c>
      <c r="B2388" t="s">
        <v>2450</v>
      </c>
      <c r="C2388">
        <v>65</v>
      </c>
      <c r="D2388">
        <v>87</v>
      </c>
      <c r="E2388">
        <v>70.1341618310027</v>
      </c>
      <c r="F2388">
        <v>0.74719101985095104</v>
      </c>
      <c r="G2388">
        <v>3863.21700113422</v>
      </c>
      <c r="H2388">
        <v>317.70399514923901</v>
      </c>
      <c r="I2388">
        <v>0.78548114520013701</v>
      </c>
      <c r="J2388">
        <v>0.48096515682431801</v>
      </c>
      <c r="K2388">
        <v>0.87294710327455904</v>
      </c>
      <c r="L2388" t="s">
        <v>47</v>
      </c>
      <c r="M2388" t="s">
        <v>34</v>
      </c>
      <c r="N2388" t="s">
        <v>35</v>
      </c>
      <c r="O2388">
        <v>0.87943688035922796</v>
      </c>
      <c r="P2388" t="s">
        <v>36</v>
      </c>
    </row>
    <row r="2389" spans="1:16">
      <c r="A2389">
        <v>2388</v>
      </c>
      <c r="B2389" t="s">
        <v>2451</v>
      </c>
      <c r="C2389">
        <v>112</v>
      </c>
      <c r="D2389">
        <v>98</v>
      </c>
      <c r="E2389">
        <v>70.295873278869806</v>
      </c>
      <c r="F2389">
        <v>1.1508379888268201</v>
      </c>
      <c r="G2389">
        <v>3881.0527213610599</v>
      </c>
      <c r="H2389">
        <v>826.49866102073497</v>
      </c>
      <c r="I2389">
        <v>0.606722966527938</v>
      </c>
      <c r="J2389">
        <v>7.1396200047515998E-2</v>
      </c>
      <c r="K2389">
        <v>0.48298313110387697</v>
      </c>
      <c r="L2389" t="s">
        <v>49</v>
      </c>
      <c r="M2389" t="s">
        <v>34</v>
      </c>
      <c r="N2389" t="s">
        <v>35</v>
      </c>
      <c r="O2389">
        <v>0.67650421735780097</v>
      </c>
      <c r="P2389" t="s">
        <v>36</v>
      </c>
    </row>
    <row r="2390" spans="1:16">
      <c r="A2390">
        <v>2389</v>
      </c>
      <c r="B2390" t="s">
        <v>2452</v>
      </c>
      <c r="C2390">
        <v>88</v>
      </c>
      <c r="D2390">
        <v>73</v>
      </c>
      <c r="E2390">
        <v>70.504201610697507</v>
      </c>
      <c r="F2390">
        <v>1.2089552238806001</v>
      </c>
      <c r="G2390">
        <v>3904.0905266540599</v>
      </c>
      <c r="H2390">
        <v>534.53612528583301</v>
      </c>
      <c r="I2390">
        <v>0.51480820075816502</v>
      </c>
      <c r="J2390">
        <v>0.17170210557020099</v>
      </c>
      <c r="K2390">
        <v>0.72622964417042202</v>
      </c>
      <c r="L2390" t="s">
        <v>38</v>
      </c>
      <c r="M2390" t="s">
        <v>34</v>
      </c>
      <c r="N2390" t="s">
        <v>35</v>
      </c>
      <c r="O2390">
        <v>0.71552947065802297</v>
      </c>
      <c r="P2390" t="s">
        <v>36</v>
      </c>
    </row>
    <row r="2391" spans="1:16">
      <c r="A2391">
        <v>2390</v>
      </c>
      <c r="B2391" t="s">
        <v>2453</v>
      </c>
      <c r="C2391">
        <v>67</v>
      </c>
      <c r="D2391">
        <v>104</v>
      </c>
      <c r="E2391">
        <v>70.618185254523596</v>
      </c>
      <c r="F2391">
        <v>0.64237999090924303</v>
      </c>
      <c r="G2391">
        <v>3916.72416181475</v>
      </c>
      <c r="H2391">
        <v>444.878586827361</v>
      </c>
      <c r="I2391">
        <v>0.61951117836174396</v>
      </c>
      <c r="J2391">
        <v>0.24868514630216801</v>
      </c>
      <c r="K2391">
        <v>0.77088696466183004</v>
      </c>
      <c r="L2391" t="s">
        <v>38</v>
      </c>
      <c r="M2391" t="s">
        <v>34</v>
      </c>
      <c r="N2391" t="s">
        <v>35</v>
      </c>
      <c r="O2391">
        <v>0.71543350744740297</v>
      </c>
      <c r="P2391" t="s">
        <v>36</v>
      </c>
    </row>
    <row r="2392" spans="1:16">
      <c r="A2392">
        <v>2391</v>
      </c>
      <c r="B2392" t="s">
        <v>2454</v>
      </c>
      <c r="C2392">
        <v>102</v>
      </c>
      <c r="D2392">
        <v>79</v>
      </c>
      <c r="E2392">
        <v>70.744023905522795</v>
      </c>
      <c r="F2392">
        <v>1.2986111111111101</v>
      </c>
      <c r="G2392">
        <v>3930.6954759924402</v>
      </c>
      <c r="H2392">
        <v>533.84256615182596</v>
      </c>
      <c r="I2392">
        <v>0.57249603657011106</v>
      </c>
      <c r="J2392">
        <v>0.173321669614176</v>
      </c>
      <c r="K2392">
        <v>0.64136392297618505</v>
      </c>
      <c r="L2392" t="s">
        <v>38</v>
      </c>
      <c r="M2392" t="s">
        <v>34</v>
      </c>
      <c r="N2392" t="s">
        <v>35</v>
      </c>
      <c r="O2392">
        <v>0.68556037696021199</v>
      </c>
      <c r="P2392" t="s">
        <v>36</v>
      </c>
    </row>
    <row r="2393" spans="1:16">
      <c r="A2393">
        <v>2392</v>
      </c>
      <c r="B2393" t="s">
        <v>2455</v>
      </c>
      <c r="C2393">
        <v>134</v>
      </c>
      <c r="D2393">
        <v>84</v>
      </c>
      <c r="E2393">
        <v>70.818885327427196</v>
      </c>
      <c r="F2393">
        <v>1.59431879620842</v>
      </c>
      <c r="G2393">
        <v>3939.0188120982998</v>
      </c>
      <c r="H2393">
        <v>696.35172525426594</v>
      </c>
      <c r="I2393">
        <v>0.60208480271705</v>
      </c>
      <c r="J2393">
        <v>0.102079987244429</v>
      </c>
      <c r="K2393">
        <v>0.46039191161142401</v>
      </c>
      <c r="L2393" t="s">
        <v>298</v>
      </c>
      <c r="M2393" t="s">
        <v>34</v>
      </c>
      <c r="N2393" t="s">
        <v>35</v>
      </c>
      <c r="O2393">
        <v>0.88449943514682505</v>
      </c>
      <c r="P2393" t="s">
        <v>36</v>
      </c>
    </row>
    <row r="2394" spans="1:16">
      <c r="A2394">
        <v>2393</v>
      </c>
      <c r="B2394" t="s">
        <v>2456</v>
      </c>
      <c r="C2394">
        <v>71</v>
      </c>
      <c r="D2394">
        <v>136</v>
      </c>
      <c r="E2394">
        <v>70.846937966803296</v>
      </c>
      <c r="F2394">
        <v>0.52478952939657397</v>
      </c>
      <c r="G2394">
        <v>3942.1400631380002</v>
      </c>
      <c r="H2394">
        <v>680.77727579977204</v>
      </c>
      <c r="I2394">
        <v>0.75014768045923697</v>
      </c>
      <c r="J2394">
        <v>0.106888704465948</v>
      </c>
      <c r="K2394">
        <v>0.55972228084244302</v>
      </c>
      <c r="L2394" t="s">
        <v>38</v>
      </c>
      <c r="M2394" t="s">
        <v>34</v>
      </c>
      <c r="N2394" t="s">
        <v>35</v>
      </c>
      <c r="O2394">
        <v>0.80473842002729901</v>
      </c>
      <c r="P2394" t="s">
        <v>36</v>
      </c>
    </row>
    <row r="2395" spans="1:16">
      <c r="A2395">
        <v>2394</v>
      </c>
      <c r="B2395" t="s">
        <v>2457</v>
      </c>
      <c r="C2395">
        <v>83</v>
      </c>
      <c r="D2395">
        <v>69</v>
      </c>
      <c r="E2395">
        <v>70.908347824881403</v>
      </c>
      <c r="F2395">
        <v>1.20634911023689</v>
      </c>
      <c r="G2395">
        <v>3948.9770892249499</v>
      </c>
      <c r="H2395">
        <v>352.80769475760701</v>
      </c>
      <c r="I2395">
        <v>0.69379015134103506</v>
      </c>
      <c r="J2395">
        <v>0.398674429120842</v>
      </c>
      <c r="K2395">
        <v>0.84738789309179097</v>
      </c>
      <c r="L2395" t="s">
        <v>38</v>
      </c>
      <c r="M2395" t="s">
        <v>34</v>
      </c>
      <c r="N2395" t="s">
        <v>35</v>
      </c>
      <c r="O2395">
        <v>0.85276012689672498</v>
      </c>
      <c r="P2395" t="s">
        <v>36</v>
      </c>
    </row>
    <row r="2396" spans="1:16">
      <c r="A2396">
        <v>2395</v>
      </c>
      <c r="B2396" t="s">
        <v>2458</v>
      </c>
      <c r="C2396">
        <v>105</v>
      </c>
      <c r="D2396">
        <v>60</v>
      </c>
      <c r="E2396">
        <v>71.008358708273903</v>
      </c>
      <c r="F2396">
        <v>1.7600900032090301</v>
      </c>
      <c r="G2396">
        <v>3960.12441436673</v>
      </c>
      <c r="H2396">
        <v>378.69084829330399</v>
      </c>
      <c r="I2396">
        <v>0.65906333944002404</v>
      </c>
      <c r="J2396">
        <v>0.34701566064447797</v>
      </c>
      <c r="K2396">
        <v>0.76706492010939997</v>
      </c>
      <c r="L2396" t="s">
        <v>38</v>
      </c>
      <c r="M2396" t="s">
        <v>34</v>
      </c>
      <c r="N2396" t="s">
        <v>35</v>
      </c>
      <c r="O2396">
        <v>0.767493508605677</v>
      </c>
      <c r="P2396" t="s">
        <v>36</v>
      </c>
    </row>
    <row r="2397" spans="1:16">
      <c r="A2397">
        <v>2396</v>
      </c>
      <c r="B2397" t="s">
        <v>2459</v>
      </c>
      <c r="C2397">
        <v>78</v>
      </c>
      <c r="D2397">
        <v>84</v>
      </c>
      <c r="E2397">
        <v>71.1055675449755</v>
      </c>
      <c r="F2397">
        <v>0.92753621038456902</v>
      </c>
      <c r="G2397">
        <v>3970.9744775047302</v>
      </c>
      <c r="H2397">
        <v>424.21512315864197</v>
      </c>
      <c r="I2397">
        <v>0.84554896209104502</v>
      </c>
      <c r="J2397">
        <v>0.27729029250919301</v>
      </c>
      <c r="K2397">
        <v>0.80356713185755502</v>
      </c>
      <c r="L2397" t="s">
        <v>38</v>
      </c>
      <c r="M2397" t="s">
        <v>34</v>
      </c>
      <c r="N2397" t="s">
        <v>35</v>
      </c>
      <c r="O2397">
        <v>0.750873381188087</v>
      </c>
      <c r="P2397" t="s">
        <v>36</v>
      </c>
    </row>
    <row r="2398" spans="1:16">
      <c r="A2398">
        <v>2397</v>
      </c>
      <c r="B2398" t="s">
        <v>2460</v>
      </c>
      <c r="C2398">
        <v>116</v>
      </c>
      <c r="D2398">
        <v>74</v>
      </c>
      <c r="E2398">
        <v>71.184036589496003</v>
      </c>
      <c r="F2398">
        <v>1.5686530718368701</v>
      </c>
      <c r="G2398">
        <v>3979.7437066162602</v>
      </c>
      <c r="H2398">
        <v>583.17671513495202</v>
      </c>
      <c r="I2398">
        <v>0.629942450570389</v>
      </c>
      <c r="J2398">
        <v>0.14704986090753699</v>
      </c>
      <c r="K2398">
        <v>0.65825896698379904</v>
      </c>
      <c r="L2398" t="s">
        <v>38</v>
      </c>
      <c r="M2398" t="s">
        <v>34</v>
      </c>
      <c r="N2398" t="s">
        <v>35</v>
      </c>
      <c r="O2398">
        <v>0.72582154446565805</v>
      </c>
      <c r="P2398" t="s">
        <v>36</v>
      </c>
    </row>
    <row r="2399" spans="1:16">
      <c r="A2399">
        <v>2398</v>
      </c>
      <c r="B2399" t="s">
        <v>2461</v>
      </c>
      <c r="C2399">
        <v>88</v>
      </c>
      <c r="D2399">
        <v>103</v>
      </c>
      <c r="E2399">
        <v>71.340715750109993</v>
      </c>
      <c r="F2399">
        <v>0.861702105210017</v>
      </c>
      <c r="G2399">
        <v>3997.2821648393201</v>
      </c>
      <c r="H2399">
        <v>809.50337734844402</v>
      </c>
      <c r="I2399">
        <v>0.38620609121101301</v>
      </c>
      <c r="J2399">
        <v>7.6654444334779304E-2</v>
      </c>
      <c r="K2399">
        <v>0.56810308407266596</v>
      </c>
      <c r="L2399" t="s">
        <v>33</v>
      </c>
      <c r="M2399" t="s">
        <v>34</v>
      </c>
      <c r="N2399" t="s">
        <v>35</v>
      </c>
      <c r="O2399">
        <v>0.75415116521622905</v>
      </c>
      <c r="P2399" t="s">
        <v>36</v>
      </c>
    </row>
    <row r="2400" spans="1:16">
      <c r="A2400">
        <v>2399</v>
      </c>
      <c r="B2400" t="s">
        <v>2462</v>
      </c>
      <c r="C2400">
        <v>75</v>
      </c>
      <c r="D2400">
        <v>152</v>
      </c>
      <c r="E2400">
        <v>71.440121352966202</v>
      </c>
      <c r="F2400">
        <v>0.49640287769784203</v>
      </c>
      <c r="G2400">
        <v>4008.4294899810998</v>
      </c>
      <c r="H2400">
        <v>675.53327222150301</v>
      </c>
      <c r="I2400">
        <v>0.71938167106878304</v>
      </c>
      <c r="J2400">
        <v>0.11038005953673501</v>
      </c>
      <c r="K2400">
        <v>0.46936893034912502</v>
      </c>
      <c r="L2400" t="s">
        <v>101</v>
      </c>
      <c r="M2400" t="s">
        <v>34</v>
      </c>
      <c r="N2400" t="s">
        <v>35</v>
      </c>
      <c r="O2400">
        <v>0.65207659268469997</v>
      </c>
      <c r="P2400" t="s">
        <v>36</v>
      </c>
    </row>
    <row r="2401" spans="1:16">
      <c r="A2401">
        <v>2400</v>
      </c>
      <c r="B2401" t="s">
        <v>2463</v>
      </c>
      <c r="C2401">
        <v>106</v>
      </c>
      <c r="D2401">
        <v>160</v>
      </c>
      <c r="E2401">
        <v>71.497051563692395</v>
      </c>
      <c r="F2401">
        <v>0.66211604095563104</v>
      </c>
      <c r="G2401">
        <v>4014.82062306238</v>
      </c>
      <c r="H2401">
        <v>778.96018496679199</v>
      </c>
      <c r="I2401">
        <v>0.55609732400521295</v>
      </c>
      <c r="J2401">
        <v>8.3146790534349896E-2</v>
      </c>
      <c r="K2401">
        <v>0.37111022572712199</v>
      </c>
      <c r="L2401" t="s">
        <v>298</v>
      </c>
      <c r="M2401" t="s">
        <v>34</v>
      </c>
      <c r="N2401" t="s">
        <v>35</v>
      </c>
      <c r="O2401">
        <v>0.75701803676368096</v>
      </c>
      <c r="P2401" t="s">
        <v>36</v>
      </c>
    </row>
    <row r="2402" spans="1:16">
      <c r="A2402">
        <v>2401</v>
      </c>
      <c r="B2402" t="s">
        <v>2464</v>
      </c>
      <c r="C2402">
        <v>113</v>
      </c>
      <c r="D2402">
        <v>61</v>
      </c>
      <c r="E2402">
        <v>71.5817010550101</v>
      </c>
      <c r="F2402">
        <v>1.8458194470296501</v>
      </c>
      <c r="G2402">
        <v>4024.3330071833698</v>
      </c>
      <c r="H2402">
        <v>441.607282479535</v>
      </c>
      <c r="I2402">
        <v>0.74472849614829695</v>
      </c>
      <c r="J2402">
        <v>0.25931719867617198</v>
      </c>
      <c r="K2402">
        <v>0.80790117562809605</v>
      </c>
      <c r="L2402" t="s">
        <v>38</v>
      </c>
      <c r="M2402" t="s">
        <v>34</v>
      </c>
      <c r="N2402" t="s">
        <v>35</v>
      </c>
      <c r="O2402">
        <v>0.727960902650997</v>
      </c>
      <c r="P2402" t="s">
        <v>36</v>
      </c>
    </row>
    <row r="2403" spans="1:16">
      <c r="A2403">
        <v>2402</v>
      </c>
      <c r="B2403" t="s">
        <v>2465</v>
      </c>
      <c r="C2403">
        <v>70</v>
      </c>
      <c r="D2403">
        <v>93</v>
      </c>
      <c r="E2403">
        <v>71.798159840447298</v>
      </c>
      <c r="F2403">
        <v>0.75202597485048395</v>
      </c>
      <c r="G2403">
        <v>4048.7084914933798</v>
      </c>
      <c r="H2403">
        <v>421.63737794482199</v>
      </c>
      <c r="I2403">
        <v>0.80456903201430197</v>
      </c>
      <c r="J2403">
        <v>0.28618585513218803</v>
      </c>
      <c r="K2403">
        <v>0.79861620100266795</v>
      </c>
      <c r="L2403" t="s">
        <v>33</v>
      </c>
      <c r="M2403" t="s">
        <v>34</v>
      </c>
      <c r="N2403" t="s">
        <v>35</v>
      </c>
      <c r="O2403">
        <v>0.65536512228904498</v>
      </c>
      <c r="P2403" t="s">
        <v>36</v>
      </c>
    </row>
    <row r="2404" spans="1:16">
      <c r="A2404">
        <v>2403</v>
      </c>
      <c r="B2404" t="s">
        <v>2466</v>
      </c>
      <c r="C2404">
        <v>65</v>
      </c>
      <c r="D2404">
        <v>85</v>
      </c>
      <c r="E2404">
        <v>71.809610472257901</v>
      </c>
      <c r="F2404">
        <v>0.76470588235294101</v>
      </c>
      <c r="G2404">
        <v>4050</v>
      </c>
      <c r="H2404">
        <v>287.27921843528702</v>
      </c>
      <c r="I2404">
        <v>0.714392015893348</v>
      </c>
      <c r="J2404">
        <v>0.61667517546432404</v>
      </c>
      <c r="K2404">
        <v>0.90502793296089401</v>
      </c>
      <c r="L2404" t="s">
        <v>38</v>
      </c>
      <c r="M2404" t="s">
        <v>34</v>
      </c>
      <c r="N2404" t="s">
        <v>35</v>
      </c>
      <c r="O2404">
        <v>0.80565600365526802</v>
      </c>
      <c r="P2404" t="s">
        <v>36</v>
      </c>
    </row>
    <row r="2405" spans="1:16">
      <c r="A2405">
        <v>2404</v>
      </c>
      <c r="B2405" t="s">
        <v>2467</v>
      </c>
      <c r="C2405">
        <v>73</v>
      </c>
      <c r="D2405">
        <v>103</v>
      </c>
      <c r="E2405">
        <v>71.965336106075</v>
      </c>
      <c r="F2405">
        <v>0.71272578696276301</v>
      </c>
      <c r="G2405">
        <v>4067.5846287334598</v>
      </c>
      <c r="H2405">
        <v>422.48592644287203</v>
      </c>
      <c r="I2405">
        <v>0.63847749259285103</v>
      </c>
      <c r="J2405">
        <v>0.28636633958942398</v>
      </c>
      <c r="K2405">
        <v>0.74730345976352397</v>
      </c>
      <c r="L2405" t="s">
        <v>33</v>
      </c>
      <c r="M2405" t="s">
        <v>34</v>
      </c>
      <c r="N2405" t="s">
        <v>35</v>
      </c>
      <c r="O2405">
        <v>0.67069509958956197</v>
      </c>
      <c r="P2405" t="s">
        <v>36</v>
      </c>
    </row>
    <row r="2406" spans="1:16">
      <c r="A2406">
        <v>2405</v>
      </c>
      <c r="B2406" t="s">
        <v>2468</v>
      </c>
      <c r="C2406">
        <v>103</v>
      </c>
      <c r="D2406">
        <v>87</v>
      </c>
      <c r="E2406">
        <v>72.040241840263306</v>
      </c>
      <c r="F2406">
        <v>1.1895020804409</v>
      </c>
      <c r="G2406">
        <v>4076.0565958412099</v>
      </c>
      <c r="H2406">
        <v>640.29889696038299</v>
      </c>
      <c r="I2406">
        <v>0.57727962066418204</v>
      </c>
      <c r="J2406">
        <v>0.124935126886806</v>
      </c>
      <c r="K2406">
        <v>0.57967828531568999</v>
      </c>
      <c r="L2406" t="s">
        <v>74</v>
      </c>
      <c r="M2406" t="s">
        <v>34</v>
      </c>
      <c r="N2406" t="s">
        <v>35</v>
      </c>
      <c r="O2406">
        <v>0.71483287090437797</v>
      </c>
      <c r="P2406" t="s">
        <v>36</v>
      </c>
    </row>
    <row r="2407" spans="1:16">
      <c r="A2407">
        <v>2406</v>
      </c>
      <c r="B2407" t="s">
        <v>2469</v>
      </c>
      <c r="C2407">
        <v>103</v>
      </c>
      <c r="D2407">
        <v>78</v>
      </c>
      <c r="E2407">
        <v>72.100635339682796</v>
      </c>
      <c r="F2407">
        <v>1.3146853146853099</v>
      </c>
      <c r="G2407">
        <v>4082.89362192817</v>
      </c>
      <c r="H2407">
        <v>725.64949348926598</v>
      </c>
      <c r="I2407">
        <v>0.72050054337359604</v>
      </c>
      <c r="J2407">
        <v>9.7437052022495599E-2</v>
      </c>
      <c r="K2407">
        <v>0.56508680984119197</v>
      </c>
      <c r="L2407" t="s">
        <v>38</v>
      </c>
      <c r="M2407" t="s">
        <v>34</v>
      </c>
      <c r="N2407" t="s">
        <v>35</v>
      </c>
      <c r="O2407">
        <v>0.79023614328360503</v>
      </c>
      <c r="P2407" t="s">
        <v>36</v>
      </c>
    </row>
    <row r="2408" spans="1:16">
      <c r="A2408">
        <v>2407</v>
      </c>
      <c r="B2408" t="s">
        <v>2470</v>
      </c>
      <c r="C2408">
        <v>84</v>
      </c>
      <c r="D2408">
        <v>90</v>
      </c>
      <c r="E2408">
        <v>72.622376174213002</v>
      </c>
      <c r="F2408">
        <v>0.93457091586344099</v>
      </c>
      <c r="G2408">
        <v>4142.1973916824199</v>
      </c>
      <c r="H2408">
        <v>500.39056857720698</v>
      </c>
      <c r="I2408">
        <v>0.68918648085495804</v>
      </c>
      <c r="J2408">
        <v>0.20788465063190201</v>
      </c>
      <c r="K2408">
        <v>0.70649225543133798</v>
      </c>
      <c r="L2408" t="s">
        <v>38</v>
      </c>
      <c r="M2408" t="s">
        <v>34</v>
      </c>
      <c r="N2408" t="s">
        <v>35</v>
      </c>
      <c r="O2408">
        <v>0.79436080492373795</v>
      </c>
      <c r="P2408" t="s">
        <v>36</v>
      </c>
    </row>
    <row r="2409" spans="1:16">
      <c r="A2409">
        <v>2408</v>
      </c>
      <c r="B2409" t="s">
        <v>2471</v>
      </c>
      <c r="C2409">
        <v>107</v>
      </c>
      <c r="D2409">
        <v>78</v>
      </c>
      <c r="E2409">
        <v>72.683587803852802</v>
      </c>
      <c r="F2409">
        <v>1.37062937062937</v>
      </c>
      <c r="G2409">
        <v>4149.1830487712696</v>
      </c>
      <c r="H2409">
        <v>1054.07074738088</v>
      </c>
      <c r="I2409">
        <v>0.63286733829388997</v>
      </c>
      <c r="J2409">
        <v>4.6928096326520799E-2</v>
      </c>
      <c r="K2409">
        <v>0.54328195547252101</v>
      </c>
      <c r="L2409" t="s">
        <v>38</v>
      </c>
      <c r="M2409" t="s">
        <v>34</v>
      </c>
      <c r="N2409" t="s">
        <v>35</v>
      </c>
      <c r="O2409">
        <v>0.77574778171252501</v>
      </c>
      <c r="P2409" t="s">
        <v>36</v>
      </c>
    </row>
    <row r="2410" spans="1:16">
      <c r="A2410">
        <v>2409</v>
      </c>
      <c r="B2410" t="s">
        <v>2472</v>
      </c>
      <c r="C2410">
        <v>123</v>
      </c>
      <c r="D2410">
        <v>73</v>
      </c>
      <c r="E2410">
        <v>73.032939608439094</v>
      </c>
      <c r="F2410">
        <v>1.6973366186826699</v>
      </c>
      <c r="G2410">
        <v>4189.1647882797697</v>
      </c>
      <c r="H2410">
        <v>607.18897783351997</v>
      </c>
      <c r="I2410">
        <v>0.74756339766651903</v>
      </c>
      <c r="J2410">
        <v>0.142787289597233</v>
      </c>
      <c r="K2410">
        <v>0.61657770388519395</v>
      </c>
      <c r="L2410" t="s">
        <v>74</v>
      </c>
      <c r="M2410" t="s">
        <v>34</v>
      </c>
      <c r="N2410" t="s">
        <v>35</v>
      </c>
      <c r="O2410">
        <v>0.69988617065355896</v>
      </c>
      <c r="P2410" t="s">
        <v>36</v>
      </c>
    </row>
    <row r="2411" spans="1:16">
      <c r="A2411">
        <v>2410</v>
      </c>
      <c r="B2411" t="s">
        <v>2473</v>
      </c>
      <c r="C2411">
        <v>86</v>
      </c>
      <c r="D2411">
        <v>79</v>
      </c>
      <c r="E2411">
        <v>73.285146021141898</v>
      </c>
      <c r="F2411">
        <v>1.0882350701122601</v>
      </c>
      <c r="G2411">
        <v>4218.1478336483897</v>
      </c>
      <c r="H2411">
        <v>378.01998664047397</v>
      </c>
      <c r="I2411">
        <v>0.65508310818033999</v>
      </c>
      <c r="J2411">
        <v>0.370938691448988</v>
      </c>
      <c r="K2411">
        <v>0.82600849874847204</v>
      </c>
      <c r="L2411" t="s">
        <v>38</v>
      </c>
      <c r="M2411" t="s">
        <v>34</v>
      </c>
      <c r="N2411" t="s">
        <v>35</v>
      </c>
      <c r="O2411">
        <v>0.74957369622749803</v>
      </c>
      <c r="P2411" t="s">
        <v>36</v>
      </c>
    </row>
    <row r="2412" spans="1:16">
      <c r="A2412">
        <v>2411</v>
      </c>
      <c r="B2412" t="s">
        <v>2474</v>
      </c>
      <c r="C2412">
        <v>81</v>
      </c>
      <c r="D2412">
        <v>101</v>
      </c>
      <c r="E2412">
        <v>73.321289048114394</v>
      </c>
      <c r="F2412">
        <v>0.80570415423334996</v>
      </c>
      <c r="G2412">
        <v>4222.3095017013202</v>
      </c>
      <c r="H2412">
        <v>535.38467378388304</v>
      </c>
      <c r="I2412">
        <v>0.69596003493459901</v>
      </c>
      <c r="J2412">
        <v>0.18510922359513199</v>
      </c>
      <c r="K2412">
        <v>0.62627865961199303</v>
      </c>
      <c r="L2412" t="s">
        <v>33</v>
      </c>
      <c r="M2412" t="s">
        <v>34</v>
      </c>
      <c r="N2412" t="s">
        <v>35</v>
      </c>
      <c r="O2412">
        <v>0.66652904319808803</v>
      </c>
      <c r="P2412" t="s">
        <v>36</v>
      </c>
    </row>
    <row r="2413" spans="1:16">
      <c r="A2413">
        <v>2412</v>
      </c>
      <c r="B2413" t="s">
        <v>2475</v>
      </c>
      <c r="C2413">
        <v>79</v>
      </c>
      <c r="D2413">
        <v>102</v>
      </c>
      <c r="E2413">
        <v>73.384496511640606</v>
      </c>
      <c r="F2413">
        <v>0.77005347593582896</v>
      </c>
      <c r="G2413">
        <v>4229.5924207939497</v>
      </c>
      <c r="H2413">
        <v>627.72014961937202</v>
      </c>
      <c r="I2413">
        <v>0.57793980739212902</v>
      </c>
      <c r="J2413">
        <v>0.13488890960722599</v>
      </c>
      <c r="K2413">
        <v>0.67400108950522297</v>
      </c>
      <c r="L2413" t="s">
        <v>38</v>
      </c>
      <c r="M2413" t="s">
        <v>34</v>
      </c>
      <c r="N2413" t="s">
        <v>35</v>
      </c>
      <c r="O2413">
        <v>0.71245253854941004</v>
      </c>
      <c r="P2413" t="s">
        <v>36</v>
      </c>
    </row>
    <row r="2414" spans="1:16">
      <c r="A2414">
        <v>2413</v>
      </c>
      <c r="B2414" t="s">
        <v>2476</v>
      </c>
      <c r="C2414">
        <v>114</v>
      </c>
      <c r="D2414">
        <v>66</v>
      </c>
      <c r="E2414">
        <v>73.437342584705405</v>
      </c>
      <c r="F2414">
        <v>1.7111357316458999</v>
      </c>
      <c r="G2414">
        <v>4235.6862918714596</v>
      </c>
      <c r="H2414">
        <v>445.62694316221302</v>
      </c>
      <c r="I2414">
        <v>0.50969095758150096</v>
      </c>
      <c r="J2414">
        <v>0.26803454431863899</v>
      </c>
      <c r="K2414">
        <v>0.748725763228417</v>
      </c>
      <c r="L2414" t="s">
        <v>38</v>
      </c>
      <c r="M2414" t="s">
        <v>34</v>
      </c>
      <c r="N2414" t="s">
        <v>35</v>
      </c>
      <c r="O2414">
        <v>0.72531885436410704</v>
      </c>
      <c r="P2414" t="s">
        <v>36</v>
      </c>
    </row>
    <row r="2415" spans="1:16">
      <c r="A2415">
        <v>2414</v>
      </c>
      <c r="B2415" t="s">
        <v>2477</v>
      </c>
      <c r="C2415">
        <v>93</v>
      </c>
      <c r="D2415">
        <v>93</v>
      </c>
      <c r="E2415">
        <v>73.443784626401794</v>
      </c>
      <c r="F2415">
        <v>1</v>
      </c>
      <c r="G2415">
        <v>4236.4294468809103</v>
      </c>
      <c r="H2415">
        <v>878.45595018003303</v>
      </c>
      <c r="I2415">
        <v>0.69571487111159502</v>
      </c>
      <c r="J2415">
        <v>6.8987413798661607E-2</v>
      </c>
      <c r="K2415">
        <v>0.58550563875023098</v>
      </c>
      <c r="L2415" t="s">
        <v>38</v>
      </c>
      <c r="M2415" t="s">
        <v>34</v>
      </c>
      <c r="N2415" t="s">
        <v>35</v>
      </c>
      <c r="O2415">
        <v>0.69056743900932704</v>
      </c>
      <c r="P2415" t="s">
        <v>36</v>
      </c>
    </row>
    <row r="2416" spans="1:16">
      <c r="A2416">
        <v>2415</v>
      </c>
      <c r="B2416" t="s">
        <v>2478</v>
      </c>
      <c r="C2416">
        <v>76</v>
      </c>
      <c r="D2416">
        <v>117</v>
      </c>
      <c r="E2416">
        <v>73.479849622779795</v>
      </c>
      <c r="F2416">
        <v>0.64651162790697703</v>
      </c>
      <c r="G2416">
        <v>4240.5911149338399</v>
      </c>
      <c r="H2416">
        <v>474.41500888668998</v>
      </c>
      <c r="I2416">
        <v>0.70887320515981</v>
      </c>
      <c r="J2416">
        <v>0.23676604667477</v>
      </c>
      <c r="K2416">
        <v>0.67609004739336498</v>
      </c>
      <c r="L2416" t="s">
        <v>298</v>
      </c>
      <c r="M2416" t="s">
        <v>34</v>
      </c>
      <c r="N2416" t="s">
        <v>35</v>
      </c>
      <c r="O2416">
        <v>0.87254338508268603</v>
      </c>
      <c r="P2416" t="s">
        <v>36</v>
      </c>
    </row>
    <row r="2417" spans="1:16">
      <c r="A2417">
        <v>2416</v>
      </c>
      <c r="B2417" t="s">
        <v>2479</v>
      </c>
      <c r="C2417">
        <v>83</v>
      </c>
      <c r="D2417">
        <v>77</v>
      </c>
      <c r="E2417">
        <v>73.537774168786598</v>
      </c>
      <c r="F2417">
        <v>1.0730217139965601</v>
      </c>
      <c r="G2417">
        <v>4247.2795100188996</v>
      </c>
      <c r="H2417">
        <v>393.208578914974</v>
      </c>
      <c r="I2417">
        <v>0.68238933317754102</v>
      </c>
      <c r="J2417">
        <v>0.345203139934884</v>
      </c>
      <c r="K2417">
        <v>0.80725444221588205</v>
      </c>
      <c r="L2417" t="s">
        <v>38</v>
      </c>
      <c r="M2417" t="s">
        <v>34</v>
      </c>
      <c r="N2417" t="s">
        <v>35</v>
      </c>
      <c r="O2417">
        <v>0.78395315689447798</v>
      </c>
      <c r="P2417" t="s">
        <v>36</v>
      </c>
    </row>
    <row r="2418" spans="1:16">
      <c r="A2418">
        <v>2417</v>
      </c>
      <c r="B2418" t="s">
        <v>2480</v>
      </c>
      <c r="C2418">
        <v>91</v>
      </c>
      <c r="D2418">
        <v>90</v>
      </c>
      <c r="E2418">
        <v>73.627788439841694</v>
      </c>
      <c r="F2418">
        <v>1.01296114562006</v>
      </c>
      <c r="G2418">
        <v>4257.68368015123</v>
      </c>
      <c r="H2418">
        <v>566.07183706096998</v>
      </c>
      <c r="I2418">
        <v>0.70614434052609198</v>
      </c>
      <c r="J2418">
        <v>0.16697065840039901</v>
      </c>
      <c r="K2418">
        <v>0.729184166984854</v>
      </c>
      <c r="L2418" t="s">
        <v>38</v>
      </c>
      <c r="M2418" t="s">
        <v>34</v>
      </c>
      <c r="N2418" t="s">
        <v>35</v>
      </c>
      <c r="O2418">
        <v>0.77056510398709699</v>
      </c>
      <c r="P2418" t="s">
        <v>36</v>
      </c>
    </row>
    <row r="2419" spans="1:16">
      <c r="A2419">
        <v>2418</v>
      </c>
      <c r="B2419" t="s">
        <v>2481</v>
      </c>
      <c r="C2419">
        <v>96</v>
      </c>
      <c r="D2419">
        <v>100</v>
      </c>
      <c r="E2419">
        <v>73.941975450290002</v>
      </c>
      <c r="F2419">
        <v>0.96525092761341003</v>
      </c>
      <c r="G2419">
        <v>4294.0982756143703</v>
      </c>
      <c r="H2419">
        <v>779.41347404635496</v>
      </c>
      <c r="I2419">
        <v>0.73444772866934804</v>
      </c>
      <c r="J2419">
        <v>8.8827210704689505E-2</v>
      </c>
      <c r="K2419">
        <v>0.59716825134353002</v>
      </c>
      <c r="L2419" t="s">
        <v>38</v>
      </c>
      <c r="M2419" t="s">
        <v>34</v>
      </c>
      <c r="N2419" t="s">
        <v>35</v>
      </c>
      <c r="O2419">
        <v>0.77488462899948995</v>
      </c>
      <c r="P2419" t="s">
        <v>36</v>
      </c>
    </row>
    <row r="2420" spans="1:16">
      <c r="A2420">
        <v>2419</v>
      </c>
      <c r="B2420" t="s">
        <v>2482</v>
      </c>
      <c r="C2420">
        <v>91</v>
      </c>
      <c r="D2420">
        <v>115</v>
      </c>
      <c r="E2420">
        <v>73.949653080365195</v>
      </c>
      <c r="F2420">
        <v>0.78738308234634002</v>
      </c>
      <c r="G2420">
        <v>4294.99006162571</v>
      </c>
      <c r="H2420">
        <v>754.92684101716304</v>
      </c>
      <c r="I2420">
        <v>0.700050716467988</v>
      </c>
      <c r="J2420">
        <v>9.47026853282293E-2</v>
      </c>
      <c r="K2420">
        <v>0.51730187429512497</v>
      </c>
      <c r="L2420" t="s">
        <v>67</v>
      </c>
      <c r="M2420" t="s">
        <v>34</v>
      </c>
      <c r="N2420" t="s">
        <v>35</v>
      </c>
      <c r="O2420">
        <v>0.70820985229348099</v>
      </c>
      <c r="P2420" t="s">
        <v>36</v>
      </c>
    </row>
    <row r="2421" spans="1:16">
      <c r="A2421">
        <v>2420</v>
      </c>
      <c r="B2421" t="s">
        <v>2483</v>
      </c>
      <c r="C2421">
        <v>85</v>
      </c>
      <c r="D2421">
        <v>84</v>
      </c>
      <c r="E2421">
        <v>74.003374188018896</v>
      </c>
      <c r="F2421">
        <v>1.00469469284975</v>
      </c>
      <c r="G2421">
        <v>4301.2325637050999</v>
      </c>
      <c r="H2421">
        <v>367.809197948394</v>
      </c>
      <c r="I2421">
        <v>0.71570349836916702</v>
      </c>
      <c r="J2421">
        <v>0.39953756448461702</v>
      </c>
      <c r="K2421">
        <v>0.81048003136727698</v>
      </c>
      <c r="L2421" t="s">
        <v>72</v>
      </c>
      <c r="M2421" t="s">
        <v>34</v>
      </c>
      <c r="N2421" t="s">
        <v>35</v>
      </c>
      <c r="O2421">
        <v>0.77303043753898004</v>
      </c>
      <c r="P2421" t="s">
        <v>36</v>
      </c>
    </row>
    <row r="2422" spans="1:16">
      <c r="A2422">
        <v>2421</v>
      </c>
      <c r="B2422" t="s">
        <v>2484</v>
      </c>
      <c r="C2422">
        <v>119</v>
      </c>
      <c r="D2422">
        <v>105</v>
      </c>
      <c r="E2422">
        <v>74.345251900523493</v>
      </c>
      <c r="F2422">
        <v>1.1405800919992499</v>
      </c>
      <c r="G2422">
        <v>4341.0656722117201</v>
      </c>
      <c r="H2422">
        <v>607.880920737412</v>
      </c>
      <c r="I2422">
        <v>0.83179172061325102</v>
      </c>
      <c r="J2422">
        <v>0.147628155888851</v>
      </c>
      <c r="K2422">
        <v>0.55816308980067697</v>
      </c>
      <c r="L2422" t="s">
        <v>49</v>
      </c>
      <c r="M2422" t="s">
        <v>34</v>
      </c>
      <c r="N2422" t="s">
        <v>35</v>
      </c>
      <c r="O2422">
        <v>0.81541679983583404</v>
      </c>
      <c r="P2422" t="s">
        <v>36</v>
      </c>
    </row>
    <row r="2423" spans="1:16">
      <c r="A2423">
        <v>2422</v>
      </c>
      <c r="B2423" t="s">
        <v>2485</v>
      </c>
      <c r="C2423">
        <v>107</v>
      </c>
      <c r="D2423">
        <v>87</v>
      </c>
      <c r="E2423">
        <v>74.361795550212705</v>
      </c>
      <c r="F2423">
        <v>1.23125</v>
      </c>
      <c r="G2423">
        <v>4342.9978752363004</v>
      </c>
      <c r="H2423">
        <v>573.36280209147401</v>
      </c>
      <c r="I2423">
        <v>0.72573790394860804</v>
      </c>
      <c r="J2423">
        <v>0.16601237132218899</v>
      </c>
      <c r="K2423">
        <v>0.63755973031354296</v>
      </c>
      <c r="L2423" t="s">
        <v>38</v>
      </c>
      <c r="M2423" t="s">
        <v>34</v>
      </c>
      <c r="N2423" t="s">
        <v>35</v>
      </c>
      <c r="O2423">
        <v>0.72672094466617698</v>
      </c>
      <c r="P2423" t="s">
        <v>36</v>
      </c>
    </row>
    <row r="2424" spans="1:16">
      <c r="A2424">
        <v>2423</v>
      </c>
      <c r="B2424" t="s">
        <v>2486</v>
      </c>
      <c r="C2424">
        <v>68</v>
      </c>
      <c r="D2424">
        <v>152</v>
      </c>
      <c r="E2424">
        <v>74.486390962586697</v>
      </c>
      <c r="F2424">
        <v>0.44604320850909301</v>
      </c>
      <c r="G2424">
        <v>4357.5637134215503</v>
      </c>
      <c r="H2424">
        <v>715.72598604409598</v>
      </c>
      <c r="I2424">
        <v>0.79549425156511999</v>
      </c>
      <c r="J2424">
        <v>0.106895651551381</v>
      </c>
      <c r="K2424">
        <v>0.59158965252835105</v>
      </c>
      <c r="L2424" t="s">
        <v>38</v>
      </c>
      <c r="M2424" t="s">
        <v>34</v>
      </c>
      <c r="N2424" t="s">
        <v>35</v>
      </c>
      <c r="O2424">
        <v>0.72421212906801202</v>
      </c>
      <c r="P2424" t="s">
        <v>36</v>
      </c>
    </row>
    <row r="2425" spans="1:16">
      <c r="A2425">
        <v>2424</v>
      </c>
      <c r="B2425" t="s">
        <v>2487</v>
      </c>
      <c r="C2425">
        <v>73</v>
      </c>
      <c r="D2425">
        <v>93</v>
      </c>
      <c r="E2425">
        <v>74.710898980511899</v>
      </c>
      <c r="F2425">
        <v>0.78823525610266398</v>
      </c>
      <c r="G2425">
        <v>4383.8714007561402</v>
      </c>
      <c r="H2425">
        <v>420.86632412879402</v>
      </c>
      <c r="I2425">
        <v>0.73487862773044099</v>
      </c>
      <c r="J2425">
        <v>0.31101355412454001</v>
      </c>
      <c r="K2425">
        <v>0.79561394044022404</v>
      </c>
      <c r="L2425" t="s">
        <v>38</v>
      </c>
      <c r="M2425" t="s">
        <v>34</v>
      </c>
      <c r="N2425" t="s">
        <v>35</v>
      </c>
      <c r="O2425">
        <v>0.71160578775579797</v>
      </c>
      <c r="P2425" t="s">
        <v>36</v>
      </c>
    </row>
    <row r="2426" spans="1:16">
      <c r="A2426">
        <v>2425</v>
      </c>
      <c r="B2426" t="s">
        <v>2488</v>
      </c>
      <c r="C2426">
        <v>139</v>
      </c>
      <c r="D2426">
        <v>86</v>
      </c>
      <c r="E2426">
        <v>74.9460979647627</v>
      </c>
      <c r="F2426">
        <v>1.6266980207127699</v>
      </c>
      <c r="G2426">
        <v>4411.5167671077497</v>
      </c>
      <c r="H2426">
        <v>741.31245609438895</v>
      </c>
      <c r="I2426">
        <v>0.73792470242782504</v>
      </c>
      <c r="J2426">
        <v>0.100877707285629</v>
      </c>
      <c r="K2426">
        <v>0.51845447082045104</v>
      </c>
      <c r="L2426" t="s">
        <v>33</v>
      </c>
      <c r="M2426" t="s">
        <v>34</v>
      </c>
      <c r="N2426" t="s">
        <v>35</v>
      </c>
      <c r="O2426">
        <v>0.69701427892856405</v>
      </c>
      <c r="P2426" t="s">
        <v>36</v>
      </c>
    </row>
    <row r="2427" spans="1:16">
      <c r="A2427">
        <v>2426</v>
      </c>
      <c r="B2427" t="s">
        <v>2489</v>
      </c>
      <c r="C2427">
        <v>82</v>
      </c>
      <c r="D2427">
        <v>97</v>
      </c>
      <c r="E2427">
        <v>75.2572959176143</v>
      </c>
      <c r="F2427">
        <v>0.85247201287867902</v>
      </c>
      <c r="G2427">
        <v>4448.22862457467</v>
      </c>
      <c r="H2427">
        <v>665.56598604409601</v>
      </c>
      <c r="I2427">
        <v>0.62477175950876496</v>
      </c>
      <c r="J2427">
        <v>0.12618703221012401</v>
      </c>
      <c r="K2427">
        <v>0.672191900815309</v>
      </c>
      <c r="L2427" t="s">
        <v>38</v>
      </c>
      <c r="M2427" t="s">
        <v>34</v>
      </c>
      <c r="N2427" t="s">
        <v>35</v>
      </c>
      <c r="O2427">
        <v>0.79169963262009901</v>
      </c>
      <c r="P2427" t="s">
        <v>36</v>
      </c>
    </row>
    <row r="2428" spans="1:16">
      <c r="A2428">
        <v>2427</v>
      </c>
      <c r="B2428" t="s">
        <v>2490</v>
      </c>
      <c r="C2428">
        <v>89</v>
      </c>
      <c r="D2428">
        <v>118</v>
      </c>
      <c r="E2428">
        <v>75.512097648489402</v>
      </c>
      <c r="F2428">
        <v>0.75971274294576496</v>
      </c>
      <c r="G2428">
        <v>4478.4007179584096</v>
      </c>
      <c r="H2428">
        <v>767.37329647530703</v>
      </c>
      <c r="I2428">
        <v>0.608134732125021</v>
      </c>
      <c r="J2428">
        <v>9.5569530000831501E-2</v>
      </c>
      <c r="K2428">
        <v>0.56737468459307805</v>
      </c>
      <c r="L2428" t="s">
        <v>38</v>
      </c>
      <c r="M2428" t="s">
        <v>34</v>
      </c>
      <c r="N2428" t="s">
        <v>35</v>
      </c>
      <c r="O2428">
        <v>0.75570893286853902</v>
      </c>
      <c r="P2428" t="s">
        <v>36</v>
      </c>
    </row>
    <row r="2429" spans="1:16">
      <c r="A2429">
        <v>2428</v>
      </c>
      <c r="B2429" t="s">
        <v>2491</v>
      </c>
      <c r="C2429">
        <v>103</v>
      </c>
      <c r="D2429">
        <v>92</v>
      </c>
      <c r="E2429">
        <v>75.631044973920197</v>
      </c>
      <c r="F2429">
        <v>1.11242603550296</v>
      </c>
      <c r="G2429">
        <v>4492.5206631379997</v>
      </c>
      <c r="H2429">
        <v>976.24359992856603</v>
      </c>
      <c r="I2429">
        <v>0.644393862313967</v>
      </c>
      <c r="J2429">
        <v>5.92357031202616E-2</v>
      </c>
      <c r="K2429">
        <v>0.55540038954834403</v>
      </c>
      <c r="L2429" t="s">
        <v>33</v>
      </c>
      <c r="M2429" t="s">
        <v>34</v>
      </c>
      <c r="N2429" t="s">
        <v>35</v>
      </c>
      <c r="O2429">
        <v>0.72143188886783005</v>
      </c>
      <c r="P2429" t="s">
        <v>36</v>
      </c>
    </row>
    <row r="2430" spans="1:16">
      <c r="A2430">
        <v>2429</v>
      </c>
      <c r="B2430" t="s">
        <v>2492</v>
      </c>
      <c r="C2430">
        <v>63</v>
      </c>
      <c r="D2430">
        <v>127</v>
      </c>
      <c r="E2430">
        <v>76.008712883693804</v>
      </c>
      <c r="F2430">
        <v>0.49756093517625699</v>
      </c>
      <c r="G2430">
        <v>4537.5</v>
      </c>
      <c r="H2430">
        <v>356.776692271233</v>
      </c>
      <c r="I2430">
        <v>0.855765050156584</v>
      </c>
      <c r="J2430">
        <v>0.44795413775142401</v>
      </c>
      <c r="K2430">
        <v>0.79084967320261401</v>
      </c>
      <c r="L2430" t="s">
        <v>33</v>
      </c>
      <c r="M2430" t="s">
        <v>34</v>
      </c>
      <c r="N2430" t="s">
        <v>35</v>
      </c>
      <c r="O2430">
        <v>0.66809151407523004</v>
      </c>
      <c r="P2430" t="s">
        <v>36</v>
      </c>
    </row>
    <row r="2431" spans="1:16">
      <c r="A2431">
        <v>2430</v>
      </c>
      <c r="B2431" t="s">
        <v>2493</v>
      </c>
      <c r="C2431">
        <v>186</v>
      </c>
      <c r="D2431">
        <v>78</v>
      </c>
      <c r="E2431">
        <v>76.304884221612795</v>
      </c>
      <c r="F2431">
        <v>2.3846153846153801</v>
      </c>
      <c r="G2431">
        <v>4572.9300351606798</v>
      </c>
      <c r="H2431">
        <v>965.20696021961101</v>
      </c>
      <c r="I2431">
        <v>0.79229895251274096</v>
      </c>
      <c r="J2431">
        <v>6.1682722054079903E-2</v>
      </c>
      <c r="K2431">
        <v>0.47003376262279101</v>
      </c>
      <c r="L2431" t="s">
        <v>38</v>
      </c>
      <c r="M2431" t="s">
        <v>34</v>
      </c>
      <c r="N2431" t="s">
        <v>35</v>
      </c>
      <c r="O2431">
        <v>0.74924072116745499</v>
      </c>
      <c r="P2431" t="s">
        <v>36</v>
      </c>
    </row>
    <row r="2432" spans="1:16">
      <c r="A2432">
        <v>2431</v>
      </c>
      <c r="B2432" t="s">
        <v>2494</v>
      </c>
      <c r="C2432">
        <v>97</v>
      </c>
      <c r="D2432">
        <v>83</v>
      </c>
      <c r="E2432">
        <v>76.323482619122203</v>
      </c>
      <c r="F2432">
        <v>1.16341772410347</v>
      </c>
      <c r="G2432">
        <v>4575.15950018904</v>
      </c>
      <c r="H2432">
        <v>557.909626051239</v>
      </c>
      <c r="I2432">
        <v>0.77685871387137395</v>
      </c>
      <c r="J2432">
        <v>0.18470914319253301</v>
      </c>
      <c r="K2432">
        <v>0.73757607705947204</v>
      </c>
      <c r="L2432" t="s">
        <v>33</v>
      </c>
      <c r="M2432" t="s">
        <v>34</v>
      </c>
      <c r="N2432" t="s">
        <v>35</v>
      </c>
      <c r="O2432">
        <v>0.68133485758549195</v>
      </c>
      <c r="P2432" t="s">
        <v>36</v>
      </c>
    </row>
    <row r="2433" spans="1:16">
      <c r="A2433">
        <v>2432</v>
      </c>
      <c r="B2433" t="s">
        <v>2495</v>
      </c>
      <c r="C2433">
        <v>95</v>
      </c>
      <c r="D2433">
        <v>119</v>
      </c>
      <c r="E2433">
        <v>76.337118564119393</v>
      </c>
      <c r="F2433">
        <v>0.798165137614679</v>
      </c>
      <c r="G2433">
        <v>4576.7944412098304</v>
      </c>
      <c r="H2433">
        <v>660.26718526498098</v>
      </c>
      <c r="I2433">
        <v>0.61924876826201602</v>
      </c>
      <c r="J2433">
        <v>0.131926440171869</v>
      </c>
      <c r="K2433">
        <v>0.55453906967530497</v>
      </c>
      <c r="L2433" t="s">
        <v>33</v>
      </c>
      <c r="M2433" t="s">
        <v>34</v>
      </c>
      <c r="N2433" t="s">
        <v>35</v>
      </c>
      <c r="O2433">
        <v>0.79471483137188503</v>
      </c>
      <c r="P2433" t="s">
        <v>36</v>
      </c>
    </row>
    <row r="2434" spans="1:16">
      <c r="A2434">
        <v>2433</v>
      </c>
      <c r="B2434" t="s">
        <v>2496</v>
      </c>
      <c r="C2434">
        <v>112</v>
      </c>
      <c r="D2434">
        <v>112</v>
      </c>
      <c r="E2434">
        <v>76.4523070777214</v>
      </c>
      <c r="F2434">
        <v>0.99514563106796095</v>
      </c>
      <c r="G2434">
        <v>4590.6171243856297</v>
      </c>
      <c r="H2434">
        <v>995.26476380203098</v>
      </c>
      <c r="I2434">
        <v>0.41488093777528401</v>
      </c>
      <c r="J2434">
        <v>5.8237628152481097E-2</v>
      </c>
      <c r="K2434">
        <v>0.45888925207262399</v>
      </c>
      <c r="L2434" t="s">
        <v>33</v>
      </c>
      <c r="M2434" t="s">
        <v>34</v>
      </c>
      <c r="N2434" t="s">
        <v>35</v>
      </c>
      <c r="O2434">
        <v>0.69320301604496204</v>
      </c>
      <c r="P2434" t="s">
        <v>36</v>
      </c>
    </row>
    <row r="2435" spans="1:16">
      <c r="A2435">
        <v>2434</v>
      </c>
      <c r="B2435" t="s">
        <v>2497</v>
      </c>
      <c r="C2435">
        <v>71</v>
      </c>
      <c r="D2435">
        <v>98</v>
      </c>
      <c r="E2435">
        <v>76.945200519710795</v>
      </c>
      <c r="F2435">
        <v>0.71875004250036201</v>
      </c>
      <c r="G2435">
        <v>4650</v>
      </c>
      <c r="H2435">
        <v>363.84775996208202</v>
      </c>
      <c r="I2435">
        <v>0.758888416381723</v>
      </c>
      <c r="J2435">
        <v>0.44139093114905098</v>
      </c>
      <c r="K2435">
        <v>0.79487179487179505</v>
      </c>
      <c r="L2435" t="s">
        <v>41</v>
      </c>
      <c r="M2435" t="s">
        <v>34</v>
      </c>
      <c r="N2435" t="s">
        <v>35</v>
      </c>
      <c r="O2435">
        <v>0.71252817332706597</v>
      </c>
      <c r="P2435" t="s">
        <v>36</v>
      </c>
    </row>
    <row r="2436" spans="1:16">
      <c r="A2436">
        <v>2435</v>
      </c>
      <c r="B2436" t="s">
        <v>2498</v>
      </c>
      <c r="C2436">
        <v>113</v>
      </c>
      <c r="D2436">
        <v>63</v>
      </c>
      <c r="E2436">
        <v>77.040405671993099</v>
      </c>
      <c r="F2436">
        <v>1.7852080782554101</v>
      </c>
      <c r="G2436">
        <v>4661.5141122873401</v>
      </c>
      <c r="H2436">
        <v>351.78924542271602</v>
      </c>
      <c r="I2436">
        <v>0.67918348473481505</v>
      </c>
      <c r="J2436">
        <v>0.47333841307402102</v>
      </c>
      <c r="K2436">
        <v>0.82054837528125202</v>
      </c>
      <c r="L2436" t="s">
        <v>33</v>
      </c>
      <c r="M2436" t="s">
        <v>34</v>
      </c>
      <c r="N2436" t="s">
        <v>35</v>
      </c>
      <c r="O2436">
        <v>0.71649109186914195</v>
      </c>
      <c r="P2436" t="s">
        <v>36</v>
      </c>
    </row>
    <row r="2437" spans="1:16">
      <c r="A2437">
        <v>2436</v>
      </c>
      <c r="B2437" t="s">
        <v>2499</v>
      </c>
      <c r="C2437">
        <v>109</v>
      </c>
      <c r="D2437">
        <v>123</v>
      </c>
      <c r="E2437">
        <v>77.232993186633607</v>
      </c>
      <c r="F2437">
        <v>0.88324754380536397</v>
      </c>
      <c r="G2437">
        <v>4684.8491795841201</v>
      </c>
      <c r="H2437">
        <v>823.19525695324</v>
      </c>
      <c r="I2437">
        <v>0.66389844866487202</v>
      </c>
      <c r="J2437">
        <v>8.6875988509365107E-2</v>
      </c>
      <c r="K2437">
        <v>0.49701193648591102</v>
      </c>
      <c r="L2437" t="s">
        <v>43</v>
      </c>
      <c r="M2437" t="s">
        <v>34</v>
      </c>
      <c r="N2437" t="s">
        <v>35</v>
      </c>
      <c r="O2437">
        <v>0.66625182325907395</v>
      </c>
      <c r="P2437" t="s">
        <v>36</v>
      </c>
    </row>
    <row r="2438" spans="1:16">
      <c r="A2438">
        <v>2437</v>
      </c>
      <c r="B2438" t="s">
        <v>2500</v>
      </c>
      <c r="C2438">
        <v>88</v>
      </c>
      <c r="D2438">
        <v>103</v>
      </c>
      <c r="E2438">
        <v>77.268514155332497</v>
      </c>
      <c r="F2438">
        <v>0.85638297872340396</v>
      </c>
      <c r="G2438">
        <v>4689.1594786389396</v>
      </c>
      <c r="H2438">
        <v>813.09406266284998</v>
      </c>
      <c r="I2438">
        <v>0.71143928029171599</v>
      </c>
      <c r="J2438">
        <v>8.9129873022900499E-2</v>
      </c>
      <c r="K2438">
        <v>0.60032728864194196</v>
      </c>
      <c r="L2438" t="s">
        <v>38</v>
      </c>
      <c r="M2438" t="s">
        <v>34</v>
      </c>
      <c r="N2438" t="s">
        <v>35</v>
      </c>
      <c r="O2438">
        <v>0.75168730337593004</v>
      </c>
      <c r="P2438" t="s">
        <v>36</v>
      </c>
    </row>
    <row r="2439" spans="1:16">
      <c r="A2439">
        <v>2438</v>
      </c>
      <c r="B2439" t="s">
        <v>2501</v>
      </c>
      <c r="C2439">
        <v>110</v>
      </c>
      <c r="D2439">
        <v>71</v>
      </c>
      <c r="E2439">
        <v>77.448318132431694</v>
      </c>
      <c r="F2439">
        <v>1.5589645819503899</v>
      </c>
      <c r="G2439">
        <v>4711.00823591682</v>
      </c>
      <c r="H2439">
        <v>552.83163030562196</v>
      </c>
      <c r="I2439">
        <v>0.74672412745316297</v>
      </c>
      <c r="J2439">
        <v>0.19370371987544899</v>
      </c>
      <c r="K2439">
        <v>0.70310559006211204</v>
      </c>
      <c r="L2439" t="s">
        <v>38</v>
      </c>
      <c r="M2439" t="s">
        <v>34</v>
      </c>
      <c r="N2439" t="s">
        <v>35</v>
      </c>
      <c r="O2439">
        <v>0.73434904808986601</v>
      </c>
      <c r="P2439" t="s">
        <v>36</v>
      </c>
    </row>
    <row r="2440" spans="1:16">
      <c r="A2440">
        <v>2439</v>
      </c>
      <c r="B2440" t="s">
        <v>2502</v>
      </c>
      <c r="C2440">
        <v>119</v>
      </c>
      <c r="D2440">
        <v>146</v>
      </c>
      <c r="E2440">
        <v>77.7129827258901</v>
      </c>
      <c r="F2440">
        <v>0.81535325421895899</v>
      </c>
      <c r="G2440">
        <v>4743.2611633270299</v>
      </c>
      <c r="H2440">
        <v>724.42904359786405</v>
      </c>
      <c r="I2440">
        <v>0.58458444078238803</v>
      </c>
      <c r="J2440">
        <v>0.11357825561993</v>
      </c>
      <c r="K2440">
        <v>0.41213694419691899</v>
      </c>
      <c r="L2440" t="s">
        <v>33</v>
      </c>
      <c r="M2440" t="s">
        <v>34</v>
      </c>
      <c r="N2440" t="s">
        <v>35</v>
      </c>
      <c r="O2440">
        <v>0.731894238582667</v>
      </c>
      <c r="P2440" t="s">
        <v>36</v>
      </c>
    </row>
    <row r="2441" spans="1:16">
      <c r="A2441">
        <v>2440</v>
      </c>
      <c r="B2441" t="s">
        <v>2503</v>
      </c>
      <c r="C2441">
        <v>68</v>
      </c>
      <c r="D2441">
        <v>136</v>
      </c>
      <c r="E2441">
        <v>77.979175890137498</v>
      </c>
      <c r="F2441">
        <v>0.49780585216265599</v>
      </c>
      <c r="G2441">
        <v>4775.8113527410196</v>
      </c>
      <c r="H2441">
        <v>621.49692189029997</v>
      </c>
      <c r="I2441">
        <v>0.824039663923397</v>
      </c>
      <c r="J2441">
        <v>0.155374256524628</v>
      </c>
      <c r="K2441">
        <v>0.66261109850906297</v>
      </c>
      <c r="L2441" t="s">
        <v>33</v>
      </c>
      <c r="M2441" t="s">
        <v>34</v>
      </c>
      <c r="N2441" t="s">
        <v>35</v>
      </c>
      <c r="O2441">
        <v>0.68944502666709895</v>
      </c>
      <c r="P2441" t="s">
        <v>36</v>
      </c>
    </row>
    <row r="2442" spans="1:16">
      <c r="A2442">
        <v>2441</v>
      </c>
      <c r="B2442" t="s">
        <v>2504</v>
      </c>
      <c r="C2442">
        <v>117</v>
      </c>
      <c r="D2442">
        <v>65</v>
      </c>
      <c r="E2442">
        <v>78.096788863662596</v>
      </c>
      <c r="F2442">
        <v>1.7924080987512001</v>
      </c>
      <c r="G2442">
        <v>4790.2285599243896</v>
      </c>
      <c r="H2442">
        <v>445.12047311191998</v>
      </c>
      <c r="I2442">
        <v>0.79269939585099403</v>
      </c>
      <c r="J2442">
        <v>0.30381622270731401</v>
      </c>
      <c r="K2442">
        <v>0.80477938422353701</v>
      </c>
      <c r="L2442" t="s">
        <v>38</v>
      </c>
      <c r="M2442" t="s">
        <v>34</v>
      </c>
      <c r="N2442" t="s">
        <v>35</v>
      </c>
      <c r="O2442">
        <v>0.70369712097521997</v>
      </c>
      <c r="P2442" t="s">
        <v>36</v>
      </c>
    </row>
    <row r="2443" spans="1:16">
      <c r="A2443">
        <v>2442</v>
      </c>
      <c r="B2443" t="s">
        <v>2505</v>
      </c>
      <c r="C2443">
        <v>83</v>
      </c>
      <c r="D2443">
        <v>93</v>
      </c>
      <c r="E2443">
        <v>78.196076283201705</v>
      </c>
      <c r="F2443">
        <v>0.9</v>
      </c>
      <c r="G2443">
        <v>4802.4163020794003</v>
      </c>
      <c r="H2443">
        <v>613.544497445459</v>
      </c>
      <c r="I2443">
        <v>0.510983205518169</v>
      </c>
      <c r="J2443">
        <v>0.16031624704373301</v>
      </c>
      <c r="K2443">
        <v>0.71304674052169303</v>
      </c>
      <c r="L2443" t="s">
        <v>49</v>
      </c>
      <c r="M2443" t="s">
        <v>34</v>
      </c>
      <c r="N2443" t="s">
        <v>35</v>
      </c>
      <c r="O2443">
        <v>0.65859282842357902</v>
      </c>
      <c r="P2443" t="s">
        <v>36</v>
      </c>
    </row>
    <row r="2444" spans="1:16">
      <c r="A2444">
        <v>2443</v>
      </c>
      <c r="B2444" t="s">
        <v>2506</v>
      </c>
      <c r="C2444">
        <v>83</v>
      </c>
      <c r="D2444">
        <v>83</v>
      </c>
      <c r="E2444">
        <v>78.238416692246602</v>
      </c>
      <c r="F2444">
        <v>1</v>
      </c>
      <c r="G2444">
        <v>4807.6183871455596</v>
      </c>
      <c r="H2444">
        <v>402.648313791026</v>
      </c>
      <c r="I2444">
        <v>0.674232215962137</v>
      </c>
      <c r="J2444">
        <v>0.372638808141805</v>
      </c>
      <c r="K2444">
        <v>0.84436671191396095</v>
      </c>
      <c r="L2444" t="s">
        <v>38</v>
      </c>
      <c r="M2444" t="s">
        <v>34</v>
      </c>
      <c r="N2444" t="s">
        <v>35</v>
      </c>
      <c r="O2444">
        <v>0.87103360168533395</v>
      </c>
      <c r="P2444" t="s">
        <v>36</v>
      </c>
    </row>
    <row r="2445" spans="1:16">
      <c r="A2445">
        <v>2444</v>
      </c>
      <c r="B2445" t="s">
        <v>2507</v>
      </c>
      <c r="C2445">
        <v>89</v>
      </c>
      <c r="D2445">
        <v>92</v>
      </c>
      <c r="E2445">
        <v>78.255346441493302</v>
      </c>
      <c r="F2445">
        <v>0.97023809523809501</v>
      </c>
      <c r="G2445">
        <v>4809.6992211720199</v>
      </c>
      <c r="H2445">
        <v>379.54328979554401</v>
      </c>
      <c r="I2445">
        <v>0.76283827734064302</v>
      </c>
      <c r="J2445">
        <v>0.41957069478217701</v>
      </c>
      <c r="K2445">
        <v>0.873555771514955</v>
      </c>
      <c r="L2445" t="s">
        <v>331</v>
      </c>
      <c r="M2445" t="s">
        <v>34</v>
      </c>
      <c r="N2445" t="s">
        <v>35</v>
      </c>
      <c r="O2445">
        <v>0.64636637791970697</v>
      </c>
      <c r="P2445" t="s">
        <v>36</v>
      </c>
    </row>
    <row r="2446" spans="1:16">
      <c r="A2446">
        <v>2445</v>
      </c>
      <c r="B2446" t="s">
        <v>2508</v>
      </c>
      <c r="C2446">
        <v>102</v>
      </c>
      <c r="D2446">
        <v>98</v>
      </c>
      <c r="E2446">
        <v>78.272272528952797</v>
      </c>
      <c r="F2446">
        <v>1.0446927450498</v>
      </c>
      <c r="G2446">
        <v>4811.7800551984901</v>
      </c>
      <c r="H2446">
        <v>933.37456495906997</v>
      </c>
      <c r="I2446">
        <v>0.60438001988942502</v>
      </c>
      <c r="J2446">
        <v>6.9407069471894706E-2</v>
      </c>
      <c r="K2446">
        <v>0.57749870671970605</v>
      </c>
      <c r="L2446" t="s">
        <v>43</v>
      </c>
      <c r="M2446" t="s">
        <v>34</v>
      </c>
      <c r="N2446" t="s">
        <v>35</v>
      </c>
      <c r="O2446">
        <v>0.67335895111859401</v>
      </c>
      <c r="P2446" t="s">
        <v>36</v>
      </c>
    </row>
    <row r="2447" spans="1:16">
      <c r="A2447">
        <v>2446</v>
      </c>
      <c r="B2447" t="s">
        <v>2509</v>
      </c>
      <c r="C2447">
        <v>89</v>
      </c>
      <c r="D2447">
        <v>92</v>
      </c>
      <c r="E2447">
        <v>78.303696984531697</v>
      </c>
      <c r="F2447">
        <v>0.96621344026939004</v>
      </c>
      <c r="G2447">
        <v>4815.6444612476398</v>
      </c>
      <c r="H2447">
        <v>495.41276499478698</v>
      </c>
      <c r="I2447">
        <v>0.613332948547061</v>
      </c>
      <c r="J2447">
        <v>0.24656412907921799</v>
      </c>
      <c r="K2447">
        <v>0.75935127027280402</v>
      </c>
      <c r="L2447" t="s">
        <v>38</v>
      </c>
      <c r="M2447" t="s">
        <v>34</v>
      </c>
      <c r="N2447" t="s">
        <v>35</v>
      </c>
      <c r="O2447">
        <v>0.77329922825237496</v>
      </c>
      <c r="P2447" t="s">
        <v>36</v>
      </c>
    </row>
    <row r="2448" spans="1:16">
      <c r="A2448">
        <v>2447</v>
      </c>
      <c r="B2448" t="s">
        <v>2510</v>
      </c>
      <c r="C2448">
        <v>151</v>
      </c>
      <c r="D2448">
        <v>78</v>
      </c>
      <c r="E2448">
        <v>78.481129344670293</v>
      </c>
      <c r="F2448">
        <v>1.9276307168339399</v>
      </c>
      <c r="G2448">
        <v>4837.4932185255202</v>
      </c>
      <c r="H2448">
        <v>679.15767348569398</v>
      </c>
      <c r="I2448">
        <v>0.59326688841817099</v>
      </c>
      <c r="J2448">
        <v>0.131791988073198</v>
      </c>
      <c r="K2448">
        <v>0.59502001864750698</v>
      </c>
      <c r="L2448" t="s">
        <v>33</v>
      </c>
      <c r="M2448" t="s">
        <v>34</v>
      </c>
      <c r="N2448" t="s">
        <v>35</v>
      </c>
      <c r="O2448">
        <v>0.76139744223140204</v>
      </c>
      <c r="P2448" t="s">
        <v>36</v>
      </c>
    </row>
    <row r="2449" spans="1:16">
      <c r="A2449">
        <v>2448</v>
      </c>
      <c r="B2449" t="s">
        <v>2511</v>
      </c>
      <c r="C2449">
        <v>83</v>
      </c>
      <c r="D2449">
        <v>111</v>
      </c>
      <c r="E2449">
        <v>79.078071354816998</v>
      </c>
      <c r="F2449">
        <v>0.74592353891878005</v>
      </c>
      <c r="G2449">
        <v>4911.3628264650297</v>
      </c>
      <c r="H2449">
        <v>433.93663004730098</v>
      </c>
      <c r="I2449">
        <v>0.76160588376843696</v>
      </c>
      <c r="J2449">
        <v>0.32776249653762402</v>
      </c>
      <c r="K2449">
        <v>0.74829593061437105</v>
      </c>
      <c r="L2449" t="s">
        <v>47</v>
      </c>
      <c r="M2449" t="s">
        <v>34</v>
      </c>
      <c r="N2449" t="s">
        <v>35</v>
      </c>
      <c r="O2449">
        <v>0.89726591890210705</v>
      </c>
      <c r="P2449" t="s">
        <v>36</v>
      </c>
    </row>
    <row r="2450" spans="1:16">
      <c r="A2450">
        <v>2449</v>
      </c>
      <c r="B2450" t="s">
        <v>2512</v>
      </c>
      <c r="C2450">
        <v>84</v>
      </c>
      <c r="D2450">
        <v>97</v>
      </c>
      <c r="E2450">
        <v>79.100802674258404</v>
      </c>
      <c r="F2450">
        <v>0.86821228824430197</v>
      </c>
      <c r="G2450">
        <v>4914.1868155009497</v>
      </c>
      <c r="H2450">
        <v>418.95003832931098</v>
      </c>
      <c r="I2450">
        <v>0.60013178854578497</v>
      </c>
      <c r="J2450">
        <v>0.35183339370285899</v>
      </c>
      <c r="K2450">
        <v>0.81780405154715696</v>
      </c>
      <c r="L2450" t="s">
        <v>38</v>
      </c>
      <c r="M2450" t="s">
        <v>34</v>
      </c>
      <c r="N2450" t="s">
        <v>35</v>
      </c>
      <c r="O2450">
        <v>0.671870915271226</v>
      </c>
      <c r="P2450" t="s">
        <v>36</v>
      </c>
    </row>
    <row r="2451" spans="1:16">
      <c r="A2451">
        <v>2450</v>
      </c>
      <c r="B2451" t="s">
        <v>2513</v>
      </c>
      <c r="C2451">
        <v>111</v>
      </c>
      <c r="D2451">
        <v>72</v>
      </c>
      <c r="E2451">
        <v>79.5433597994069</v>
      </c>
      <c r="F2451">
        <v>1.5483496915211901</v>
      </c>
      <c r="G2451">
        <v>4969.3289172022696</v>
      </c>
      <c r="H2451">
        <v>428.63165948992201</v>
      </c>
      <c r="I2451">
        <v>0.59799014250292504</v>
      </c>
      <c r="J2451">
        <v>0.33989057043569099</v>
      </c>
      <c r="K2451">
        <v>0.76880978660779997</v>
      </c>
      <c r="L2451" t="s">
        <v>38</v>
      </c>
      <c r="M2451" t="s">
        <v>34</v>
      </c>
      <c r="N2451" t="s">
        <v>35</v>
      </c>
      <c r="O2451">
        <v>0.68279154726608304</v>
      </c>
      <c r="P2451" t="s">
        <v>36</v>
      </c>
    </row>
    <row r="2452" spans="1:16">
      <c r="A2452">
        <v>2451</v>
      </c>
      <c r="B2452" t="s">
        <v>2514</v>
      </c>
      <c r="C2452">
        <v>121</v>
      </c>
      <c r="D2452">
        <v>82</v>
      </c>
      <c r="E2452">
        <v>79.685978895157902</v>
      </c>
      <c r="F2452">
        <v>1.4788388462961299</v>
      </c>
      <c r="G2452">
        <v>4987.1646374291104</v>
      </c>
      <c r="H2452">
        <v>482.66962605123899</v>
      </c>
      <c r="I2452">
        <v>0.76589511277524602</v>
      </c>
      <c r="J2452">
        <v>0.26900703000617598</v>
      </c>
      <c r="K2452">
        <v>0.71297437422973997</v>
      </c>
      <c r="L2452" t="s">
        <v>33</v>
      </c>
      <c r="M2452" t="s">
        <v>34</v>
      </c>
      <c r="N2452" t="s">
        <v>35</v>
      </c>
      <c r="O2452">
        <v>0.701817415755566</v>
      </c>
      <c r="P2452" t="s">
        <v>36</v>
      </c>
    </row>
    <row r="2453" spans="1:16">
      <c r="A2453">
        <v>2452</v>
      </c>
      <c r="B2453" t="s">
        <v>2515</v>
      </c>
      <c r="C2453">
        <v>76</v>
      </c>
      <c r="D2453">
        <v>203</v>
      </c>
      <c r="E2453">
        <v>79.821231007584103</v>
      </c>
      <c r="F2453">
        <v>0.37459849983931798</v>
      </c>
      <c r="G2453">
        <v>5004.1085716446096</v>
      </c>
      <c r="H2453">
        <v>1163.7662828175901</v>
      </c>
      <c r="I2453">
        <v>0.64860756780102202</v>
      </c>
      <c r="J2453">
        <v>4.6430680292496203E-2</v>
      </c>
      <c r="K2453">
        <v>0.43728082707743499</v>
      </c>
      <c r="L2453" t="s">
        <v>38</v>
      </c>
      <c r="M2453" t="s">
        <v>34</v>
      </c>
      <c r="N2453" t="s">
        <v>35</v>
      </c>
      <c r="O2453">
        <v>0.682951905919566</v>
      </c>
      <c r="P2453" t="s">
        <v>36</v>
      </c>
    </row>
    <row r="2454" spans="1:16">
      <c r="A2454">
        <v>2453</v>
      </c>
      <c r="B2454" t="s">
        <v>2516</v>
      </c>
      <c r="C2454">
        <v>108</v>
      </c>
      <c r="D2454">
        <v>87</v>
      </c>
      <c r="E2454">
        <v>79.855600697586297</v>
      </c>
      <c r="F2454">
        <v>1.2473582025844501</v>
      </c>
      <c r="G2454">
        <v>5008.41887069943</v>
      </c>
      <c r="H2454">
        <v>549.61512315864104</v>
      </c>
      <c r="I2454">
        <v>0.68235340080335205</v>
      </c>
      <c r="J2454">
        <v>0.20834983400618601</v>
      </c>
      <c r="K2454">
        <v>0.73622460126720601</v>
      </c>
      <c r="L2454" t="s">
        <v>38</v>
      </c>
      <c r="M2454" t="s">
        <v>34</v>
      </c>
      <c r="N2454" t="s">
        <v>35</v>
      </c>
      <c r="O2454">
        <v>0.71027060986749002</v>
      </c>
      <c r="P2454" t="s">
        <v>36</v>
      </c>
    </row>
    <row r="2455" spans="1:16">
      <c r="A2455">
        <v>2454</v>
      </c>
      <c r="B2455" t="s">
        <v>2517</v>
      </c>
      <c r="C2455">
        <v>137</v>
      </c>
      <c r="D2455">
        <v>76</v>
      </c>
      <c r="E2455">
        <v>79.897061668084305</v>
      </c>
      <c r="F2455">
        <v>1.8134519756810901</v>
      </c>
      <c r="G2455">
        <v>5013.6209557656002</v>
      </c>
      <c r="H2455">
        <v>708.43502101359195</v>
      </c>
      <c r="I2455">
        <v>0.83322164601479998</v>
      </c>
      <c r="J2455">
        <v>0.125533985374332</v>
      </c>
      <c r="K2455">
        <v>0.59897720008523303</v>
      </c>
      <c r="L2455" t="s">
        <v>33</v>
      </c>
      <c r="M2455" t="s">
        <v>34</v>
      </c>
      <c r="N2455" t="s">
        <v>35</v>
      </c>
      <c r="O2455">
        <v>0.73387100004633898</v>
      </c>
      <c r="P2455" t="s">
        <v>36</v>
      </c>
    </row>
    <row r="2456" spans="1:16">
      <c r="A2456">
        <v>2455</v>
      </c>
      <c r="B2456" t="s">
        <v>2518</v>
      </c>
      <c r="C2456">
        <v>124</v>
      </c>
      <c r="D2456">
        <v>109</v>
      </c>
      <c r="E2456">
        <v>79.936133743611904</v>
      </c>
      <c r="F2456">
        <v>1.13690452831842</v>
      </c>
      <c r="G2456">
        <v>5018.5257788279796</v>
      </c>
      <c r="H2456">
        <v>975.65963519625097</v>
      </c>
      <c r="I2456">
        <v>0.62614958408228905</v>
      </c>
      <c r="J2456">
        <v>6.6250528595176397E-2</v>
      </c>
      <c r="K2456">
        <v>0.51846449136276396</v>
      </c>
      <c r="L2456" t="s">
        <v>38</v>
      </c>
      <c r="M2456" t="s">
        <v>34</v>
      </c>
      <c r="N2456" t="s">
        <v>35</v>
      </c>
      <c r="O2456">
        <v>0.71344674918705797</v>
      </c>
      <c r="P2456" t="s">
        <v>36</v>
      </c>
    </row>
    <row r="2457" spans="1:16">
      <c r="A2457">
        <v>2456</v>
      </c>
      <c r="B2457" t="s">
        <v>2519</v>
      </c>
      <c r="C2457">
        <v>89</v>
      </c>
      <c r="D2457">
        <v>87</v>
      </c>
      <c r="E2457">
        <v>80.282212466688307</v>
      </c>
      <c r="F2457">
        <v>1.0251572327044001</v>
      </c>
      <c r="G2457">
        <v>5062.0746623818504</v>
      </c>
      <c r="H2457">
        <v>370.14894988184398</v>
      </c>
      <c r="I2457">
        <v>0.43962774018871098</v>
      </c>
      <c r="J2457">
        <v>0.46428576373434</v>
      </c>
      <c r="K2457">
        <v>0.86192235663309202</v>
      </c>
      <c r="L2457" t="s">
        <v>49</v>
      </c>
      <c r="M2457" t="s">
        <v>34</v>
      </c>
      <c r="N2457" t="s">
        <v>35</v>
      </c>
      <c r="O2457">
        <v>0.74647532464972399</v>
      </c>
      <c r="P2457" t="s">
        <v>36</v>
      </c>
    </row>
    <row r="2458" spans="1:16">
      <c r="A2458">
        <v>2457</v>
      </c>
      <c r="B2458" t="s">
        <v>2520</v>
      </c>
      <c r="C2458">
        <v>62</v>
      </c>
      <c r="D2458">
        <v>133</v>
      </c>
      <c r="E2458">
        <v>80.314028637681602</v>
      </c>
      <c r="F2458">
        <v>0.46311474948504699</v>
      </c>
      <c r="G2458">
        <v>5066.0876994328901</v>
      </c>
      <c r="H2458">
        <v>429.333004632307</v>
      </c>
      <c r="I2458">
        <v>0.85385906671878298</v>
      </c>
      <c r="J2458">
        <v>0.34537747970476801</v>
      </c>
      <c r="K2458">
        <v>0.75287699070085901</v>
      </c>
      <c r="L2458" t="s">
        <v>298</v>
      </c>
      <c r="M2458" t="s">
        <v>34</v>
      </c>
      <c r="N2458" t="s">
        <v>35</v>
      </c>
      <c r="O2458">
        <v>0.64114797857526296</v>
      </c>
      <c r="P2458" t="s">
        <v>36</v>
      </c>
    </row>
    <row r="2459" spans="1:16">
      <c r="A2459">
        <v>2458</v>
      </c>
      <c r="B2459" t="s">
        <v>2521</v>
      </c>
      <c r="C2459">
        <v>116</v>
      </c>
      <c r="D2459">
        <v>72</v>
      </c>
      <c r="E2459">
        <v>80.652620182721293</v>
      </c>
      <c r="F2459">
        <v>1.61125655188464</v>
      </c>
      <c r="G2459">
        <v>5108.8934279773202</v>
      </c>
      <c r="H2459">
        <v>410.531029562225</v>
      </c>
      <c r="I2459">
        <v>0.63696604515917399</v>
      </c>
      <c r="J2459">
        <v>0.38092960869501502</v>
      </c>
      <c r="K2459">
        <v>0.75385998771822105</v>
      </c>
      <c r="L2459" t="s">
        <v>72</v>
      </c>
      <c r="M2459" t="s">
        <v>34</v>
      </c>
      <c r="N2459" t="s">
        <v>35</v>
      </c>
      <c r="O2459">
        <v>0.87777891522749296</v>
      </c>
      <c r="P2459" t="s">
        <v>36</v>
      </c>
    </row>
    <row r="2460" spans="1:16">
      <c r="A2460">
        <v>2459</v>
      </c>
      <c r="B2460" t="s">
        <v>2522</v>
      </c>
      <c r="C2460">
        <v>93</v>
      </c>
      <c r="D2460">
        <v>103</v>
      </c>
      <c r="E2460">
        <v>80.8635199505363</v>
      </c>
      <c r="F2460">
        <v>0.90425530360693496</v>
      </c>
      <c r="G2460">
        <v>5135.64700831758</v>
      </c>
      <c r="H2460">
        <v>867.92578052137196</v>
      </c>
      <c r="I2460">
        <v>0.715195584954462</v>
      </c>
      <c r="J2460">
        <v>8.5672186727912894E-2</v>
      </c>
      <c r="K2460">
        <v>0.61863071579475104</v>
      </c>
      <c r="L2460" t="s">
        <v>38</v>
      </c>
      <c r="M2460" t="s">
        <v>34</v>
      </c>
      <c r="N2460" t="s">
        <v>35</v>
      </c>
      <c r="O2460">
        <v>0.72013223938975102</v>
      </c>
      <c r="P2460" t="s">
        <v>36</v>
      </c>
    </row>
    <row r="2461" spans="1:16">
      <c r="A2461">
        <v>2460</v>
      </c>
      <c r="B2461" t="s">
        <v>2523</v>
      </c>
      <c r="C2461">
        <v>74</v>
      </c>
      <c r="D2461">
        <v>113</v>
      </c>
      <c r="E2461">
        <v>80.912650798848205</v>
      </c>
      <c r="F2461">
        <v>0.65433722291744301</v>
      </c>
      <c r="G2461">
        <v>5141.8895103969799</v>
      </c>
      <c r="H2461">
        <v>452.75351659018099</v>
      </c>
      <c r="I2461">
        <v>0.78406614751728498</v>
      </c>
      <c r="J2461">
        <v>0.31521649802108798</v>
      </c>
      <c r="K2461">
        <v>0.80416085541608595</v>
      </c>
      <c r="L2461" t="s">
        <v>38</v>
      </c>
      <c r="M2461" t="s">
        <v>34</v>
      </c>
      <c r="N2461" t="s">
        <v>35</v>
      </c>
      <c r="O2461">
        <v>0.81580798077903904</v>
      </c>
      <c r="P2461" t="s">
        <v>36</v>
      </c>
    </row>
    <row r="2462" spans="1:16">
      <c r="A2462">
        <v>2461</v>
      </c>
      <c r="B2462" t="s">
        <v>2524</v>
      </c>
      <c r="C2462">
        <v>138</v>
      </c>
      <c r="D2462">
        <v>80</v>
      </c>
      <c r="E2462">
        <v>81.187001013424293</v>
      </c>
      <c r="F2462">
        <v>1.7240763694594701</v>
      </c>
      <c r="G2462">
        <v>5176.8177958412098</v>
      </c>
      <c r="H2462">
        <v>733.25043724785701</v>
      </c>
      <c r="I2462">
        <v>0.59458943971088596</v>
      </c>
      <c r="J2462">
        <v>0.12099518349261799</v>
      </c>
      <c r="K2462">
        <v>0.62372407865047796</v>
      </c>
      <c r="L2462" t="s">
        <v>33</v>
      </c>
      <c r="M2462" t="s">
        <v>34</v>
      </c>
      <c r="N2462" t="s">
        <v>35</v>
      </c>
      <c r="O2462">
        <v>0.67719733551081396</v>
      </c>
      <c r="P2462" t="s">
        <v>36</v>
      </c>
    </row>
    <row r="2463" spans="1:16">
      <c r="A2463">
        <v>2462</v>
      </c>
      <c r="B2463" t="s">
        <v>2525</v>
      </c>
      <c r="C2463">
        <v>83</v>
      </c>
      <c r="D2463">
        <v>93</v>
      </c>
      <c r="E2463">
        <v>81.702833289120704</v>
      </c>
      <c r="F2463">
        <v>0.9</v>
      </c>
      <c r="G2463">
        <v>5242.8099606805299</v>
      </c>
      <c r="H2463">
        <v>466.60978779751298</v>
      </c>
      <c r="I2463">
        <v>0.64275375994647299</v>
      </c>
      <c r="J2463">
        <v>0.30259816557994801</v>
      </c>
      <c r="K2463">
        <v>0.79618093174431204</v>
      </c>
      <c r="L2463" t="s">
        <v>49</v>
      </c>
      <c r="M2463" t="s">
        <v>34</v>
      </c>
      <c r="N2463" t="s">
        <v>35</v>
      </c>
      <c r="O2463">
        <v>0.82524077686105102</v>
      </c>
      <c r="P2463" t="s">
        <v>36</v>
      </c>
    </row>
    <row r="2464" spans="1:16">
      <c r="A2464">
        <v>2463</v>
      </c>
      <c r="B2464" t="s">
        <v>2526</v>
      </c>
      <c r="C2464">
        <v>107</v>
      </c>
      <c r="D2464">
        <v>97</v>
      </c>
      <c r="E2464">
        <v>81.938748542937006</v>
      </c>
      <c r="F2464">
        <v>1.0966176156365</v>
      </c>
      <c r="G2464">
        <v>5273.1306850661604</v>
      </c>
      <c r="H2464">
        <v>758.06585348212195</v>
      </c>
      <c r="I2464">
        <v>0.58008979097166002</v>
      </c>
      <c r="J2464">
        <v>0.11530935145014801</v>
      </c>
      <c r="K2464">
        <v>0.66699253633133404</v>
      </c>
      <c r="L2464" t="s">
        <v>38</v>
      </c>
      <c r="M2464" t="s">
        <v>34</v>
      </c>
      <c r="N2464" t="s">
        <v>35</v>
      </c>
      <c r="O2464">
        <v>0.70237636291300798</v>
      </c>
      <c r="P2464" t="s">
        <v>36</v>
      </c>
    </row>
    <row r="2465" spans="1:16">
      <c r="A2465">
        <v>2464</v>
      </c>
      <c r="B2465" t="s">
        <v>2527</v>
      </c>
      <c r="C2465">
        <v>81</v>
      </c>
      <c r="D2465">
        <v>118</v>
      </c>
      <c r="E2465">
        <v>82.476268906212695</v>
      </c>
      <c r="F2465">
        <v>0.68173975200489201</v>
      </c>
      <c r="G2465">
        <v>5342.5413629489603</v>
      </c>
      <c r="H2465">
        <v>534.42653088414204</v>
      </c>
      <c r="I2465">
        <v>0.70735561432107197</v>
      </c>
      <c r="J2465">
        <v>0.23506162672536299</v>
      </c>
      <c r="K2465">
        <v>0.70479010215486004</v>
      </c>
      <c r="L2465" t="s">
        <v>38</v>
      </c>
      <c r="M2465" t="s">
        <v>34</v>
      </c>
      <c r="N2465" t="s">
        <v>35</v>
      </c>
      <c r="O2465">
        <v>0.79913318396142596</v>
      </c>
      <c r="P2465" t="s">
        <v>36</v>
      </c>
    </row>
    <row r="2466" spans="1:16">
      <c r="A2466">
        <v>2465</v>
      </c>
      <c r="B2466" t="s">
        <v>2528</v>
      </c>
      <c r="C2466">
        <v>98</v>
      </c>
      <c r="D2466">
        <v>117</v>
      </c>
      <c r="E2466">
        <v>82.748865463852994</v>
      </c>
      <c r="F2466">
        <v>0.837209302325581</v>
      </c>
      <c r="G2466">
        <v>5377.9155413988701</v>
      </c>
      <c r="H2466">
        <v>695.93376835460299</v>
      </c>
      <c r="I2466">
        <v>0.63713032534499503</v>
      </c>
      <c r="J2466">
        <v>0.13953656301728701</v>
      </c>
      <c r="K2466">
        <v>0.65293417063663906</v>
      </c>
      <c r="L2466" t="s">
        <v>38</v>
      </c>
      <c r="M2466" t="s">
        <v>34</v>
      </c>
      <c r="N2466" t="s">
        <v>35</v>
      </c>
      <c r="O2466">
        <v>0.745974214767124</v>
      </c>
      <c r="P2466" t="s">
        <v>36</v>
      </c>
    </row>
    <row r="2467" spans="1:16">
      <c r="A2467">
        <v>2466</v>
      </c>
      <c r="B2467" t="s">
        <v>2529</v>
      </c>
      <c r="C2467">
        <v>102</v>
      </c>
      <c r="D2467">
        <v>122</v>
      </c>
      <c r="E2467">
        <v>82.839150902336598</v>
      </c>
      <c r="F2467">
        <v>0.83482142857142905</v>
      </c>
      <c r="G2467">
        <v>5389.6573905482001</v>
      </c>
      <c r="H2467">
        <v>985.37335607653097</v>
      </c>
      <c r="I2467">
        <v>0.43991321138168499</v>
      </c>
      <c r="J2467">
        <v>6.9754044300018497E-2</v>
      </c>
      <c r="K2467">
        <v>0.61098567818028604</v>
      </c>
      <c r="L2467" t="s">
        <v>33</v>
      </c>
      <c r="M2467" t="s">
        <v>34</v>
      </c>
      <c r="N2467" t="s">
        <v>35</v>
      </c>
      <c r="O2467">
        <v>0.789494040610905</v>
      </c>
      <c r="P2467" t="s">
        <v>36</v>
      </c>
    </row>
    <row r="2468" spans="1:16">
      <c r="A2468">
        <v>2467</v>
      </c>
      <c r="B2468" t="s">
        <v>2530</v>
      </c>
      <c r="C2468">
        <v>108</v>
      </c>
      <c r="D2468">
        <v>103</v>
      </c>
      <c r="E2468">
        <v>83.092339232796604</v>
      </c>
      <c r="F2468">
        <v>1.0476190476190499</v>
      </c>
      <c r="G2468">
        <v>5422.6534729678597</v>
      </c>
      <c r="H2468">
        <v>712.45468169626997</v>
      </c>
      <c r="I2468">
        <v>0.64039328949705598</v>
      </c>
      <c r="J2468">
        <v>0.134247815352429</v>
      </c>
      <c r="K2468">
        <v>0.63204213152241695</v>
      </c>
      <c r="L2468" t="s">
        <v>33</v>
      </c>
      <c r="M2468" t="s">
        <v>34</v>
      </c>
      <c r="N2468" t="s">
        <v>35</v>
      </c>
      <c r="O2468">
        <v>0.667996015587767</v>
      </c>
      <c r="P2468" t="s">
        <v>36</v>
      </c>
    </row>
    <row r="2469" spans="1:16">
      <c r="A2469">
        <v>2468</v>
      </c>
      <c r="B2469" t="s">
        <v>2531</v>
      </c>
      <c r="C2469">
        <v>112</v>
      </c>
      <c r="D2469">
        <v>88</v>
      </c>
      <c r="E2469">
        <v>83.243655258398803</v>
      </c>
      <c r="F2469">
        <v>1.2795031055900601</v>
      </c>
      <c r="G2469">
        <v>5442.4213962192798</v>
      </c>
      <c r="H2469">
        <v>538.41409184714996</v>
      </c>
      <c r="I2469">
        <v>0.82889056576259101</v>
      </c>
      <c r="J2469">
        <v>0.23592240846213999</v>
      </c>
      <c r="K2469">
        <v>0.71172834706888499</v>
      </c>
      <c r="L2469" t="s">
        <v>38</v>
      </c>
      <c r="M2469" t="s">
        <v>34</v>
      </c>
      <c r="N2469" t="s">
        <v>35</v>
      </c>
      <c r="O2469">
        <v>0.76533261117177398</v>
      </c>
      <c r="P2469" t="s">
        <v>36</v>
      </c>
    </row>
    <row r="2470" spans="1:16">
      <c r="A2470">
        <v>2469</v>
      </c>
      <c r="B2470" t="s">
        <v>2532</v>
      </c>
      <c r="C2470">
        <v>131</v>
      </c>
      <c r="D2470">
        <v>128</v>
      </c>
      <c r="E2470">
        <v>83.358380925773602</v>
      </c>
      <c r="F2470">
        <v>1.02991452991453</v>
      </c>
      <c r="G2470">
        <v>5457.4331274102096</v>
      </c>
      <c r="H2470">
        <v>741.89642082670503</v>
      </c>
      <c r="I2470">
        <v>0.59374198182298499</v>
      </c>
      <c r="J2470">
        <v>0.12459819043607399</v>
      </c>
      <c r="K2470">
        <v>0.48394664698439499</v>
      </c>
      <c r="L2470" t="s">
        <v>49</v>
      </c>
      <c r="M2470" t="s">
        <v>34</v>
      </c>
      <c r="N2470" t="s">
        <v>35</v>
      </c>
      <c r="O2470">
        <v>0.64236760149246097</v>
      </c>
      <c r="P2470" t="s">
        <v>36</v>
      </c>
    </row>
    <row r="2471" spans="1:16">
      <c r="A2471">
        <v>2470</v>
      </c>
      <c r="B2471" t="s">
        <v>2533</v>
      </c>
      <c r="C2471">
        <v>120</v>
      </c>
      <c r="D2471">
        <v>80</v>
      </c>
      <c r="E2471">
        <v>83.542067339596002</v>
      </c>
      <c r="F2471">
        <v>1.500304602935</v>
      </c>
      <c r="G2471">
        <v>5481.5113497164502</v>
      </c>
      <c r="H2471">
        <v>572.34986199088701</v>
      </c>
      <c r="I2471">
        <v>0.76647069693394998</v>
      </c>
      <c r="J2471">
        <v>0.21027469747549499</v>
      </c>
      <c r="K2471">
        <v>0.74485488659543997</v>
      </c>
      <c r="L2471" t="s">
        <v>33</v>
      </c>
      <c r="M2471" t="s">
        <v>34</v>
      </c>
      <c r="N2471" t="s">
        <v>35</v>
      </c>
      <c r="O2471">
        <v>0.69112945549544202</v>
      </c>
      <c r="P2471" t="s">
        <v>36</v>
      </c>
    </row>
    <row r="2472" spans="1:16">
      <c r="A2472">
        <v>2471</v>
      </c>
      <c r="B2472" t="s">
        <v>2534</v>
      </c>
      <c r="C2472">
        <v>117</v>
      </c>
      <c r="D2472">
        <v>112</v>
      </c>
      <c r="E2472">
        <v>83.712918289949997</v>
      </c>
      <c r="F2472">
        <v>1.0487804878048801</v>
      </c>
      <c r="G2472">
        <v>5503.9546310018904</v>
      </c>
      <c r="H2472">
        <v>947.83749837989399</v>
      </c>
      <c r="I2472">
        <v>0.59934209102998504</v>
      </c>
      <c r="J2472">
        <v>7.6986918508081204E-2</v>
      </c>
      <c r="K2472">
        <v>0.56432490094483401</v>
      </c>
      <c r="L2472" t="s">
        <v>288</v>
      </c>
      <c r="M2472" t="s">
        <v>34</v>
      </c>
      <c r="N2472" t="s">
        <v>35</v>
      </c>
      <c r="O2472">
        <v>0.67090772381205099</v>
      </c>
      <c r="P2472" t="s">
        <v>36</v>
      </c>
    </row>
    <row r="2473" spans="1:16">
      <c r="A2473">
        <v>2472</v>
      </c>
      <c r="B2473" t="s">
        <v>2535</v>
      </c>
      <c r="C2473">
        <v>126</v>
      </c>
      <c r="D2473">
        <v>73</v>
      </c>
      <c r="E2473">
        <v>83.741171238222805</v>
      </c>
      <c r="F2473">
        <v>1.72447341678468</v>
      </c>
      <c r="G2473">
        <v>5507.6704060491502</v>
      </c>
      <c r="H2473">
        <v>479.43042142308298</v>
      </c>
      <c r="I2473">
        <v>0.59921916649513796</v>
      </c>
      <c r="J2473">
        <v>0.30111100686382303</v>
      </c>
      <c r="K2473">
        <v>0.786234113428529</v>
      </c>
      <c r="L2473" t="s">
        <v>38</v>
      </c>
      <c r="M2473" t="s">
        <v>34</v>
      </c>
      <c r="N2473" t="s">
        <v>35</v>
      </c>
      <c r="O2473">
        <v>0.66871010081590998</v>
      </c>
      <c r="P2473" t="s">
        <v>36</v>
      </c>
    </row>
    <row r="2474" spans="1:16">
      <c r="A2474">
        <v>2473</v>
      </c>
      <c r="B2474" t="s">
        <v>2536</v>
      </c>
      <c r="C2474">
        <v>87</v>
      </c>
      <c r="D2474">
        <v>112</v>
      </c>
      <c r="E2474">
        <v>84.036690749187699</v>
      </c>
      <c r="F2474">
        <v>0.78048780487804903</v>
      </c>
      <c r="G2474">
        <v>5546.6117285444197</v>
      </c>
      <c r="H2474">
        <v>565.31018548343502</v>
      </c>
      <c r="I2474">
        <v>0.75125385868873995</v>
      </c>
      <c r="J2474">
        <v>0.21810418995495401</v>
      </c>
      <c r="K2474">
        <v>0.70186195222869996</v>
      </c>
      <c r="L2474" t="s">
        <v>38</v>
      </c>
      <c r="M2474" t="s">
        <v>34</v>
      </c>
      <c r="N2474" t="s">
        <v>35</v>
      </c>
      <c r="O2474">
        <v>0.71322776486843598</v>
      </c>
      <c r="P2474" t="s">
        <v>36</v>
      </c>
    </row>
    <row r="2475" spans="1:16">
      <c r="A2475">
        <v>2474</v>
      </c>
      <c r="B2475" t="s">
        <v>2537</v>
      </c>
      <c r="C2475">
        <v>75</v>
      </c>
      <c r="D2475">
        <v>153</v>
      </c>
      <c r="E2475">
        <v>84.215527121038093</v>
      </c>
      <c r="F2475">
        <v>0.48710654783990698</v>
      </c>
      <c r="G2475">
        <v>5570.2440578449896</v>
      </c>
      <c r="H2475">
        <v>611.36362788024201</v>
      </c>
      <c r="I2475">
        <v>0.58510729625679603</v>
      </c>
      <c r="J2475">
        <v>0.18727719374792001</v>
      </c>
      <c r="K2475">
        <v>0.647159385252979</v>
      </c>
      <c r="L2475" t="s">
        <v>38</v>
      </c>
      <c r="M2475" t="s">
        <v>34</v>
      </c>
      <c r="N2475" t="s">
        <v>35</v>
      </c>
      <c r="O2475">
        <v>0.76814248642974803</v>
      </c>
      <c r="P2475" t="s">
        <v>36</v>
      </c>
    </row>
    <row r="2476" spans="1:16">
      <c r="A2476">
        <v>2475</v>
      </c>
      <c r="B2476" t="s">
        <v>2538</v>
      </c>
      <c r="C2476">
        <v>90</v>
      </c>
      <c r="D2476">
        <v>85</v>
      </c>
      <c r="E2476">
        <v>84.2514715711158</v>
      </c>
      <c r="F2476">
        <v>1.0588235294117601</v>
      </c>
      <c r="G2476">
        <v>5575</v>
      </c>
      <c r="H2476">
        <v>319.70562458038302</v>
      </c>
      <c r="I2476">
        <v>0.61222825254033997</v>
      </c>
      <c r="J2476">
        <v>0.68541591133603597</v>
      </c>
      <c r="K2476">
        <v>0.90650406504064995</v>
      </c>
      <c r="L2476" t="s">
        <v>38</v>
      </c>
      <c r="M2476" t="s">
        <v>34</v>
      </c>
      <c r="N2476" t="s">
        <v>35</v>
      </c>
      <c r="O2476">
        <v>0.88317442626575005</v>
      </c>
      <c r="P2476" t="s">
        <v>36</v>
      </c>
    </row>
    <row r="2477" spans="1:16">
      <c r="A2477">
        <v>2476</v>
      </c>
      <c r="B2477" t="s">
        <v>2539</v>
      </c>
      <c r="C2477">
        <v>98</v>
      </c>
      <c r="D2477">
        <v>167</v>
      </c>
      <c r="E2477">
        <v>84.331174685283997</v>
      </c>
      <c r="F2477">
        <v>0.58384179142707904</v>
      </c>
      <c r="G2477">
        <v>5585.5530510397002</v>
      </c>
      <c r="H2477">
        <v>1026.74567837632</v>
      </c>
      <c r="I2477">
        <v>0.76418325002067999</v>
      </c>
      <c r="J2477">
        <v>6.6580994524328099E-2</v>
      </c>
      <c r="K2477">
        <v>0.47767340764938399</v>
      </c>
      <c r="L2477" t="s">
        <v>33</v>
      </c>
      <c r="M2477" t="s">
        <v>34</v>
      </c>
      <c r="N2477" t="s">
        <v>35</v>
      </c>
      <c r="O2477">
        <v>0.70535284500991802</v>
      </c>
      <c r="P2477" t="s">
        <v>36</v>
      </c>
    </row>
    <row r="2478" spans="1:16">
      <c r="A2478">
        <v>2477</v>
      </c>
      <c r="B2478" t="s">
        <v>2540</v>
      </c>
      <c r="C2478">
        <v>74</v>
      </c>
      <c r="D2478">
        <v>103</v>
      </c>
      <c r="E2478">
        <v>84.354733856806604</v>
      </c>
      <c r="F2478">
        <v>0.71808510638297895</v>
      </c>
      <c r="G2478">
        <v>5588.6743020794001</v>
      </c>
      <c r="H2478">
        <v>481.18231562002802</v>
      </c>
      <c r="I2478">
        <v>0.687825844166286</v>
      </c>
      <c r="J2478">
        <v>0.30331881377610798</v>
      </c>
      <c r="K2478">
        <v>0.80700963664069703</v>
      </c>
      <c r="L2478" t="s">
        <v>33</v>
      </c>
      <c r="M2478" t="s">
        <v>34</v>
      </c>
      <c r="N2478" t="s">
        <v>35</v>
      </c>
      <c r="O2478">
        <v>0.70197174581821098</v>
      </c>
      <c r="P2478" t="s">
        <v>36</v>
      </c>
    </row>
    <row r="2479" spans="1:16">
      <c r="A2479">
        <v>2478</v>
      </c>
      <c r="B2479" t="s">
        <v>2541</v>
      </c>
      <c r="C2479">
        <v>74</v>
      </c>
      <c r="D2479">
        <v>132</v>
      </c>
      <c r="E2479">
        <v>84.385014555432406</v>
      </c>
      <c r="F2479">
        <v>0.55854020741018495</v>
      </c>
      <c r="G2479">
        <v>5592.6873391304398</v>
      </c>
      <c r="H2479">
        <v>501.31661175727902</v>
      </c>
      <c r="I2479">
        <v>0.761090434333627</v>
      </c>
      <c r="J2479">
        <v>0.279644455605354</v>
      </c>
      <c r="K2479">
        <v>0.75865962337190995</v>
      </c>
      <c r="L2479" t="s">
        <v>47</v>
      </c>
      <c r="M2479" t="s">
        <v>34</v>
      </c>
      <c r="N2479" t="s">
        <v>35</v>
      </c>
      <c r="O2479">
        <v>0.89277903183705598</v>
      </c>
      <c r="P2479" t="s">
        <v>36</v>
      </c>
    </row>
    <row r="2480" spans="1:16">
      <c r="A2480">
        <v>2479</v>
      </c>
      <c r="B2480" t="s">
        <v>2542</v>
      </c>
      <c r="C2480">
        <v>107</v>
      </c>
      <c r="D2480">
        <v>118</v>
      </c>
      <c r="E2480">
        <v>84.507148539405904</v>
      </c>
      <c r="F2480">
        <v>0.91203703703703698</v>
      </c>
      <c r="G2480">
        <v>5608.8881183364801</v>
      </c>
      <c r="H2480">
        <v>856.00849259469805</v>
      </c>
      <c r="I2480">
        <v>0.52750359825599402</v>
      </c>
      <c r="J2480">
        <v>9.6190126161843997E-2</v>
      </c>
      <c r="K2480">
        <v>0.58933674823918902</v>
      </c>
      <c r="L2480" t="s">
        <v>33</v>
      </c>
      <c r="M2480" t="s">
        <v>34</v>
      </c>
      <c r="N2480" t="s">
        <v>35</v>
      </c>
      <c r="O2480">
        <v>0.73685459613762105</v>
      </c>
      <c r="P2480" t="s">
        <v>36</v>
      </c>
    </row>
    <row r="2481" spans="1:16">
      <c r="A2481">
        <v>2480</v>
      </c>
      <c r="B2481" t="s">
        <v>2543</v>
      </c>
      <c r="C2481">
        <v>75</v>
      </c>
      <c r="D2481">
        <v>167</v>
      </c>
      <c r="E2481">
        <v>84.693929613723398</v>
      </c>
      <c r="F2481">
        <v>0.44875792460064301</v>
      </c>
      <c r="G2481">
        <v>5633.7094956521796</v>
      </c>
      <c r="H2481">
        <v>609.35493592594003</v>
      </c>
      <c r="I2481">
        <v>0.642551878230471</v>
      </c>
      <c r="J2481">
        <v>0.19066178118755001</v>
      </c>
      <c r="K2481">
        <v>0.58004193000443804</v>
      </c>
      <c r="L2481" t="s">
        <v>41</v>
      </c>
      <c r="M2481" t="s">
        <v>34</v>
      </c>
      <c r="N2481" t="s">
        <v>35</v>
      </c>
      <c r="O2481">
        <v>0.76224050806284904</v>
      </c>
      <c r="P2481" t="s">
        <v>36</v>
      </c>
    </row>
    <row r="2482" spans="1:16">
      <c r="A2482">
        <v>2481</v>
      </c>
      <c r="B2482" t="s">
        <v>2544</v>
      </c>
      <c r="C2482">
        <v>96</v>
      </c>
      <c r="D2482">
        <v>107</v>
      </c>
      <c r="E2482">
        <v>84.718504805835096</v>
      </c>
      <c r="F2482">
        <v>0.90500736980498997</v>
      </c>
      <c r="G2482">
        <v>5636.9793776937604</v>
      </c>
      <c r="H2482">
        <v>583.25420981697403</v>
      </c>
      <c r="I2482">
        <v>0.62378797967061395</v>
      </c>
      <c r="J2482">
        <v>0.20822867985764801</v>
      </c>
      <c r="K2482">
        <v>0.68826219512195097</v>
      </c>
      <c r="L2482" t="s">
        <v>33</v>
      </c>
      <c r="M2482" t="s">
        <v>34</v>
      </c>
      <c r="N2482" t="s">
        <v>35</v>
      </c>
      <c r="O2482">
        <v>0.73542296274966401</v>
      </c>
      <c r="P2482" t="s">
        <v>36</v>
      </c>
    </row>
    <row r="2483" spans="1:16">
      <c r="A2483">
        <v>2482</v>
      </c>
      <c r="B2483" t="s">
        <v>2545</v>
      </c>
      <c r="C2483">
        <v>96</v>
      </c>
      <c r="D2483">
        <v>154</v>
      </c>
      <c r="E2483">
        <v>84.782143757276998</v>
      </c>
      <c r="F2483">
        <v>0.626674646411434</v>
      </c>
      <c r="G2483">
        <v>5645.4513448015095</v>
      </c>
      <c r="H2483">
        <v>912.41441780494597</v>
      </c>
      <c r="I2483">
        <v>0.76185666169059896</v>
      </c>
      <c r="J2483">
        <v>8.5216610131442702E-2</v>
      </c>
      <c r="K2483">
        <v>0.46973200925044201</v>
      </c>
      <c r="L2483" t="s">
        <v>49</v>
      </c>
      <c r="M2483" t="s">
        <v>34</v>
      </c>
      <c r="N2483" t="s">
        <v>35</v>
      </c>
      <c r="O2483">
        <v>0.65957001676284799</v>
      </c>
      <c r="P2483" t="s">
        <v>36</v>
      </c>
    </row>
    <row r="2484" spans="1:16">
      <c r="A2484">
        <v>2483</v>
      </c>
      <c r="B2484" t="s">
        <v>2546</v>
      </c>
      <c r="C2484">
        <v>69</v>
      </c>
      <c r="D2484">
        <v>149</v>
      </c>
      <c r="E2484">
        <v>85.748716836671804</v>
      </c>
      <c r="F2484">
        <v>0.46350364963503599</v>
      </c>
      <c r="G2484">
        <v>5774.9089474480197</v>
      </c>
      <c r="H2484">
        <v>637.97082403950105</v>
      </c>
      <c r="I2484">
        <v>0.78890792629875595</v>
      </c>
      <c r="J2484">
        <v>0.1783008319079</v>
      </c>
      <c r="K2484">
        <v>0.60872017421548197</v>
      </c>
      <c r="L2484" t="s">
        <v>2547</v>
      </c>
      <c r="M2484" t="s">
        <v>34</v>
      </c>
      <c r="N2484" t="s">
        <v>35</v>
      </c>
      <c r="O2484">
        <v>0.63370930241062395</v>
      </c>
      <c r="P2484" t="s">
        <v>36</v>
      </c>
    </row>
    <row r="2485" spans="1:16">
      <c r="A2485">
        <v>2484</v>
      </c>
      <c r="B2485" t="s">
        <v>2548</v>
      </c>
      <c r="C2485">
        <v>79</v>
      </c>
      <c r="D2485">
        <v>97</v>
      </c>
      <c r="E2485">
        <v>85.777402348954496</v>
      </c>
      <c r="F2485">
        <v>0.80898876404494402</v>
      </c>
      <c r="G2485">
        <v>5778.7733534971603</v>
      </c>
      <c r="H2485">
        <v>415.546442098618</v>
      </c>
      <c r="I2485">
        <v>0.71895881929138805</v>
      </c>
      <c r="J2485">
        <v>0.42053910789704901</v>
      </c>
      <c r="K2485">
        <v>0.90277939025239695</v>
      </c>
      <c r="L2485" t="s">
        <v>38</v>
      </c>
      <c r="M2485" t="s">
        <v>34</v>
      </c>
      <c r="N2485" t="s">
        <v>35</v>
      </c>
      <c r="O2485">
        <v>0.78894180744310505</v>
      </c>
      <c r="P2485" t="s">
        <v>36</v>
      </c>
    </row>
    <row r="2486" spans="1:16">
      <c r="A2486">
        <v>2485</v>
      </c>
      <c r="B2486" t="s">
        <v>2549</v>
      </c>
      <c r="C2486">
        <v>80</v>
      </c>
      <c r="D2486">
        <v>108</v>
      </c>
      <c r="E2486">
        <v>85.850176371981505</v>
      </c>
      <c r="F2486">
        <v>0.74622284135725203</v>
      </c>
      <c r="G2486">
        <v>5788.58299962193</v>
      </c>
      <c r="H2486">
        <v>485.33426818557399</v>
      </c>
      <c r="I2486">
        <v>0.66354415416472701</v>
      </c>
      <c r="J2486">
        <v>0.30881629996485899</v>
      </c>
      <c r="K2486">
        <v>0.82542441133459099</v>
      </c>
      <c r="L2486" t="s">
        <v>38</v>
      </c>
      <c r="M2486" t="s">
        <v>34</v>
      </c>
      <c r="N2486" t="s">
        <v>35</v>
      </c>
      <c r="O2486">
        <v>0.74269282540694204</v>
      </c>
      <c r="P2486" t="s">
        <v>36</v>
      </c>
    </row>
    <row r="2487" spans="1:16">
      <c r="A2487">
        <v>2486</v>
      </c>
      <c r="B2487" t="s">
        <v>2550</v>
      </c>
      <c r="C2487">
        <v>103</v>
      </c>
      <c r="D2487">
        <v>134</v>
      </c>
      <c r="E2487">
        <v>86.444393544792305</v>
      </c>
      <c r="F2487">
        <v>0.769625355871004</v>
      </c>
      <c r="G2487">
        <v>5868.9923716446101</v>
      </c>
      <c r="H2487">
        <v>953.61845549801103</v>
      </c>
      <c r="I2487">
        <v>0.72052434985008695</v>
      </c>
      <c r="J2487">
        <v>8.1100608768743795E-2</v>
      </c>
      <c r="K2487">
        <v>0.53318300274105801</v>
      </c>
      <c r="L2487" t="s">
        <v>38</v>
      </c>
      <c r="M2487" t="s">
        <v>34</v>
      </c>
      <c r="N2487" t="s">
        <v>35</v>
      </c>
      <c r="O2487">
        <v>0.73224493389054701</v>
      </c>
      <c r="P2487" t="s">
        <v>36</v>
      </c>
    </row>
    <row r="2488" spans="1:16">
      <c r="A2488">
        <v>2487</v>
      </c>
      <c r="B2488" t="s">
        <v>2551</v>
      </c>
      <c r="C2488">
        <v>128</v>
      </c>
      <c r="D2488">
        <v>98</v>
      </c>
      <c r="E2488">
        <v>86.750338205089705</v>
      </c>
      <c r="F2488">
        <v>1.3072625698324001</v>
      </c>
      <c r="G2488">
        <v>5910.6090521739097</v>
      </c>
      <c r="H2488">
        <v>948.32127094901102</v>
      </c>
      <c r="I2488">
        <v>0.55220043784867801</v>
      </c>
      <c r="J2488">
        <v>8.2590693860751699E-2</v>
      </c>
      <c r="K2488">
        <v>0.59183248255026599</v>
      </c>
      <c r="L2488" t="s">
        <v>33</v>
      </c>
      <c r="M2488" t="s">
        <v>34</v>
      </c>
      <c r="N2488" t="s">
        <v>35</v>
      </c>
      <c r="O2488">
        <v>0.72580061844672505</v>
      </c>
      <c r="P2488" t="s">
        <v>36</v>
      </c>
    </row>
    <row r="2489" spans="1:16">
      <c r="A2489">
        <v>2488</v>
      </c>
      <c r="B2489" t="s">
        <v>2552</v>
      </c>
      <c r="C2489">
        <v>128</v>
      </c>
      <c r="D2489">
        <v>111</v>
      </c>
      <c r="E2489">
        <v>86.869146717566593</v>
      </c>
      <c r="F2489">
        <v>1.16126415738636</v>
      </c>
      <c r="G2489">
        <v>5926.8098313799601</v>
      </c>
      <c r="H2489">
        <v>616.07684769692605</v>
      </c>
      <c r="I2489">
        <v>0.48245502450173999</v>
      </c>
      <c r="J2489">
        <v>0.196228046428127</v>
      </c>
      <c r="K2489">
        <v>0.63216969466374995</v>
      </c>
      <c r="L2489" t="s">
        <v>38</v>
      </c>
      <c r="M2489" t="s">
        <v>34</v>
      </c>
      <c r="N2489" t="s">
        <v>35</v>
      </c>
      <c r="O2489">
        <v>0.77306057036940001</v>
      </c>
      <c r="P2489" t="s">
        <v>36</v>
      </c>
    </row>
    <row r="2490" spans="1:16">
      <c r="A2490">
        <v>2489</v>
      </c>
      <c r="B2490" t="s">
        <v>2553</v>
      </c>
      <c r="C2490">
        <v>92</v>
      </c>
      <c r="D2490">
        <v>142</v>
      </c>
      <c r="E2490">
        <v>87.099759699463903</v>
      </c>
      <c r="F2490">
        <v>0.65091912368160698</v>
      </c>
      <c r="G2490">
        <v>5958.3196037807202</v>
      </c>
      <c r="H2490">
        <v>693.278528458761</v>
      </c>
      <c r="I2490">
        <v>0.56060613672996096</v>
      </c>
      <c r="J2490">
        <v>0.15578231713083299</v>
      </c>
      <c r="K2490">
        <v>0.61667205070223197</v>
      </c>
      <c r="L2490" t="s">
        <v>33</v>
      </c>
      <c r="M2490" t="s">
        <v>34</v>
      </c>
      <c r="N2490" t="s">
        <v>35</v>
      </c>
      <c r="O2490">
        <v>0.87366153899173704</v>
      </c>
      <c r="P2490" t="s">
        <v>36</v>
      </c>
    </row>
    <row r="2491" spans="1:16">
      <c r="A2491">
        <v>2490</v>
      </c>
      <c r="B2491" t="s">
        <v>2554</v>
      </c>
      <c r="C2491">
        <v>89</v>
      </c>
      <c r="D2491">
        <v>130</v>
      </c>
      <c r="E2491">
        <v>88.020469575241805</v>
      </c>
      <c r="F2491">
        <v>0.68550260236259297</v>
      </c>
      <c r="G2491">
        <v>6084.9532173913003</v>
      </c>
      <c r="H2491">
        <v>726.86281791624799</v>
      </c>
      <c r="I2491">
        <v>0.64753301877458103</v>
      </c>
      <c r="J2491">
        <v>0.144731212597102</v>
      </c>
      <c r="K2491">
        <v>0.70987654320987703</v>
      </c>
      <c r="L2491" t="s">
        <v>74</v>
      </c>
      <c r="M2491" t="s">
        <v>34</v>
      </c>
      <c r="N2491" t="s">
        <v>35</v>
      </c>
      <c r="O2491">
        <v>0.66459873644093403</v>
      </c>
      <c r="P2491" t="s">
        <v>36</v>
      </c>
    </row>
    <row r="2492" spans="1:16">
      <c r="A2492">
        <v>2491</v>
      </c>
      <c r="B2492" t="s">
        <v>2555</v>
      </c>
      <c r="C2492">
        <v>123</v>
      </c>
      <c r="D2492">
        <v>171</v>
      </c>
      <c r="E2492">
        <v>88.227699380624699</v>
      </c>
      <c r="F2492">
        <v>0.71656050955413997</v>
      </c>
      <c r="G2492">
        <v>6113.6390007561404</v>
      </c>
      <c r="H2492">
        <v>1180.8484634104</v>
      </c>
      <c r="I2492">
        <v>0.56567305928943101</v>
      </c>
      <c r="J2492">
        <v>5.5096158235660199E-2</v>
      </c>
      <c r="K2492">
        <v>0.44353029976277802</v>
      </c>
      <c r="L2492" t="s">
        <v>33</v>
      </c>
      <c r="M2492" t="s">
        <v>34</v>
      </c>
      <c r="N2492" t="s">
        <v>35</v>
      </c>
      <c r="O2492">
        <v>0.77685847224645199</v>
      </c>
      <c r="P2492" t="s">
        <v>36</v>
      </c>
    </row>
    <row r="2493" spans="1:16">
      <c r="A2493">
        <v>2492</v>
      </c>
      <c r="B2493" t="s">
        <v>2556</v>
      </c>
      <c r="C2493">
        <v>98</v>
      </c>
      <c r="D2493">
        <v>108</v>
      </c>
      <c r="E2493">
        <v>88.275947273937604</v>
      </c>
      <c r="F2493">
        <v>0.90404040404040398</v>
      </c>
      <c r="G2493">
        <v>6120.3273958412101</v>
      </c>
      <c r="H2493">
        <v>786.57214719399201</v>
      </c>
      <c r="I2493">
        <v>0.61326567070499005</v>
      </c>
      <c r="J2493">
        <v>0.124310379115551</v>
      </c>
      <c r="K2493">
        <v>0.72998989522948499</v>
      </c>
      <c r="L2493" t="s">
        <v>38</v>
      </c>
      <c r="M2493" t="s">
        <v>34</v>
      </c>
      <c r="N2493" t="s">
        <v>35</v>
      </c>
      <c r="O2493">
        <v>0.71525792649962305</v>
      </c>
      <c r="P2493" t="s">
        <v>36</v>
      </c>
    </row>
    <row r="2494" spans="1:16">
      <c r="A2494">
        <v>2493</v>
      </c>
      <c r="B2494" t="s">
        <v>2557</v>
      </c>
      <c r="C2494">
        <v>98</v>
      </c>
      <c r="D2494">
        <v>112</v>
      </c>
      <c r="E2494">
        <v>88.897593988667694</v>
      </c>
      <c r="F2494">
        <v>0.86893201941807097</v>
      </c>
      <c r="G2494">
        <v>6206.8306389414001</v>
      </c>
      <c r="H2494">
        <v>965.29385714012699</v>
      </c>
      <c r="I2494">
        <v>0.66697814738302896</v>
      </c>
      <c r="J2494">
        <v>8.3706787398898905E-2</v>
      </c>
      <c r="K2494">
        <v>0.64112996085054097</v>
      </c>
      <c r="L2494" t="s">
        <v>38</v>
      </c>
      <c r="M2494" t="s">
        <v>34</v>
      </c>
      <c r="N2494" t="s">
        <v>35</v>
      </c>
      <c r="O2494">
        <v>0.71790690867117402</v>
      </c>
      <c r="P2494" t="s">
        <v>36</v>
      </c>
    </row>
    <row r="2495" spans="1:16">
      <c r="A2495">
        <v>2494</v>
      </c>
      <c r="B2495" t="s">
        <v>2558</v>
      </c>
      <c r="C2495">
        <v>133</v>
      </c>
      <c r="D2495">
        <v>88</v>
      </c>
      <c r="E2495">
        <v>88.940159274318901</v>
      </c>
      <c r="F2495">
        <v>1.5091458464750001</v>
      </c>
      <c r="G2495">
        <v>6212.7758790170101</v>
      </c>
      <c r="H2495">
        <v>662.18508729457903</v>
      </c>
      <c r="I2495">
        <v>0.58535250175166098</v>
      </c>
      <c r="J2495">
        <v>0.17804786036751399</v>
      </c>
      <c r="K2495">
        <v>0.70295814203790596</v>
      </c>
      <c r="L2495" t="s">
        <v>211</v>
      </c>
      <c r="M2495" t="s">
        <v>34</v>
      </c>
      <c r="N2495" t="s">
        <v>35</v>
      </c>
      <c r="O2495">
        <v>0.67282476122724899</v>
      </c>
      <c r="P2495" t="s">
        <v>36</v>
      </c>
    </row>
    <row r="2496" spans="1:16">
      <c r="A2496">
        <v>2495</v>
      </c>
      <c r="B2496" t="s">
        <v>2559</v>
      </c>
      <c r="C2496">
        <v>147</v>
      </c>
      <c r="D2496">
        <v>98</v>
      </c>
      <c r="E2496">
        <v>88.964625091844098</v>
      </c>
      <c r="F2496">
        <v>1.5083798882681601</v>
      </c>
      <c r="G2496">
        <v>6216.1943920604899</v>
      </c>
      <c r="H2496">
        <v>1013.40527945778</v>
      </c>
      <c r="I2496">
        <v>0.65543425019979196</v>
      </c>
      <c r="J2496">
        <v>7.6062067529838503E-2</v>
      </c>
      <c r="K2496">
        <v>0.54632024453327099</v>
      </c>
      <c r="L2496" t="s">
        <v>38</v>
      </c>
      <c r="M2496" t="s">
        <v>34</v>
      </c>
      <c r="N2496" t="s">
        <v>35</v>
      </c>
      <c r="O2496">
        <v>0.89575470130289803</v>
      </c>
      <c r="P2496" t="s">
        <v>36</v>
      </c>
    </row>
    <row r="2497" spans="1:16">
      <c r="A2497">
        <v>2496</v>
      </c>
      <c r="B2497" t="s">
        <v>2560</v>
      </c>
      <c r="C2497">
        <v>112</v>
      </c>
      <c r="D2497">
        <v>136</v>
      </c>
      <c r="E2497">
        <v>89.223762405607999</v>
      </c>
      <c r="F2497">
        <v>0.82399999999999995</v>
      </c>
      <c r="G2497">
        <v>6252.4603565217403</v>
      </c>
      <c r="H2497">
        <v>1141.06364370502</v>
      </c>
      <c r="I2497">
        <v>0.69209518245405499</v>
      </c>
      <c r="J2497">
        <v>6.03449698163291E-2</v>
      </c>
      <c r="K2497">
        <v>0.50343465773097196</v>
      </c>
      <c r="L2497" t="s">
        <v>38</v>
      </c>
      <c r="M2497" t="s">
        <v>34</v>
      </c>
      <c r="N2497" t="s">
        <v>35</v>
      </c>
      <c r="O2497">
        <v>0.79930670444964103</v>
      </c>
      <c r="P2497" t="s">
        <v>36</v>
      </c>
    </row>
    <row r="2498" spans="1:16">
      <c r="A2498">
        <v>2497</v>
      </c>
      <c r="B2498" t="s">
        <v>2561</v>
      </c>
      <c r="C2498">
        <v>103</v>
      </c>
      <c r="D2498">
        <v>117</v>
      </c>
      <c r="E2498">
        <v>89.272531888564103</v>
      </c>
      <c r="F2498">
        <v>0.87906975027675205</v>
      </c>
      <c r="G2498">
        <v>6259.2973826087</v>
      </c>
      <c r="H2498">
        <v>653.438911552533</v>
      </c>
      <c r="I2498">
        <v>0.72059855595450595</v>
      </c>
      <c r="J2498">
        <v>0.184215201012635</v>
      </c>
      <c r="K2498">
        <v>0.68656156768124699</v>
      </c>
      <c r="L2498" t="s">
        <v>38</v>
      </c>
      <c r="M2498" t="s">
        <v>34</v>
      </c>
      <c r="N2498" t="s">
        <v>35</v>
      </c>
      <c r="O2498">
        <v>0.78895917614282296</v>
      </c>
      <c r="P2498" t="s">
        <v>36</v>
      </c>
    </row>
    <row r="2499" spans="1:16">
      <c r="A2499">
        <v>2498</v>
      </c>
      <c r="B2499" t="s">
        <v>2562</v>
      </c>
      <c r="C2499">
        <v>107</v>
      </c>
      <c r="D2499">
        <v>92</v>
      </c>
      <c r="E2499">
        <v>89.639568413732903</v>
      </c>
      <c r="F2499">
        <v>1.1679340266254099</v>
      </c>
      <c r="G2499">
        <v>6310.8723402646501</v>
      </c>
      <c r="H2499">
        <v>461.609286733918</v>
      </c>
      <c r="I2499">
        <v>0.80203157251948098</v>
      </c>
      <c r="J2499">
        <v>0.37217755994202001</v>
      </c>
      <c r="K2499">
        <v>0.82344271196959096</v>
      </c>
      <c r="L2499" t="s">
        <v>47</v>
      </c>
      <c r="M2499" t="s">
        <v>34</v>
      </c>
      <c r="N2499" t="s">
        <v>35</v>
      </c>
      <c r="O2499">
        <v>0.88868599469767595</v>
      </c>
      <c r="P2499" t="s">
        <v>36</v>
      </c>
    </row>
    <row r="2500" spans="1:16">
      <c r="A2500">
        <v>2499</v>
      </c>
      <c r="B2500" t="s">
        <v>2563</v>
      </c>
      <c r="C2500">
        <v>240</v>
      </c>
      <c r="D2500">
        <v>80</v>
      </c>
      <c r="E2500">
        <v>89.888339302308097</v>
      </c>
      <c r="F2500">
        <v>2.99800560018415</v>
      </c>
      <c r="G2500">
        <v>6345.94925671078</v>
      </c>
      <c r="H2500">
        <v>735.63396791354501</v>
      </c>
      <c r="I2500">
        <v>0.63373693149270605</v>
      </c>
      <c r="J2500">
        <v>0.14736111873425201</v>
      </c>
      <c r="K2500">
        <v>0.49018392229799501</v>
      </c>
      <c r="L2500" t="s">
        <v>38</v>
      </c>
      <c r="M2500" t="s">
        <v>34</v>
      </c>
      <c r="N2500" t="s">
        <v>35</v>
      </c>
      <c r="O2500">
        <v>0.84192264126877503</v>
      </c>
      <c r="P2500" t="s">
        <v>36</v>
      </c>
    </row>
    <row r="2501" spans="1:16">
      <c r="A2501">
        <v>2500</v>
      </c>
      <c r="B2501" t="s">
        <v>2564</v>
      </c>
      <c r="C2501">
        <v>137</v>
      </c>
      <c r="D2501">
        <v>103</v>
      </c>
      <c r="E2501">
        <v>90.160564803269693</v>
      </c>
      <c r="F2501">
        <v>1.33510643737573</v>
      </c>
      <c r="G2501">
        <v>6384.4446862003797</v>
      </c>
      <c r="H2501">
        <v>1186.33273704311</v>
      </c>
      <c r="I2501">
        <v>0.70362557427359496</v>
      </c>
      <c r="J2501">
        <v>5.7005920484906103E-2</v>
      </c>
      <c r="K2501">
        <v>0.55944101482118203</v>
      </c>
      <c r="L2501" t="s">
        <v>38</v>
      </c>
      <c r="M2501" t="s">
        <v>34</v>
      </c>
      <c r="N2501" t="s">
        <v>35</v>
      </c>
      <c r="O2501">
        <v>0.84403115329901202</v>
      </c>
      <c r="P2501" t="s">
        <v>36</v>
      </c>
    </row>
    <row r="2502" spans="1:16">
      <c r="A2502">
        <v>2501</v>
      </c>
      <c r="B2502" t="s">
        <v>2565</v>
      </c>
      <c r="C2502">
        <v>183</v>
      </c>
      <c r="D2502">
        <v>84</v>
      </c>
      <c r="E2502">
        <v>90.6483018190781</v>
      </c>
      <c r="F2502">
        <v>2.1842665286584499</v>
      </c>
      <c r="G2502">
        <v>6453.7067330812897</v>
      </c>
      <c r="H2502">
        <v>856.56975984583698</v>
      </c>
      <c r="I2502">
        <v>0.72994568278012195</v>
      </c>
      <c r="J2502">
        <v>0.110533421686879</v>
      </c>
      <c r="K2502">
        <v>0.54255904035986502</v>
      </c>
      <c r="L2502" t="s">
        <v>33</v>
      </c>
      <c r="M2502" t="s">
        <v>34</v>
      </c>
      <c r="N2502" t="s">
        <v>35</v>
      </c>
      <c r="O2502">
        <v>0.74832327738398596</v>
      </c>
      <c r="P2502" t="s">
        <v>36</v>
      </c>
    </row>
    <row r="2503" spans="1:16">
      <c r="A2503">
        <v>2502</v>
      </c>
      <c r="B2503" t="s">
        <v>2566</v>
      </c>
      <c r="C2503">
        <v>112</v>
      </c>
      <c r="D2503">
        <v>107</v>
      </c>
      <c r="E2503">
        <v>90.673350282996594</v>
      </c>
      <c r="F2503">
        <v>1.0510204081632699</v>
      </c>
      <c r="G2503">
        <v>6457.2738771266504</v>
      </c>
      <c r="H2503">
        <v>1003.52716697496</v>
      </c>
      <c r="I2503">
        <v>0.55113429900113398</v>
      </c>
      <c r="J2503">
        <v>8.0575090673538394E-2</v>
      </c>
      <c r="K2503">
        <v>0.59374615626409399</v>
      </c>
      <c r="L2503" t="s">
        <v>38</v>
      </c>
      <c r="M2503" t="s">
        <v>34</v>
      </c>
      <c r="N2503" t="s">
        <v>35</v>
      </c>
      <c r="O2503">
        <v>0.69374146445775198</v>
      </c>
      <c r="P2503" t="s">
        <v>36</v>
      </c>
    </row>
    <row r="2504" spans="1:16">
      <c r="A2504">
        <v>2503</v>
      </c>
      <c r="B2504" t="s">
        <v>2567</v>
      </c>
      <c r="C2504">
        <v>146</v>
      </c>
      <c r="D2504">
        <v>75</v>
      </c>
      <c r="E2504">
        <v>90.685871920455</v>
      </c>
      <c r="F2504">
        <v>1.9463845208136401</v>
      </c>
      <c r="G2504">
        <v>6459.0574491493398</v>
      </c>
      <c r="H2504">
        <v>526.52890364014604</v>
      </c>
      <c r="I2504">
        <v>0.69718314215518296</v>
      </c>
      <c r="J2504">
        <v>0.29277539668450903</v>
      </c>
      <c r="K2504">
        <v>0.75404289283731296</v>
      </c>
      <c r="L2504" t="s">
        <v>33</v>
      </c>
      <c r="M2504" t="s">
        <v>34</v>
      </c>
      <c r="N2504" t="s">
        <v>35</v>
      </c>
      <c r="O2504">
        <v>0.668150810631579</v>
      </c>
      <c r="P2504" t="s">
        <v>36</v>
      </c>
    </row>
    <row r="2505" spans="1:16">
      <c r="A2505">
        <v>2504</v>
      </c>
      <c r="B2505" t="s">
        <v>2568</v>
      </c>
      <c r="C2505">
        <v>108</v>
      </c>
      <c r="D2505">
        <v>106</v>
      </c>
      <c r="E2505">
        <v>90.780771461078601</v>
      </c>
      <c r="F2505">
        <v>1.01739589642006</v>
      </c>
      <c r="G2505">
        <v>6472.5828703213601</v>
      </c>
      <c r="H2505">
        <v>553.09621407135705</v>
      </c>
      <c r="I2505">
        <v>0.62199800274197004</v>
      </c>
      <c r="J2505">
        <v>0.26588027057777802</v>
      </c>
      <c r="K2505">
        <v>0.73047504025764898</v>
      </c>
      <c r="L2505" t="s">
        <v>38</v>
      </c>
      <c r="M2505" t="s">
        <v>34</v>
      </c>
      <c r="N2505" t="s">
        <v>35</v>
      </c>
      <c r="O2505">
        <v>0.86910966806061496</v>
      </c>
      <c r="P2505" t="s">
        <v>36</v>
      </c>
    </row>
    <row r="2506" spans="1:16">
      <c r="A2506">
        <v>2505</v>
      </c>
      <c r="B2506" t="s">
        <v>2569</v>
      </c>
      <c r="C2506">
        <v>85</v>
      </c>
      <c r="D2506">
        <v>149</v>
      </c>
      <c r="E2506">
        <v>90.814119160416695</v>
      </c>
      <c r="F2506">
        <v>0.57337330897672101</v>
      </c>
      <c r="G2506">
        <v>6477.3390623818505</v>
      </c>
      <c r="H2506">
        <v>694.17085568904895</v>
      </c>
      <c r="I2506">
        <v>0.68660294991441995</v>
      </c>
      <c r="J2506">
        <v>0.16891714906900401</v>
      </c>
      <c r="K2506">
        <v>0.62767351759300605</v>
      </c>
      <c r="L2506" t="s">
        <v>41</v>
      </c>
      <c r="M2506" t="s">
        <v>34</v>
      </c>
      <c r="N2506" t="s">
        <v>35</v>
      </c>
      <c r="O2506">
        <v>0.73583486885227101</v>
      </c>
      <c r="P2506" t="s">
        <v>36</v>
      </c>
    </row>
    <row r="2507" spans="1:16">
      <c r="A2507">
        <v>2506</v>
      </c>
      <c r="B2507" t="s">
        <v>2570</v>
      </c>
      <c r="C2507">
        <v>147</v>
      </c>
      <c r="D2507">
        <v>80</v>
      </c>
      <c r="E2507">
        <v>90.960911843696906</v>
      </c>
      <c r="F2507">
        <v>1.8453313480739699</v>
      </c>
      <c r="G2507">
        <v>6498.2960336483902</v>
      </c>
      <c r="H2507">
        <v>711.94821164597602</v>
      </c>
      <c r="I2507">
        <v>0.61539390057154897</v>
      </c>
      <c r="J2507">
        <v>0.161106309441895</v>
      </c>
      <c r="K2507">
        <v>0.65454518234624803</v>
      </c>
      <c r="L2507" t="s">
        <v>38</v>
      </c>
      <c r="M2507" t="s">
        <v>34</v>
      </c>
      <c r="N2507" t="s">
        <v>35</v>
      </c>
      <c r="O2507">
        <v>0.718055062368673</v>
      </c>
      <c r="P2507" t="s">
        <v>36</v>
      </c>
    </row>
    <row r="2508" spans="1:16">
      <c r="A2508">
        <v>2507</v>
      </c>
      <c r="B2508" t="s">
        <v>2571</v>
      </c>
      <c r="C2508">
        <v>142</v>
      </c>
      <c r="D2508">
        <v>112</v>
      </c>
      <c r="E2508">
        <v>91.217489946415199</v>
      </c>
      <c r="F2508">
        <v>1.2621359223301001</v>
      </c>
      <c r="G2508">
        <v>6535.0078911153096</v>
      </c>
      <c r="H2508">
        <v>1249.80103624199</v>
      </c>
      <c r="I2508">
        <v>0.57455029949653202</v>
      </c>
      <c r="J2508">
        <v>5.25743872258694E-2</v>
      </c>
      <c r="K2508">
        <v>0.49935831184908402</v>
      </c>
      <c r="L2508" t="s">
        <v>49</v>
      </c>
      <c r="M2508" t="s">
        <v>34</v>
      </c>
      <c r="N2508" t="s">
        <v>35</v>
      </c>
      <c r="O2508">
        <v>0.71802379888244605</v>
      </c>
      <c r="P2508" t="s">
        <v>36</v>
      </c>
    </row>
    <row r="2509" spans="1:16">
      <c r="A2509">
        <v>2508</v>
      </c>
      <c r="B2509" t="s">
        <v>2572</v>
      </c>
      <c r="C2509">
        <v>93</v>
      </c>
      <c r="D2509">
        <v>96</v>
      </c>
      <c r="E2509">
        <v>91.260010024987196</v>
      </c>
      <c r="F2509">
        <v>0.97528165790683696</v>
      </c>
      <c r="G2509">
        <v>6541.1017621928204</v>
      </c>
      <c r="H2509">
        <v>386.985351185902</v>
      </c>
      <c r="I2509">
        <v>0.747909423898798</v>
      </c>
      <c r="J2509">
        <v>0.54887281127644405</v>
      </c>
      <c r="K2509">
        <v>0.90650490236466996</v>
      </c>
      <c r="L2509" t="s">
        <v>288</v>
      </c>
      <c r="M2509" t="s">
        <v>34</v>
      </c>
      <c r="N2509" t="s">
        <v>35</v>
      </c>
      <c r="O2509">
        <v>0.68409507441821005</v>
      </c>
      <c r="P2509" t="s">
        <v>36</v>
      </c>
    </row>
    <row r="2510" spans="1:16">
      <c r="A2510">
        <v>2509</v>
      </c>
      <c r="B2510" t="s">
        <v>2573</v>
      </c>
      <c r="C2510">
        <v>142</v>
      </c>
      <c r="D2510">
        <v>113</v>
      </c>
      <c r="E2510">
        <v>91.261046852586205</v>
      </c>
      <c r="F2510">
        <v>1.26086956521739</v>
      </c>
      <c r="G2510">
        <v>6541.2503931947103</v>
      </c>
      <c r="H2510">
        <v>960.68082948664005</v>
      </c>
      <c r="I2510">
        <v>0.71434895198912296</v>
      </c>
      <c r="J2510">
        <v>8.9066090388417604E-2</v>
      </c>
      <c r="K2510">
        <v>0.477777536530821</v>
      </c>
      <c r="L2510" t="s">
        <v>298</v>
      </c>
      <c r="M2510" t="s">
        <v>34</v>
      </c>
      <c r="N2510" t="s">
        <v>35</v>
      </c>
      <c r="O2510">
        <v>0.66573963192362495</v>
      </c>
      <c r="P2510" t="s">
        <v>36</v>
      </c>
    </row>
    <row r="2511" spans="1:16">
      <c r="A2511">
        <v>2510</v>
      </c>
      <c r="B2511" t="s">
        <v>2574</v>
      </c>
      <c r="C2511">
        <v>93</v>
      </c>
      <c r="D2511">
        <v>161</v>
      </c>
      <c r="E2511">
        <v>91.330487488379404</v>
      </c>
      <c r="F2511">
        <v>0.57432433964999197</v>
      </c>
      <c r="G2511">
        <v>6551.2086703213599</v>
      </c>
      <c r="H2511">
        <v>947.60501433382899</v>
      </c>
      <c r="I2511">
        <v>0.69203539327482899</v>
      </c>
      <c r="J2511">
        <v>9.1680420504184595E-2</v>
      </c>
      <c r="K2511">
        <v>0.57599675914431003</v>
      </c>
      <c r="L2511" t="s">
        <v>49</v>
      </c>
      <c r="M2511" t="s">
        <v>34</v>
      </c>
      <c r="N2511" t="s">
        <v>35</v>
      </c>
      <c r="O2511">
        <v>0.76027682214397696</v>
      </c>
      <c r="P2511" t="s">
        <v>36</v>
      </c>
    </row>
    <row r="2512" spans="1:16">
      <c r="A2512">
        <v>2511</v>
      </c>
      <c r="B2512" t="s">
        <v>2575</v>
      </c>
      <c r="C2512">
        <v>145</v>
      </c>
      <c r="D2512">
        <v>86</v>
      </c>
      <c r="E2512">
        <v>91.491965944869506</v>
      </c>
      <c r="F2512">
        <v>1.69134737982252</v>
      </c>
      <c r="G2512">
        <v>6574.3951066162599</v>
      </c>
      <c r="H2512">
        <v>662.349478897116</v>
      </c>
      <c r="I2512">
        <v>0.66938623417557896</v>
      </c>
      <c r="J2512">
        <v>0.18831775439091999</v>
      </c>
      <c r="K2512">
        <v>0.66803093001480096</v>
      </c>
      <c r="L2512" t="s">
        <v>38</v>
      </c>
      <c r="M2512" t="s">
        <v>34</v>
      </c>
      <c r="N2512" t="s">
        <v>35</v>
      </c>
      <c r="O2512">
        <v>0.70669977218737001</v>
      </c>
      <c r="P2512" t="s">
        <v>36</v>
      </c>
    </row>
    <row r="2513" spans="1:16">
      <c r="A2513">
        <v>2512</v>
      </c>
      <c r="B2513" t="s">
        <v>2576</v>
      </c>
      <c r="C2513">
        <v>83</v>
      </c>
      <c r="D2513">
        <v>122</v>
      </c>
      <c r="E2513">
        <v>91.649030265314806</v>
      </c>
      <c r="F2513">
        <v>0.67857142857142905</v>
      </c>
      <c r="G2513">
        <v>6596.9870189035901</v>
      </c>
      <c r="H2513">
        <v>911.80775559145502</v>
      </c>
      <c r="I2513">
        <v>0.70133489583211495</v>
      </c>
      <c r="J2513">
        <v>9.9712344958645796E-2</v>
      </c>
      <c r="K2513">
        <v>0.66856962101584605</v>
      </c>
      <c r="L2513" t="s">
        <v>33</v>
      </c>
      <c r="M2513" t="s">
        <v>34</v>
      </c>
      <c r="N2513" t="s">
        <v>35</v>
      </c>
      <c r="O2513">
        <v>0.800313383956341</v>
      </c>
      <c r="P2513" t="s">
        <v>36</v>
      </c>
    </row>
    <row r="2514" spans="1:16">
      <c r="A2514">
        <v>2513</v>
      </c>
      <c r="B2514" t="s">
        <v>2577</v>
      </c>
      <c r="C2514">
        <v>98</v>
      </c>
      <c r="D2514">
        <v>118</v>
      </c>
      <c r="E2514">
        <v>92.312547355134498</v>
      </c>
      <c r="F2514">
        <v>0.82644631361762699</v>
      </c>
      <c r="G2514">
        <v>6692.8540151228699</v>
      </c>
      <c r="H2514">
        <v>590.24849136207399</v>
      </c>
      <c r="I2514">
        <v>0.64289931806365397</v>
      </c>
      <c r="J2514">
        <v>0.24140788147922199</v>
      </c>
      <c r="K2514">
        <v>0.73606093793419103</v>
      </c>
      <c r="L2514" t="s">
        <v>33</v>
      </c>
      <c r="M2514" t="s">
        <v>34</v>
      </c>
      <c r="N2514" t="s">
        <v>35</v>
      </c>
      <c r="O2514">
        <v>0.71098912904893896</v>
      </c>
      <c r="P2514" t="s">
        <v>36</v>
      </c>
    </row>
    <row r="2515" spans="1:16">
      <c r="A2515">
        <v>2514</v>
      </c>
      <c r="B2515" t="s">
        <v>2578</v>
      </c>
      <c r="C2515">
        <v>129</v>
      </c>
      <c r="D2515">
        <v>87</v>
      </c>
      <c r="E2515">
        <v>92.887836311018305</v>
      </c>
      <c r="F2515">
        <v>1.48341567564319</v>
      </c>
      <c r="G2515">
        <v>6776.5332691871499</v>
      </c>
      <c r="H2515">
        <v>590.00660507751604</v>
      </c>
      <c r="I2515">
        <v>0.76838761428092095</v>
      </c>
      <c r="J2515">
        <v>0.24462660704619399</v>
      </c>
      <c r="K2515">
        <v>0.783223390366248</v>
      </c>
      <c r="L2515" t="s">
        <v>49</v>
      </c>
      <c r="M2515" t="s">
        <v>34</v>
      </c>
      <c r="N2515" t="s">
        <v>35</v>
      </c>
      <c r="O2515">
        <v>0.65311616349104196</v>
      </c>
      <c r="P2515" t="s">
        <v>36</v>
      </c>
    </row>
    <row r="2516" spans="1:16">
      <c r="A2516">
        <v>2515</v>
      </c>
      <c r="B2516" t="s">
        <v>2579</v>
      </c>
      <c r="C2516">
        <v>122</v>
      </c>
      <c r="D2516">
        <v>117</v>
      </c>
      <c r="E2516">
        <v>93.037459317804107</v>
      </c>
      <c r="F2516">
        <v>1.0418604651162799</v>
      </c>
      <c r="G2516">
        <v>6798.3820264650303</v>
      </c>
      <c r="H2516">
        <v>1267.2346975210401</v>
      </c>
      <c r="I2516">
        <v>0.56259037833298497</v>
      </c>
      <c r="J2516">
        <v>5.3198736584143903E-2</v>
      </c>
      <c r="K2516">
        <v>0.53159466778238795</v>
      </c>
      <c r="L2516" t="s">
        <v>33</v>
      </c>
      <c r="M2516" t="s">
        <v>34</v>
      </c>
      <c r="N2516" t="s">
        <v>35</v>
      </c>
      <c r="O2516">
        <v>0.69719018514521602</v>
      </c>
      <c r="P2516" t="s">
        <v>36</v>
      </c>
    </row>
    <row r="2517" spans="1:16">
      <c r="A2517">
        <v>2516</v>
      </c>
      <c r="B2517" t="s">
        <v>2580</v>
      </c>
      <c r="C2517">
        <v>123</v>
      </c>
      <c r="D2517">
        <v>113</v>
      </c>
      <c r="E2517">
        <v>93.046612093803105</v>
      </c>
      <c r="F2517">
        <v>1.0869565217391299</v>
      </c>
      <c r="G2517">
        <v>6799.7197054820399</v>
      </c>
      <c r="H2517">
        <v>720.56209550515496</v>
      </c>
      <c r="I2517">
        <v>0.64502106565675699</v>
      </c>
      <c r="J2517">
        <v>0.16457279666221999</v>
      </c>
      <c r="K2517">
        <v>0.63095976940157505</v>
      </c>
      <c r="L2517" t="s">
        <v>41</v>
      </c>
      <c r="M2517" t="s">
        <v>34</v>
      </c>
      <c r="N2517" t="s">
        <v>35</v>
      </c>
      <c r="O2517">
        <v>0.77064943873851599</v>
      </c>
      <c r="P2517" t="s">
        <v>36</v>
      </c>
    </row>
    <row r="2518" spans="1:16">
      <c r="A2518">
        <v>2517</v>
      </c>
      <c r="B2518" t="s">
        <v>2581</v>
      </c>
      <c r="C2518">
        <v>171</v>
      </c>
      <c r="D2518">
        <v>98</v>
      </c>
      <c r="E2518">
        <v>93.138090383907397</v>
      </c>
      <c r="F2518">
        <v>1.7541899022261001</v>
      </c>
      <c r="G2518">
        <v>6813.0964956521702</v>
      </c>
      <c r="H2518">
        <v>964.63239772579004</v>
      </c>
      <c r="I2518">
        <v>0.68894303529575596</v>
      </c>
      <c r="J2518">
        <v>9.2009085955038206E-2</v>
      </c>
      <c r="K2518">
        <v>0.52917205393424505</v>
      </c>
      <c r="L2518" t="s">
        <v>38</v>
      </c>
      <c r="M2518" t="s">
        <v>34</v>
      </c>
      <c r="N2518" t="s">
        <v>35</v>
      </c>
      <c r="O2518">
        <v>0.70361383296046898</v>
      </c>
      <c r="P2518" t="s">
        <v>36</v>
      </c>
    </row>
    <row r="2519" spans="1:16">
      <c r="A2519">
        <v>2518</v>
      </c>
      <c r="B2519" t="s">
        <v>2582</v>
      </c>
      <c r="C2519">
        <v>182</v>
      </c>
      <c r="D2519">
        <v>96</v>
      </c>
      <c r="E2519">
        <v>93.777957824229304</v>
      </c>
      <c r="F2519">
        <v>1.9013145860379299</v>
      </c>
      <c r="G2519">
        <v>6907.0312888468798</v>
      </c>
      <c r="H2519">
        <v>813.70072487634195</v>
      </c>
      <c r="I2519">
        <v>0.41021558459695501</v>
      </c>
      <c r="J2519">
        <v>0.13109069972833001</v>
      </c>
      <c r="K2519">
        <v>0.53683359325362401</v>
      </c>
      <c r="L2519" t="s">
        <v>38</v>
      </c>
      <c r="M2519" t="s">
        <v>34</v>
      </c>
      <c r="N2519" t="s">
        <v>35</v>
      </c>
      <c r="O2519">
        <v>0.73429759679744999</v>
      </c>
      <c r="P2519" t="s">
        <v>36</v>
      </c>
    </row>
    <row r="2520" spans="1:16">
      <c r="A2520">
        <v>2519</v>
      </c>
      <c r="B2520" t="s">
        <v>2583</v>
      </c>
      <c r="C2520">
        <v>140</v>
      </c>
      <c r="D2520">
        <v>116</v>
      </c>
      <c r="E2520">
        <v>93.970478139128303</v>
      </c>
      <c r="F2520">
        <v>1.2122641509434</v>
      </c>
      <c r="G2520">
        <v>6935.4198102079399</v>
      </c>
      <c r="H2520">
        <v>784.567348243879</v>
      </c>
      <c r="I2520">
        <v>0.70528333294431</v>
      </c>
      <c r="J2520">
        <v>0.14158660193011299</v>
      </c>
      <c r="K2520">
        <v>0.52352743184113104</v>
      </c>
      <c r="L2520" t="s">
        <v>1038</v>
      </c>
      <c r="M2520" t="s">
        <v>34</v>
      </c>
      <c r="N2520" t="s">
        <v>35</v>
      </c>
      <c r="O2520">
        <v>0.696721618101244</v>
      </c>
      <c r="P2520" t="s">
        <v>36</v>
      </c>
    </row>
    <row r="2521" spans="1:16">
      <c r="A2521">
        <v>2520</v>
      </c>
      <c r="B2521" t="s">
        <v>2584</v>
      </c>
      <c r="C2521">
        <v>103</v>
      </c>
      <c r="D2521">
        <v>132</v>
      </c>
      <c r="E2521">
        <v>94.153560548113205</v>
      </c>
      <c r="F2521">
        <v>0.77366255144032903</v>
      </c>
      <c r="G2521">
        <v>6962.4706525519896</v>
      </c>
      <c r="H2521">
        <v>723.84280209147403</v>
      </c>
      <c r="I2521">
        <v>0.69695134722479501</v>
      </c>
      <c r="J2521">
        <v>0.166987791649472</v>
      </c>
      <c r="K2521">
        <v>0.69262046634039598</v>
      </c>
      <c r="L2521" t="s">
        <v>38</v>
      </c>
      <c r="M2521" t="s">
        <v>34</v>
      </c>
      <c r="N2521" t="s">
        <v>35</v>
      </c>
      <c r="O2521">
        <v>0.72993718151678399</v>
      </c>
      <c r="P2521" t="s">
        <v>36</v>
      </c>
    </row>
    <row r="2522" spans="1:16">
      <c r="A2522">
        <v>2521</v>
      </c>
      <c r="B2522" t="s">
        <v>2585</v>
      </c>
      <c r="C2522">
        <v>87</v>
      </c>
      <c r="D2522">
        <v>143</v>
      </c>
      <c r="E2522">
        <v>94.289133791898706</v>
      </c>
      <c r="F2522">
        <v>0.605424094840049</v>
      </c>
      <c r="G2522">
        <v>6982.5358378071796</v>
      </c>
      <c r="H2522">
        <v>622.08088662261605</v>
      </c>
      <c r="I2522">
        <v>0.80380440147721699</v>
      </c>
      <c r="J2522">
        <v>0.22674061571652801</v>
      </c>
      <c r="K2522">
        <v>0.74804942517754203</v>
      </c>
      <c r="L2522" t="s">
        <v>298</v>
      </c>
      <c r="M2522" t="s">
        <v>34</v>
      </c>
      <c r="N2522" t="s">
        <v>35</v>
      </c>
      <c r="O2522">
        <v>0.64777324565666095</v>
      </c>
      <c r="P2522" t="s">
        <v>36</v>
      </c>
    </row>
    <row r="2523" spans="1:16">
      <c r="A2523">
        <v>2522</v>
      </c>
      <c r="B2523" t="s">
        <v>2586</v>
      </c>
      <c r="C2523">
        <v>122</v>
      </c>
      <c r="D2523">
        <v>120</v>
      </c>
      <c r="E2523">
        <v>94.304185454646102</v>
      </c>
      <c r="F2523">
        <v>1.01511873361924</v>
      </c>
      <c r="G2523">
        <v>6984.7653028355398</v>
      </c>
      <c r="H2523">
        <v>763.221343909761</v>
      </c>
      <c r="I2523">
        <v>0.61567235518437802</v>
      </c>
      <c r="J2523">
        <v>0.15068175421529201</v>
      </c>
      <c r="K2523">
        <v>0.63730183484994396</v>
      </c>
      <c r="L2523" t="s">
        <v>38</v>
      </c>
      <c r="M2523" t="s">
        <v>34</v>
      </c>
      <c r="N2523" t="s">
        <v>35</v>
      </c>
      <c r="O2523">
        <v>0.72293548024293597</v>
      </c>
      <c r="P2523" t="s">
        <v>36</v>
      </c>
    </row>
    <row r="2524" spans="1:16">
      <c r="A2524">
        <v>2523</v>
      </c>
      <c r="B2524" t="s">
        <v>2587</v>
      </c>
      <c r="C2524">
        <v>187</v>
      </c>
      <c r="D2524">
        <v>85</v>
      </c>
      <c r="E2524">
        <v>94.376400020583901</v>
      </c>
      <c r="F2524">
        <v>2.2098661192970899</v>
      </c>
      <c r="G2524">
        <v>6995.4667349716501</v>
      </c>
      <c r="H2524">
        <v>937.84589849119595</v>
      </c>
      <c r="I2524">
        <v>0.77033185971557905</v>
      </c>
      <c r="J2524">
        <v>9.9945580067821005E-2</v>
      </c>
      <c r="K2524">
        <v>0.57096758540372705</v>
      </c>
      <c r="L2524" t="s">
        <v>298</v>
      </c>
      <c r="M2524" t="s">
        <v>34</v>
      </c>
      <c r="N2524" t="s">
        <v>35</v>
      </c>
      <c r="O2524">
        <v>0.65220441390335304</v>
      </c>
      <c r="P2524" t="s">
        <v>36</v>
      </c>
    </row>
    <row r="2525" spans="1:16">
      <c r="A2525">
        <v>2524</v>
      </c>
      <c r="B2525" t="s">
        <v>2588</v>
      </c>
      <c r="C2525">
        <v>161</v>
      </c>
      <c r="D2525">
        <v>108</v>
      </c>
      <c r="E2525">
        <v>94.4455538329821</v>
      </c>
      <c r="F2525">
        <v>1.48989891127753</v>
      </c>
      <c r="G2525">
        <v>7005.7222741020796</v>
      </c>
      <c r="H2525">
        <v>1047.36374708269</v>
      </c>
      <c r="I2525">
        <v>0.67658993779632703</v>
      </c>
      <c r="J2525">
        <v>8.0254188184987599E-2</v>
      </c>
      <c r="K2525">
        <v>0.51683680742113403</v>
      </c>
      <c r="L2525" t="s">
        <v>47</v>
      </c>
      <c r="M2525" t="s">
        <v>34</v>
      </c>
      <c r="N2525" t="s">
        <v>35</v>
      </c>
      <c r="O2525">
        <v>0.89339188458585095</v>
      </c>
      <c r="P2525" t="s">
        <v>36</v>
      </c>
    </row>
    <row r="2526" spans="1:16">
      <c r="A2526">
        <v>2525</v>
      </c>
      <c r="B2526" t="s">
        <v>2589</v>
      </c>
      <c r="C2526">
        <v>146</v>
      </c>
      <c r="D2526">
        <v>132</v>
      </c>
      <c r="E2526">
        <v>94.890335206510898</v>
      </c>
      <c r="F2526">
        <v>1.1074380165289299</v>
      </c>
      <c r="G2526">
        <v>7071.8630699432897</v>
      </c>
      <c r="H2526">
        <v>1181.89739623484</v>
      </c>
      <c r="I2526">
        <v>0.67697123734742803</v>
      </c>
      <c r="J2526">
        <v>6.3618606960806595E-2</v>
      </c>
      <c r="K2526">
        <v>0.47090261282660301</v>
      </c>
      <c r="L2526" t="s">
        <v>298</v>
      </c>
      <c r="M2526" t="s">
        <v>34</v>
      </c>
      <c r="N2526" t="s">
        <v>35</v>
      </c>
      <c r="O2526">
        <v>0.78155438242891495</v>
      </c>
      <c r="P2526" t="s">
        <v>36</v>
      </c>
    </row>
    <row r="2527" spans="1:16">
      <c r="A2527">
        <v>2526</v>
      </c>
      <c r="B2527" t="s">
        <v>2590</v>
      </c>
      <c r="C2527">
        <v>153</v>
      </c>
      <c r="D2527">
        <v>73</v>
      </c>
      <c r="E2527">
        <v>94.965093222681205</v>
      </c>
      <c r="F2527">
        <v>2.0987082150707299</v>
      </c>
      <c r="G2527">
        <v>7083.0103950850698</v>
      </c>
      <c r="H2527">
        <v>538.41409184714996</v>
      </c>
      <c r="I2527">
        <v>0.74389486698289498</v>
      </c>
      <c r="J2527">
        <v>0.30703996436800701</v>
      </c>
      <c r="K2527">
        <v>0.844437750292377</v>
      </c>
      <c r="L2527" t="s">
        <v>38</v>
      </c>
      <c r="M2527" t="s">
        <v>34</v>
      </c>
      <c r="N2527" t="s">
        <v>35</v>
      </c>
      <c r="O2527">
        <v>0.72724087985599695</v>
      </c>
      <c r="P2527" t="s">
        <v>36</v>
      </c>
    </row>
    <row r="2528" spans="1:16">
      <c r="A2528">
        <v>2527</v>
      </c>
      <c r="B2528" t="s">
        <v>2591</v>
      </c>
      <c r="C2528">
        <v>120</v>
      </c>
      <c r="D2528">
        <v>166</v>
      </c>
      <c r="E2528">
        <v>95.201936606654598</v>
      </c>
      <c r="F2528">
        <v>0.72398189977031002</v>
      </c>
      <c r="G2528">
        <v>7118.3845735349696</v>
      </c>
      <c r="H2528">
        <v>858.75290618512997</v>
      </c>
      <c r="I2528">
        <v>0.60026404796409005</v>
      </c>
      <c r="J2528">
        <v>0.12129834395771399</v>
      </c>
      <c r="K2528">
        <v>0.49820557364429802</v>
      </c>
      <c r="L2528" t="s">
        <v>101</v>
      </c>
      <c r="M2528" t="s">
        <v>34</v>
      </c>
      <c r="N2528" t="s">
        <v>35</v>
      </c>
      <c r="O2528">
        <v>0.72147729455637899</v>
      </c>
      <c r="P2528" t="s">
        <v>36</v>
      </c>
    </row>
    <row r="2529" spans="1:16">
      <c r="A2529">
        <v>2528</v>
      </c>
      <c r="B2529" t="s">
        <v>2592</v>
      </c>
      <c r="C2529">
        <v>102</v>
      </c>
      <c r="D2529">
        <v>189</v>
      </c>
      <c r="E2529">
        <v>95.215850223720594</v>
      </c>
      <c r="F2529">
        <v>0.53691885508944504</v>
      </c>
      <c r="G2529">
        <v>7120.4654075614399</v>
      </c>
      <c r="H2529">
        <v>955.79932506322905</v>
      </c>
      <c r="I2529">
        <v>0.69467558588654199</v>
      </c>
      <c r="J2529">
        <v>9.7945571787517199E-2</v>
      </c>
      <c r="K2529">
        <v>0.54816009886035999</v>
      </c>
      <c r="L2529" t="s">
        <v>38</v>
      </c>
      <c r="M2529" t="s">
        <v>34</v>
      </c>
      <c r="N2529" t="s">
        <v>35</v>
      </c>
      <c r="O2529">
        <v>0.76456034090540204</v>
      </c>
      <c r="P2529" t="s">
        <v>36</v>
      </c>
    </row>
    <row r="2530" spans="1:16">
      <c r="A2530">
        <v>2529</v>
      </c>
      <c r="B2530" t="s">
        <v>2593</v>
      </c>
      <c r="C2530">
        <v>171</v>
      </c>
      <c r="D2530">
        <v>90</v>
      </c>
      <c r="E2530">
        <v>95.251618763758998</v>
      </c>
      <c r="F2530">
        <v>1.9041764839144999</v>
      </c>
      <c r="G2530">
        <v>7125.81612362949</v>
      </c>
      <c r="H2530">
        <v>726.20135850191105</v>
      </c>
      <c r="I2530">
        <v>0.65510362237867703</v>
      </c>
      <c r="J2530">
        <v>0.169797136340851</v>
      </c>
      <c r="K2530">
        <v>0.65683440424161899</v>
      </c>
      <c r="L2530" t="s">
        <v>38</v>
      </c>
      <c r="M2530" t="s">
        <v>34</v>
      </c>
      <c r="N2530" t="s">
        <v>35</v>
      </c>
      <c r="O2530">
        <v>0.66008871610714503</v>
      </c>
      <c r="P2530" t="s">
        <v>36</v>
      </c>
    </row>
    <row r="2531" spans="1:16">
      <c r="A2531">
        <v>2530</v>
      </c>
      <c r="B2531" t="s">
        <v>2594</v>
      </c>
      <c r="C2531">
        <v>162</v>
      </c>
      <c r="D2531">
        <v>94</v>
      </c>
      <c r="E2531">
        <v>95.712427674181299</v>
      </c>
      <c r="F2531">
        <v>1.72498202003214</v>
      </c>
      <c r="G2531">
        <v>7194.9295395085101</v>
      </c>
      <c r="H2531">
        <v>697.70674380261005</v>
      </c>
      <c r="I2531">
        <v>0.52605895661392399</v>
      </c>
      <c r="J2531">
        <v>0.185733638992158</v>
      </c>
      <c r="K2531">
        <v>0.64754668521590197</v>
      </c>
      <c r="L2531" t="s">
        <v>144</v>
      </c>
      <c r="M2531" t="s">
        <v>34</v>
      </c>
      <c r="N2531" t="s">
        <v>35</v>
      </c>
      <c r="O2531">
        <v>0.748714801151113</v>
      </c>
      <c r="P2531" t="s">
        <v>36</v>
      </c>
    </row>
    <row r="2532" spans="1:16">
      <c r="A2532">
        <v>2531</v>
      </c>
      <c r="B2532" t="s">
        <v>2595</v>
      </c>
      <c r="C2532">
        <v>91</v>
      </c>
      <c r="D2532">
        <v>154</v>
      </c>
      <c r="E2532">
        <v>95.746034219896103</v>
      </c>
      <c r="F2532">
        <v>0.58942458850113</v>
      </c>
      <c r="G2532">
        <v>7199.9829935727803</v>
      </c>
      <c r="H2532">
        <v>580.08148140223102</v>
      </c>
      <c r="I2532">
        <v>0.562302068121877</v>
      </c>
      <c r="J2532">
        <v>0.26888299206836802</v>
      </c>
      <c r="K2532">
        <v>0.73868159014318602</v>
      </c>
      <c r="L2532" t="s">
        <v>188</v>
      </c>
      <c r="M2532" t="s">
        <v>34</v>
      </c>
      <c r="N2532" t="s">
        <v>35</v>
      </c>
      <c r="O2532">
        <v>0.77795911353659397</v>
      </c>
      <c r="P2532" t="s">
        <v>36</v>
      </c>
    </row>
    <row r="2533" spans="1:16">
      <c r="A2533">
        <v>2532</v>
      </c>
      <c r="B2533" t="s">
        <v>2596</v>
      </c>
      <c r="C2533">
        <v>109</v>
      </c>
      <c r="D2533">
        <v>119</v>
      </c>
      <c r="E2533">
        <v>96.222177145664602</v>
      </c>
      <c r="F2533">
        <v>0.91743119266055095</v>
      </c>
      <c r="G2533">
        <v>7271.7717674858204</v>
      </c>
      <c r="H2533">
        <v>700.34868845576796</v>
      </c>
      <c r="I2533">
        <v>0.60531538427569598</v>
      </c>
      <c r="J2533">
        <v>0.186303693216023</v>
      </c>
      <c r="K2533">
        <v>0.71606293450420799</v>
      </c>
      <c r="L2533" t="s">
        <v>33</v>
      </c>
      <c r="M2533" t="s">
        <v>34</v>
      </c>
      <c r="N2533" t="s">
        <v>35</v>
      </c>
      <c r="O2533">
        <v>0.72658576936709696</v>
      </c>
      <c r="P2533" t="s">
        <v>36</v>
      </c>
    </row>
    <row r="2534" spans="1:16">
      <c r="A2534">
        <v>2533</v>
      </c>
      <c r="B2534" t="s">
        <v>2597</v>
      </c>
      <c r="C2534">
        <v>93</v>
      </c>
      <c r="D2534">
        <v>176</v>
      </c>
      <c r="E2534">
        <v>96.606886811295098</v>
      </c>
      <c r="F2534">
        <v>0.52631578947368396</v>
      </c>
      <c r="G2534">
        <v>7330.0351202268403</v>
      </c>
      <c r="H2534">
        <v>1066.80448408593</v>
      </c>
      <c r="I2534">
        <v>0.74408299874845296</v>
      </c>
      <c r="J2534">
        <v>8.0936841901331796E-2</v>
      </c>
      <c r="K2534">
        <v>0.59251027224451502</v>
      </c>
      <c r="L2534" t="s">
        <v>33</v>
      </c>
      <c r="M2534" t="s">
        <v>34</v>
      </c>
      <c r="N2534" t="s">
        <v>35</v>
      </c>
      <c r="O2534">
        <v>0.77527279558534201</v>
      </c>
      <c r="P2534" t="s">
        <v>36</v>
      </c>
    </row>
    <row r="2535" spans="1:16">
      <c r="A2535">
        <v>2534</v>
      </c>
      <c r="B2535" t="s">
        <v>2598</v>
      </c>
      <c r="C2535">
        <v>92</v>
      </c>
      <c r="D2535">
        <v>127</v>
      </c>
      <c r="E2535">
        <v>96.882697466984595</v>
      </c>
      <c r="F2535">
        <v>0.72489669054309502</v>
      </c>
      <c r="G2535">
        <v>7371.9490627599298</v>
      </c>
      <c r="H2535">
        <v>474.29762847661999</v>
      </c>
      <c r="I2535">
        <v>0.76054258681932896</v>
      </c>
      <c r="J2535">
        <v>0.41180373707107798</v>
      </c>
      <c r="K2535">
        <v>0.82067276668266098</v>
      </c>
      <c r="L2535" t="s">
        <v>38</v>
      </c>
      <c r="M2535" t="s">
        <v>34</v>
      </c>
      <c r="N2535" t="s">
        <v>35</v>
      </c>
      <c r="O2535">
        <v>0.71406480243514003</v>
      </c>
      <c r="P2535" t="s">
        <v>36</v>
      </c>
    </row>
    <row r="2536" spans="1:16">
      <c r="A2536">
        <v>2535</v>
      </c>
      <c r="B2536" t="s">
        <v>2599</v>
      </c>
      <c r="C2536">
        <v>132</v>
      </c>
      <c r="D2536">
        <v>93</v>
      </c>
      <c r="E2536">
        <v>96.957871105991998</v>
      </c>
      <c r="F2536">
        <v>1.4294117647058799</v>
      </c>
      <c r="G2536">
        <v>7383.3936499054798</v>
      </c>
      <c r="H2536">
        <v>928.93533114661398</v>
      </c>
      <c r="I2536">
        <v>0.6758561888479</v>
      </c>
      <c r="J2536">
        <v>0.107521403678321</v>
      </c>
      <c r="K2536">
        <v>0.67899563975342103</v>
      </c>
      <c r="L2536" t="s">
        <v>49</v>
      </c>
      <c r="M2536" t="s">
        <v>34</v>
      </c>
      <c r="N2536" t="s">
        <v>35</v>
      </c>
      <c r="O2536">
        <v>0.65491140420697502</v>
      </c>
      <c r="P2536" t="s">
        <v>36</v>
      </c>
    </row>
    <row r="2537" spans="1:16">
      <c r="A2537">
        <v>2536</v>
      </c>
      <c r="B2537" t="s">
        <v>2600</v>
      </c>
      <c r="C2537">
        <v>137</v>
      </c>
      <c r="D2537">
        <v>92</v>
      </c>
      <c r="E2537">
        <v>97.331896268240001</v>
      </c>
      <c r="F2537">
        <v>1.48520710059172</v>
      </c>
      <c r="G2537">
        <v>7440.4679546313801</v>
      </c>
      <c r="H2537">
        <v>851.66945094543996</v>
      </c>
      <c r="I2537">
        <v>0.73962705329686995</v>
      </c>
      <c r="J2537">
        <v>0.12890446937960801</v>
      </c>
      <c r="K2537">
        <v>0.74074074074074103</v>
      </c>
      <c r="L2537" t="s">
        <v>33</v>
      </c>
      <c r="M2537" t="s">
        <v>34</v>
      </c>
      <c r="N2537" t="s">
        <v>35</v>
      </c>
      <c r="O2537">
        <v>0.68916855289197099</v>
      </c>
      <c r="P2537" t="s">
        <v>36</v>
      </c>
    </row>
    <row r="2538" spans="1:16">
      <c r="A2538">
        <v>2537</v>
      </c>
      <c r="B2538" t="s">
        <v>2601</v>
      </c>
      <c r="C2538">
        <v>160</v>
      </c>
      <c r="D2538">
        <v>114</v>
      </c>
      <c r="E2538">
        <v>98.005213255478495</v>
      </c>
      <c r="F2538">
        <v>1.40875021400044</v>
      </c>
      <c r="G2538">
        <v>7543.7665009451803</v>
      </c>
      <c r="H2538">
        <v>938.119884495424</v>
      </c>
      <c r="I2538">
        <v>0.670128436862788</v>
      </c>
      <c r="J2538">
        <v>0.107716297864889</v>
      </c>
      <c r="K2538">
        <v>0.607975371936465</v>
      </c>
      <c r="L2538" t="s">
        <v>49</v>
      </c>
      <c r="M2538" t="s">
        <v>34</v>
      </c>
      <c r="N2538" t="s">
        <v>35</v>
      </c>
      <c r="O2538">
        <v>0.78367873813022304</v>
      </c>
      <c r="P2538" t="s">
        <v>36</v>
      </c>
    </row>
    <row r="2539" spans="1:16">
      <c r="A2539">
        <v>2538</v>
      </c>
      <c r="B2539" t="s">
        <v>2602</v>
      </c>
      <c r="C2539">
        <v>90</v>
      </c>
      <c r="D2539">
        <v>150</v>
      </c>
      <c r="E2539">
        <v>98.232800745873007</v>
      </c>
      <c r="F2539">
        <v>0.60145773137438696</v>
      </c>
      <c r="G2539">
        <v>7578.8434173913101</v>
      </c>
      <c r="H2539">
        <v>620.009611459089</v>
      </c>
      <c r="I2539">
        <v>0.75061173475159804</v>
      </c>
      <c r="J2539">
        <v>0.247751307066398</v>
      </c>
      <c r="K2539">
        <v>0.72515892316225095</v>
      </c>
      <c r="L2539" t="s">
        <v>61</v>
      </c>
      <c r="M2539" t="s">
        <v>34</v>
      </c>
      <c r="N2539" t="s">
        <v>35</v>
      </c>
      <c r="O2539">
        <v>0.71445705714990204</v>
      </c>
      <c r="P2539" t="s">
        <v>36</v>
      </c>
    </row>
    <row r="2540" spans="1:16">
      <c r="A2540">
        <v>2539</v>
      </c>
      <c r="B2540" t="s">
        <v>2603</v>
      </c>
      <c r="C2540">
        <v>151</v>
      </c>
      <c r="D2540">
        <v>105</v>
      </c>
      <c r="E2540">
        <v>98.598151263940807</v>
      </c>
      <c r="F2540">
        <v>1.4410639769334499</v>
      </c>
      <c r="G2540">
        <v>7635.3231981096396</v>
      </c>
      <c r="H2540">
        <v>894.57998787309805</v>
      </c>
      <c r="I2540">
        <v>0.62742451385252995</v>
      </c>
      <c r="J2540">
        <v>0.119894409209044</v>
      </c>
      <c r="K2540">
        <v>0.65831560601788996</v>
      </c>
      <c r="L2540" t="s">
        <v>33</v>
      </c>
      <c r="M2540" t="s">
        <v>34</v>
      </c>
      <c r="N2540" t="s">
        <v>35</v>
      </c>
      <c r="O2540">
        <v>0.69339097950600803</v>
      </c>
      <c r="P2540" t="s">
        <v>36</v>
      </c>
    </row>
    <row r="2541" spans="1:16">
      <c r="A2541">
        <v>2540</v>
      </c>
      <c r="B2541" t="s">
        <v>2604</v>
      </c>
      <c r="C2541">
        <v>118</v>
      </c>
      <c r="D2541">
        <v>96</v>
      </c>
      <c r="E2541">
        <v>98.773468155842295</v>
      </c>
      <c r="F2541">
        <v>1.23300968162892</v>
      </c>
      <c r="G2541">
        <v>7662.5</v>
      </c>
      <c r="H2541">
        <v>415.06096303462999</v>
      </c>
      <c r="I2541">
        <v>0.64141044366354505</v>
      </c>
      <c r="J2541">
        <v>0.55892890888812397</v>
      </c>
      <c r="K2541">
        <v>0.84087791495198905</v>
      </c>
      <c r="L2541" t="s">
        <v>38</v>
      </c>
      <c r="M2541" t="s">
        <v>34</v>
      </c>
      <c r="N2541" t="s">
        <v>35</v>
      </c>
      <c r="O2541">
        <v>0.69274621812866</v>
      </c>
      <c r="P2541" t="s">
        <v>36</v>
      </c>
    </row>
    <row r="2542" spans="1:16">
      <c r="A2542">
        <v>2541</v>
      </c>
      <c r="B2542" t="s">
        <v>2605</v>
      </c>
      <c r="C2542">
        <v>84</v>
      </c>
      <c r="D2542">
        <v>150</v>
      </c>
      <c r="E2542">
        <v>99.516118442940297</v>
      </c>
      <c r="F2542">
        <v>0.55830262264202002</v>
      </c>
      <c r="G2542">
        <v>7778.1575909262801</v>
      </c>
      <c r="H2542">
        <v>500.60035514209602</v>
      </c>
      <c r="I2542">
        <v>0.80602066653076199</v>
      </c>
      <c r="J2542">
        <v>0.390035642008353</v>
      </c>
      <c r="K2542">
        <v>0.85192420394608304</v>
      </c>
      <c r="L2542" t="s">
        <v>47</v>
      </c>
      <c r="M2542" t="s">
        <v>34</v>
      </c>
      <c r="N2542" t="s">
        <v>35</v>
      </c>
      <c r="O2542">
        <v>0.84423725719374998</v>
      </c>
      <c r="P2542" t="s">
        <v>36</v>
      </c>
    </row>
    <row r="2543" spans="1:16">
      <c r="A2543">
        <v>2542</v>
      </c>
      <c r="B2543" t="s">
        <v>2606</v>
      </c>
      <c r="C2543">
        <v>128</v>
      </c>
      <c r="D2543">
        <v>97</v>
      </c>
      <c r="E2543">
        <v>99.642496614397999</v>
      </c>
      <c r="F2543">
        <v>1.3216367732113801</v>
      </c>
      <c r="G2543">
        <v>7797.9255141776903</v>
      </c>
      <c r="H2543">
        <v>650.50968565246296</v>
      </c>
      <c r="I2543">
        <v>0.69089204090760303</v>
      </c>
      <c r="J2543">
        <v>0.231569528783519</v>
      </c>
      <c r="K2543">
        <v>0.79719504041816103</v>
      </c>
      <c r="L2543" t="s">
        <v>38</v>
      </c>
      <c r="M2543" t="s">
        <v>34</v>
      </c>
      <c r="N2543" t="s">
        <v>35</v>
      </c>
      <c r="O2543">
        <v>0.81186181793346901</v>
      </c>
      <c r="P2543" t="s">
        <v>36</v>
      </c>
    </row>
    <row r="2544" spans="1:16">
      <c r="A2544">
        <v>2543</v>
      </c>
      <c r="B2544" t="s">
        <v>2607</v>
      </c>
      <c r="C2544">
        <v>118</v>
      </c>
      <c r="D2544">
        <v>118</v>
      </c>
      <c r="E2544">
        <v>100.386114710781</v>
      </c>
      <c r="F2544">
        <v>1</v>
      </c>
      <c r="G2544">
        <v>7914.7494816635199</v>
      </c>
      <c r="H2544">
        <v>872.84878690294602</v>
      </c>
      <c r="I2544">
        <v>0.70673157100647299</v>
      </c>
      <c r="J2544">
        <v>0.13054763597229199</v>
      </c>
      <c r="K2544">
        <v>0.73403082182339496</v>
      </c>
      <c r="L2544" t="s">
        <v>38</v>
      </c>
      <c r="M2544" t="s">
        <v>34</v>
      </c>
      <c r="N2544" t="s">
        <v>35</v>
      </c>
      <c r="O2544">
        <v>0.74417621626288699</v>
      </c>
      <c r="P2544" t="s">
        <v>36</v>
      </c>
    </row>
    <row r="2545" spans="1:16">
      <c r="A2545">
        <v>2544</v>
      </c>
      <c r="B2545" t="s">
        <v>2608</v>
      </c>
      <c r="C2545">
        <v>143</v>
      </c>
      <c r="D2545">
        <v>93</v>
      </c>
      <c r="E2545">
        <v>100.55563506427001</v>
      </c>
      <c r="F2545">
        <v>1.5445488094109101</v>
      </c>
      <c r="G2545">
        <v>7941.5030620037796</v>
      </c>
      <c r="H2545">
        <v>643.06373125791595</v>
      </c>
      <c r="I2545">
        <v>0.78857441697272201</v>
      </c>
      <c r="J2545">
        <v>0.241326236175162</v>
      </c>
      <c r="K2545">
        <v>0.79207495145055395</v>
      </c>
      <c r="L2545" t="s">
        <v>33</v>
      </c>
      <c r="M2545" t="s">
        <v>34</v>
      </c>
      <c r="N2545" t="s">
        <v>35</v>
      </c>
      <c r="O2545">
        <v>0.671114022353552</v>
      </c>
      <c r="P2545" t="s">
        <v>36</v>
      </c>
    </row>
    <row r="2546" spans="1:16">
      <c r="A2546">
        <v>2545</v>
      </c>
      <c r="B2546" t="s">
        <v>2609</v>
      </c>
      <c r="C2546">
        <v>121</v>
      </c>
      <c r="D2546">
        <v>114</v>
      </c>
      <c r="E2546">
        <v>100.671309796226</v>
      </c>
      <c r="F2546">
        <v>1.0641898580660301</v>
      </c>
      <c r="G2546">
        <v>7959.7846752363002</v>
      </c>
      <c r="H2546">
        <v>715.69388632442599</v>
      </c>
      <c r="I2546">
        <v>0.71356974317159605</v>
      </c>
      <c r="J2546">
        <v>0.19527946152352299</v>
      </c>
      <c r="K2546">
        <v>0.73637026138848005</v>
      </c>
      <c r="L2546" t="s">
        <v>38</v>
      </c>
      <c r="M2546" t="s">
        <v>34</v>
      </c>
      <c r="N2546" t="s">
        <v>35</v>
      </c>
      <c r="O2546">
        <v>0.74704509153216603</v>
      </c>
      <c r="P2546" t="s">
        <v>36</v>
      </c>
    </row>
    <row r="2547" spans="1:16">
      <c r="A2547">
        <v>2546</v>
      </c>
      <c r="B2547" t="s">
        <v>2610</v>
      </c>
      <c r="C2547">
        <v>73</v>
      </c>
      <c r="D2547">
        <v>185</v>
      </c>
      <c r="E2547">
        <v>100.922889896337</v>
      </c>
      <c r="F2547">
        <v>0.39411762805133199</v>
      </c>
      <c r="G2547">
        <v>7999.6177837429104</v>
      </c>
      <c r="H2547">
        <v>1072.2339605177999</v>
      </c>
      <c r="I2547">
        <v>0.81695466458875099</v>
      </c>
      <c r="J2547">
        <v>8.7437953528477497E-2</v>
      </c>
      <c r="K2547">
        <v>0.69068976580044905</v>
      </c>
      <c r="L2547" t="s">
        <v>38</v>
      </c>
      <c r="M2547" t="s">
        <v>34</v>
      </c>
      <c r="N2547" t="s">
        <v>35</v>
      </c>
      <c r="O2547">
        <v>0.66220924623542698</v>
      </c>
      <c r="P2547" t="s">
        <v>36</v>
      </c>
    </row>
    <row r="2548" spans="1:16">
      <c r="A2548">
        <v>2547</v>
      </c>
      <c r="B2548" t="s">
        <v>2611</v>
      </c>
      <c r="C2548">
        <v>132</v>
      </c>
      <c r="D2548">
        <v>133</v>
      </c>
      <c r="E2548">
        <v>100.95663647486801</v>
      </c>
      <c r="F2548">
        <v>0.99419545895120698</v>
      </c>
      <c r="G2548">
        <v>8004.9684998109697</v>
      </c>
      <c r="H2548">
        <v>817.85267744188695</v>
      </c>
      <c r="I2548">
        <v>0.66567895498099705</v>
      </c>
      <c r="J2548">
        <v>0.15039012895272599</v>
      </c>
      <c r="K2548">
        <v>0.61399728672891196</v>
      </c>
      <c r="L2548" t="s">
        <v>47</v>
      </c>
      <c r="M2548" t="s">
        <v>34</v>
      </c>
      <c r="N2548" t="s">
        <v>35</v>
      </c>
      <c r="O2548">
        <v>0.92812959159509401</v>
      </c>
      <c r="P2548" t="s">
        <v>36</v>
      </c>
    </row>
    <row r="2549" spans="1:16">
      <c r="A2549">
        <v>2548</v>
      </c>
      <c r="B2549" t="s">
        <v>2612</v>
      </c>
      <c r="C2549">
        <v>171</v>
      </c>
      <c r="D2549">
        <v>98</v>
      </c>
      <c r="E2549">
        <v>100.962259807978</v>
      </c>
      <c r="F2549">
        <v>1.74444444444444</v>
      </c>
      <c r="G2549">
        <v>8005.8602858223103</v>
      </c>
      <c r="H2549">
        <v>736.52174159568301</v>
      </c>
      <c r="I2549">
        <v>0.74646910843816605</v>
      </c>
      <c r="J2549">
        <v>0.18545849361611</v>
      </c>
      <c r="K2549">
        <v>0.68522287807856697</v>
      </c>
      <c r="L2549" t="s">
        <v>298</v>
      </c>
      <c r="M2549" t="s">
        <v>34</v>
      </c>
      <c r="N2549" t="s">
        <v>35</v>
      </c>
      <c r="O2549">
        <v>0.64783779294639299</v>
      </c>
      <c r="P2549" t="s">
        <v>36</v>
      </c>
    </row>
    <row r="2550" spans="1:16">
      <c r="A2550">
        <v>2549</v>
      </c>
      <c r="B2550" t="s">
        <v>2613</v>
      </c>
      <c r="C2550">
        <v>151</v>
      </c>
      <c r="D2550">
        <v>93</v>
      </c>
      <c r="E2550">
        <v>101.72878796648899</v>
      </c>
      <c r="F2550">
        <v>1.62242814064987</v>
      </c>
      <c r="G2550">
        <v>8127.8863383742901</v>
      </c>
      <c r="H2550">
        <v>615.46078324494204</v>
      </c>
      <c r="I2550">
        <v>0.73730601800710904</v>
      </c>
      <c r="J2550">
        <v>0.26964148817377898</v>
      </c>
      <c r="K2550">
        <v>0.75984104267115005</v>
      </c>
      <c r="L2550" t="s">
        <v>38</v>
      </c>
      <c r="M2550" t="s">
        <v>34</v>
      </c>
      <c r="N2550" t="s">
        <v>35</v>
      </c>
      <c r="O2550">
        <v>0.74269463838272498</v>
      </c>
      <c r="P2550" t="s">
        <v>36</v>
      </c>
    </row>
    <row r="2551" spans="1:16">
      <c r="A2551">
        <v>2550</v>
      </c>
      <c r="B2551" t="s">
        <v>2614</v>
      </c>
      <c r="C2551">
        <v>112</v>
      </c>
      <c r="D2551">
        <v>146</v>
      </c>
      <c r="E2551">
        <v>102.25944074901901</v>
      </c>
      <c r="F2551">
        <v>0.76743650157379495</v>
      </c>
      <c r="G2551">
        <v>8212.9032714555797</v>
      </c>
      <c r="H2551">
        <v>769.85312630000305</v>
      </c>
      <c r="I2551">
        <v>0.65273358331451803</v>
      </c>
      <c r="J2551">
        <v>0.174136903043796</v>
      </c>
      <c r="K2551">
        <v>0.665722925677385</v>
      </c>
      <c r="L2551" t="s">
        <v>41</v>
      </c>
      <c r="M2551" t="s">
        <v>34</v>
      </c>
      <c r="N2551" t="s">
        <v>35</v>
      </c>
      <c r="O2551">
        <v>0.68629894079208298</v>
      </c>
      <c r="P2551" t="s">
        <v>36</v>
      </c>
    </row>
    <row r="2552" spans="1:16">
      <c r="A2552">
        <v>2551</v>
      </c>
      <c r="B2552" t="s">
        <v>2615</v>
      </c>
      <c r="C2552">
        <v>259</v>
      </c>
      <c r="D2552">
        <v>73</v>
      </c>
      <c r="E2552">
        <v>102.469270289224</v>
      </c>
      <c r="F2552">
        <v>3.5651504473973299</v>
      </c>
      <c r="G2552">
        <v>8246.64250888469</v>
      </c>
      <c r="H2552">
        <v>943.67225057166604</v>
      </c>
      <c r="I2552">
        <v>0.49139597550984099</v>
      </c>
      <c r="J2552">
        <v>0.116370972434528</v>
      </c>
      <c r="K2552">
        <v>0.54944445544750597</v>
      </c>
      <c r="L2552" t="s">
        <v>33</v>
      </c>
      <c r="M2552" t="s">
        <v>34</v>
      </c>
      <c r="N2552" t="s">
        <v>35</v>
      </c>
      <c r="O2552">
        <v>0.66409857465089395</v>
      </c>
      <c r="P2552" t="s">
        <v>36</v>
      </c>
    </row>
    <row r="2553" spans="1:16">
      <c r="A2553">
        <v>2552</v>
      </c>
      <c r="B2553" t="s">
        <v>2616</v>
      </c>
      <c r="C2553">
        <v>173</v>
      </c>
      <c r="D2553">
        <v>107</v>
      </c>
      <c r="E2553">
        <v>102.872010223568</v>
      </c>
      <c r="F2553">
        <v>1.61421319796954</v>
      </c>
      <c r="G2553">
        <v>8311.5942567107795</v>
      </c>
      <c r="H2553">
        <v>781.80251394634695</v>
      </c>
      <c r="I2553">
        <v>0.65839239249481396</v>
      </c>
      <c r="J2553">
        <v>0.17088347739652501</v>
      </c>
      <c r="K2553">
        <v>0.53987179239636196</v>
      </c>
      <c r="L2553" t="s">
        <v>49</v>
      </c>
      <c r="M2553" t="s">
        <v>34</v>
      </c>
      <c r="N2553" t="s">
        <v>35</v>
      </c>
      <c r="O2553">
        <v>0.66577423413949899</v>
      </c>
      <c r="P2553" t="s">
        <v>36</v>
      </c>
    </row>
    <row r="2554" spans="1:16">
      <c r="A2554">
        <v>2553</v>
      </c>
      <c r="B2554" t="s">
        <v>2617</v>
      </c>
      <c r="C2554">
        <v>100</v>
      </c>
      <c r="D2554">
        <v>148</v>
      </c>
      <c r="E2554">
        <v>103.130149489262</v>
      </c>
      <c r="F2554">
        <v>0.67074415749951899</v>
      </c>
      <c r="G2554">
        <v>8353.3595682419691</v>
      </c>
      <c r="H2554">
        <v>643.30561754247401</v>
      </c>
      <c r="I2554">
        <v>0.57443301696018001</v>
      </c>
      <c r="J2554">
        <v>0.253650867698067</v>
      </c>
      <c r="K2554">
        <v>0.76980604865220204</v>
      </c>
      <c r="L2554" t="s">
        <v>38</v>
      </c>
      <c r="M2554" t="s">
        <v>34</v>
      </c>
      <c r="N2554" t="s">
        <v>35</v>
      </c>
      <c r="O2554">
        <v>0.68455311355705695</v>
      </c>
      <c r="P2554" t="s">
        <v>36</v>
      </c>
    </row>
    <row r="2555" spans="1:16">
      <c r="A2555">
        <v>2554</v>
      </c>
      <c r="B2555" t="s">
        <v>2618</v>
      </c>
      <c r="C2555">
        <v>127</v>
      </c>
      <c r="D2555">
        <v>152</v>
      </c>
      <c r="E2555">
        <v>103.199855580012</v>
      </c>
      <c r="F2555">
        <v>0.83812957063953697</v>
      </c>
      <c r="G2555">
        <v>8364.6555243856292</v>
      </c>
      <c r="H2555">
        <v>906.55434977469201</v>
      </c>
      <c r="I2555">
        <v>0.60356442652304798</v>
      </c>
      <c r="J2555">
        <v>0.12789990807900001</v>
      </c>
      <c r="K2555">
        <v>0.57082868445075596</v>
      </c>
      <c r="L2555" t="s">
        <v>33</v>
      </c>
      <c r="M2555" t="s">
        <v>34</v>
      </c>
      <c r="N2555" t="s">
        <v>35</v>
      </c>
      <c r="O2555">
        <v>0.68789473461446105</v>
      </c>
      <c r="P2555" t="s">
        <v>36</v>
      </c>
    </row>
    <row r="2556" spans="1:16">
      <c r="A2556">
        <v>2555</v>
      </c>
      <c r="B2556" t="s">
        <v>2619</v>
      </c>
      <c r="C2556">
        <v>158</v>
      </c>
      <c r="D2556">
        <v>105</v>
      </c>
      <c r="E2556">
        <v>103.577833037319</v>
      </c>
      <c r="F2556">
        <v>1.50565377704173</v>
      </c>
      <c r="G2556">
        <v>8426.0401281663508</v>
      </c>
      <c r="H2556">
        <v>676.26282407936799</v>
      </c>
      <c r="I2556">
        <v>0.56803971933766695</v>
      </c>
      <c r="J2556">
        <v>0.231527381211175</v>
      </c>
      <c r="K2556">
        <v>0.63695605766097796</v>
      </c>
      <c r="L2556" t="s">
        <v>33</v>
      </c>
      <c r="M2556" t="s">
        <v>34</v>
      </c>
      <c r="N2556" t="s">
        <v>35</v>
      </c>
      <c r="O2556">
        <v>0.820753109572113</v>
      </c>
      <c r="P2556" t="s">
        <v>36</v>
      </c>
    </row>
    <row r="2557" spans="1:16">
      <c r="A2557">
        <v>2556</v>
      </c>
      <c r="B2557" t="s">
        <v>2620</v>
      </c>
      <c r="C2557">
        <v>122</v>
      </c>
      <c r="D2557">
        <v>130</v>
      </c>
      <c r="E2557">
        <v>104.183559186235</v>
      </c>
      <c r="F2557">
        <v>0.93576126284315697</v>
      </c>
      <c r="G2557">
        <v>8524.8797444234406</v>
      </c>
      <c r="H2557">
        <v>841.73264825758702</v>
      </c>
      <c r="I2557">
        <v>0.67231597579615099</v>
      </c>
      <c r="J2557">
        <v>0.151199299969208</v>
      </c>
      <c r="K2557">
        <v>0.68033117453087599</v>
      </c>
      <c r="L2557" t="s">
        <v>33</v>
      </c>
      <c r="M2557" t="s">
        <v>34</v>
      </c>
      <c r="N2557" t="s">
        <v>35</v>
      </c>
      <c r="O2557">
        <v>0.67314736644581696</v>
      </c>
      <c r="P2557" t="s">
        <v>36</v>
      </c>
    </row>
    <row r="2558" spans="1:16">
      <c r="A2558">
        <v>2557</v>
      </c>
      <c r="B2558" t="s">
        <v>2621</v>
      </c>
      <c r="C2558">
        <v>99</v>
      </c>
      <c r="D2558">
        <v>168</v>
      </c>
      <c r="E2558">
        <v>104.26889677374901</v>
      </c>
      <c r="F2558">
        <v>0.59001457679041902</v>
      </c>
      <c r="G2558">
        <v>8538.8510586011398</v>
      </c>
      <c r="H2558">
        <v>748.51652420437904</v>
      </c>
      <c r="I2558">
        <v>0.76908311455391398</v>
      </c>
      <c r="J2558">
        <v>0.191516641788919</v>
      </c>
      <c r="K2558">
        <v>0.66771269177126902</v>
      </c>
      <c r="L2558" t="s">
        <v>298</v>
      </c>
      <c r="M2558" t="s">
        <v>34</v>
      </c>
      <c r="N2558" t="s">
        <v>35</v>
      </c>
      <c r="O2558">
        <v>0.65393723531946002</v>
      </c>
      <c r="P2558" t="s">
        <v>36</v>
      </c>
    </row>
    <row r="2559" spans="1:16">
      <c r="A2559">
        <v>2558</v>
      </c>
      <c r="B2559" t="s">
        <v>2622</v>
      </c>
      <c r="C2559">
        <v>94</v>
      </c>
      <c r="D2559">
        <v>171</v>
      </c>
      <c r="E2559">
        <v>104.332400697278</v>
      </c>
      <c r="F2559">
        <v>0.55095541401273895</v>
      </c>
      <c r="G2559">
        <v>8549.2552287334602</v>
      </c>
      <c r="H2559">
        <v>984.92168322708301</v>
      </c>
      <c r="I2559">
        <v>0.72044642788971203</v>
      </c>
      <c r="J2559">
        <v>0.110747708630412</v>
      </c>
      <c r="K2559">
        <v>0.63323608741124005</v>
      </c>
      <c r="L2559" t="s">
        <v>74</v>
      </c>
      <c r="M2559" t="s">
        <v>34</v>
      </c>
      <c r="N2559" t="s">
        <v>35</v>
      </c>
      <c r="O2559">
        <v>0.70512939683280196</v>
      </c>
      <c r="P2559" t="s">
        <v>36</v>
      </c>
    </row>
    <row r="2560" spans="1:16">
      <c r="A2560">
        <v>2559</v>
      </c>
      <c r="B2560" t="s">
        <v>2623</v>
      </c>
      <c r="C2560">
        <v>117</v>
      </c>
      <c r="D2560">
        <v>143</v>
      </c>
      <c r="E2560">
        <v>104.41318691523</v>
      </c>
      <c r="F2560">
        <v>0.81797240417043304</v>
      </c>
      <c r="G2560">
        <v>8562.5</v>
      </c>
      <c r="H2560">
        <v>714.76658761501301</v>
      </c>
      <c r="I2560">
        <v>0.61537864262008501</v>
      </c>
      <c r="J2560">
        <v>0.210611442588681</v>
      </c>
      <c r="K2560">
        <v>0.664403491755577</v>
      </c>
      <c r="L2560" t="s">
        <v>33</v>
      </c>
      <c r="M2560" t="s">
        <v>34</v>
      </c>
      <c r="N2560" t="s">
        <v>35</v>
      </c>
      <c r="O2560">
        <v>0.69671394287530697</v>
      </c>
      <c r="P2560" t="s">
        <v>36</v>
      </c>
    </row>
    <row r="2561" spans="1:16">
      <c r="A2561">
        <v>2560</v>
      </c>
      <c r="B2561" t="s">
        <v>2624</v>
      </c>
      <c r="C2561">
        <v>132</v>
      </c>
      <c r="D2561">
        <v>152</v>
      </c>
      <c r="E2561">
        <v>104.548930558813</v>
      </c>
      <c r="F2561">
        <v>0.87410071942445999</v>
      </c>
      <c r="G2561">
        <v>8584.7780381852608</v>
      </c>
      <c r="H2561">
        <v>1177.3125752968399</v>
      </c>
      <c r="I2561">
        <v>0.62534405724912301</v>
      </c>
      <c r="J2561">
        <v>7.7831494379215202E-2</v>
      </c>
      <c r="K2561">
        <v>0.55330542490109103</v>
      </c>
      <c r="L2561" t="s">
        <v>38</v>
      </c>
      <c r="M2561" t="s">
        <v>34</v>
      </c>
      <c r="N2561" t="s">
        <v>35</v>
      </c>
      <c r="O2561">
        <v>0.70393081147098702</v>
      </c>
      <c r="P2561" t="s">
        <v>36</v>
      </c>
    </row>
    <row r="2562" spans="1:16">
      <c r="A2562">
        <v>2561</v>
      </c>
      <c r="B2562" t="s">
        <v>2625</v>
      </c>
      <c r="C2562">
        <v>122</v>
      </c>
      <c r="D2562">
        <v>137</v>
      </c>
      <c r="E2562">
        <v>105.445604630188</v>
      </c>
      <c r="F2562">
        <v>0.89243027888446202</v>
      </c>
      <c r="G2562">
        <v>8732.6658850661606</v>
      </c>
      <c r="H2562">
        <v>759.65335607653105</v>
      </c>
      <c r="I2562">
        <v>0.59846950838415602</v>
      </c>
      <c r="J2562">
        <v>0.190162897694682</v>
      </c>
      <c r="K2562">
        <v>0.696310693418979</v>
      </c>
      <c r="L2562" t="s">
        <v>38</v>
      </c>
      <c r="M2562" t="s">
        <v>34</v>
      </c>
      <c r="N2562" t="s">
        <v>35</v>
      </c>
      <c r="O2562">
        <v>0.71612143830642205</v>
      </c>
      <c r="P2562" t="s">
        <v>36</v>
      </c>
    </row>
    <row r="2563" spans="1:16">
      <c r="A2563">
        <v>2562</v>
      </c>
      <c r="B2563" t="s">
        <v>2626</v>
      </c>
      <c r="C2563">
        <v>101</v>
      </c>
      <c r="D2563">
        <v>247</v>
      </c>
      <c r="E2563">
        <v>105.48508056625801</v>
      </c>
      <c r="F2563">
        <v>0.40719429889228198</v>
      </c>
      <c r="G2563">
        <v>8739.2056491493404</v>
      </c>
      <c r="H2563">
        <v>983.51803725615798</v>
      </c>
      <c r="I2563">
        <v>0.56252638060337001</v>
      </c>
      <c r="J2563">
        <v>0.113531706302805</v>
      </c>
      <c r="K2563">
        <v>0.50137285331787096</v>
      </c>
      <c r="L2563" t="s">
        <v>38</v>
      </c>
      <c r="M2563" t="s">
        <v>34</v>
      </c>
      <c r="N2563" t="s">
        <v>35</v>
      </c>
      <c r="O2563">
        <v>0.68119425879014295</v>
      </c>
      <c r="P2563" t="s">
        <v>36</v>
      </c>
    </row>
    <row r="2564" spans="1:16">
      <c r="A2564">
        <v>2563</v>
      </c>
      <c r="B2564" t="s">
        <v>2627</v>
      </c>
      <c r="C2564">
        <v>112</v>
      </c>
      <c r="D2564">
        <v>116</v>
      </c>
      <c r="E2564">
        <v>106.00159896099601</v>
      </c>
      <c r="F2564">
        <v>0.96995710096472398</v>
      </c>
      <c r="G2564">
        <v>8825</v>
      </c>
      <c r="H2564">
        <v>490.416301488876</v>
      </c>
      <c r="I2564">
        <v>0.59086683456149103</v>
      </c>
      <c r="J2564">
        <v>0.46109963941223397</v>
      </c>
      <c r="K2564">
        <v>0.83451536643026003</v>
      </c>
      <c r="L2564" t="s">
        <v>38</v>
      </c>
      <c r="M2564" t="s">
        <v>34</v>
      </c>
      <c r="N2564" t="s">
        <v>35</v>
      </c>
      <c r="O2564">
        <v>0.72946433420910195</v>
      </c>
      <c r="P2564" t="s">
        <v>36</v>
      </c>
    </row>
    <row r="2565" spans="1:16">
      <c r="A2565">
        <v>2564</v>
      </c>
      <c r="B2565" t="s">
        <v>2628</v>
      </c>
      <c r="C2565">
        <v>107</v>
      </c>
      <c r="D2565">
        <v>136</v>
      </c>
      <c r="E2565">
        <v>106.709571648726</v>
      </c>
      <c r="F2565">
        <v>0.78988653536485698</v>
      </c>
      <c r="G2565">
        <v>8943.2760147448007</v>
      </c>
      <c r="H2565">
        <v>722.02670845518901</v>
      </c>
      <c r="I2565">
        <v>0.66338144695263701</v>
      </c>
      <c r="J2565">
        <v>0.21557578333648</v>
      </c>
      <c r="K2565">
        <v>0.71137567388631395</v>
      </c>
      <c r="L2565" t="s">
        <v>38</v>
      </c>
      <c r="M2565" t="s">
        <v>34</v>
      </c>
      <c r="N2565" t="s">
        <v>35</v>
      </c>
      <c r="O2565">
        <v>0.74474862538464104</v>
      </c>
      <c r="P2565" t="s">
        <v>36</v>
      </c>
    </row>
    <row r="2566" spans="1:16">
      <c r="A2566">
        <v>2565</v>
      </c>
      <c r="B2566" t="s">
        <v>2629</v>
      </c>
      <c r="C2566">
        <v>124</v>
      </c>
      <c r="D2566">
        <v>116</v>
      </c>
      <c r="E2566">
        <v>107.24822417544</v>
      </c>
      <c r="F2566">
        <v>1.0728605510428899</v>
      </c>
      <c r="G2566">
        <v>9033.7922948960295</v>
      </c>
      <c r="H2566">
        <v>566.97518275986602</v>
      </c>
      <c r="I2566">
        <v>0.63596788828720097</v>
      </c>
      <c r="J2566">
        <v>0.35314402750170698</v>
      </c>
      <c r="K2566">
        <v>0.86299677689588095</v>
      </c>
      <c r="L2566" t="s">
        <v>38</v>
      </c>
      <c r="M2566" t="s">
        <v>34</v>
      </c>
      <c r="N2566" t="s">
        <v>35</v>
      </c>
      <c r="O2566">
        <v>0.81605811620186797</v>
      </c>
      <c r="P2566" t="s">
        <v>36</v>
      </c>
    </row>
    <row r="2567" spans="1:16">
      <c r="A2567">
        <v>2566</v>
      </c>
      <c r="B2567" t="s">
        <v>2630</v>
      </c>
      <c r="C2567">
        <v>182</v>
      </c>
      <c r="D2567">
        <v>122</v>
      </c>
      <c r="E2567">
        <v>107.41220024956699</v>
      </c>
      <c r="F2567">
        <v>1.49235406081205</v>
      </c>
      <c r="G2567">
        <v>9061.4376612476408</v>
      </c>
      <c r="H2567">
        <v>1313.6208161271099</v>
      </c>
      <c r="I2567">
        <v>0.56191861396266196</v>
      </c>
      <c r="J2567">
        <v>6.5988298064971404E-2</v>
      </c>
      <c r="K2567">
        <v>0.58227557949628905</v>
      </c>
      <c r="L2567" t="s">
        <v>74</v>
      </c>
      <c r="M2567" t="s">
        <v>34</v>
      </c>
      <c r="N2567" t="s">
        <v>35</v>
      </c>
      <c r="O2567">
        <v>0.65597111127430696</v>
      </c>
      <c r="P2567" t="s">
        <v>36</v>
      </c>
    </row>
    <row r="2568" spans="1:16">
      <c r="A2568">
        <v>2567</v>
      </c>
      <c r="B2568" t="s">
        <v>2631</v>
      </c>
      <c r="C2568">
        <v>140</v>
      </c>
      <c r="D2568">
        <v>103</v>
      </c>
      <c r="E2568">
        <v>107.491453709954</v>
      </c>
      <c r="F2568">
        <v>1.3567919897542799</v>
      </c>
      <c r="G2568">
        <v>9074.8144514177693</v>
      </c>
      <c r="H2568">
        <v>612.13468169627004</v>
      </c>
      <c r="I2568">
        <v>0.62651251071773095</v>
      </c>
      <c r="J2568">
        <v>0.30433622267546301</v>
      </c>
      <c r="K2568">
        <v>0.81462308205470302</v>
      </c>
      <c r="L2568" t="s">
        <v>38</v>
      </c>
      <c r="M2568" t="s">
        <v>34</v>
      </c>
      <c r="N2568" t="s">
        <v>35</v>
      </c>
      <c r="O2568">
        <v>0.77904317736240802</v>
      </c>
      <c r="P2568" t="s">
        <v>36</v>
      </c>
    </row>
    <row r="2569" spans="1:16">
      <c r="A2569">
        <v>2568</v>
      </c>
      <c r="B2569" t="s">
        <v>2632</v>
      </c>
      <c r="C2569">
        <v>133</v>
      </c>
      <c r="D2569">
        <v>118</v>
      </c>
      <c r="E2569">
        <v>107.680545306722</v>
      </c>
      <c r="F2569">
        <v>1.12839796018728</v>
      </c>
      <c r="G2569">
        <v>9106.7701168242002</v>
      </c>
      <c r="H2569">
        <v>755.45600854863301</v>
      </c>
      <c r="I2569">
        <v>0.74153298403526402</v>
      </c>
      <c r="J2569">
        <v>0.200519160790011</v>
      </c>
      <c r="K2569">
        <v>0.73238106622041599</v>
      </c>
      <c r="L2569" t="s">
        <v>74</v>
      </c>
      <c r="M2569" t="s">
        <v>34</v>
      </c>
      <c r="N2569" t="s">
        <v>35</v>
      </c>
      <c r="O2569">
        <v>0.65155193691219504</v>
      </c>
      <c r="P2569" t="s">
        <v>36</v>
      </c>
    </row>
    <row r="2570" spans="1:16">
      <c r="A2570">
        <v>2569</v>
      </c>
      <c r="B2570" t="s">
        <v>2633</v>
      </c>
      <c r="C2570">
        <v>145</v>
      </c>
      <c r="D2570">
        <v>102</v>
      </c>
      <c r="E2570">
        <v>107.83245733043999</v>
      </c>
      <c r="F2570">
        <v>1.4236233830032701</v>
      </c>
      <c r="G2570">
        <v>9132.4832801512293</v>
      </c>
      <c r="H2570">
        <v>638.86638373001801</v>
      </c>
      <c r="I2570">
        <v>0.558750026474644</v>
      </c>
      <c r="J2570">
        <v>0.28117627703910397</v>
      </c>
      <c r="K2570">
        <v>0.75490521297900304</v>
      </c>
      <c r="L2570" t="s">
        <v>38</v>
      </c>
      <c r="M2570" t="s">
        <v>34</v>
      </c>
      <c r="N2570" t="s">
        <v>35</v>
      </c>
      <c r="O2570">
        <v>0.75490557992582896</v>
      </c>
      <c r="P2570" t="s">
        <v>36</v>
      </c>
    </row>
    <row r="2571" spans="1:16">
      <c r="A2571">
        <v>2570</v>
      </c>
      <c r="B2571" t="s">
        <v>2634</v>
      </c>
      <c r="C2571">
        <v>63</v>
      </c>
      <c r="D2571">
        <v>362</v>
      </c>
      <c r="E2571">
        <v>108.033214665507</v>
      </c>
      <c r="F2571">
        <v>0.17442295035057701</v>
      </c>
      <c r="G2571">
        <v>9166.5197795841195</v>
      </c>
      <c r="H2571">
        <v>1236.4606373234401</v>
      </c>
      <c r="I2571">
        <v>0.78187534084407895</v>
      </c>
      <c r="J2571">
        <v>7.5344881398048694E-2</v>
      </c>
      <c r="K2571">
        <v>0.462326738982136</v>
      </c>
      <c r="L2571" t="s">
        <v>33</v>
      </c>
      <c r="M2571" t="s">
        <v>34</v>
      </c>
      <c r="N2571" t="s">
        <v>35</v>
      </c>
      <c r="O2571">
        <v>0.73398743536536004</v>
      </c>
      <c r="P2571" t="s">
        <v>36</v>
      </c>
    </row>
    <row r="2572" spans="1:16">
      <c r="A2572">
        <v>2571</v>
      </c>
      <c r="B2572" t="s">
        <v>2635</v>
      </c>
      <c r="C2572">
        <v>117</v>
      </c>
      <c r="D2572">
        <v>126</v>
      </c>
      <c r="E2572">
        <v>109.50513415186001</v>
      </c>
      <c r="F2572">
        <v>0.92672412829223205</v>
      </c>
      <c r="G2572">
        <v>9418.0034347826095</v>
      </c>
      <c r="H2572">
        <v>719.42626576019404</v>
      </c>
      <c r="I2572">
        <v>0.60812936000319495</v>
      </c>
      <c r="J2572">
        <v>0.22866312234136699</v>
      </c>
      <c r="K2572">
        <v>0.75102819689229705</v>
      </c>
      <c r="L2572" t="s">
        <v>38</v>
      </c>
      <c r="M2572" t="s">
        <v>34</v>
      </c>
      <c r="N2572" t="s">
        <v>35</v>
      </c>
      <c r="O2572">
        <v>0.72253960987291599</v>
      </c>
      <c r="P2572" t="s">
        <v>36</v>
      </c>
    </row>
    <row r="2573" spans="1:16">
      <c r="A2573">
        <v>2572</v>
      </c>
      <c r="B2573" t="s">
        <v>2636</v>
      </c>
      <c r="C2573">
        <v>132</v>
      </c>
      <c r="D2573">
        <v>109</v>
      </c>
      <c r="E2573">
        <v>109.607048423813</v>
      </c>
      <c r="F2573">
        <v>1.2096374276810899</v>
      </c>
      <c r="G2573">
        <v>9435.5418930056694</v>
      </c>
      <c r="H2573">
        <v>658.70399638186302</v>
      </c>
      <c r="I2573">
        <v>0.72859825841273795</v>
      </c>
      <c r="J2573">
        <v>0.27327261619446702</v>
      </c>
      <c r="K2573">
        <v>0.79920184306270703</v>
      </c>
      <c r="L2573" t="s">
        <v>38</v>
      </c>
      <c r="M2573" t="s">
        <v>34</v>
      </c>
      <c r="N2573" t="s">
        <v>35</v>
      </c>
      <c r="O2573">
        <v>0.79832329291871595</v>
      </c>
      <c r="P2573" t="s">
        <v>36</v>
      </c>
    </row>
    <row r="2574" spans="1:16">
      <c r="A2574">
        <v>2573</v>
      </c>
      <c r="B2574" t="s">
        <v>2637</v>
      </c>
      <c r="C2574">
        <v>137</v>
      </c>
      <c r="D2574">
        <v>141</v>
      </c>
      <c r="E2574">
        <v>110.538881550211</v>
      </c>
      <c r="F2574">
        <v>0.96911196911196895</v>
      </c>
      <c r="G2574">
        <v>9596.6578990548205</v>
      </c>
      <c r="H2574">
        <v>1275.6520900580199</v>
      </c>
      <c r="I2574">
        <v>0.63209225174189798</v>
      </c>
      <c r="J2574">
        <v>7.4108050284195107E-2</v>
      </c>
      <c r="K2574">
        <v>0.60985907510956605</v>
      </c>
      <c r="L2574" t="s">
        <v>38</v>
      </c>
      <c r="M2574" t="s">
        <v>34</v>
      </c>
      <c r="N2574" t="s">
        <v>35</v>
      </c>
      <c r="O2574">
        <v>0.71296996766087095</v>
      </c>
      <c r="P2574" t="s">
        <v>36</v>
      </c>
    </row>
    <row r="2575" spans="1:16">
      <c r="A2575">
        <v>2574</v>
      </c>
      <c r="B2575" t="s">
        <v>2638</v>
      </c>
      <c r="C2575">
        <v>142</v>
      </c>
      <c r="D2575">
        <v>128</v>
      </c>
      <c r="E2575">
        <v>110.786843832803</v>
      </c>
      <c r="F2575">
        <v>1.1111111111111101</v>
      </c>
      <c r="G2575">
        <v>9639.7608896030306</v>
      </c>
      <c r="H2575">
        <v>1335.06473585035</v>
      </c>
      <c r="I2575">
        <v>0.63379208160565603</v>
      </c>
      <c r="J2575">
        <v>6.7962833352023896E-2</v>
      </c>
      <c r="K2575">
        <v>0.63840656744625601</v>
      </c>
      <c r="L2575" t="s">
        <v>38</v>
      </c>
      <c r="M2575" t="s">
        <v>34</v>
      </c>
      <c r="N2575" t="s">
        <v>35</v>
      </c>
      <c r="O2575">
        <v>0.69544617860272895</v>
      </c>
      <c r="P2575" t="s">
        <v>36</v>
      </c>
    </row>
    <row r="2576" spans="1:16">
      <c r="A2576">
        <v>2575</v>
      </c>
      <c r="B2576" t="s">
        <v>2639</v>
      </c>
      <c r="C2576">
        <v>114</v>
      </c>
      <c r="D2576">
        <v>144</v>
      </c>
      <c r="E2576">
        <v>110.91573576224501</v>
      </c>
      <c r="F2576">
        <v>0.79300277623747895</v>
      </c>
      <c r="G2576">
        <v>9662.2041708884699</v>
      </c>
      <c r="H2576">
        <v>706.81541869951297</v>
      </c>
      <c r="I2576">
        <v>0.73870867633914905</v>
      </c>
      <c r="J2576">
        <v>0.24303792282152401</v>
      </c>
      <c r="K2576">
        <v>0.78812860676009899</v>
      </c>
      <c r="L2576" t="s">
        <v>298</v>
      </c>
      <c r="M2576" t="s">
        <v>34</v>
      </c>
      <c r="N2576" t="s">
        <v>35</v>
      </c>
      <c r="O2576">
        <v>0.61856900293972605</v>
      </c>
      <c r="P2576" t="s">
        <v>36</v>
      </c>
    </row>
    <row r="2577" spans="1:16">
      <c r="A2577">
        <v>2576</v>
      </c>
      <c r="B2577" t="s">
        <v>2640</v>
      </c>
      <c r="C2577">
        <v>201</v>
      </c>
      <c r="D2577">
        <v>128</v>
      </c>
      <c r="E2577">
        <v>111.04788644725799</v>
      </c>
      <c r="F2577">
        <v>1.5769230217466501</v>
      </c>
      <c r="G2577">
        <v>9685.2419761814799</v>
      </c>
      <c r="H2577">
        <v>1545.7511329398999</v>
      </c>
      <c r="I2577">
        <v>0.74456076133403304</v>
      </c>
      <c r="J2577">
        <v>5.0937918318772597E-2</v>
      </c>
      <c r="K2577">
        <v>0.47771008819195498</v>
      </c>
      <c r="L2577" t="s">
        <v>33</v>
      </c>
      <c r="M2577" t="s">
        <v>34</v>
      </c>
      <c r="N2577" t="s">
        <v>35</v>
      </c>
      <c r="O2577">
        <v>0.65112107490516302</v>
      </c>
      <c r="P2577" t="s">
        <v>36</v>
      </c>
    </row>
    <row r="2578" spans="1:16">
      <c r="A2578">
        <v>2577</v>
      </c>
      <c r="B2578" t="s">
        <v>2641</v>
      </c>
      <c r="C2578">
        <v>151</v>
      </c>
      <c r="D2578">
        <v>115</v>
      </c>
      <c r="E2578">
        <v>111.484145403249</v>
      </c>
      <c r="F2578">
        <v>1.30957320614705</v>
      </c>
      <c r="G2578">
        <v>9761.4896801512295</v>
      </c>
      <c r="H2578">
        <v>751.226561301066</v>
      </c>
      <c r="I2578">
        <v>0.56609640492373003</v>
      </c>
      <c r="J2578">
        <v>0.21736223626110099</v>
      </c>
      <c r="K2578">
        <v>0.75613069607865702</v>
      </c>
      <c r="L2578" t="s">
        <v>38</v>
      </c>
      <c r="M2578" t="s">
        <v>34</v>
      </c>
      <c r="N2578" t="s">
        <v>35</v>
      </c>
      <c r="O2578">
        <v>0.76489218086718602</v>
      </c>
      <c r="P2578" t="s">
        <v>36</v>
      </c>
    </row>
    <row r="2579" spans="1:16">
      <c r="A2579">
        <v>2578</v>
      </c>
      <c r="B2579" t="s">
        <v>2642</v>
      </c>
      <c r="C2579">
        <v>149</v>
      </c>
      <c r="D2579">
        <v>110</v>
      </c>
      <c r="E2579">
        <v>112.349897081989</v>
      </c>
      <c r="F2579">
        <v>1.3511079618421999</v>
      </c>
      <c r="G2579">
        <v>9913.6878260869598</v>
      </c>
      <c r="H2579">
        <v>725.72698817128696</v>
      </c>
      <c r="I2579">
        <v>0.70035471998762699</v>
      </c>
      <c r="J2579">
        <v>0.23653671200429499</v>
      </c>
      <c r="K2579">
        <v>0.76136337693765299</v>
      </c>
      <c r="L2579" t="s">
        <v>33</v>
      </c>
      <c r="M2579" t="s">
        <v>34</v>
      </c>
      <c r="N2579" t="s">
        <v>35</v>
      </c>
      <c r="O2579">
        <v>0.67856228442097399</v>
      </c>
      <c r="P2579" t="s">
        <v>36</v>
      </c>
    </row>
    <row r="2580" spans="1:16">
      <c r="A2580">
        <v>2579</v>
      </c>
      <c r="B2580" t="s">
        <v>2643</v>
      </c>
      <c r="C2580">
        <v>121</v>
      </c>
      <c r="D2580">
        <v>223</v>
      </c>
      <c r="E2580">
        <v>112.711462629499</v>
      </c>
      <c r="F2580">
        <v>0.54307352395824904</v>
      </c>
      <c r="G2580">
        <v>9977.5991568998106</v>
      </c>
      <c r="H2580">
        <v>1464.87576294733</v>
      </c>
      <c r="I2580">
        <v>0.72706882139707496</v>
      </c>
      <c r="J2580">
        <v>5.8429790557848797E-2</v>
      </c>
      <c r="K2580">
        <v>0.49553406658300703</v>
      </c>
      <c r="L2580" t="s">
        <v>33</v>
      </c>
      <c r="M2580" t="s">
        <v>34</v>
      </c>
      <c r="N2580" t="s">
        <v>35</v>
      </c>
      <c r="O2580">
        <v>0.70845193744188895</v>
      </c>
      <c r="P2580" t="s">
        <v>36</v>
      </c>
    </row>
    <row r="2581" spans="1:16">
      <c r="A2581">
        <v>2580</v>
      </c>
      <c r="B2581" t="s">
        <v>2644</v>
      </c>
      <c r="C2581">
        <v>124</v>
      </c>
      <c r="D2581">
        <v>196</v>
      </c>
      <c r="E2581">
        <v>112.747555412327</v>
      </c>
      <c r="F2581">
        <v>0.63229820256603797</v>
      </c>
      <c r="G2581">
        <v>9983.9902899811004</v>
      </c>
      <c r="H2581">
        <v>1045.13748255512</v>
      </c>
      <c r="I2581">
        <v>0.62304383941235097</v>
      </c>
      <c r="J2581">
        <v>0.11485956497637401</v>
      </c>
      <c r="K2581">
        <v>0.54699803750722698</v>
      </c>
      <c r="L2581" t="s">
        <v>38</v>
      </c>
      <c r="M2581" t="s">
        <v>34</v>
      </c>
      <c r="N2581" t="s">
        <v>35</v>
      </c>
      <c r="O2581">
        <v>0.77249590917877797</v>
      </c>
      <c r="P2581" t="s">
        <v>36</v>
      </c>
    </row>
    <row r="2582" spans="1:16">
      <c r="A2582">
        <v>2581</v>
      </c>
      <c r="B2582" t="s">
        <v>2645</v>
      </c>
      <c r="C2582">
        <v>100</v>
      </c>
      <c r="D2582">
        <v>174</v>
      </c>
      <c r="E2582">
        <v>112.79622040595299</v>
      </c>
      <c r="F2582">
        <v>0.57581763165503497</v>
      </c>
      <c r="G2582">
        <v>9992.6108880907395</v>
      </c>
      <c r="H2582">
        <v>750.98467501650703</v>
      </c>
      <c r="I2582">
        <v>0.75587163086534603</v>
      </c>
      <c r="J2582">
        <v>0.22265204637087299</v>
      </c>
      <c r="K2582">
        <v>0.71997986699365002</v>
      </c>
      <c r="L2582" t="s">
        <v>38</v>
      </c>
      <c r="M2582" t="s">
        <v>34</v>
      </c>
      <c r="N2582" t="s">
        <v>35</v>
      </c>
      <c r="O2582">
        <v>0.73200164525238398</v>
      </c>
      <c r="P2582" t="s">
        <v>36</v>
      </c>
    </row>
    <row r="2583" spans="1:16">
      <c r="A2583">
        <v>2582</v>
      </c>
      <c r="B2583" t="s">
        <v>2646</v>
      </c>
      <c r="C2583">
        <v>171</v>
      </c>
      <c r="D2583">
        <v>104</v>
      </c>
      <c r="E2583">
        <v>112.94879167153201</v>
      </c>
      <c r="F2583">
        <v>1.6383328202520999</v>
      </c>
      <c r="G2583">
        <v>10019.6617304348</v>
      </c>
      <c r="H2583">
        <v>797.531292220924</v>
      </c>
      <c r="I2583">
        <v>0.482261251397264</v>
      </c>
      <c r="J2583">
        <v>0.19795544834449</v>
      </c>
      <c r="K2583">
        <v>0.69568223566077103</v>
      </c>
      <c r="L2583" t="s">
        <v>38</v>
      </c>
      <c r="M2583" t="s">
        <v>34</v>
      </c>
      <c r="N2583" t="s">
        <v>35</v>
      </c>
      <c r="O2583">
        <v>0.74091909362387298</v>
      </c>
      <c r="P2583" t="s">
        <v>36</v>
      </c>
    </row>
    <row r="2584" spans="1:16">
      <c r="A2584">
        <v>2583</v>
      </c>
      <c r="B2584" t="s">
        <v>2647</v>
      </c>
      <c r="C2584">
        <v>96</v>
      </c>
      <c r="D2584">
        <v>155</v>
      </c>
      <c r="E2584">
        <v>113.600347613992</v>
      </c>
      <c r="F2584">
        <v>0.622066921959195</v>
      </c>
      <c r="G2584">
        <v>10135.5939119093</v>
      </c>
      <c r="H2584">
        <v>771.81253028776302</v>
      </c>
      <c r="I2584">
        <v>0.790799425205993</v>
      </c>
      <c r="J2584">
        <v>0.21381364437709199</v>
      </c>
      <c r="K2584">
        <v>0.79364321958940498</v>
      </c>
      <c r="L2584" t="s">
        <v>38</v>
      </c>
      <c r="M2584" t="s">
        <v>34</v>
      </c>
      <c r="N2584" t="s">
        <v>35</v>
      </c>
      <c r="O2584">
        <v>0.74803109624086095</v>
      </c>
      <c r="P2584" t="s">
        <v>36</v>
      </c>
    </row>
    <row r="2585" spans="1:16">
      <c r="A2585">
        <v>2584</v>
      </c>
      <c r="B2585" t="s">
        <v>2648</v>
      </c>
      <c r="C2585">
        <v>185</v>
      </c>
      <c r="D2585">
        <v>124</v>
      </c>
      <c r="E2585">
        <v>113.72438685492099</v>
      </c>
      <c r="F2585">
        <v>1.4908129106947401</v>
      </c>
      <c r="G2585">
        <v>10157.739931190899</v>
      </c>
      <c r="H2585">
        <v>1106.5024068708001</v>
      </c>
      <c r="I2585">
        <v>0.57987488419371003</v>
      </c>
      <c r="J2585">
        <v>0.104256280682818</v>
      </c>
      <c r="K2585">
        <v>0.56238376590246997</v>
      </c>
      <c r="L2585" t="s">
        <v>33</v>
      </c>
      <c r="M2585" t="s">
        <v>34</v>
      </c>
      <c r="N2585" t="s">
        <v>35</v>
      </c>
      <c r="O2585">
        <v>0.67915617747189805</v>
      </c>
      <c r="P2585" t="s">
        <v>36</v>
      </c>
    </row>
    <row r="2586" spans="1:16">
      <c r="A2586">
        <v>2585</v>
      </c>
      <c r="B2586" t="s">
        <v>2649</v>
      </c>
      <c r="C2586">
        <v>162</v>
      </c>
      <c r="D2586">
        <v>151</v>
      </c>
      <c r="E2586">
        <v>113.807558854611</v>
      </c>
      <c r="F2586">
        <v>1.07220218197427</v>
      </c>
      <c r="G2586">
        <v>10172.60303138</v>
      </c>
      <c r="H2586">
        <v>1454.73857593308</v>
      </c>
      <c r="I2586">
        <v>0.53218385233166998</v>
      </c>
      <c r="J2586">
        <v>6.0404883424420797E-2</v>
      </c>
      <c r="K2586">
        <v>0.562632556763067</v>
      </c>
      <c r="L2586" t="s">
        <v>38</v>
      </c>
      <c r="M2586" t="s">
        <v>34</v>
      </c>
      <c r="N2586" t="s">
        <v>35</v>
      </c>
      <c r="O2586">
        <v>0.68830770926076901</v>
      </c>
      <c r="P2586" t="s">
        <v>36</v>
      </c>
    </row>
    <row r="2587" spans="1:16">
      <c r="A2587">
        <v>2586</v>
      </c>
      <c r="B2587" t="s">
        <v>2650</v>
      </c>
      <c r="C2587">
        <v>110</v>
      </c>
      <c r="D2587">
        <v>152</v>
      </c>
      <c r="E2587">
        <v>113.96541842853</v>
      </c>
      <c r="F2587">
        <v>0.72226395360620299</v>
      </c>
      <c r="G2587">
        <v>10200.8429217391</v>
      </c>
      <c r="H2587">
        <v>721.41064400320499</v>
      </c>
      <c r="I2587">
        <v>0.78501088311338396</v>
      </c>
      <c r="J2587">
        <v>0.24630931279173701</v>
      </c>
      <c r="K2587">
        <v>0.77630983621391703</v>
      </c>
      <c r="L2587" t="s">
        <v>33</v>
      </c>
      <c r="M2587" t="s">
        <v>34</v>
      </c>
      <c r="N2587" t="s">
        <v>35</v>
      </c>
      <c r="O2587">
        <v>0.67069343240110602</v>
      </c>
      <c r="P2587" t="s">
        <v>36</v>
      </c>
    </row>
    <row r="2588" spans="1:16">
      <c r="A2588">
        <v>2587</v>
      </c>
      <c r="B2588" t="s">
        <v>2651</v>
      </c>
      <c r="C2588">
        <v>121</v>
      </c>
      <c r="D2588">
        <v>185</v>
      </c>
      <c r="E2588">
        <v>116.87003073113399</v>
      </c>
      <c r="F2588">
        <v>0.65270087502437601</v>
      </c>
      <c r="G2588">
        <v>10727.442561436699</v>
      </c>
      <c r="H2588">
        <v>823.59213260184197</v>
      </c>
      <c r="I2588">
        <v>0.78576048376114005</v>
      </c>
      <c r="J2588">
        <v>0.19873835152918001</v>
      </c>
      <c r="K2588">
        <v>0.677648627333158</v>
      </c>
      <c r="L2588" t="s">
        <v>47</v>
      </c>
      <c r="M2588" t="s">
        <v>34</v>
      </c>
      <c r="N2588" t="s">
        <v>35</v>
      </c>
      <c r="O2588">
        <v>0.93213318967753001</v>
      </c>
      <c r="P2588" t="s">
        <v>36</v>
      </c>
    </row>
    <row r="2589" spans="1:16">
      <c r="A2589">
        <v>2588</v>
      </c>
      <c r="B2589" t="s">
        <v>2652</v>
      </c>
      <c r="C2589">
        <v>95</v>
      </c>
      <c r="D2589">
        <v>158</v>
      </c>
      <c r="E2589">
        <v>117.718679832361</v>
      </c>
      <c r="F2589">
        <v>0.59843063557264498</v>
      </c>
      <c r="G2589">
        <v>10883.802375425301</v>
      </c>
      <c r="H2589">
        <v>536.52990576733703</v>
      </c>
      <c r="I2589">
        <v>0.72790942047788898</v>
      </c>
      <c r="J2589">
        <v>0.475119267799121</v>
      </c>
      <c r="K2589">
        <v>0.90666749210672903</v>
      </c>
      <c r="L2589" t="s">
        <v>43</v>
      </c>
      <c r="M2589" t="s">
        <v>34</v>
      </c>
      <c r="N2589" t="s">
        <v>35</v>
      </c>
      <c r="O2589">
        <v>0.70291500685887698</v>
      </c>
      <c r="P2589" t="s">
        <v>36</v>
      </c>
    </row>
    <row r="2590" spans="1:16">
      <c r="A2590">
        <v>2589</v>
      </c>
      <c r="B2590" t="s">
        <v>2653</v>
      </c>
      <c r="C2590">
        <v>98</v>
      </c>
      <c r="D2590">
        <v>215</v>
      </c>
      <c r="E2590">
        <v>118.235189301774</v>
      </c>
      <c r="F2590">
        <v>0.45316455696202501</v>
      </c>
      <c r="G2590">
        <v>10979.5207406427</v>
      </c>
      <c r="H2590">
        <v>1017.88990823259</v>
      </c>
      <c r="I2590">
        <v>0.745329152836258</v>
      </c>
      <c r="J2590">
        <v>0.133165471223608</v>
      </c>
      <c r="K2590">
        <v>0.68487854626367495</v>
      </c>
      <c r="L2590" t="s">
        <v>33</v>
      </c>
      <c r="M2590" t="s">
        <v>34</v>
      </c>
      <c r="N2590" t="s">
        <v>35</v>
      </c>
      <c r="O2590">
        <v>0.70022219274991604</v>
      </c>
      <c r="P2590" t="s">
        <v>36</v>
      </c>
    </row>
    <row r="2591" spans="1:16">
      <c r="A2591">
        <v>2590</v>
      </c>
      <c r="B2591" t="s">
        <v>2654</v>
      </c>
      <c r="C2591">
        <v>185</v>
      </c>
      <c r="D2591">
        <v>132</v>
      </c>
      <c r="E2591">
        <v>118.247993112497</v>
      </c>
      <c r="F2591">
        <v>1.40495867768595</v>
      </c>
      <c r="G2591">
        <v>10981.898836672999</v>
      </c>
      <c r="H2591">
        <v>1831.6266258327901</v>
      </c>
      <c r="I2591">
        <v>0.68802704609968601</v>
      </c>
      <c r="J2591">
        <v>4.1135180425970398E-2</v>
      </c>
      <c r="K2591">
        <v>0.57484848249087805</v>
      </c>
      <c r="L2591" t="s">
        <v>33</v>
      </c>
      <c r="M2591" t="s">
        <v>34</v>
      </c>
      <c r="N2591" t="s">
        <v>35</v>
      </c>
      <c r="O2591">
        <v>0.64502730248531104</v>
      </c>
      <c r="P2591" t="s">
        <v>36</v>
      </c>
    </row>
    <row r="2592" spans="1:16">
      <c r="A2592">
        <v>2591</v>
      </c>
      <c r="B2592" t="s">
        <v>2655</v>
      </c>
      <c r="C2592">
        <v>148</v>
      </c>
      <c r="D2592">
        <v>141</v>
      </c>
      <c r="E2592">
        <v>118.36636270398699</v>
      </c>
      <c r="F2592">
        <v>1.0499325686577701</v>
      </c>
      <c r="G2592">
        <v>11003.896224952699</v>
      </c>
      <c r="H2592">
        <v>957.07684892955001</v>
      </c>
      <c r="I2592">
        <v>0.58952587441409399</v>
      </c>
      <c r="J2592">
        <v>0.150960292250372</v>
      </c>
      <c r="K2592">
        <v>0.69783772574746405</v>
      </c>
      <c r="L2592" t="s">
        <v>38</v>
      </c>
      <c r="M2592" t="s">
        <v>34</v>
      </c>
      <c r="N2592" t="s">
        <v>35</v>
      </c>
      <c r="O2592">
        <v>0.78835064581689096</v>
      </c>
      <c r="P2592" t="s">
        <v>36</v>
      </c>
    </row>
    <row r="2593" spans="1:16">
      <c r="A2593">
        <v>2592</v>
      </c>
      <c r="B2593" t="s">
        <v>2656</v>
      </c>
      <c r="C2593">
        <v>123</v>
      </c>
      <c r="D2593">
        <v>172</v>
      </c>
      <c r="E2593">
        <v>118.779727335969</v>
      </c>
      <c r="F2593">
        <v>0.712025316455696</v>
      </c>
      <c r="G2593">
        <v>11080.887083931901</v>
      </c>
      <c r="H2593">
        <v>1118.8032752033901</v>
      </c>
      <c r="I2593">
        <v>0.62659572984477996</v>
      </c>
      <c r="J2593">
        <v>0.111244086800322</v>
      </c>
      <c r="K2593">
        <v>0.63100830307493105</v>
      </c>
      <c r="L2593" t="s">
        <v>38</v>
      </c>
      <c r="M2593" t="s">
        <v>34</v>
      </c>
      <c r="N2593" t="s">
        <v>35</v>
      </c>
      <c r="O2593">
        <v>0.74932458604337204</v>
      </c>
      <c r="P2593" t="s">
        <v>36</v>
      </c>
    </row>
    <row r="2594" spans="1:16">
      <c r="A2594">
        <v>2593</v>
      </c>
      <c r="B2594" t="s">
        <v>2657</v>
      </c>
      <c r="C2594">
        <v>181</v>
      </c>
      <c r="D2594">
        <v>130</v>
      </c>
      <c r="E2594">
        <v>119.22975756900399</v>
      </c>
      <c r="F2594">
        <v>1.3918480403450799</v>
      </c>
      <c r="G2594">
        <v>11165.0122310019</v>
      </c>
      <c r="H2594">
        <v>1079.8897014772399</v>
      </c>
      <c r="I2594">
        <v>0.74419960850764999</v>
      </c>
      <c r="J2594">
        <v>0.120312366205125</v>
      </c>
      <c r="K2594">
        <v>0.60654189005878201</v>
      </c>
      <c r="L2594" t="s">
        <v>38</v>
      </c>
      <c r="M2594" t="s">
        <v>34</v>
      </c>
      <c r="N2594" t="s">
        <v>35</v>
      </c>
      <c r="O2594">
        <v>0.74897633527813301</v>
      </c>
      <c r="P2594" t="s">
        <v>36</v>
      </c>
    </row>
    <row r="2595" spans="1:16">
      <c r="A2595">
        <v>2594</v>
      </c>
      <c r="B2595" t="s">
        <v>2658</v>
      </c>
      <c r="C2595">
        <v>162</v>
      </c>
      <c r="D2595">
        <v>117</v>
      </c>
      <c r="E2595">
        <v>120.311298629311</v>
      </c>
      <c r="F2595">
        <v>1.38194973535486</v>
      </c>
      <c r="G2595">
        <v>11368.4880725898</v>
      </c>
      <c r="H2595">
        <v>763.48592767549599</v>
      </c>
      <c r="I2595">
        <v>0.68475775466409206</v>
      </c>
      <c r="J2595">
        <v>0.245081483852016</v>
      </c>
      <c r="K2595">
        <v>0.80969671306833202</v>
      </c>
      <c r="L2595" t="s">
        <v>957</v>
      </c>
      <c r="M2595" t="s">
        <v>34</v>
      </c>
      <c r="N2595" t="s">
        <v>35</v>
      </c>
      <c r="O2595">
        <v>0.66503184059269405</v>
      </c>
      <c r="P2595" t="s">
        <v>36</v>
      </c>
    </row>
    <row r="2596" spans="1:16">
      <c r="A2596">
        <v>2595</v>
      </c>
      <c r="B2596" t="s">
        <v>2659</v>
      </c>
      <c r="C2596">
        <v>137</v>
      </c>
      <c r="D2596">
        <v>152</v>
      </c>
      <c r="E2596">
        <v>120.32781340207301</v>
      </c>
      <c r="F2596">
        <v>0.90287778629391602</v>
      </c>
      <c r="G2596">
        <v>11371.6093236295</v>
      </c>
      <c r="H2596">
        <v>1833.0004488581201</v>
      </c>
      <c r="I2596">
        <v>0.55310640177256498</v>
      </c>
      <c r="J2596">
        <v>4.2531103633751503E-2</v>
      </c>
      <c r="K2596">
        <v>0.57231659971724202</v>
      </c>
      <c r="L2596" t="s">
        <v>38</v>
      </c>
      <c r="M2596" t="s">
        <v>34</v>
      </c>
      <c r="N2596" t="s">
        <v>35</v>
      </c>
      <c r="O2596">
        <v>0.69011105466317801</v>
      </c>
      <c r="P2596" t="s">
        <v>36</v>
      </c>
    </row>
    <row r="2597" spans="1:16">
      <c r="A2597">
        <v>2596</v>
      </c>
      <c r="B2597" t="s">
        <v>2660</v>
      </c>
      <c r="C2597">
        <v>103</v>
      </c>
      <c r="D2597">
        <v>165</v>
      </c>
      <c r="E2597">
        <v>120.67880609555201</v>
      </c>
      <c r="F2597">
        <v>0.62269132819701301</v>
      </c>
      <c r="G2597">
        <v>11438.0473814745</v>
      </c>
      <c r="H2597">
        <v>757.42709154896102</v>
      </c>
      <c r="I2597">
        <v>0.73644079312035904</v>
      </c>
      <c r="J2597">
        <v>0.25054173788210499</v>
      </c>
      <c r="K2597">
        <v>0.82064516129032306</v>
      </c>
      <c r="L2597" t="s">
        <v>38</v>
      </c>
      <c r="M2597" t="s">
        <v>34</v>
      </c>
      <c r="N2597" t="s">
        <v>35</v>
      </c>
      <c r="O2597">
        <v>0.65158905241554299</v>
      </c>
      <c r="P2597" t="s">
        <v>36</v>
      </c>
    </row>
    <row r="2598" spans="1:16">
      <c r="A2598">
        <v>2597</v>
      </c>
      <c r="B2598" t="s">
        <v>2661</v>
      </c>
      <c r="C2598">
        <v>174</v>
      </c>
      <c r="D2598">
        <v>100</v>
      </c>
      <c r="E2598">
        <v>121.059267613304</v>
      </c>
      <c r="F2598">
        <v>1.74294081601822</v>
      </c>
      <c r="G2598">
        <v>11510.282048393199</v>
      </c>
      <c r="H2598">
        <v>743.48392342111299</v>
      </c>
      <c r="I2598">
        <v>0.79114672697699895</v>
      </c>
      <c r="J2598">
        <v>0.26166923552156401</v>
      </c>
      <c r="K2598">
        <v>0.83870688254724601</v>
      </c>
      <c r="L2598" t="s">
        <v>38</v>
      </c>
      <c r="M2598" t="s">
        <v>34</v>
      </c>
      <c r="N2598" t="s">
        <v>35</v>
      </c>
      <c r="O2598">
        <v>0.63916202326561899</v>
      </c>
      <c r="P2598" t="s">
        <v>36</v>
      </c>
    </row>
    <row r="2599" spans="1:16">
      <c r="A2599">
        <v>2598</v>
      </c>
      <c r="B2599" t="s">
        <v>2662</v>
      </c>
      <c r="C2599">
        <v>147</v>
      </c>
      <c r="D2599">
        <v>142</v>
      </c>
      <c r="E2599">
        <v>121.78943650206899</v>
      </c>
      <c r="F2599">
        <v>1.03448276668453</v>
      </c>
      <c r="G2599">
        <v>11649.5492971645</v>
      </c>
      <c r="H2599">
        <v>1184.01017335653</v>
      </c>
      <c r="I2599">
        <v>0.61554203707233501</v>
      </c>
      <c r="J2599">
        <v>0.10442587418053099</v>
      </c>
      <c r="K2599">
        <v>0.69015039447731796</v>
      </c>
      <c r="L2599" t="s">
        <v>33</v>
      </c>
      <c r="M2599" t="s">
        <v>34</v>
      </c>
      <c r="N2599" t="s">
        <v>35</v>
      </c>
      <c r="O2599">
        <v>0.72878284658238801</v>
      </c>
      <c r="P2599" t="s">
        <v>36</v>
      </c>
    </row>
    <row r="2600" spans="1:16">
      <c r="A2600">
        <v>2599</v>
      </c>
      <c r="B2600" t="s">
        <v>2663</v>
      </c>
      <c r="C2600">
        <v>156</v>
      </c>
      <c r="D2600">
        <v>181</v>
      </c>
      <c r="E2600">
        <v>122.309643155033</v>
      </c>
      <c r="F2600">
        <v>0.86445783132530096</v>
      </c>
      <c r="G2600">
        <v>11749.2806994329</v>
      </c>
      <c r="H2600">
        <v>1521.30049263457</v>
      </c>
      <c r="I2600">
        <v>0.70041539292709298</v>
      </c>
      <c r="J2600">
        <v>6.3795659555616002E-2</v>
      </c>
      <c r="K2600">
        <v>0.515376541076912</v>
      </c>
      <c r="L2600" t="s">
        <v>331</v>
      </c>
      <c r="M2600" t="s">
        <v>34</v>
      </c>
      <c r="N2600" t="s">
        <v>35</v>
      </c>
      <c r="O2600">
        <v>0.63944690317054498</v>
      </c>
      <c r="P2600" t="s">
        <v>36</v>
      </c>
    </row>
    <row r="2601" spans="1:16">
      <c r="A2601">
        <v>2600</v>
      </c>
      <c r="B2601" t="s">
        <v>2664</v>
      </c>
      <c r="C2601">
        <v>186</v>
      </c>
      <c r="D2601">
        <v>159</v>
      </c>
      <c r="E2601">
        <v>122.911587113145</v>
      </c>
      <c r="F2601">
        <v>1.1710077191217101</v>
      </c>
      <c r="G2601">
        <v>11865.2128809074</v>
      </c>
      <c r="H2601">
        <v>1472.4501162205599</v>
      </c>
      <c r="I2601">
        <v>0.56571958890237295</v>
      </c>
      <c r="J2601">
        <v>6.8770822302044704E-2</v>
      </c>
      <c r="K2601">
        <v>0.56893418380073402</v>
      </c>
      <c r="L2601" t="s">
        <v>49</v>
      </c>
      <c r="M2601" t="s">
        <v>34</v>
      </c>
      <c r="N2601" t="s">
        <v>35</v>
      </c>
      <c r="O2601">
        <v>0.66845727561826196</v>
      </c>
      <c r="P2601" t="s">
        <v>36</v>
      </c>
    </row>
    <row r="2602" spans="1:16">
      <c r="A2602">
        <v>2601</v>
      </c>
      <c r="B2602" t="s">
        <v>2665</v>
      </c>
      <c r="C2602">
        <v>142</v>
      </c>
      <c r="D2602">
        <v>121</v>
      </c>
      <c r="E2602">
        <v>123.031622497082</v>
      </c>
      <c r="F2602">
        <v>1.169421479113</v>
      </c>
      <c r="G2602">
        <v>11888.3993172023</v>
      </c>
      <c r="H2602">
        <v>686.17465251196995</v>
      </c>
      <c r="I2602">
        <v>0.57457060418499994</v>
      </c>
      <c r="J2602">
        <v>0.31729549502384702</v>
      </c>
      <c r="K2602">
        <v>0.86498469790528898</v>
      </c>
      <c r="L2602" t="s">
        <v>38</v>
      </c>
      <c r="M2602" t="s">
        <v>34</v>
      </c>
      <c r="N2602" t="s">
        <v>35</v>
      </c>
      <c r="O2602">
        <v>0.66923155759441</v>
      </c>
      <c r="P2602" t="s">
        <v>36</v>
      </c>
    </row>
    <row r="2603" spans="1:16">
      <c r="A2603">
        <v>2602</v>
      </c>
      <c r="B2603" t="s">
        <v>2666</v>
      </c>
      <c r="C2603">
        <v>147</v>
      </c>
      <c r="D2603">
        <v>186</v>
      </c>
      <c r="E2603">
        <v>123.297437795766</v>
      </c>
      <c r="F2603">
        <v>0.786549707602339</v>
      </c>
      <c r="G2603">
        <v>11939.8256438563</v>
      </c>
      <c r="H2603">
        <v>1078.8540638954701</v>
      </c>
      <c r="I2603">
        <v>0.52693780542357604</v>
      </c>
      <c r="J2603">
        <v>0.12890876426606099</v>
      </c>
      <c r="K2603">
        <v>0.61667664624690999</v>
      </c>
      <c r="L2603" t="s">
        <v>74</v>
      </c>
      <c r="M2603" t="s">
        <v>34</v>
      </c>
      <c r="N2603" t="s">
        <v>35</v>
      </c>
      <c r="O2603">
        <v>0.66568637182370205</v>
      </c>
      <c r="P2603" t="s">
        <v>36</v>
      </c>
    </row>
    <row r="2604" spans="1:16">
      <c r="A2604">
        <v>2603</v>
      </c>
      <c r="B2604" t="s">
        <v>2667</v>
      </c>
      <c r="C2604">
        <v>230</v>
      </c>
      <c r="D2604">
        <v>132</v>
      </c>
      <c r="E2604">
        <v>123.355748244898</v>
      </c>
      <c r="F2604">
        <v>1.73966938865843</v>
      </c>
      <c r="G2604">
        <v>11951.1216</v>
      </c>
      <c r="H2604">
        <v>1458.6353469713899</v>
      </c>
      <c r="I2604">
        <v>0.75958339735110103</v>
      </c>
      <c r="J2604">
        <v>7.0587054887315398E-2</v>
      </c>
      <c r="K2604">
        <v>0.59627734519836895</v>
      </c>
      <c r="L2604" t="s">
        <v>38</v>
      </c>
      <c r="M2604" t="s">
        <v>34</v>
      </c>
      <c r="N2604" t="s">
        <v>35</v>
      </c>
      <c r="O2604">
        <v>0.77629918955942701</v>
      </c>
      <c r="P2604" t="s">
        <v>36</v>
      </c>
    </row>
    <row r="2605" spans="1:16">
      <c r="A2605">
        <v>2604</v>
      </c>
      <c r="B2605" t="s">
        <v>2668</v>
      </c>
      <c r="C2605">
        <v>166</v>
      </c>
      <c r="D2605">
        <v>126</v>
      </c>
      <c r="E2605">
        <v>123.796022855491</v>
      </c>
      <c r="F2605">
        <v>1.3144691968005899</v>
      </c>
      <c r="G2605">
        <v>12036.584426087</v>
      </c>
      <c r="H2605">
        <v>754.84934633514195</v>
      </c>
      <c r="I2605">
        <v>0.53248136696343695</v>
      </c>
      <c r="J2605">
        <v>0.26545601088524201</v>
      </c>
      <c r="K2605">
        <v>0.76549266485178502</v>
      </c>
      <c r="L2605" t="s">
        <v>38</v>
      </c>
      <c r="M2605" t="s">
        <v>34</v>
      </c>
      <c r="N2605" t="s">
        <v>35</v>
      </c>
      <c r="O2605">
        <v>0.67429007703726895</v>
      </c>
      <c r="P2605" t="s">
        <v>36</v>
      </c>
    </row>
    <row r="2606" spans="1:16">
      <c r="A2606">
        <v>2605</v>
      </c>
      <c r="B2606" t="s">
        <v>2669</v>
      </c>
      <c r="C2606">
        <v>123</v>
      </c>
      <c r="D2606">
        <v>196</v>
      </c>
      <c r="E2606">
        <v>123.892291432333</v>
      </c>
      <c r="F2606">
        <v>0.625</v>
      </c>
      <c r="G2606">
        <v>12055.311932325099</v>
      </c>
      <c r="H2606">
        <v>1474.6082883045999</v>
      </c>
      <c r="I2606">
        <v>0.68366694718265997</v>
      </c>
      <c r="J2606">
        <v>6.96682617862521E-2</v>
      </c>
      <c r="K2606">
        <v>0.60363330554894001</v>
      </c>
      <c r="L2606" t="s">
        <v>331</v>
      </c>
      <c r="M2606" t="s">
        <v>34</v>
      </c>
      <c r="N2606" t="s">
        <v>35</v>
      </c>
      <c r="O2606">
        <v>0.70043577050805805</v>
      </c>
      <c r="P2606" t="s">
        <v>36</v>
      </c>
    </row>
    <row r="2607" spans="1:16">
      <c r="A2607">
        <v>2606</v>
      </c>
      <c r="B2607" t="s">
        <v>2670</v>
      </c>
      <c r="C2607">
        <v>170</v>
      </c>
      <c r="D2607">
        <v>110</v>
      </c>
      <c r="E2607">
        <v>124.012140562186</v>
      </c>
      <c r="F2607">
        <v>1.54395609212275</v>
      </c>
      <c r="G2607">
        <v>12078.6469996219</v>
      </c>
      <c r="H2607">
        <v>661.57842508108695</v>
      </c>
      <c r="I2607">
        <v>0.70354566446782096</v>
      </c>
      <c r="J2607">
        <v>0.34678913735197697</v>
      </c>
      <c r="K2607">
        <v>0.82394808881679005</v>
      </c>
      <c r="L2607" t="s">
        <v>33</v>
      </c>
      <c r="M2607" t="s">
        <v>34</v>
      </c>
      <c r="N2607" t="s">
        <v>35</v>
      </c>
      <c r="O2607">
        <v>0.67710945881907003</v>
      </c>
      <c r="P2607" t="s">
        <v>36</v>
      </c>
    </row>
    <row r="2608" spans="1:16">
      <c r="A2608">
        <v>2607</v>
      </c>
      <c r="B2608" t="s">
        <v>2671</v>
      </c>
      <c r="C2608">
        <v>126</v>
      </c>
      <c r="D2608">
        <v>151</v>
      </c>
      <c r="E2608">
        <v>124.081554261344</v>
      </c>
      <c r="F2608">
        <v>0.83520162283350896</v>
      </c>
      <c r="G2608">
        <v>12092.172420794001</v>
      </c>
      <c r="H2608">
        <v>709.22715608068097</v>
      </c>
      <c r="I2608">
        <v>0.61394250237145798</v>
      </c>
      <c r="J2608">
        <v>0.30209496198393698</v>
      </c>
      <c r="K2608">
        <v>0.75550210798061002</v>
      </c>
      <c r="L2608" t="s">
        <v>298</v>
      </c>
      <c r="M2608" t="s">
        <v>34</v>
      </c>
      <c r="N2608" t="s">
        <v>35</v>
      </c>
      <c r="O2608">
        <v>0.78939565002735501</v>
      </c>
      <c r="P2608" t="s">
        <v>36</v>
      </c>
    </row>
    <row r="2609" spans="1:16">
      <c r="A2609">
        <v>2608</v>
      </c>
      <c r="B2609" t="s">
        <v>2672</v>
      </c>
      <c r="C2609">
        <v>168</v>
      </c>
      <c r="D2609">
        <v>121</v>
      </c>
      <c r="E2609">
        <v>124.165409126377</v>
      </c>
      <c r="F2609">
        <v>1.38791798584875</v>
      </c>
      <c r="G2609">
        <v>12108.521831001901</v>
      </c>
      <c r="H2609">
        <v>737.47988449542402</v>
      </c>
      <c r="I2609">
        <v>0.708478855755309</v>
      </c>
      <c r="J2609">
        <v>0.27976967294772898</v>
      </c>
      <c r="K2609">
        <v>0.80640435535758503</v>
      </c>
      <c r="L2609" t="s">
        <v>38</v>
      </c>
      <c r="M2609" t="s">
        <v>34</v>
      </c>
      <c r="N2609" t="s">
        <v>35</v>
      </c>
      <c r="O2609">
        <v>0.70037279299088395</v>
      </c>
      <c r="P2609" t="s">
        <v>36</v>
      </c>
    </row>
    <row r="2610" spans="1:16">
      <c r="A2610">
        <v>2609</v>
      </c>
      <c r="B2610" t="s">
        <v>2673</v>
      </c>
      <c r="C2610">
        <v>135</v>
      </c>
      <c r="D2610">
        <v>196</v>
      </c>
      <c r="E2610">
        <v>125.888660476806</v>
      </c>
      <c r="F2610">
        <v>0.68630702278684397</v>
      </c>
      <c r="G2610">
        <v>12446.954622306201</v>
      </c>
      <c r="H2610">
        <v>1449.8476692711799</v>
      </c>
      <c r="I2610">
        <v>0.67156567398254796</v>
      </c>
      <c r="J2610">
        <v>7.4409471647849001E-2</v>
      </c>
      <c r="K2610">
        <v>0.56724060853191005</v>
      </c>
      <c r="L2610" t="s">
        <v>38</v>
      </c>
      <c r="M2610" t="s">
        <v>34</v>
      </c>
      <c r="N2610" t="s">
        <v>35</v>
      </c>
      <c r="O2610">
        <v>0.88242297914911805</v>
      </c>
      <c r="P2610" t="s">
        <v>36</v>
      </c>
    </row>
    <row r="2611" spans="1:16">
      <c r="A2611">
        <v>2610</v>
      </c>
      <c r="B2611" t="s">
        <v>2674</v>
      </c>
      <c r="C2611">
        <v>245</v>
      </c>
      <c r="D2611">
        <v>90</v>
      </c>
      <c r="E2611">
        <v>125.94501995645901</v>
      </c>
      <c r="F2611">
        <v>2.71750424364678</v>
      </c>
      <c r="G2611">
        <v>12458.101947448</v>
      </c>
      <c r="H2611">
        <v>872.58420313721103</v>
      </c>
      <c r="I2611">
        <v>0.80393707032167805</v>
      </c>
      <c r="J2611">
        <v>0.20561133438566401</v>
      </c>
      <c r="K2611">
        <v>0.73732406755805802</v>
      </c>
      <c r="L2611" t="s">
        <v>33</v>
      </c>
      <c r="M2611" t="s">
        <v>34</v>
      </c>
      <c r="N2611" t="s">
        <v>35</v>
      </c>
      <c r="O2611">
        <v>0.69471387278623098</v>
      </c>
      <c r="P2611" t="s">
        <v>36</v>
      </c>
    </row>
    <row r="2612" spans="1:16">
      <c r="A2612">
        <v>2611</v>
      </c>
      <c r="B2612" t="s">
        <v>2675</v>
      </c>
      <c r="C2612">
        <v>130</v>
      </c>
      <c r="D2612">
        <v>127</v>
      </c>
      <c r="E2612">
        <v>126.038145684596</v>
      </c>
      <c r="F2612">
        <v>1.0259691882020201</v>
      </c>
      <c r="G2612">
        <v>12476.5321916824</v>
      </c>
      <c r="H2612">
        <v>563.86827001457596</v>
      </c>
      <c r="I2612">
        <v>0.68028140573911</v>
      </c>
      <c r="J2612">
        <v>0.493115259683094</v>
      </c>
      <c r="K2612">
        <v>0.91616825285951298</v>
      </c>
      <c r="L2612" t="s">
        <v>38</v>
      </c>
      <c r="M2612" t="s">
        <v>34</v>
      </c>
      <c r="N2612" t="s">
        <v>35</v>
      </c>
      <c r="O2612">
        <v>0.82294724939989605</v>
      </c>
      <c r="P2612" t="s">
        <v>36</v>
      </c>
    </row>
    <row r="2613" spans="1:16">
      <c r="A2613">
        <v>2612</v>
      </c>
      <c r="B2613" t="s">
        <v>2676</v>
      </c>
      <c r="C2613">
        <v>215</v>
      </c>
      <c r="D2613">
        <v>122</v>
      </c>
      <c r="E2613">
        <v>126.562570201611</v>
      </c>
      <c r="F2613">
        <v>1.76747652758022</v>
      </c>
      <c r="G2613">
        <v>12580.5738930057</v>
      </c>
      <c r="H2613">
        <v>990.17736581791996</v>
      </c>
      <c r="I2613">
        <v>0.62271183408041897</v>
      </c>
      <c r="J2613">
        <v>0.161244283791697</v>
      </c>
      <c r="K2613">
        <v>0.67066271551724099</v>
      </c>
      <c r="L2613" t="s">
        <v>43</v>
      </c>
      <c r="M2613" t="s">
        <v>34</v>
      </c>
      <c r="N2613" t="s">
        <v>35</v>
      </c>
      <c r="O2613">
        <v>0.775735332319477</v>
      </c>
      <c r="P2613" t="s">
        <v>36</v>
      </c>
    </row>
    <row r="2614" spans="1:16">
      <c r="A2614">
        <v>2613</v>
      </c>
      <c r="B2614" t="s">
        <v>2677</v>
      </c>
      <c r="C2614">
        <v>190</v>
      </c>
      <c r="D2614">
        <v>113</v>
      </c>
      <c r="E2614">
        <v>126.57378409084301</v>
      </c>
      <c r="F2614">
        <v>1.6859902918704599</v>
      </c>
      <c r="G2614">
        <v>12582.803358034</v>
      </c>
      <c r="H2614">
        <v>888.46635454571799</v>
      </c>
      <c r="I2614">
        <v>0.79411841158857699</v>
      </c>
      <c r="J2614">
        <v>0.20031123169881501</v>
      </c>
      <c r="K2614">
        <v>0.82341727213484694</v>
      </c>
      <c r="L2614" t="s">
        <v>38</v>
      </c>
      <c r="M2614" t="s">
        <v>34</v>
      </c>
      <c r="N2614" t="s">
        <v>35</v>
      </c>
      <c r="O2614">
        <v>0.80455313236822801</v>
      </c>
      <c r="P2614" t="s">
        <v>36</v>
      </c>
    </row>
    <row r="2615" spans="1:16">
      <c r="A2615">
        <v>2614</v>
      </c>
      <c r="B2615" t="s">
        <v>2678</v>
      </c>
      <c r="C2615">
        <v>163</v>
      </c>
      <c r="D2615">
        <v>119</v>
      </c>
      <c r="E2615">
        <v>126.73291423387499</v>
      </c>
      <c r="F2615">
        <v>1.3749302841753499</v>
      </c>
      <c r="G2615">
        <v>12614.4617614367</v>
      </c>
      <c r="H2615">
        <v>811.22317182571999</v>
      </c>
      <c r="I2615">
        <v>0.671476279521937</v>
      </c>
      <c r="J2615">
        <v>0.24087842002131701</v>
      </c>
      <c r="K2615">
        <v>0.81320545005078304</v>
      </c>
      <c r="L2615" t="s">
        <v>38</v>
      </c>
      <c r="M2615" t="s">
        <v>34</v>
      </c>
      <c r="N2615" t="s">
        <v>35</v>
      </c>
      <c r="O2615">
        <v>0.66494337085253696</v>
      </c>
      <c r="P2615" t="s">
        <v>36</v>
      </c>
    </row>
    <row r="2616" spans="1:16">
      <c r="A2616">
        <v>2615</v>
      </c>
      <c r="B2616" t="s">
        <v>2679</v>
      </c>
      <c r="C2616">
        <v>185</v>
      </c>
      <c r="D2616">
        <v>110</v>
      </c>
      <c r="E2616">
        <v>126.73366085251401</v>
      </c>
      <c r="F2616">
        <v>1.6864251226475799</v>
      </c>
      <c r="G2616">
        <v>12614.610392438601</v>
      </c>
      <c r="H2616">
        <v>821.169376752066</v>
      </c>
      <c r="I2616">
        <v>0.74504004827390102</v>
      </c>
      <c r="J2616">
        <v>0.23508137125928799</v>
      </c>
      <c r="K2616">
        <v>0.78421806421806395</v>
      </c>
      <c r="L2616" t="s">
        <v>33</v>
      </c>
      <c r="M2616" t="s">
        <v>34</v>
      </c>
      <c r="N2616" t="s">
        <v>35</v>
      </c>
      <c r="O2616">
        <v>0.74378689145128396</v>
      </c>
      <c r="P2616" t="s">
        <v>36</v>
      </c>
    </row>
    <row r="2617" spans="1:16">
      <c r="A2617">
        <v>2616</v>
      </c>
      <c r="B2617" t="s">
        <v>2680</v>
      </c>
      <c r="C2617">
        <v>214</v>
      </c>
      <c r="D2617">
        <v>132</v>
      </c>
      <c r="E2617">
        <v>127.14884612615801</v>
      </c>
      <c r="F2617">
        <v>1.61891186906304</v>
      </c>
      <c r="G2617">
        <v>12697.397860491499</v>
      </c>
      <c r="H2617">
        <v>1036.0852210891801</v>
      </c>
      <c r="I2617">
        <v>0.60709663567647099</v>
      </c>
      <c r="J2617">
        <v>0.14863929412737201</v>
      </c>
      <c r="K2617">
        <v>0.62455860742928604</v>
      </c>
      <c r="L2617" t="s">
        <v>49</v>
      </c>
      <c r="M2617" t="s">
        <v>34</v>
      </c>
      <c r="N2617" t="s">
        <v>35</v>
      </c>
      <c r="O2617">
        <v>0.81501954075441096</v>
      </c>
      <c r="P2617" t="s">
        <v>36</v>
      </c>
    </row>
    <row r="2618" spans="1:16">
      <c r="A2618">
        <v>2617</v>
      </c>
      <c r="B2618" t="s">
        <v>2681</v>
      </c>
      <c r="C2618">
        <v>151</v>
      </c>
      <c r="D2618">
        <v>166</v>
      </c>
      <c r="E2618">
        <v>127.39047454067</v>
      </c>
      <c r="F2618">
        <v>0.908196721311475</v>
      </c>
      <c r="G2618">
        <v>12745.702936105899</v>
      </c>
      <c r="H2618">
        <v>1617.32295294347</v>
      </c>
      <c r="I2618">
        <v>0.546024441013918</v>
      </c>
      <c r="J2618">
        <v>6.1232241261016701E-2</v>
      </c>
      <c r="K2618">
        <v>0.62139679135085002</v>
      </c>
      <c r="L2618" t="s">
        <v>38</v>
      </c>
      <c r="M2618" t="s">
        <v>34</v>
      </c>
      <c r="N2618" t="s">
        <v>35</v>
      </c>
      <c r="O2618">
        <v>0.68855111609144304</v>
      </c>
      <c r="P2618" t="s">
        <v>36</v>
      </c>
    </row>
    <row r="2619" spans="1:16">
      <c r="A2619">
        <v>2618</v>
      </c>
      <c r="B2619" t="s">
        <v>2682</v>
      </c>
      <c r="C2619">
        <v>145</v>
      </c>
      <c r="D2619">
        <v>130</v>
      </c>
      <c r="E2619">
        <v>127.42092434656701</v>
      </c>
      <c r="F2619">
        <v>1.1225203725781301</v>
      </c>
      <c r="G2619">
        <v>12751.7968071834</v>
      </c>
      <c r="H2619">
        <v>746.99711405349797</v>
      </c>
      <c r="I2619">
        <v>0.67909127059128105</v>
      </c>
      <c r="J2619">
        <v>0.28717286432901301</v>
      </c>
      <c r="K2619">
        <v>0.83494720451559501</v>
      </c>
      <c r="L2619" t="s">
        <v>38</v>
      </c>
      <c r="M2619" t="s">
        <v>34</v>
      </c>
      <c r="N2619" t="s">
        <v>35</v>
      </c>
      <c r="O2619">
        <v>0.76338683266812302</v>
      </c>
      <c r="P2619" t="s">
        <v>36</v>
      </c>
    </row>
    <row r="2620" spans="1:16">
      <c r="A2620">
        <v>2619</v>
      </c>
      <c r="B2620" t="s">
        <v>2683</v>
      </c>
      <c r="C2620">
        <v>122</v>
      </c>
      <c r="D2620">
        <v>225</v>
      </c>
      <c r="E2620">
        <v>127.878281235</v>
      </c>
      <c r="F2620">
        <v>0.54237288135593198</v>
      </c>
      <c r="G2620">
        <v>12843.5021353497</v>
      </c>
      <c r="H2620">
        <v>1405.7332101550301</v>
      </c>
      <c r="I2620">
        <v>0.65800938868367498</v>
      </c>
      <c r="J2620">
        <v>8.1674694019430699E-2</v>
      </c>
      <c r="K2620">
        <v>0.55682140371678202</v>
      </c>
      <c r="L2620" t="s">
        <v>38</v>
      </c>
      <c r="M2620" t="s">
        <v>34</v>
      </c>
      <c r="N2620" t="s">
        <v>35</v>
      </c>
      <c r="O2620">
        <v>0.77070060407221397</v>
      </c>
      <c r="P2620" t="s">
        <v>36</v>
      </c>
    </row>
    <row r="2621" spans="1:16">
      <c r="A2621">
        <v>2620</v>
      </c>
      <c r="B2621" t="s">
        <v>2684</v>
      </c>
      <c r="C2621">
        <v>118</v>
      </c>
      <c r="D2621">
        <v>168</v>
      </c>
      <c r="E2621">
        <v>128.09785300216501</v>
      </c>
      <c r="F2621">
        <v>0.70314910555802002</v>
      </c>
      <c r="G2621">
        <v>12887.645542911199</v>
      </c>
      <c r="H2621">
        <v>813.62323019431994</v>
      </c>
      <c r="I2621">
        <v>0.74932148902391804</v>
      </c>
      <c r="J2621">
        <v>0.244645238290749</v>
      </c>
      <c r="K2621">
        <v>0.79004482834025802</v>
      </c>
      <c r="L2621" t="s">
        <v>33</v>
      </c>
      <c r="M2621" t="s">
        <v>34</v>
      </c>
      <c r="N2621" t="s">
        <v>35</v>
      </c>
      <c r="O2621">
        <v>0.72426030535967001</v>
      </c>
      <c r="P2621" t="s">
        <v>36</v>
      </c>
    </row>
    <row r="2622" spans="1:16">
      <c r="A2622">
        <v>2621</v>
      </c>
      <c r="B2622" t="s">
        <v>2685</v>
      </c>
      <c r="C2622">
        <v>105</v>
      </c>
      <c r="D2622">
        <v>237</v>
      </c>
      <c r="E2622">
        <v>128.210080960429</v>
      </c>
      <c r="F2622">
        <v>0.44132653544565198</v>
      </c>
      <c r="G2622">
        <v>12910.237455198499</v>
      </c>
      <c r="H2622">
        <v>824.71466710412005</v>
      </c>
      <c r="I2622">
        <v>0.76607612640798395</v>
      </c>
      <c r="J2622">
        <v>0.23852651206099201</v>
      </c>
      <c r="K2622">
        <v>0.68549940021466005</v>
      </c>
      <c r="L2622" t="s">
        <v>38</v>
      </c>
      <c r="M2622" t="s">
        <v>34</v>
      </c>
      <c r="N2622" t="s">
        <v>35</v>
      </c>
      <c r="O2622">
        <v>0.73396868142387395</v>
      </c>
      <c r="P2622" t="s">
        <v>36</v>
      </c>
    </row>
    <row r="2623" spans="1:16">
      <c r="A2623">
        <v>2622</v>
      </c>
      <c r="B2623" t="s">
        <v>2686</v>
      </c>
      <c r="C2623">
        <v>147</v>
      </c>
      <c r="D2623">
        <v>162</v>
      </c>
      <c r="E2623">
        <v>128.28386159918099</v>
      </c>
      <c r="F2623">
        <v>0.90572390572390604</v>
      </c>
      <c r="G2623">
        <v>12925.1005553875</v>
      </c>
      <c r="H2623">
        <v>1295.27991614497</v>
      </c>
      <c r="I2623">
        <v>0.61659567992120901</v>
      </c>
      <c r="J2623">
        <v>9.6809177699409596E-2</v>
      </c>
      <c r="K2623">
        <v>0.676797235561021</v>
      </c>
      <c r="L2623" t="s">
        <v>33</v>
      </c>
      <c r="M2623" t="s">
        <v>34</v>
      </c>
      <c r="N2623" t="s">
        <v>35</v>
      </c>
      <c r="O2623">
        <v>0.63921254559195895</v>
      </c>
      <c r="P2623" t="s">
        <v>36</v>
      </c>
    </row>
    <row r="2624" spans="1:16">
      <c r="A2624">
        <v>2623</v>
      </c>
      <c r="B2624" t="s">
        <v>2687</v>
      </c>
      <c r="C2624">
        <v>136</v>
      </c>
      <c r="D2624">
        <v>161</v>
      </c>
      <c r="E2624">
        <v>128.43350594467699</v>
      </c>
      <c r="F2624">
        <v>0.84745762711864403</v>
      </c>
      <c r="G2624">
        <v>12955.272648771301</v>
      </c>
      <c r="H2624">
        <v>1213.6163040895001</v>
      </c>
      <c r="I2624">
        <v>0.65831217653437801</v>
      </c>
      <c r="J2624">
        <v>0.110533422324951</v>
      </c>
      <c r="K2624">
        <v>0.70973520502882503</v>
      </c>
      <c r="L2624" t="s">
        <v>38</v>
      </c>
      <c r="M2624" t="s">
        <v>34</v>
      </c>
      <c r="N2624" t="s">
        <v>35</v>
      </c>
      <c r="O2624">
        <v>0.772976273499836</v>
      </c>
      <c r="P2624" t="s">
        <v>36</v>
      </c>
    </row>
    <row r="2625" spans="1:16">
      <c r="A2625">
        <v>2624</v>
      </c>
      <c r="B2625" t="s">
        <v>2688</v>
      </c>
      <c r="C2625">
        <v>114</v>
      </c>
      <c r="D2625">
        <v>191</v>
      </c>
      <c r="E2625">
        <v>130.74520401554599</v>
      </c>
      <c r="F2625">
        <v>0.59657500677694197</v>
      </c>
      <c r="G2625">
        <v>13425.8384007561</v>
      </c>
      <c r="H2625">
        <v>805.60660631014002</v>
      </c>
      <c r="I2625">
        <v>0.762286180687619</v>
      </c>
      <c r="J2625">
        <v>0.25995922983076297</v>
      </c>
      <c r="K2625">
        <v>0.82088331515812396</v>
      </c>
      <c r="L2625" t="s">
        <v>38</v>
      </c>
      <c r="M2625" t="s">
        <v>34</v>
      </c>
      <c r="N2625" t="s">
        <v>35</v>
      </c>
      <c r="O2625">
        <v>0.80232043679427401</v>
      </c>
      <c r="P2625" t="s">
        <v>36</v>
      </c>
    </row>
    <row r="2626" spans="1:16">
      <c r="A2626">
        <v>2625</v>
      </c>
      <c r="B2626" t="s">
        <v>2689</v>
      </c>
      <c r="C2626">
        <v>209</v>
      </c>
      <c r="D2626">
        <v>107</v>
      </c>
      <c r="E2626">
        <v>130.78861932606199</v>
      </c>
      <c r="F2626">
        <v>1.96083127518599</v>
      </c>
      <c r="G2626">
        <v>13434.756260869601</v>
      </c>
      <c r="H2626">
        <v>882.42081366186596</v>
      </c>
      <c r="I2626">
        <v>0.59850118725600598</v>
      </c>
      <c r="J2626">
        <v>0.21681442304118601</v>
      </c>
      <c r="K2626">
        <v>0.76680975245592897</v>
      </c>
      <c r="L2626" t="s">
        <v>33</v>
      </c>
      <c r="M2626" t="s">
        <v>34</v>
      </c>
      <c r="N2626" t="s">
        <v>35</v>
      </c>
      <c r="O2626">
        <v>0.71456011233896</v>
      </c>
      <c r="P2626" t="s">
        <v>36</v>
      </c>
    </row>
    <row r="2627" spans="1:16">
      <c r="A2627">
        <v>2626</v>
      </c>
      <c r="B2627" t="s">
        <v>2690</v>
      </c>
      <c r="C2627">
        <v>298</v>
      </c>
      <c r="D2627">
        <v>126</v>
      </c>
      <c r="E2627">
        <v>131.93822253020301</v>
      </c>
      <c r="F2627">
        <v>2.3577586206896601</v>
      </c>
      <c r="G2627">
        <v>13671.971339886601</v>
      </c>
      <c r="H2627">
        <v>1452.8355853762801</v>
      </c>
      <c r="I2627">
        <v>0.889393624718537</v>
      </c>
      <c r="J2627">
        <v>8.1396937602375194E-2</v>
      </c>
      <c r="K2627">
        <v>0.57588791014781304</v>
      </c>
      <c r="L2627" t="s">
        <v>298</v>
      </c>
      <c r="M2627" t="s">
        <v>34</v>
      </c>
      <c r="N2627" t="s">
        <v>35</v>
      </c>
      <c r="O2627">
        <v>0.69427380812279904</v>
      </c>
      <c r="P2627" t="s">
        <v>36</v>
      </c>
    </row>
    <row r="2628" spans="1:16">
      <c r="A2628">
        <v>2627</v>
      </c>
      <c r="B2628" t="s">
        <v>2691</v>
      </c>
      <c r="C2628">
        <v>235</v>
      </c>
      <c r="D2628">
        <v>107</v>
      </c>
      <c r="E2628">
        <v>132.31562854208701</v>
      </c>
      <c r="F2628">
        <v>2.1878172588832498</v>
      </c>
      <c r="G2628">
        <v>13750.299877882801</v>
      </c>
      <c r="H2628">
        <v>968.92993741688497</v>
      </c>
      <c r="I2628">
        <v>0.82092412470114196</v>
      </c>
      <c r="J2628">
        <v>0.18405061983453599</v>
      </c>
      <c r="K2628">
        <v>0.75636895807443305</v>
      </c>
      <c r="L2628" t="s">
        <v>38</v>
      </c>
      <c r="M2628" t="s">
        <v>34</v>
      </c>
      <c r="N2628" t="s">
        <v>35</v>
      </c>
      <c r="O2628">
        <v>0.67292592767055703</v>
      </c>
      <c r="P2628" t="s">
        <v>36</v>
      </c>
    </row>
    <row r="2629" spans="1:16">
      <c r="A2629">
        <v>2628</v>
      </c>
      <c r="B2629" t="s">
        <v>2692</v>
      </c>
      <c r="C2629">
        <v>149</v>
      </c>
      <c r="D2629">
        <v>227</v>
      </c>
      <c r="E2629">
        <v>132.494491293171</v>
      </c>
      <c r="F2629">
        <v>0.65547566245927502</v>
      </c>
      <c r="G2629">
        <v>13787.5</v>
      </c>
      <c r="H2629">
        <v>961.33512914180801</v>
      </c>
      <c r="I2629">
        <v>0.66394070408349604</v>
      </c>
      <c r="J2629">
        <v>0.18747603688530501</v>
      </c>
      <c r="K2629">
        <v>0.59913090711569805</v>
      </c>
      <c r="L2629" t="s">
        <v>33</v>
      </c>
      <c r="M2629" t="s">
        <v>34</v>
      </c>
      <c r="N2629" t="s">
        <v>35</v>
      </c>
      <c r="O2629">
        <v>0.75646360112141797</v>
      </c>
      <c r="P2629" t="s">
        <v>36</v>
      </c>
    </row>
    <row r="2630" spans="1:16">
      <c r="A2630">
        <v>2629</v>
      </c>
      <c r="B2630" t="s">
        <v>2693</v>
      </c>
      <c r="C2630">
        <v>191</v>
      </c>
      <c r="D2630">
        <v>201</v>
      </c>
      <c r="E2630">
        <v>133.08927105348599</v>
      </c>
      <c r="F2630">
        <v>0.95108694840919605</v>
      </c>
      <c r="G2630">
        <v>13911.5645149338</v>
      </c>
      <c r="H2630">
        <v>1941.0669797422599</v>
      </c>
      <c r="I2630">
        <v>0.55370889858500305</v>
      </c>
      <c r="J2630">
        <v>4.63985912512066E-2</v>
      </c>
      <c r="K2630">
        <v>0.50132833422603096</v>
      </c>
      <c r="L2630" t="s">
        <v>298</v>
      </c>
      <c r="M2630" t="s">
        <v>34</v>
      </c>
      <c r="N2630" t="s">
        <v>35</v>
      </c>
      <c r="O2630">
        <v>0.62909017055216798</v>
      </c>
      <c r="P2630" t="s">
        <v>36</v>
      </c>
    </row>
    <row r="2631" spans="1:16">
      <c r="A2631">
        <v>2630</v>
      </c>
      <c r="B2631" t="s">
        <v>2694</v>
      </c>
      <c r="C2631">
        <v>204</v>
      </c>
      <c r="D2631">
        <v>147</v>
      </c>
      <c r="E2631">
        <v>133.122682080852</v>
      </c>
      <c r="F2631">
        <v>1.3878536943931601</v>
      </c>
      <c r="G2631">
        <v>13918.5501720227</v>
      </c>
      <c r="H2631">
        <v>1682.67543822216</v>
      </c>
      <c r="I2631">
        <v>0.59462360116873303</v>
      </c>
      <c r="J2631">
        <v>6.1773634254738398E-2</v>
      </c>
      <c r="K2631">
        <v>0.59055565015040601</v>
      </c>
      <c r="L2631" t="s">
        <v>43</v>
      </c>
      <c r="M2631" t="s">
        <v>34</v>
      </c>
      <c r="N2631" t="s">
        <v>35</v>
      </c>
      <c r="O2631">
        <v>0.64459579850488502</v>
      </c>
      <c r="P2631" t="s">
        <v>36</v>
      </c>
    </row>
    <row r="2632" spans="1:16">
      <c r="A2632">
        <v>2631</v>
      </c>
      <c r="B2632" t="s">
        <v>2695</v>
      </c>
      <c r="C2632">
        <v>189</v>
      </c>
      <c r="D2632">
        <v>125</v>
      </c>
      <c r="E2632">
        <v>133.146135877398</v>
      </c>
      <c r="F2632">
        <v>1.5069873311744999</v>
      </c>
      <c r="G2632">
        <v>13923.4549950851</v>
      </c>
      <c r="H2632">
        <v>893.060577722218</v>
      </c>
      <c r="I2632">
        <v>0.69003869516170502</v>
      </c>
      <c r="J2632">
        <v>0.21937899462489299</v>
      </c>
      <c r="K2632">
        <v>0.70401238511081199</v>
      </c>
      <c r="L2632" t="s">
        <v>38</v>
      </c>
      <c r="M2632" t="s">
        <v>34</v>
      </c>
      <c r="N2632" t="s">
        <v>35</v>
      </c>
      <c r="O2632">
        <v>0.72342466854716203</v>
      </c>
      <c r="P2632" t="s">
        <v>36</v>
      </c>
    </row>
    <row r="2633" spans="1:16">
      <c r="A2633">
        <v>2632</v>
      </c>
      <c r="B2633" t="s">
        <v>2696</v>
      </c>
      <c r="C2633">
        <v>243</v>
      </c>
      <c r="D2633">
        <v>138</v>
      </c>
      <c r="E2633">
        <v>134.30515000847899</v>
      </c>
      <c r="F2633">
        <v>1.7655895440717899</v>
      </c>
      <c r="G2633">
        <v>14166.912576181499</v>
      </c>
      <c r="H2633">
        <v>1913.18064348656</v>
      </c>
      <c r="I2633">
        <v>0.71844119324769995</v>
      </c>
      <c r="J2633">
        <v>4.8637710272169503E-2</v>
      </c>
      <c r="K2633">
        <v>0.54985981793638194</v>
      </c>
      <c r="L2633" t="s">
        <v>38</v>
      </c>
      <c r="M2633" t="s">
        <v>34</v>
      </c>
      <c r="N2633" t="s">
        <v>35</v>
      </c>
      <c r="O2633">
        <v>0.70749375414168902</v>
      </c>
      <c r="P2633" t="s">
        <v>36</v>
      </c>
    </row>
    <row r="2634" spans="1:16">
      <c r="A2634">
        <v>2633</v>
      </c>
      <c r="B2634" t="s">
        <v>2697</v>
      </c>
      <c r="C2634">
        <v>124</v>
      </c>
      <c r="D2634">
        <v>192</v>
      </c>
      <c r="E2634">
        <v>135.04707989680699</v>
      </c>
      <c r="F2634">
        <v>0.64258548884865596</v>
      </c>
      <c r="G2634">
        <v>14323.866914177701</v>
      </c>
      <c r="H2634">
        <v>818.53683433740002</v>
      </c>
      <c r="I2634">
        <v>0.67222799311629</v>
      </c>
      <c r="J2634">
        <v>0.26865423198475602</v>
      </c>
      <c r="K2634">
        <v>0.82164871985062804</v>
      </c>
      <c r="L2634" t="s">
        <v>38</v>
      </c>
      <c r="M2634" t="s">
        <v>34</v>
      </c>
      <c r="N2634" t="s">
        <v>35</v>
      </c>
      <c r="O2634">
        <v>0.69793888942230897</v>
      </c>
      <c r="P2634" t="s">
        <v>36</v>
      </c>
    </row>
    <row r="2635" spans="1:16">
      <c r="A2635">
        <v>2634</v>
      </c>
      <c r="B2635" t="s">
        <v>2698</v>
      </c>
      <c r="C2635">
        <v>123</v>
      </c>
      <c r="D2635">
        <v>186</v>
      </c>
      <c r="E2635">
        <v>135.811433567053</v>
      </c>
      <c r="F2635">
        <v>0.65981237843576601</v>
      </c>
      <c r="G2635">
        <v>14486.469230245701</v>
      </c>
      <c r="H2635">
        <v>950.18275954764795</v>
      </c>
      <c r="I2635">
        <v>0.761120127182218</v>
      </c>
      <c r="J2635">
        <v>0.201631378828658</v>
      </c>
      <c r="K2635">
        <v>0.75516987564405502</v>
      </c>
      <c r="L2635" t="s">
        <v>38</v>
      </c>
      <c r="M2635" t="s">
        <v>34</v>
      </c>
      <c r="N2635" t="s">
        <v>35</v>
      </c>
      <c r="O2635">
        <v>0.70099884333059104</v>
      </c>
      <c r="P2635" t="s">
        <v>36</v>
      </c>
    </row>
    <row r="2636" spans="1:16">
      <c r="A2636">
        <v>2635</v>
      </c>
      <c r="B2636" t="s">
        <v>2699</v>
      </c>
      <c r="C2636">
        <v>151</v>
      </c>
      <c r="D2636">
        <v>172</v>
      </c>
      <c r="E2636">
        <v>136.57566636716999</v>
      </c>
      <c r="F2636">
        <v>0.87767154754937104</v>
      </c>
      <c r="G2636">
        <v>14649.9633323251</v>
      </c>
      <c r="H2636">
        <v>794.09559627056103</v>
      </c>
      <c r="I2636">
        <v>0.60778589732467103</v>
      </c>
      <c r="J2636">
        <v>0.291944855331635</v>
      </c>
      <c r="K2636">
        <v>0.84001772656769302</v>
      </c>
      <c r="L2636" t="s">
        <v>38</v>
      </c>
      <c r="M2636" t="s">
        <v>34</v>
      </c>
      <c r="N2636" t="s">
        <v>35</v>
      </c>
      <c r="O2636">
        <v>0.66190653579416203</v>
      </c>
      <c r="P2636" t="s">
        <v>36</v>
      </c>
    </row>
    <row r="2637" spans="1:16">
      <c r="A2637">
        <v>2636</v>
      </c>
      <c r="B2637" t="s">
        <v>2700</v>
      </c>
      <c r="C2637">
        <v>130</v>
      </c>
      <c r="D2637">
        <v>235</v>
      </c>
      <c r="E2637">
        <v>137.86033551721701</v>
      </c>
      <c r="F2637">
        <v>0.55452436194895605</v>
      </c>
      <c r="G2637">
        <v>14926.862888846899</v>
      </c>
      <c r="H2637">
        <v>1034.79667875425</v>
      </c>
      <c r="I2637">
        <v>0.67856660002094504</v>
      </c>
      <c r="J2637">
        <v>0.175173479020409</v>
      </c>
      <c r="K2637">
        <v>0.60546083727211297</v>
      </c>
      <c r="L2637" t="s">
        <v>188</v>
      </c>
      <c r="M2637" t="s">
        <v>34</v>
      </c>
      <c r="N2637" t="s">
        <v>35</v>
      </c>
      <c r="O2637">
        <v>0.73456509922098001</v>
      </c>
      <c r="P2637" t="s">
        <v>36</v>
      </c>
    </row>
    <row r="2638" spans="1:16">
      <c r="A2638">
        <v>2637</v>
      </c>
      <c r="B2638" t="s">
        <v>2701</v>
      </c>
      <c r="C2638">
        <v>196</v>
      </c>
      <c r="D2638">
        <v>146</v>
      </c>
      <c r="E2638">
        <v>138.991615061532</v>
      </c>
      <c r="F2638">
        <v>1.33955223880597</v>
      </c>
      <c r="G2638">
        <v>15172.847196975399</v>
      </c>
      <c r="H2638">
        <v>1813.4274199720101</v>
      </c>
      <c r="I2638">
        <v>0.66231249120309599</v>
      </c>
      <c r="J2638">
        <v>5.79797838227539E-2</v>
      </c>
      <c r="K2638">
        <v>0.61022906604179605</v>
      </c>
      <c r="L2638" t="s">
        <v>38</v>
      </c>
      <c r="M2638" t="s">
        <v>34</v>
      </c>
      <c r="N2638" t="s">
        <v>35</v>
      </c>
      <c r="O2638">
        <v>0.71229173006235103</v>
      </c>
      <c r="P2638" t="s">
        <v>36</v>
      </c>
    </row>
    <row r="2639" spans="1:16">
      <c r="A2639">
        <v>2638</v>
      </c>
      <c r="B2639" t="s">
        <v>2702</v>
      </c>
      <c r="C2639">
        <v>219</v>
      </c>
      <c r="D2639">
        <v>122</v>
      </c>
      <c r="E2639">
        <v>139.0290524143</v>
      </c>
      <c r="F2639">
        <v>1.79578830818181</v>
      </c>
      <c r="G2639">
        <v>15181.021902079399</v>
      </c>
      <c r="H2639">
        <v>937.97819037406396</v>
      </c>
      <c r="I2639">
        <v>0.70859308208305705</v>
      </c>
      <c r="J2639">
        <v>0.21683300575419101</v>
      </c>
      <c r="K2639">
        <v>0.75419967953214695</v>
      </c>
      <c r="L2639" t="s">
        <v>38</v>
      </c>
      <c r="M2639" t="s">
        <v>34</v>
      </c>
      <c r="N2639" t="s">
        <v>35</v>
      </c>
      <c r="O2639">
        <v>0.75912494392680896</v>
      </c>
      <c r="P2639" t="s">
        <v>36</v>
      </c>
    </row>
    <row r="2640" spans="1:16">
      <c r="A2640">
        <v>2639</v>
      </c>
      <c r="B2640" t="s">
        <v>2703</v>
      </c>
      <c r="C2640">
        <v>117</v>
      </c>
      <c r="D2640">
        <v>193</v>
      </c>
      <c r="E2640">
        <v>139.13314333473099</v>
      </c>
      <c r="F2640">
        <v>0.60608773198794197</v>
      </c>
      <c r="G2640">
        <v>15203.7624453686</v>
      </c>
      <c r="H2640">
        <v>695.91107087342596</v>
      </c>
      <c r="I2640">
        <v>0.80230246145638895</v>
      </c>
      <c r="J2640">
        <v>0.39450585059493598</v>
      </c>
      <c r="K2640">
        <v>0.88390017973178503</v>
      </c>
      <c r="L2640" t="s">
        <v>47</v>
      </c>
      <c r="M2640" t="s">
        <v>34</v>
      </c>
      <c r="N2640" t="s">
        <v>35</v>
      </c>
      <c r="O2640">
        <v>0.84331560115303805</v>
      </c>
      <c r="P2640" t="s">
        <v>36</v>
      </c>
    </row>
    <row r="2641" spans="1:16">
      <c r="A2641">
        <v>2640</v>
      </c>
      <c r="B2641" t="s">
        <v>2704</v>
      </c>
      <c r="C2641">
        <v>212</v>
      </c>
      <c r="D2641">
        <v>123</v>
      </c>
      <c r="E2641">
        <v>139.60431986659299</v>
      </c>
      <c r="F2641">
        <v>1.72444444444444</v>
      </c>
      <c r="G2641">
        <v>15306.912360680501</v>
      </c>
      <c r="H2641">
        <v>1772.48796604467</v>
      </c>
      <c r="I2641">
        <v>0.79432378160908701</v>
      </c>
      <c r="J2641">
        <v>6.1225292563894598E-2</v>
      </c>
      <c r="K2641">
        <v>0.67218411210683304</v>
      </c>
      <c r="L2641" t="s">
        <v>33</v>
      </c>
      <c r="M2641" t="s">
        <v>34</v>
      </c>
      <c r="N2641" t="s">
        <v>35</v>
      </c>
      <c r="O2641">
        <v>0.69530273546975097</v>
      </c>
      <c r="P2641" t="s">
        <v>36</v>
      </c>
    </row>
    <row r="2642" spans="1:16">
      <c r="A2642">
        <v>2641</v>
      </c>
      <c r="B2642" t="s">
        <v>2705</v>
      </c>
      <c r="C2642">
        <v>148</v>
      </c>
      <c r="D2642">
        <v>179</v>
      </c>
      <c r="E2642">
        <v>140.91644157432401</v>
      </c>
      <c r="F2642">
        <v>0.82808068025913695</v>
      </c>
      <c r="G2642">
        <v>15595.9996593573</v>
      </c>
      <c r="H2642">
        <v>988.44816910215104</v>
      </c>
      <c r="I2642">
        <v>0.65468566069408896</v>
      </c>
      <c r="J2642">
        <v>0.20059277130615699</v>
      </c>
      <c r="K2642">
        <v>0.76283495936141399</v>
      </c>
      <c r="L2642" t="s">
        <v>298</v>
      </c>
      <c r="M2642" t="s">
        <v>34</v>
      </c>
      <c r="N2642" t="s">
        <v>35</v>
      </c>
      <c r="O2642">
        <v>0.70050486267621703</v>
      </c>
      <c r="P2642" t="s">
        <v>36</v>
      </c>
    </row>
    <row r="2643" spans="1:16">
      <c r="A2643">
        <v>2642</v>
      </c>
      <c r="B2643" t="s">
        <v>2706</v>
      </c>
      <c r="C2643">
        <v>130</v>
      </c>
      <c r="D2643">
        <v>202</v>
      </c>
      <c r="E2643">
        <v>143.34834392864801</v>
      </c>
      <c r="F2643">
        <v>0.64218217509239595</v>
      </c>
      <c r="G2643">
        <v>16138.948709262801</v>
      </c>
      <c r="H2643">
        <v>853.166163615144</v>
      </c>
      <c r="I2643">
        <v>0.70708745514659099</v>
      </c>
      <c r="J2643">
        <v>0.27862357428317902</v>
      </c>
      <c r="K2643">
        <v>0.83794295592048396</v>
      </c>
      <c r="L2643" t="s">
        <v>33</v>
      </c>
      <c r="M2643" t="s">
        <v>34</v>
      </c>
      <c r="N2643" t="s">
        <v>35</v>
      </c>
      <c r="O2643">
        <v>0.68490973935435395</v>
      </c>
      <c r="P2643" t="s">
        <v>36</v>
      </c>
    </row>
    <row r="2644" spans="1:16">
      <c r="A2644">
        <v>2643</v>
      </c>
      <c r="B2644" t="s">
        <v>2707</v>
      </c>
      <c r="C2644">
        <v>243</v>
      </c>
      <c r="D2644">
        <v>134</v>
      </c>
      <c r="E2644">
        <v>143.35362447472099</v>
      </c>
      <c r="F2644">
        <v>1.8230106796683201</v>
      </c>
      <c r="G2644">
        <v>16140.1377572779</v>
      </c>
      <c r="H2644">
        <v>1182.1486847578999</v>
      </c>
      <c r="I2644">
        <v>0.56597376077700701</v>
      </c>
      <c r="J2644">
        <v>0.145135246346841</v>
      </c>
      <c r="K2644">
        <v>0.58019084662812703</v>
      </c>
      <c r="L2644" t="s">
        <v>33</v>
      </c>
      <c r="M2644" t="s">
        <v>34</v>
      </c>
      <c r="N2644" t="s">
        <v>35</v>
      </c>
      <c r="O2644">
        <v>0.69761087337944405</v>
      </c>
      <c r="P2644" t="s">
        <v>36</v>
      </c>
    </row>
    <row r="2645" spans="1:16">
      <c r="A2645">
        <v>2644</v>
      </c>
      <c r="B2645" t="s">
        <v>2708</v>
      </c>
      <c r="C2645">
        <v>138</v>
      </c>
      <c r="D2645">
        <v>193</v>
      </c>
      <c r="E2645">
        <v>143.434128714471</v>
      </c>
      <c r="F2645">
        <v>0.71282723158612105</v>
      </c>
      <c r="G2645">
        <v>16158.2707395085</v>
      </c>
      <c r="H2645">
        <v>987.18004747432201</v>
      </c>
      <c r="I2645">
        <v>0.74899429855950606</v>
      </c>
      <c r="J2645">
        <v>0.20835887637901301</v>
      </c>
      <c r="K2645">
        <v>0.78583510430671799</v>
      </c>
      <c r="L2645" t="s">
        <v>38</v>
      </c>
      <c r="M2645" t="s">
        <v>34</v>
      </c>
      <c r="N2645" t="s">
        <v>35</v>
      </c>
      <c r="O2645">
        <v>0.73395020833868496</v>
      </c>
      <c r="P2645" t="s">
        <v>36</v>
      </c>
    </row>
    <row r="2646" spans="1:16">
      <c r="A2646">
        <v>2645</v>
      </c>
      <c r="B2646" t="s">
        <v>2709</v>
      </c>
      <c r="C2646">
        <v>303</v>
      </c>
      <c r="D2646">
        <v>126</v>
      </c>
      <c r="E2646">
        <v>143.73989693671999</v>
      </c>
      <c r="F2646">
        <v>2.3987435167076501</v>
      </c>
      <c r="G2646">
        <v>16227.2355243856</v>
      </c>
      <c r="H2646">
        <v>1302.03231140551</v>
      </c>
      <c r="I2646">
        <v>0.88207646523387895</v>
      </c>
      <c r="J2646">
        <v>0.120284835858442</v>
      </c>
      <c r="K2646">
        <v>0.59216149957694197</v>
      </c>
      <c r="L2646" t="s">
        <v>47</v>
      </c>
      <c r="M2646" t="s">
        <v>34</v>
      </c>
      <c r="N2646" t="s">
        <v>35</v>
      </c>
      <c r="O2646">
        <v>0.86935519012456297</v>
      </c>
      <c r="P2646" t="s">
        <v>36</v>
      </c>
    </row>
    <row r="2647" spans="1:16">
      <c r="A2647">
        <v>2646</v>
      </c>
      <c r="B2647" t="s">
        <v>2710</v>
      </c>
      <c r="C2647">
        <v>229</v>
      </c>
      <c r="D2647">
        <v>123</v>
      </c>
      <c r="E2647">
        <v>144.80761500143799</v>
      </c>
      <c r="F2647">
        <v>1.86018615712524</v>
      </c>
      <c r="G2647">
        <v>16469.206795463098</v>
      </c>
      <c r="H2647">
        <v>1048.92855219592</v>
      </c>
      <c r="I2647">
        <v>0.65546432354342699</v>
      </c>
      <c r="J2647">
        <v>0.18810083887625301</v>
      </c>
      <c r="K2647">
        <v>0.78835741677516702</v>
      </c>
      <c r="L2647" t="s">
        <v>38</v>
      </c>
      <c r="M2647" t="s">
        <v>34</v>
      </c>
      <c r="N2647" t="s">
        <v>35</v>
      </c>
      <c r="O2647">
        <v>0.77641187607739903</v>
      </c>
      <c r="P2647" t="s">
        <v>36</v>
      </c>
    </row>
    <row r="2648" spans="1:16">
      <c r="A2648">
        <v>2647</v>
      </c>
      <c r="B2648" t="s">
        <v>2711</v>
      </c>
      <c r="C2648">
        <v>176</v>
      </c>
      <c r="D2648">
        <v>245</v>
      </c>
      <c r="E2648">
        <v>145.421191379742</v>
      </c>
      <c r="F2648">
        <v>0.71555551697530295</v>
      </c>
      <c r="G2648">
        <v>16609.068568242001</v>
      </c>
      <c r="H2648">
        <v>2731.97816858551</v>
      </c>
      <c r="I2648">
        <v>0.59311390018995203</v>
      </c>
      <c r="J2648">
        <v>2.7964090112882201E-2</v>
      </c>
      <c r="K2648">
        <v>0.45411026540257399</v>
      </c>
      <c r="L2648" t="s">
        <v>38</v>
      </c>
      <c r="M2648" t="s">
        <v>34</v>
      </c>
      <c r="N2648" t="s">
        <v>35</v>
      </c>
      <c r="O2648">
        <v>0.74314972701048698</v>
      </c>
      <c r="P2648" t="s">
        <v>36</v>
      </c>
    </row>
    <row r="2649" spans="1:16">
      <c r="A2649">
        <v>2648</v>
      </c>
      <c r="B2649" t="s">
        <v>2712</v>
      </c>
      <c r="C2649">
        <v>181</v>
      </c>
      <c r="D2649">
        <v>191</v>
      </c>
      <c r="E2649">
        <v>146.43013626555199</v>
      </c>
      <c r="F2649">
        <v>0.94857142857142895</v>
      </c>
      <c r="G2649">
        <v>16840.338407183401</v>
      </c>
      <c r="H2649">
        <v>1800.0549213337899</v>
      </c>
      <c r="I2649">
        <v>0.49636987329815202</v>
      </c>
      <c r="J2649">
        <v>6.5311426028588193E-2</v>
      </c>
      <c r="K2649">
        <v>0.59870750240427795</v>
      </c>
      <c r="L2649" t="s">
        <v>38</v>
      </c>
      <c r="M2649" t="s">
        <v>34</v>
      </c>
      <c r="N2649" t="s">
        <v>35</v>
      </c>
      <c r="O2649">
        <v>0.72402079381763995</v>
      </c>
      <c r="P2649" t="s">
        <v>36</v>
      </c>
    </row>
    <row r="2650" spans="1:16">
      <c r="A2650">
        <v>2649</v>
      </c>
      <c r="B2650" t="s">
        <v>2713</v>
      </c>
      <c r="C2650">
        <v>125</v>
      </c>
      <c r="D2650">
        <v>211</v>
      </c>
      <c r="E2650">
        <v>146.73288558599901</v>
      </c>
      <c r="F2650">
        <v>0.59351042434845602</v>
      </c>
      <c r="G2650">
        <v>16910.0463470699</v>
      </c>
      <c r="H2650">
        <v>939.94927337439196</v>
      </c>
      <c r="I2650">
        <v>0.75924344927713305</v>
      </c>
      <c r="J2650">
        <v>0.24051702811768</v>
      </c>
      <c r="K2650">
        <v>0.822789204200295</v>
      </c>
      <c r="L2650" t="s">
        <v>38</v>
      </c>
      <c r="M2650" t="s">
        <v>34</v>
      </c>
      <c r="N2650" t="s">
        <v>35</v>
      </c>
      <c r="O2650">
        <v>0.79778175715237698</v>
      </c>
      <c r="P2650" t="s">
        <v>36</v>
      </c>
    </row>
    <row r="2651" spans="1:16">
      <c r="A2651">
        <v>2650</v>
      </c>
      <c r="B2651" t="s">
        <v>2714</v>
      </c>
      <c r="C2651">
        <v>147</v>
      </c>
      <c r="D2651">
        <v>209</v>
      </c>
      <c r="E2651">
        <v>148.45868622693499</v>
      </c>
      <c r="F2651">
        <v>0.70303910786572199</v>
      </c>
      <c r="G2651">
        <v>17310.161004158799</v>
      </c>
      <c r="H2651">
        <v>1166.77300339968</v>
      </c>
      <c r="I2651">
        <v>0.78737206101899404</v>
      </c>
      <c r="J2651">
        <v>0.15978581695954799</v>
      </c>
      <c r="K2651">
        <v>0.71183042808595898</v>
      </c>
      <c r="L2651" t="s">
        <v>38</v>
      </c>
      <c r="M2651" t="s">
        <v>34</v>
      </c>
      <c r="N2651" t="s">
        <v>35</v>
      </c>
      <c r="O2651">
        <v>0.71938622856126599</v>
      </c>
      <c r="P2651" t="s">
        <v>36</v>
      </c>
    </row>
    <row r="2652" spans="1:16">
      <c r="A2652">
        <v>2651</v>
      </c>
      <c r="B2652" t="s">
        <v>2715</v>
      </c>
      <c r="C2652">
        <v>222</v>
      </c>
      <c r="D2652">
        <v>162</v>
      </c>
      <c r="E2652">
        <v>148.89908522788301</v>
      </c>
      <c r="F2652">
        <v>1.3693833434193301</v>
      </c>
      <c r="G2652">
        <v>17413.013657466901</v>
      </c>
      <c r="H2652">
        <v>1613.8645595119301</v>
      </c>
      <c r="I2652">
        <v>0.52065912632131495</v>
      </c>
      <c r="J2652">
        <v>8.4013607890410305E-2</v>
      </c>
      <c r="K2652">
        <v>0.58658655651520797</v>
      </c>
      <c r="L2652" t="s">
        <v>47</v>
      </c>
      <c r="M2652" t="s">
        <v>34</v>
      </c>
      <c r="N2652" t="s">
        <v>35</v>
      </c>
      <c r="O2652">
        <v>0.92814690917908704</v>
      </c>
      <c r="P2652" t="s">
        <v>36</v>
      </c>
    </row>
    <row r="2653" spans="1:16">
      <c r="A2653">
        <v>2652</v>
      </c>
      <c r="B2653" t="s">
        <v>2716</v>
      </c>
      <c r="C2653">
        <v>244</v>
      </c>
      <c r="D2653">
        <v>166</v>
      </c>
      <c r="E2653">
        <v>150.12936328176099</v>
      </c>
      <c r="F2653">
        <v>1.4736842105263199</v>
      </c>
      <c r="G2653">
        <v>17701.9523251418</v>
      </c>
      <c r="H2653">
        <v>2022.0237374210401</v>
      </c>
      <c r="I2653">
        <v>0.69489281926708202</v>
      </c>
      <c r="J2653">
        <v>5.4407470027277798E-2</v>
      </c>
      <c r="K2653">
        <v>0.57761697835027503</v>
      </c>
      <c r="L2653" t="s">
        <v>33</v>
      </c>
      <c r="M2653" t="s">
        <v>34</v>
      </c>
      <c r="N2653" t="s">
        <v>35</v>
      </c>
      <c r="O2653">
        <v>0.67224157882578195</v>
      </c>
      <c r="P2653" t="s">
        <v>36</v>
      </c>
    </row>
    <row r="2654" spans="1:16">
      <c r="A2654">
        <v>2653</v>
      </c>
      <c r="B2654" t="s">
        <v>2717</v>
      </c>
      <c r="C2654">
        <v>118</v>
      </c>
      <c r="D2654">
        <v>282</v>
      </c>
      <c r="E2654">
        <v>150.28747678882399</v>
      </c>
      <c r="F2654">
        <v>0.416758609923981</v>
      </c>
      <c r="G2654">
        <v>17739.2587066163</v>
      </c>
      <c r="H2654">
        <v>1517.7740067595</v>
      </c>
      <c r="I2654">
        <v>0.79202765228123395</v>
      </c>
      <c r="J2654">
        <v>9.6767853961296196E-2</v>
      </c>
      <c r="K2654">
        <v>0.66510445981264699</v>
      </c>
      <c r="L2654" t="s">
        <v>38</v>
      </c>
      <c r="M2654" t="s">
        <v>34</v>
      </c>
      <c r="N2654" t="s">
        <v>35</v>
      </c>
      <c r="O2654">
        <v>0.79775291190362296</v>
      </c>
      <c r="P2654" t="s">
        <v>36</v>
      </c>
    </row>
    <row r="2655" spans="1:16">
      <c r="A2655">
        <v>2654</v>
      </c>
      <c r="B2655" t="s">
        <v>2718</v>
      </c>
      <c r="C2655">
        <v>190</v>
      </c>
      <c r="D2655">
        <v>135</v>
      </c>
      <c r="E2655">
        <v>150.442279381063</v>
      </c>
      <c r="F2655">
        <v>1.4126072652481401</v>
      </c>
      <c r="G2655">
        <v>17775.821933081301</v>
      </c>
      <c r="H2655">
        <v>790.58240563817697</v>
      </c>
      <c r="I2655">
        <v>0.61897387177818297</v>
      </c>
      <c r="J2655">
        <v>0.35739236081514097</v>
      </c>
      <c r="K2655">
        <v>0.901543819445491</v>
      </c>
      <c r="L2655" t="s">
        <v>38</v>
      </c>
      <c r="M2655" t="s">
        <v>34</v>
      </c>
      <c r="N2655" t="s">
        <v>35</v>
      </c>
      <c r="O2655">
        <v>0.80775108594440104</v>
      </c>
      <c r="P2655" t="s">
        <v>36</v>
      </c>
    </row>
    <row r="2656" spans="1:16">
      <c r="A2656">
        <v>2655</v>
      </c>
      <c r="B2656" t="s">
        <v>2719</v>
      </c>
      <c r="C2656">
        <v>207</v>
      </c>
      <c r="D2656">
        <v>138</v>
      </c>
      <c r="E2656">
        <v>153.297065372937</v>
      </c>
      <c r="F2656">
        <v>1.4978281119666399</v>
      </c>
      <c r="G2656">
        <v>18456.849183742899</v>
      </c>
      <c r="H2656">
        <v>1053.6417720126101</v>
      </c>
      <c r="I2656">
        <v>0.65919266116794095</v>
      </c>
      <c r="J2656">
        <v>0.20892069764242599</v>
      </c>
      <c r="K2656">
        <v>0.80217955840363797</v>
      </c>
      <c r="L2656" t="s">
        <v>38</v>
      </c>
      <c r="M2656" t="s">
        <v>34</v>
      </c>
      <c r="N2656" t="s">
        <v>35</v>
      </c>
      <c r="O2656">
        <v>0.84083408537770599</v>
      </c>
      <c r="P2656" t="s">
        <v>36</v>
      </c>
    </row>
    <row r="2657" spans="1:16">
      <c r="A2657">
        <v>2656</v>
      </c>
      <c r="B2657" t="s">
        <v>2720</v>
      </c>
      <c r="C2657">
        <v>163</v>
      </c>
      <c r="D2657">
        <v>171</v>
      </c>
      <c r="E2657">
        <v>154.38387999333401</v>
      </c>
      <c r="F2657">
        <v>0.95252679283616104</v>
      </c>
      <c r="G2657">
        <v>18719.480164083201</v>
      </c>
      <c r="H2657">
        <v>761.75673095972604</v>
      </c>
      <c r="I2657">
        <v>0.68761274600357103</v>
      </c>
      <c r="J2657">
        <v>0.40538814812358398</v>
      </c>
      <c r="K2657">
        <v>0.87797838968281605</v>
      </c>
      <c r="L2657" t="s">
        <v>38</v>
      </c>
      <c r="M2657" t="s">
        <v>34</v>
      </c>
      <c r="N2657" t="s">
        <v>35</v>
      </c>
      <c r="O2657">
        <v>0.81730599540170001</v>
      </c>
      <c r="P2657" t="s">
        <v>36</v>
      </c>
    </row>
    <row r="2658" spans="1:16">
      <c r="A2658">
        <v>2657</v>
      </c>
      <c r="B2658" t="s">
        <v>2721</v>
      </c>
      <c r="C2658">
        <v>285</v>
      </c>
      <c r="D2658">
        <v>132</v>
      </c>
      <c r="E2658">
        <v>154.90885314775599</v>
      </c>
      <c r="F2658">
        <v>2.15172323707321</v>
      </c>
      <c r="G2658">
        <v>18847.005563705101</v>
      </c>
      <c r="H2658">
        <v>1308.2649413730801</v>
      </c>
      <c r="I2658">
        <v>0.54426568680846199</v>
      </c>
      <c r="J2658">
        <v>0.13837601387710999</v>
      </c>
      <c r="K2658">
        <v>0.65641354819673103</v>
      </c>
      <c r="L2658" t="s">
        <v>33</v>
      </c>
      <c r="M2658" t="s">
        <v>34</v>
      </c>
      <c r="N2658" t="s">
        <v>35</v>
      </c>
      <c r="O2658">
        <v>0.74308203957986796</v>
      </c>
      <c r="P2658" t="s">
        <v>36</v>
      </c>
    </row>
    <row r="2659" spans="1:16">
      <c r="A2659">
        <v>2658</v>
      </c>
      <c r="B2659" t="s">
        <v>2722</v>
      </c>
      <c r="C2659">
        <v>119</v>
      </c>
      <c r="D2659">
        <v>244</v>
      </c>
      <c r="E2659">
        <v>155.43753198996799</v>
      </c>
      <c r="F2659">
        <v>0.48946079241574802</v>
      </c>
      <c r="G2659">
        <v>18975.868642344001</v>
      </c>
      <c r="H2659">
        <v>974.14962728386399</v>
      </c>
      <c r="I2659">
        <v>0.70786679134623098</v>
      </c>
      <c r="J2659">
        <v>0.25128131259443798</v>
      </c>
      <c r="K2659">
        <v>0.79317971434074097</v>
      </c>
      <c r="L2659" t="s">
        <v>38</v>
      </c>
      <c r="M2659" t="s">
        <v>34</v>
      </c>
      <c r="N2659" t="s">
        <v>35</v>
      </c>
      <c r="O2659">
        <v>0.65486978694032405</v>
      </c>
      <c r="P2659" t="s">
        <v>36</v>
      </c>
    </row>
    <row r="2660" spans="1:16">
      <c r="A2660">
        <v>2659</v>
      </c>
      <c r="B2660" t="s">
        <v>2723</v>
      </c>
      <c r="C2660">
        <v>206</v>
      </c>
      <c r="D2660">
        <v>166</v>
      </c>
      <c r="E2660">
        <v>156.61585247333699</v>
      </c>
      <c r="F2660">
        <v>1.23606557377049</v>
      </c>
      <c r="G2660">
        <v>19264.658679017</v>
      </c>
      <c r="H2660">
        <v>1280.78488300448</v>
      </c>
      <c r="I2660">
        <v>0.72044521978724396</v>
      </c>
      <c r="J2660">
        <v>0.147577040518835</v>
      </c>
      <c r="K2660">
        <v>0.75248478937346197</v>
      </c>
      <c r="L2660" t="s">
        <v>38</v>
      </c>
      <c r="M2660" t="s">
        <v>34</v>
      </c>
      <c r="N2660" t="s">
        <v>35</v>
      </c>
      <c r="O2660">
        <v>0.71811324715223601</v>
      </c>
      <c r="P2660" t="s">
        <v>36</v>
      </c>
    </row>
    <row r="2661" spans="1:16">
      <c r="A2661">
        <v>2660</v>
      </c>
      <c r="B2661" t="s">
        <v>2724</v>
      </c>
      <c r="C2661">
        <v>181</v>
      </c>
      <c r="D2661">
        <v>152</v>
      </c>
      <c r="E2661">
        <v>157.472628116522</v>
      </c>
      <c r="F2661">
        <v>1.1913320548011099</v>
      </c>
      <c r="G2661">
        <v>19476.011963705099</v>
      </c>
      <c r="H2661">
        <v>741.36725329523495</v>
      </c>
      <c r="I2661">
        <v>0.58684244849811595</v>
      </c>
      <c r="J2661">
        <v>0.44529016040622199</v>
      </c>
      <c r="K2661">
        <v>0.88919953312885103</v>
      </c>
      <c r="L2661" t="s">
        <v>38</v>
      </c>
      <c r="M2661" t="s">
        <v>34</v>
      </c>
      <c r="N2661" t="s">
        <v>35</v>
      </c>
      <c r="O2661">
        <v>0.73567571059018499</v>
      </c>
      <c r="P2661" t="s">
        <v>36</v>
      </c>
    </row>
    <row r="2662" spans="1:16">
      <c r="A2662">
        <v>2661</v>
      </c>
      <c r="B2662" t="s">
        <v>2725</v>
      </c>
      <c r="C2662">
        <v>211</v>
      </c>
      <c r="D2662">
        <v>197</v>
      </c>
      <c r="E2662">
        <v>157.93762005785501</v>
      </c>
      <c r="F2662">
        <v>1.0730607497645599</v>
      </c>
      <c r="G2662">
        <v>19591.200990170099</v>
      </c>
      <c r="H2662">
        <v>1511.87015999701</v>
      </c>
      <c r="I2662">
        <v>0.61304682009231504</v>
      </c>
      <c r="J2662">
        <v>0.107706504960582</v>
      </c>
      <c r="K2662">
        <v>0.58495832852565499</v>
      </c>
      <c r="L2662" t="s">
        <v>38</v>
      </c>
      <c r="M2662" t="s">
        <v>34</v>
      </c>
      <c r="N2662" t="s">
        <v>35</v>
      </c>
      <c r="O2662">
        <v>0.71912058759090103</v>
      </c>
      <c r="P2662" t="s">
        <v>36</v>
      </c>
    </row>
    <row r="2663" spans="1:16">
      <c r="A2663">
        <v>2662</v>
      </c>
      <c r="B2663" t="s">
        <v>2726</v>
      </c>
      <c r="C2663">
        <v>156</v>
      </c>
      <c r="D2663">
        <v>190</v>
      </c>
      <c r="E2663">
        <v>158.09151541723801</v>
      </c>
      <c r="F2663">
        <v>0.82120076266866904</v>
      </c>
      <c r="G2663">
        <v>19629.399157656</v>
      </c>
      <c r="H2663">
        <v>899.86777018360499</v>
      </c>
      <c r="I2663">
        <v>0.76755554499610501</v>
      </c>
      <c r="J2663">
        <v>0.30462074484861201</v>
      </c>
      <c r="K2663">
        <v>0.83017254926611606</v>
      </c>
      <c r="L2663" t="s">
        <v>38</v>
      </c>
      <c r="M2663" t="s">
        <v>34</v>
      </c>
      <c r="N2663" t="s">
        <v>35</v>
      </c>
      <c r="O2663">
        <v>0.78153766006277603</v>
      </c>
      <c r="P2663" t="s">
        <v>36</v>
      </c>
    </row>
    <row r="2664" spans="1:16">
      <c r="A2664">
        <v>2663</v>
      </c>
      <c r="B2664" t="s">
        <v>2727</v>
      </c>
      <c r="C2664">
        <v>239</v>
      </c>
      <c r="D2664">
        <v>143</v>
      </c>
      <c r="E2664">
        <v>158.63523649515199</v>
      </c>
      <c r="F2664">
        <v>1.67405013554773</v>
      </c>
      <c r="G2664">
        <v>19764.653369376199</v>
      </c>
      <c r="H2664">
        <v>1027.68112379489</v>
      </c>
      <c r="I2664">
        <v>0.54406395528206997</v>
      </c>
      <c r="J2664">
        <v>0.23517021000497099</v>
      </c>
      <c r="K2664">
        <v>0.81237705418779405</v>
      </c>
      <c r="L2664" t="s">
        <v>38</v>
      </c>
      <c r="M2664" t="s">
        <v>34</v>
      </c>
      <c r="N2664" t="s">
        <v>35</v>
      </c>
      <c r="O2664">
        <v>0.72746094292308805</v>
      </c>
      <c r="P2664" t="s">
        <v>36</v>
      </c>
    </row>
    <row r="2665" spans="1:16">
      <c r="A2665">
        <v>2664</v>
      </c>
      <c r="B2665" t="s">
        <v>2728</v>
      </c>
      <c r="C2665">
        <v>149</v>
      </c>
      <c r="D2665">
        <v>277</v>
      </c>
      <c r="E2665">
        <v>158.64835833060101</v>
      </c>
      <c r="F2665">
        <v>0.53931367837589095</v>
      </c>
      <c r="G2665">
        <v>19767.9232514178</v>
      </c>
      <c r="H2665">
        <v>1798.39381706155</v>
      </c>
      <c r="I2665">
        <v>0.71528258700221703</v>
      </c>
      <c r="J2665">
        <v>7.6807089554703903E-2</v>
      </c>
      <c r="K2665">
        <v>0.66350048889509705</v>
      </c>
      <c r="L2665" t="s">
        <v>38</v>
      </c>
      <c r="M2665" t="s">
        <v>34</v>
      </c>
      <c r="N2665" t="s">
        <v>35</v>
      </c>
      <c r="O2665">
        <v>0.79872535872779804</v>
      </c>
      <c r="P2665" t="s">
        <v>36</v>
      </c>
    </row>
    <row r="2666" spans="1:16">
      <c r="A2666">
        <v>2665</v>
      </c>
      <c r="B2666" t="s">
        <v>2729</v>
      </c>
      <c r="C2666">
        <v>290</v>
      </c>
      <c r="D2666">
        <v>152</v>
      </c>
      <c r="E2666">
        <v>159.890022195201</v>
      </c>
      <c r="F2666">
        <v>1.90484918249218</v>
      </c>
      <c r="G2666">
        <v>20078.562045368599</v>
      </c>
      <c r="H2666">
        <v>1541.8958638597601</v>
      </c>
      <c r="I2666">
        <v>0.64095369901722699</v>
      </c>
      <c r="J2666">
        <v>0.10612858750154899</v>
      </c>
      <c r="K2666">
        <v>0.58617801864973795</v>
      </c>
      <c r="L2666" t="s">
        <v>38</v>
      </c>
      <c r="M2666" t="s">
        <v>34</v>
      </c>
      <c r="N2666" t="s">
        <v>35</v>
      </c>
      <c r="O2666">
        <v>0.788625643662489</v>
      </c>
      <c r="P2666" t="s">
        <v>36</v>
      </c>
    </row>
    <row r="2667" spans="1:16">
      <c r="A2667">
        <v>2666</v>
      </c>
      <c r="B2667" t="s">
        <v>2730</v>
      </c>
      <c r="C2667">
        <v>186</v>
      </c>
      <c r="D2667">
        <v>215</v>
      </c>
      <c r="E2667">
        <v>160.669286999414</v>
      </c>
      <c r="F2667">
        <v>0.86426930745667896</v>
      </c>
      <c r="G2667">
        <v>20274.754967863901</v>
      </c>
      <c r="H2667">
        <v>2071.0158079564098</v>
      </c>
      <c r="I2667">
        <v>0.58140115208666798</v>
      </c>
      <c r="J2667">
        <v>5.9401669419796403E-2</v>
      </c>
      <c r="K2667">
        <v>0.64812395174586301</v>
      </c>
      <c r="L2667" t="s">
        <v>38</v>
      </c>
      <c r="M2667" t="s">
        <v>34</v>
      </c>
      <c r="N2667" t="s">
        <v>35</v>
      </c>
      <c r="O2667">
        <v>0.75965858790202501</v>
      </c>
      <c r="P2667" t="s">
        <v>36</v>
      </c>
    </row>
    <row r="2668" spans="1:16">
      <c r="A2668">
        <v>2667</v>
      </c>
      <c r="B2668" t="s">
        <v>2731</v>
      </c>
      <c r="C2668">
        <v>252</v>
      </c>
      <c r="D2668">
        <v>149</v>
      </c>
      <c r="E2668">
        <v>161.06690524271599</v>
      </c>
      <c r="F2668">
        <v>1.6960607665856799</v>
      </c>
      <c r="G2668">
        <v>20375.2295251418</v>
      </c>
      <c r="H2668">
        <v>1181.5874175067599</v>
      </c>
      <c r="I2668">
        <v>0.63610512580265299</v>
      </c>
      <c r="J2668">
        <v>0.18339211475323899</v>
      </c>
      <c r="K2668">
        <v>0.70970547579972998</v>
      </c>
      <c r="L2668" t="s">
        <v>74</v>
      </c>
      <c r="M2668" t="s">
        <v>34</v>
      </c>
      <c r="N2668" t="s">
        <v>35</v>
      </c>
      <c r="O2668">
        <v>0.67843536396072501</v>
      </c>
      <c r="P2668" t="s">
        <v>36</v>
      </c>
    </row>
    <row r="2669" spans="1:16">
      <c r="A2669">
        <v>2668</v>
      </c>
      <c r="B2669" t="s">
        <v>2732</v>
      </c>
      <c r="C2669">
        <v>197</v>
      </c>
      <c r="D2669">
        <v>204</v>
      </c>
      <c r="E2669">
        <v>163.36570665811701</v>
      </c>
      <c r="F2669">
        <v>0.96473840075759498</v>
      </c>
      <c r="G2669">
        <v>20960.9843035917</v>
      </c>
      <c r="H2669">
        <v>1615.6939483909</v>
      </c>
      <c r="I2669">
        <v>0.64022793060652905</v>
      </c>
      <c r="J2669">
        <v>0.100902828410704</v>
      </c>
      <c r="K2669">
        <v>0.66509934493182898</v>
      </c>
      <c r="L2669" t="s">
        <v>38</v>
      </c>
      <c r="M2669" t="s">
        <v>34</v>
      </c>
      <c r="N2669" t="s">
        <v>35</v>
      </c>
      <c r="O2669">
        <v>0.76363651166804503</v>
      </c>
      <c r="P2669" t="s">
        <v>36</v>
      </c>
    </row>
    <row r="2670" spans="1:16">
      <c r="A2670">
        <v>2669</v>
      </c>
      <c r="B2670" t="s">
        <v>2733</v>
      </c>
      <c r="C2670">
        <v>224</v>
      </c>
      <c r="D2670">
        <v>154</v>
      </c>
      <c r="E2670">
        <v>166.77974889279699</v>
      </c>
      <c r="F2670">
        <v>1.45663454490976</v>
      </c>
      <c r="G2670">
        <v>21846.230550850702</v>
      </c>
      <c r="H2670">
        <v>1336.2647650346601</v>
      </c>
      <c r="I2670">
        <v>0.61867442579533705</v>
      </c>
      <c r="J2670">
        <v>0.15374512102173901</v>
      </c>
      <c r="K2670">
        <v>0.72041661561083203</v>
      </c>
      <c r="L2670" t="s">
        <v>38</v>
      </c>
      <c r="M2670" t="s">
        <v>34</v>
      </c>
      <c r="N2670" t="s">
        <v>35</v>
      </c>
      <c r="O2670">
        <v>0.78205951511451599</v>
      </c>
      <c r="P2670" t="s">
        <v>36</v>
      </c>
    </row>
    <row r="2671" spans="1:16">
      <c r="A2671">
        <v>2670</v>
      </c>
      <c r="B2671" t="s">
        <v>2734</v>
      </c>
      <c r="C2671">
        <v>307</v>
      </c>
      <c r="D2671">
        <v>140</v>
      </c>
      <c r="E2671">
        <v>166.938529537417</v>
      </c>
      <c r="F2671">
        <v>2.1946790717222502</v>
      </c>
      <c r="G2671">
        <v>21887.847231380001</v>
      </c>
      <c r="H2671">
        <v>1652.4266525518401</v>
      </c>
      <c r="I2671">
        <v>0.72635572072948895</v>
      </c>
      <c r="J2671">
        <v>0.10073224900853001</v>
      </c>
      <c r="K2671">
        <v>0.64980915609487</v>
      </c>
      <c r="L2671" t="s">
        <v>38</v>
      </c>
      <c r="M2671" t="s">
        <v>34</v>
      </c>
      <c r="N2671" t="s">
        <v>35</v>
      </c>
      <c r="O2671">
        <v>0.72771442021489996</v>
      </c>
      <c r="P2671" t="s">
        <v>36</v>
      </c>
    </row>
    <row r="2672" spans="1:16">
      <c r="A2672">
        <v>2671</v>
      </c>
      <c r="B2672" t="s">
        <v>2735</v>
      </c>
      <c r="C2672">
        <v>184</v>
      </c>
      <c r="D2672">
        <v>181</v>
      </c>
      <c r="E2672">
        <v>168.34845212037899</v>
      </c>
      <c r="F2672">
        <v>1.0152811437792</v>
      </c>
      <c r="G2672">
        <v>22259.127474102101</v>
      </c>
      <c r="H2672">
        <v>985.28645915601601</v>
      </c>
      <c r="I2672">
        <v>0.66243602235495103</v>
      </c>
      <c r="J2672">
        <v>0.28813298073840599</v>
      </c>
      <c r="K2672">
        <v>0.84967887618010196</v>
      </c>
      <c r="L2672" t="s">
        <v>38</v>
      </c>
      <c r="M2672" t="s">
        <v>34</v>
      </c>
      <c r="N2672" t="s">
        <v>35</v>
      </c>
      <c r="O2672">
        <v>0.70874478596695101</v>
      </c>
      <c r="P2672" t="s">
        <v>36</v>
      </c>
    </row>
    <row r="2673" spans="1:16">
      <c r="A2673">
        <v>2672</v>
      </c>
      <c r="B2673" t="s">
        <v>2736</v>
      </c>
      <c r="C2673">
        <v>171</v>
      </c>
      <c r="D2673">
        <v>334</v>
      </c>
      <c r="E2673">
        <v>168.489469378629</v>
      </c>
      <c r="F2673">
        <v>0.51223491027732504</v>
      </c>
      <c r="G2673">
        <v>22296.433855576601</v>
      </c>
      <c r="H2673">
        <v>2894.8498268428102</v>
      </c>
      <c r="I2673">
        <v>0.72406916479415595</v>
      </c>
      <c r="J2673">
        <v>3.3434373686738302E-2</v>
      </c>
      <c r="K2673">
        <v>0.51241481785110399</v>
      </c>
      <c r="L2673" t="s">
        <v>33</v>
      </c>
      <c r="M2673" t="s">
        <v>34</v>
      </c>
      <c r="N2673" t="s">
        <v>35</v>
      </c>
      <c r="O2673">
        <v>0.69034904678547104</v>
      </c>
      <c r="P2673" t="s">
        <v>36</v>
      </c>
    </row>
    <row r="2674" spans="1:16">
      <c r="A2674">
        <v>2673</v>
      </c>
      <c r="B2674" t="s">
        <v>2737</v>
      </c>
      <c r="C2674">
        <v>230</v>
      </c>
      <c r="D2674">
        <v>177</v>
      </c>
      <c r="E2674">
        <v>168.76330113994601</v>
      </c>
      <c r="F2674">
        <v>1.3028169657873301</v>
      </c>
      <c r="G2674">
        <v>22368.965784499102</v>
      </c>
      <c r="H2674">
        <v>1144.3255458143501</v>
      </c>
      <c r="I2674">
        <v>0.57812633358697996</v>
      </c>
      <c r="J2674">
        <v>0.21466269767181001</v>
      </c>
      <c r="K2674">
        <v>0.71875447729117903</v>
      </c>
      <c r="L2674" t="s">
        <v>74</v>
      </c>
      <c r="M2674" t="s">
        <v>34</v>
      </c>
      <c r="N2674" t="s">
        <v>35</v>
      </c>
      <c r="O2674">
        <v>0.68880843510774203</v>
      </c>
      <c r="P2674" t="s">
        <v>36</v>
      </c>
    </row>
    <row r="2675" spans="1:16">
      <c r="A2675">
        <v>2674</v>
      </c>
      <c r="B2675" t="s">
        <v>2738</v>
      </c>
      <c r="C2675">
        <v>148</v>
      </c>
      <c r="D2675">
        <v>264</v>
      </c>
      <c r="E2675">
        <v>169.90378603094501</v>
      </c>
      <c r="F2675">
        <v>0.56055260349550395</v>
      </c>
      <c r="G2675">
        <v>22672.321659357302</v>
      </c>
      <c r="H2675">
        <v>1287.1177051352399</v>
      </c>
      <c r="I2675">
        <v>0.77541148474920896</v>
      </c>
      <c r="J2675">
        <v>0.17197658855648501</v>
      </c>
      <c r="K2675">
        <v>0.71530194040909001</v>
      </c>
      <c r="L2675" t="s">
        <v>38</v>
      </c>
      <c r="M2675" t="s">
        <v>34</v>
      </c>
      <c r="N2675" t="s">
        <v>35</v>
      </c>
      <c r="O2675">
        <v>0.74724752252885196</v>
      </c>
      <c r="P2675" t="s">
        <v>36</v>
      </c>
    </row>
    <row r="2676" spans="1:16">
      <c r="A2676">
        <v>2675</v>
      </c>
      <c r="B2676" t="s">
        <v>2739</v>
      </c>
      <c r="C2676">
        <v>196</v>
      </c>
      <c r="D2676">
        <v>206</v>
      </c>
      <c r="E2676">
        <v>170.08079180215699</v>
      </c>
      <c r="F2676">
        <v>0.94973544161929802</v>
      </c>
      <c r="G2676">
        <v>22719.586317958401</v>
      </c>
      <c r="H2676">
        <v>2110.3450618081501</v>
      </c>
      <c r="I2676">
        <v>0.57709128959502298</v>
      </c>
      <c r="J2676">
        <v>6.4106687764351106E-2</v>
      </c>
      <c r="K2676">
        <v>0.66130644135550098</v>
      </c>
      <c r="L2676" t="s">
        <v>38</v>
      </c>
      <c r="M2676" t="s">
        <v>34</v>
      </c>
      <c r="N2676" t="s">
        <v>35</v>
      </c>
      <c r="O2676">
        <v>0.74011558213790396</v>
      </c>
      <c r="P2676" t="s">
        <v>36</v>
      </c>
    </row>
    <row r="2677" spans="1:16">
      <c r="A2677">
        <v>2676</v>
      </c>
      <c r="B2677" t="s">
        <v>2740</v>
      </c>
      <c r="C2677">
        <v>373</v>
      </c>
      <c r="D2677">
        <v>195</v>
      </c>
      <c r="E2677">
        <v>171.45237819602599</v>
      </c>
      <c r="F2677">
        <v>1.91954048232296</v>
      </c>
      <c r="G2677">
        <v>23087.5</v>
      </c>
      <c r="H2677">
        <v>2013.58908593655</v>
      </c>
      <c r="I2677">
        <v>0.76393027955948201</v>
      </c>
      <c r="J2677">
        <v>7.1555838517338405E-2</v>
      </c>
      <c r="K2677">
        <v>0.46337180130456601</v>
      </c>
      <c r="L2677" t="s">
        <v>38</v>
      </c>
      <c r="M2677" t="s">
        <v>34</v>
      </c>
      <c r="N2677" t="s">
        <v>35</v>
      </c>
      <c r="O2677">
        <v>0.77966339176870003</v>
      </c>
      <c r="P2677" t="s">
        <v>36</v>
      </c>
    </row>
    <row r="2678" spans="1:16">
      <c r="A2678">
        <v>2677</v>
      </c>
      <c r="B2678" t="s">
        <v>2741</v>
      </c>
      <c r="C2678">
        <v>157</v>
      </c>
      <c r="D2678">
        <v>208</v>
      </c>
      <c r="E2678">
        <v>171.61987552000201</v>
      </c>
      <c r="F2678">
        <v>0.75100691790894403</v>
      </c>
      <c r="G2678">
        <v>23132.631872211699</v>
      </c>
      <c r="H2678">
        <v>844.41058563460501</v>
      </c>
      <c r="I2678">
        <v>0.66124649554639303</v>
      </c>
      <c r="J2678">
        <v>0.40768766588182198</v>
      </c>
      <c r="K2678">
        <v>0.908766049876506</v>
      </c>
      <c r="L2678" t="s">
        <v>47</v>
      </c>
      <c r="M2678" t="s">
        <v>34</v>
      </c>
      <c r="N2678" t="s">
        <v>35</v>
      </c>
      <c r="O2678">
        <v>0.92001805270567205</v>
      </c>
      <c r="P2678" t="s">
        <v>36</v>
      </c>
    </row>
    <row r="2679" spans="1:16">
      <c r="A2679">
        <v>2678</v>
      </c>
      <c r="B2679" t="s">
        <v>2742</v>
      </c>
      <c r="C2679">
        <v>182</v>
      </c>
      <c r="D2679">
        <v>236</v>
      </c>
      <c r="E2679">
        <v>172.47124292180499</v>
      </c>
      <c r="F2679">
        <v>0.77083333333333304</v>
      </c>
      <c r="G2679">
        <v>23362.712663138002</v>
      </c>
      <c r="H2679">
        <v>2237.88442941521</v>
      </c>
      <c r="I2679">
        <v>0.73507297346889</v>
      </c>
      <c r="J2679">
        <v>5.8621620883393399E-2</v>
      </c>
      <c r="K2679">
        <v>0.65024903612264795</v>
      </c>
      <c r="L2679" t="s">
        <v>74</v>
      </c>
      <c r="M2679" t="s">
        <v>34</v>
      </c>
      <c r="N2679" t="s">
        <v>35</v>
      </c>
      <c r="O2679">
        <v>0.64617795716660698</v>
      </c>
      <c r="P2679" t="s">
        <v>36</v>
      </c>
    </row>
    <row r="2680" spans="1:16">
      <c r="A2680">
        <v>2679</v>
      </c>
      <c r="B2680" t="s">
        <v>2743</v>
      </c>
      <c r="C2680">
        <v>411</v>
      </c>
      <c r="D2680">
        <v>157</v>
      </c>
      <c r="E2680">
        <v>173.758443224817</v>
      </c>
      <c r="F2680">
        <v>2.62477493556813</v>
      </c>
      <c r="G2680">
        <v>23712.7386725898</v>
      </c>
      <c r="H2680">
        <v>2143.3226890521501</v>
      </c>
      <c r="I2680">
        <v>0.46454339262804301</v>
      </c>
      <c r="J2680">
        <v>6.4865901223613298E-2</v>
      </c>
      <c r="K2680">
        <v>0.52349889584885101</v>
      </c>
      <c r="L2680" t="s">
        <v>38</v>
      </c>
      <c r="M2680" t="s">
        <v>34</v>
      </c>
      <c r="N2680" t="s">
        <v>35</v>
      </c>
      <c r="O2680">
        <v>0.72972855059373198</v>
      </c>
      <c r="P2680" t="s">
        <v>36</v>
      </c>
    </row>
    <row r="2681" spans="1:16">
      <c r="A2681">
        <v>2680</v>
      </c>
      <c r="B2681" t="s">
        <v>2744</v>
      </c>
      <c r="C2681">
        <v>161</v>
      </c>
      <c r="D2681">
        <v>210</v>
      </c>
      <c r="E2681">
        <v>173.82541087200499</v>
      </c>
      <c r="F2681">
        <v>0.76976740052563397</v>
      </c>
      <c r="G2681">
        <v>23731.020285822298</v>
      </c>
      <c r="H2681">
        <v>957.55121926017398</v>
      </c>
      <c r="I2681">
        <v>0.76172800580160405</v>
      </c>
      <c r="J2681">
        <v>0.325238723135997</v>
      </c>
      <c r="K2681">
        <v>0.85894428783542398</v>
      </c>
      <c r="L2681" t="s">
        <v>38</v>
      </c>
      <c r="M2681" t="s">
        <v>34</v>
      </c>
      <c r="N2681" t="s">
        <v>35</v>
      </c>
      <c r="O2681">
        <v>0.70358087438861605</v>
      </c>
      <c r="P2681" t="s">
        <v>36</v>
      </c>
    </row>
    <row r="2682" spans="1:16">
      <c r="A2682">
        <v>2681</v>
      </c>
      <c r="B2682" t="s">
        <v>2745</v>
      </c>
      <c r="C2682">
        <v>198</v>
      </c>
      <c r="D2682">
        <v>181</v>
      </c>
      <c r="E2682">
        <v>175.526340114661</v>
      </c>
      <c r="F2682">
        <v>1.09269736732661</v>
      </c>
      <c r="G2682">
        <v>24197.721631757999</v>
      </c>
      <c r="H2682">
        <v>1046.0635257351901</v>
      </c>
      <c r="I2682">
        <v>0.69396566317379504</v>
      </c>
      <c r="J2682">
        <v>0.27788699452465399</v>
      </c>
      <c r="K2682">
        <v>0.81199002493765604</v>
      </c>
      <c r="L2682" t="s">
        <v>38</v>
      </c>
      <c r="M2682" t="s">
        <v>34</v>
      </c>
      <c r="N2682" t="s">
        <v>35</v>
      </c>
      <c r="O2682">
        <v>0.75382786491285103</v>
      </c>
      <c r="P2682" t="s">
        <v>36</v>
      </c>
    </row>
    <row r="2683" spans="1:16">
      <c r="A2683">
        <v>2682</v>
      </c>
      <c r="B2683" t="s">
        <v>2746</v>
      </c>
      <c r="C2683">
        <v>134</v>
      </c>
      <c r="D2683">
        <v>416</v>
      </c>
      <c r="E2683">
        <v>177.33870630789701</v>
      </c>
      <c r="F2683">
        <v>0.32142862385614002</v>
      </c>
      <c r="G2683">
        <v>24700</v>
      </c>
      <c r="H2683">
        <v>1493.6753106117201</v>
      </c>
      <c r="I2683">
        <v>0.90700829508504799</v>
      </c>
      <c r="J2683">
        <v>0.13912155150136199</v>
      </c>
      <c r="K2683">
        <v>0.55993199206574096</v>
      </c>
      <c r="L2683" t="s">
        <v>38</v>
      </c>
      <c r="M2683" t="s">
        <v>34</v>
      </c>
      <c r="N2683" t="s">
        <v>35</v>
      </c>
      <c r="O2683">
        <v>0.79329440639156101</v>
      </c>
      <c r="P2683" t="s">
        <v>36</v>
      </c>
    </row>
    <row r="2684" spans="1:16">
      <c r="A2684">
        <v>2683</v>
      </c>
      <c r="B2684" t="s">
        <v>2747</v>
      </c>
      <c r="C2684">
        <v>340</v>
      </c>
      <c r="D2684">
        <v>143</v>
      </c>
      <c r="E2684">
        <v>181.350874685306</v>
      </c>
      <c r="F2684">
        <v>2.3864168722068899</v>
      </c>
      <c r="G2684">
        <v>25830.284556521699</v>
      </c>
      <c r="H2684">
        <v>1576.60268781952</v>
      </c>
      <c r="I2684">
        <v>0.56398548028531004</v>
      </c>
      <c r="J2684">
        <v>0.13058537162921299</v>
      </c>
      <c r="K2684">
        <v>0.66825346166121302</v>
      </c>
      <c r="L2684" t="s">
        <v>33</v>
      </c>
      <c r="M2684" t="s">
        <v>34</v>
      </c>
      <c r="N2684" t="s">
        <v>35</v>
      </c>
      <c r="O2684">
        <v>0.70821827785476898</v>
      </c>
      <c r="P2684" t="s">
        <v>36</v>
      </c>
    </row>
    <row r="2685" spans="1:16">
      <c r="A2685">
        <v>2684</v>
      </c>
      <c r="B2685" t="s">
        <v>2748</v>
      </c>
      <c r="C2685">
        <v>164</v>
      </c>
      <c r="D2685">
        <v>306</v>
      </c>
      <c r="E2685">
        <v>181.59541474049101</v>
      </c>
      <c r="F2685">
        <v>0.53658580440434001</v>
      </c>
      <c r="G2685">
        <v>25899.9924964083</v>
      </c>
      <c r="H2685">
        <v>1492.83570088086</v>
      </c>
      <c r="I2685">
        <v>0.764236363074563</v>
      </c>
      <c r="J2685">
        <v>0.146044591096778</v>
      </c>
      <c r="K2685">
        <v>0.66722952922482004</v>
      </c>
      <c r="L2685" t="s">
        <v>38</v>
      </c>
      <c r="M2685" t="s">
        <v>34</v>
      </c>
      <c r="N2685" t="s">
        <v>35</v>
      </c>
      <c r="O2685">
        <v>0.72748561107264498</v>
      </c>
      <c r="P2685" t="s">
        <v>36</v>
      </c>
    </row>
    <row r="2686" spans="1:16">
      <c r="A2686">
        <v>2685</v>
      </c>
      <c r="B2686" t="s">
        <v>2749</v>
      </c>
      <c r="C2686">
        <v>254</v>
      </c>
      <c r="D2686">
        <v>192</v>
      </c>
      <c r="E2686">
        <v>182.594656800808</v>
      </c>
      <c r="F2686">
        <v>1.32150812197138</v>
      </c>
      <c r="G2686">
        <v>26185.8099130435</v>
      </c>
      <c r="H2686">
        <v>1495.94261362615</v>
      </c>
      <c r="I2686">
        <v>0.67042278582662196</v>
      </c>
      <c r="J2686">
        <v>0.14704355960989601</v>
      </c>
      <c r="K2686">
        <v>0.66315353634207896</v>
      </c>
      <c r="L2686" t="s">
        <v>298</v>
      </c>
      <c r="M2686" t="s">
        <v>34</v>
      </c>
      <c r="N2686" t="s">
        <v>35</v>
      </c>
      <c r="O2686">
        <v>0.65456845477761805</v>
      </c>
      <c r="P2686" t="s">
        <v>36</v>
      </c>
    </row>
    <row r="2687" spans="1:16">
      <c r="A2687">
        <v>2686</v>
      </c>
      <c r="B2687" t="s">
        <v>2750</v>
      </c>
      <c r="C2687">
        <v>264</v>
      </c>
      <c r="D2687">
        <v>179</v>
      </c>
      <c r="E2687">
        <v>184.53384612601999</v>
      </c>
      <c r="F2687">
        <v>1.47776576672546</v>
      </c>
      <c r="G2687">
        <v>26744.959742154999</v>
      </c>
      <c r="H2687">
        <v>1309.20494033979</v>
      </c>
      <c r="I2687">
        <v>0.59911068100694398</v>
      </c>
      <c r="J2687">
        <v>0.196081464349737</v>
      </c>
      <c r="K2687">
        <v>0.74329783630610602</v>
      </c>
      <c r="L2687" t="s">
        <v>47</v>
      </c>
      <c r="M2687" t="s">
        <v>34</v>
      </c>
      <c r="N2687" t="s">
        <v>35</v>
      </c>
      <c r="O2687">
        <v>0.92583186668758</v>
      </c>
      <c r="P2687" t="s">
        <v>36</v>
      </c>
    </row>
    <row r="2688" spans="1:16">
      <c r="A2688">
        <v>2687</v>
      </c>
      <c r="B2688" t="s">
        <v>2751</v>
      </c>
      <c r="C2688">
        <v>279</v>
      </c>
      <c r="D2688">
        <v>152</v>
      </c>
      <c r="E2688">
        <v>184.99373087373999</v>
      </c>
      <c r="F2688">
        <v>1.8320910234526</v>
      </c>
      <c r="G2688">
        <v>26878.430381852599</v>
      </c>
      <c r="H2688">
        <v>1335.64870058267</v>
      </c>
      <c r="I2688">
        <v>0.64104535678283903</v>
      </c>
      <c r="J2688">
        <v>0.189334290148887</v>
      </c>
      <c r="K2688">
        <v>0.75443675897572804</v>
      </c>
      <c r="L2688" t="s">
        <v>38</v>
      </c>
      <c r="M2688" t="s">
        <v>34</v>
      </c>
      <c r="N2688" t="s">
        <v>35</v>
      </c>
      <c r="O2688">
        <v>0.73754464965250599</v>
      </c>
      <c r="P2688" t="s">
        <v>36</v>
      </c>
    </row>
    <row r="2689" spans="1:16">
      <c r="A2689">
        <v>2688</v>
      </c>
      <c r="B2689" t="s">
        <v>2752</v>
      </c>
      <c r="C2689">
        <v>225</v>
      </c>
      <c r="D2689">
        <v>240</v>
      </c>
      <c r="E2689">
        <v>185.463699688731</v>
      </c>
      <c r="F2689">
        <v>0.93863635512422805</v>
      </c>
      <c r="G2689">
        <v>27015.170903591701</v>
      </c>
      <c r="H2689">
        <v>2377.5829712334898</v>
      </c>
      <c r="I2689">
        <v>0.57779556179991998</v>
      </c>
      <c r="J2689">
        <v>6.0054591914938601E-2</v>
      </c>
      <c r="K2689">
        <v>0.65820016150818195</v>
      </c>
      <c r="L2689" t="s">
        <v>33</v>
      </c>
      <c r="M2689" t="s">
        <v>34</v>
      </c>
      <c r="N2689" t="s">
        <v>35</v>
      </c>
      <c r="O2689">
        <v>0.67976734527989702</v>
      </c>
      <c r="P2689" t="s">
        <v>36</v>
      </c>
    </row>
    <row r="2690" spans="1:16">
      <c r="A2690">
        <v>2689</v>
      </c>
      <c r="B2690" t="s">
        <v>2753</v>
      </c>
      <c r="C2690">
        <v>201</v>
      </c>
      <c r="D2690">
        <v>202</v>
      </c>
      <c r="E2690">
        <v>186.49904327104201</v>
      </c>
      <c r="F2690">
        <v>0.99787149474131298</v>
      </c>
      <c r="G2690">
        <v>27317.634992438601</v>
      </c>
      <c r="H2690">
        <v>1304.56466165698</v>
      </c>
      <c r="I2690">
        <v>0.69387625039793799</v>
      </c>
      <c r="J2690">
        <v>0.201707358357858</v>
      </c>
      <c r="K2690">
        <v>0.81012284405812895</v>
      </c>
      <c r="L2690" t="s">
        <v>38</v>
      </c>
      <c r="M2690" t="s">
        <v>34</v>
      </c>
      <c r="N2690" t="s">
        <v>35</v>
      </c>
      <c r="O2690">
        <v>0.67100683827476704</v>
      </c>
      <c r="P2690" t="s">
        <v>36</v>
      </c>
    </row>
    <row r="2691" spans="1:16">
      <c r="A2691">
        <v>2690</v>
      </c>
      <c r="B2691" t="s">
        <v>2754</v>
      </c>
      <c r="C2691">
        <v>395</v>
      </c>
      <c r="D2691">
        <v>167</v>
      </c>
      <c r="E2691">
        <v>187.43277790891199</v>
      </c>
      <c r="F2691">
        <v>2.3568617287577101</v>
      </c>
      <c r="G2691">
        <v>27591.859190926301</v>
      </c>
      <c r="H2691">
        <v>2837.4387475403501</v>
      </c>
      <c r="I2691">
        <v>0.74426543914185805</v>
      </c>
      <c r="J2691">
        <v>4.3066327519895801E-2</v>
      </c>
      <c r="K2691">
        <v>0.50332950133397003</v>
      </c>
      <c r="L2691" t="s">
        <v>38</v>
      </c>
      <c r="M2691" t="s">
        <v>34</v>
      </c>
      <c r="N2691" t="s">
        <v>35</v>
      </c>
      <c r="O2691">
        <v>0.74655498865765901</v>
      </c>
      <c r="P2691" t="s">
        <v>36</v>
      </c>
    </row>
    <row r="2692" spans="1:16">
      <c r="A2692">
        <v>2691</v>
      </c>
      <c r="B2692" t="s">
        <v>2755</v>
      </c>
      <c r="C2692">
        <v>302</v>
      </c>
      <c r="D2692">
        <v>162</v>
      </c>
      <c r="E2692">
        <v>187.928369266207</v>
      </c>
      <c r="F2692">
        <v>1.86347718652245</v>
      </c>
      <c r="G2692">
        <v>27737.963465784502</v>
      </c>
      <c r="H2692">
        <v>1347.96286415795</v>
      </c>
      <c r="I2692">
        <v>0.840891695790835</v>
      </c>
      <c r="J2692">
        <v>0.19183532420114199</v>
      </c>
      <c r="K2692">
        <v>0.76939536110950801</v>
      </c>
      <c r="L2692" t="s">
        <v>47</v>
      </c>
      <c r="M2692" t="s">
        <v>34</v>
      </c>
      <c r="N2692" t="s">
        <v>35</v>
      </c>
      <c r="O2692">
        <v>0.92206913098815801</v>
      </c>
      <c r="P2692" t="s">
        <v>36</v>
      </c>
    </row>
    <row r="2693" spans="1:16">
      <c r="A2693">
        <v>2692</v>
      </c>
      <c r="B2693" t="s">
        <v>2756</v>
      </c>
      <c r="C2693">
        <v>297</v>
      </c>
      <c r="D2693">
        <v>232</v>
      </c>
      <c r="E2693">
        <v>192.77840815207799</v>
      </c>
      <c r="F2693">
        <v>1.28170958871346</v>
      </c>
      <c r="G2693">
        <v>29188.156151228701</v>
      </c>
      <c r="H2693">
        <v>1748.7042943879801</v>
      </c>
      <c r="I2693">
        <v>0.66934630299251097</v>
      </c>
      <c r="J2693">
        <v>0.119945448274932</v>
      </c>
      <c r="K2693">
        <v>0.629530016316874</v>
      </c>
      <c r="L2693" t="s">
        <v>38</v>
      </c>
      <c r="M2693" t="s">
        <v>34</v>
      </c>
      <c r="N2693" t="s">
        <v>35</v>
      </c>
      <c r="O2693">
        <v>0.74416438507695803</v>
      </c>
      <c r="P2693" t="s">
        <v>36</v>
      </c>
    </row>
    <row r="2694" spans="1:16">
      <c r="A2694">
        <v>2693</v>
      </c>
      <c r="B2694" t="s">
        <v>2757</v>
      </c>
      <c r="C2694">
        <v>332</v>
      </c>
      <c r="D2694">
        <v>180</v>
      </c>
      <c r="E2694">
        <v>193.227485409862</v>
      </c>
      <c r="F2694">
        <v>1.8466039438167201</v>
      </c>
      <c r="G2694">
        <v>29324.302148960302</v>
      </c>
      <c r="H2694">
        <v>1949.9188568818099</v>
      </c>
      <c r="I2694">
        <v>0.74288801886176803</v>
      </c>
      <c r="J2694">
        <v>9.6918006224107803E-2</v>
      </c>
      <c r="K2694">
        <v>0.57269748013805399</v>
      </c>
      <c r="L2694" t="s">
        <v>38</v>
      </c>
      <c r="M2694" t="s">
        <v>34</v>
      </c>
      <c r="N2694" t="s">
        <v>35</v>
      </c>
      <c r="O2694">
        <v>0.67813614228881502</v>
      </c>
      <c r="P2694" t="s">
        <v>36</v>
      </c>
    </row>
    <row r="2695" spans="1:16">
      <c r="A2695">
        <v>2694</v>
      </c>
      <c r="B2695" t="s">
        <v>2758</v>
      </c>
      <c r="C2695">
        <v>398</v>
      </c>
      <c r="D2695">
        <v>144</v>
      </c>
      <c r="E2695">
        <v>194.21565722870801</v>
      </c>
      <c r="F2695">
        <v>2.7618271076840202</v>
      </c>
      <c r="G2695">
        <v>29625</v>
      </c>
      <c r="H2695">
        <v>1329.5331752300301</v>
      </c>
      <c r="I2695">
        <v>0.65035659106973598</v>
      </c>
      <c r="J2695">
        <v>0.21060557626054399</v>
      </c>
      <c r="K2695">
        <v>0.66647919010123702</v>
      </c>
      <c r="L2695" t="s">
        <v>298</v>
      </c>
      <c r="M2695" t="s">
        <v>34</v>
      </c>
      <c r="N2695" t="s">
        <v>35</v>
      </c>
      <c r="O2695">
        <v>0.65886224089823597</v>
      </c>
      <c r="P2695" t="s">
        <v>36</v>
      </c>
    </row>
    <row r="2696" spans="1:16">
      <c r="A2696">
        <v>2695</v>
      </c>
      <c r="B2696" t="s">
        <v>2759</v>
      </c>
      <c r="C2696">
        <v>173</v>
      </c>
      <c r="D2696">
        <v>266</v>
      </c>
      <c r="E2696">
        <v>194.287692319429</v>
      </c>
      <c r="F2696">
        <v>0.652704544846618</v>
      </c>
      <c r="G2696">
        <v>29646.980054064301</v>
      </c>
      <c r="H2696">
        <v>1266.21235518196</v>
      </c>
      <c r="I2696">
        <v>0.61185033084635299</v>
      </c>
      <c r="J2696">
        <v>0.23236848766575299</v>
      </c>
      <c r="K2696">
        <v>0.77806166232388296</v>
      </c>
      <c r="L2696" t="s">
        <v>38</v>
      </c>
      <c r="M2696" t="s">
        <v>34</v>
      </c>
      <c r="N2696" t="s">
        <v>35</v>
      </c>
      <c r="O2696">
        <v>0.69942756491690505</v>
      </c>
      <c r="P2696" t="s">
        <v>36</v>
      </c>
    </row>
    <row r="2697" spans="1:16">
      <c r="A2697">
        <v>2696</v>
      </c>
      <c r="B2697" t="s">
        <v>2760</v>
      </c>
      <c r="C2697">
        <v>215</v>
      </c>
      <c r="D2697">
        <v>279</v>
      </c>
      <c r="E2697">
        <v>194.910966638708</v>
      </c>
      <c r="F2697">
        <v>0.77060936089677401</v>
      </c>
      <c r="G2697">
        <v>29837.5</v>
      </c>
      <c r="H2697">
        <v>1480.03570139408</v>
      </c>
      <c r="I2697">
        <v>0.67966213063037795</v>
      </c>
      <c r="J2697">
        <v>0.17117010335750499</v>
      </c>
      <c r="K2697">
        <v>0.62683823529411797</v>
      </c>
      <c r="L2697" t="s">
        <v>38</v>
      </c>
      <c r="M2697" t="s">
        <v>34</v>
      </c>
      <c r="N2697" t="s">
        <v>35</v>
      </c>
      <c r="O2697">
        <v>0.72869363985509705</v>
      </c>
      <c r="P2697" t="s">
        <v>36</v>
      </c>
    </row>
    <row r="2698" spans="1:16">
      <c r="A2698">
        <v>2697</v>
      </c>
      <c r="B2698" t="s">
        <v>2761</v>
      </c>
      <c r="C2698">
        <v>184</v>
      </c>
      <c r="D2698">
        <v>233</v>
      </c>
      <c r="E2698">
        <v>198.32500008587999</v>
      </c>
      <c r="F2698">
        <v>0.79081622754120295</v>
      </c>
      <c r="G2698">
        <v>30891.913325897902</v>
      </c>
      <c r="H2698">
        <v>1008.4822730762</v>
      </c>
      <c r="I2698">
        <v>0.72063570640524299</v>
      </c>
      <c r="J2698">
        <v>0.38169646193307</v>
      </c>
      <c r="K2698">
        <v>0.87808618504435998</v>
      </c>
      <c r="L2698" t="s">
        <v>38</v>
      </c>
      <c r="M2698" t="s">
        <v>34</v>
      </c>
      <c r="N2698" t="s">
        <v>35</v>
      </c>
      <c r="O2698">
        <v>0.79023006787463801</v>
      </c>
      <c r="P2698" t="s">
        <v>36</v>
      </c>
    </row>
    <row r="2699" spans="1:16">
      <c r="A2699">
        <v>2698</v>
      </c>
      <c r="B2699" t="s">
        <v>2762</v>
      </c>
      <c r="C2699">
        <v>228</v>
      </c>
      <c r="D2699">
        <v>245</v>
      </c>
      <c r="E2699">
        <v>201.05480304736</v>
      </c>
      <c r="F2699">
        <v>0.92973672722219602</v>
      </c>
      <c r="G2699">
        <v>31748.176527788299</v>
      </c>
      <c r="H2699">
        <v>1325.3056200077201</v>
      </c>
      <c r="I2699">
        <v>0.64597560289993805</v>
      </c>
      <c r="J2699">
        <v>0.227141542762441</v>
      </c>
      <c r="K2699">
        <v>0.74410665328971903</v>
      </c>
      <c r="L2699" t="s">
        <v>38</v>
      </c>
      <c r="M2699" t="s">
        <v>34</v>
      </c>
      <c r="N2699" t="s">
        <v>35</v>
      </c>
      <c r="O2699">
        <v>0.75796725222564598</v>
      </c>
      <c r="P2699" t="s">
        <v>36</v>
      </c>
    </row>
    <row r="2700" spans="1:16">
      <c r="A2700">
        <v>2699</v>
      </c>
      <c r="B2700" t="s">
        <v>2763</v>
      </c>
      <c r="C2700">
        <v>292</v>
      </c>
      <c r="D2700">
        <v>247</v>
      </c>
      <c r="E2700">
        <v>205.64419818497001</v>
      </c>
      <c r="F2700">
        <v>1.1834735231818301</v>
      </c>
      <c r="G2700">
        <v>33214.124099432898</v>
      </c>
      <c r="H2700">
        <v>1951.82574044279</v>
      </c>
      <c r="I2700">
        <v>0.53870307349841096</v>
      </c>
      <c r="J2700">
        <v>0.10955963728333799</v>
      </c>
      <c r="K2700">
        <v>0.62428099307462603</v>
      </c>
      <c r="L2700" t="s">
        <v>38</v>
      </c>
      <c r="M2700" t="s">
        <v>34</v>
      </c>
      <c r="N2700" t="s">
        <v>35</v>
      </c>
      <c r="O2700">
        <v>0.66827708518991402</v>
      </c>
      <c r="P2700" t="s">
        <v>36</v>
      </c>
    </row>
    <row r="2701" spans="1:16">
      <c r="A2701">
        <v>2700</v>
      </c>
      <c r="B2701" t="s">
        <v>2764</v>
      </c>
      <c r="C2701">
        <v>210</v>
      </c>
      <c r="D2701">
        <v>440</v>
      </c>
      <c r="E2701">
        <v>207.06603214664801</v>
      </c>
      <c r="F2701">
        <v>0.47806130142548398</v>
      </c>
      <c r="G2701">
        <v>33675</v>
      </c>
      <c r="H2701">
        <v>2076.5180182457002</v>
      </c>
      <c r="I2701">
        <v>0.88142963796212204</v>
      </c>
      <c r="J2701">
        <v>9.8140001576470501E-2</v>
      </c>
      <c r="K2701">
        <v>0.53262158956109096</v>
      </c>
      <c r="L2701" t="s">
        <v>38</v>
      </c>
      <c r="M2701" t="s">
        <v>34</v>
      </c>
      <c r="N2701" t="s">
        <v>35</v>
      </c>
      <c r="O2701">
        <v>0.76335418512651498</v>
      </c>
      <c r="P2701" t="s">
        <v>36</v>
      </c>
    </row>
    <row r="2702" spans="1:16">
      <c r="A2702">
        <v>2701</v>
      </c>
      <c r="B2702" t="s">
        <v>2765</v>
      </c>
      <c r="C2702">
        <v>236</v>
      </c>
      <c r="D2702">
        <v>214</v>
      </c>
      <c r="E2702">
        <v>208.127210580259</v>
      </c>
      <c r="F2702">
        <v>1.1025240686248701</v>
      </c>
      <c r="G2702">
        <v>34021.0418086957</v>
      </c>
      <c r="H2702">
        <v>1220.3139021492</v>
      </c>
      <c r="I2702">
        <v>0.63310749553560997</v>
      </c>
      <c r="J2702">
        <v>0.28708754724220498</v>
      </c>
      <c r="K2702">
        <v>0.84294258020799595</v>
      </c>
      <c r="L2702" t="s">
        <v>38</v>
      </c>
      <c r="M2702" t="s">
        <v>34</v>
      </c>
      <c r="N2702" t="s">
        <v>35</v>
      </c>
      <c r="O2702">
        <v>0.77620147912193305</v>
      </c>
      <c r="P2702" t="s">
        <v>36</v>
      </c>
    </row>
    <row r="2703" spans="1:16">
      <c r="A2703">
        <v>2702</v>
      </c>
      <c r="B2703" t="s">
        <v>2766</v>
      </c>
      <c r="C2703">
        <v>374</v>
      </c>
      <c r="D2703">
        <v>250</v>
      </c>
      <c r="E2703">
        <v>209.85274063859001</v>
      </c>
      <c r="F2703">
        <v>1.49492303012784</v>
      </c>
      <c r="G2703">
        <v>34587.5</v>
      </c>
      <c r="H2703">
        <v>1905.30481517315</v>
      </c>
      <c r="I2703">
        <v>0.63738776505360795</v>
      </c>
      <c r="J2703">
        <v>0.11972920701482299</v>
      </c>
      <c r="K2703">
        <v>0.534685990338164</v>
      </c>
      <c r="L2703" t="s">
        <v>188</v>
      </c>
      <c r="M2703" t="s">
        <v>34</v>
      </c>
      <c r="N2703" t="s">
        <v>35</v>
      </c>
      <c r="O2703">
        <v>0.74329586350129095</v>
      </c>
      <c r="P2703" t="s">
        <v>36</v>
      </c>
    </row>
    <row r="2704" spans="1:16">
      <c r="A2704">
        <v>2703</v>
      </c>
      <c r="B2704" t="s">
        <v>2767</v>
      </c>
      <c r="C2704">
        <v>279</v>
      </c>
      <c r="D2704">
        <v>210</v>
      </c>
      <c r="E2704">
        <v>213.05971933188599</v>
      </c>
      <c r="F2704">
        <v>1.3298701298701301</v>
      </c>
      <c r="G2704">
        <v>35652.712947448003</v>
      </c>
      <c r="H2704">
        <v>2540.0898535618599</v>
      </c>
      <c r="I2704">
        <v>0.63362179302358101</v>
      </c>
      <c r="J2704">
        <v>6.9439132591778099E-2</v>
      </c>
      <c r="K2704">
        <v>0.68277923260844797</v>
      </c>
      <c r="L2704" t="s">
        <v>74</v>
      </c>
      <c r="M2704" t="s">
        <v>34</v>
      </c>
      <c r="N2704" t="s">
        <v>35</v>
      </c>
      <c r="O2704">
        <v>0.672700601365534</v>
      </c>
      <c r="P2704" t="s">
        <v>36</v>
      </c>
    </row>
    <row r="2705" spans="1:16">
      <c r="A2705">
        <v>2704</v>
      </c>
      <c r="B2705" t="s">
        <v>2768</v>
      </c>
      <c r="C2705">
        <v>405</v>
      </c>
      <c r="D2705">
        <v>245</v>
      </c>
      <c r="E2705">
        <v>217.34117674677901</v>
      </c>
      <c r="F2705">
        <v>1.6495617567285501</v>
      </c>
      <c r="G2705">
        <v>37100</v>
      </c>
      <c r="H2705">
        <v>1752.6702582836199</v>
      </c>
      <c r="I2705">
        <v>0.75272151831010803</v>
      </c>
      <c r="J2705">
        <v>0.15176909330990199</v>
      </c>
      <c r="K2705">
        <v>0.51225405591991702</v>
      </c>
      <c r="L2705" t="s">
        <v>33</v>
      </c>
      <c r="M2705" t="s">
        <v>34</v>
      </c>
      <c r="N2705" t="s">
        <v>35</v>
      </c>
      <c r="O2705">
        <v>0.68478606758912697</v>
      </c>
      <c r="P2705" t="s">
        <v>36</v>
      </c>
    </row>
    <row r="2706" spans="1:16">
      <c r="A2706">
        <v>2705</v>
      </c>
      <c r="B2706" t="s">
        <v>2769</v>
      </c>
      <c r="C2706">
        <v>241</v>
      </c>
      <c r="D2706">
        <v>311</v>
      </c>
      <c r="E2706">
        <v>218.374677670377</v>
      </c>
      <c r="F2706">
        <v>0.77348096467828897</v>
      </c>
      <c r="G2706">
        <v>37453.674797353502</v>
      </c>
      <c r="H2706">
        <v>1800.88077235066</v>
      </c>
      <c r="I2706">
        <v>0.76482891981020695</v>
      </c>
      <c r="J2706">
        <v>0.14512237487721799</v>
      </c>
      <c r="K2706">
        <v>0.62889109064091797</v>
      </c>
      <c r="L2706" t="s">
        <v>33</v>
      </c>
      <c r="M2706" t="s">
        <v>34</v>
      </c>
      <c r="N2706" t="s">
        <v>35</v>
      </c>
      <c r="O2706">
        <v>0.66179449365671505</v>
      </c>
      <c r="P2706" t="s">
        <v>36</v>
      </c>
    </row>
    <row r="2707" spans="1:16">
      <c r="A2707">
        <v>2706</v>
      </c>
      <c r="B2707" t="s">
        <v>2770</v>
      </c>
      <c r="C2707">
        <v>195</v>
      </c>
      <c r="D2707">
        <v>388</v>
      </c>
      <c r="E2707">
        <v>219.70820248632501</v>
      </c>
      <c r="F2707">
        <v>0.50363899565471004</v>
      </c>
      <c r="G2707">
        <v>37912.5</v>
      </c>
      <c r="H2707">
        <v>1817.0205444097501</v>
      </c>
      <c r="I2707">
        <v>0.89114673274193501</v>
      </c>
      <c r="J2707">
        <v>0.14430208687511101</v>
      </c>
      <c r="K2707">
        <v>0.62691194708557296</v>
      </c>
      <c r="L2707" t="s">
        <v>38</v>
      </c>
      <c r="M2707" t="s">
        <v>34</v>
      </c>
      <c r="N2707" t="s">
        <v>35</v>
      </c>
      <c r="O2707">
        <v>0.69676871057268697</v>
      </c>
      <c r="P2707" t="s">
        <v>36</v>
      </c>
    </row>
    <row r="2708" spans="1:16">
      <c r="A2708">
        <v>2707</v>
      </c>
      <c r="B2708" t="s">
        <v>2771</v>
      </c>
      <c r="C2708">
        <v>391</v>
      </c>
      <c r="D2708">
        <v>188</v>
      </c>
      <c r="E2708">
        <v>222.03015321293401</v>
      </c>
      <c r="F2708">
        <v>2.0855834604949699</v>
      </c>
      <c r="G2708">
        <v>38718.078730434798</v>
      </c>
      <c r="H2708">
        <v>1802.2905880998501</v>
      </c>
      <c r="I2708">
        <v>0.69049983770731105</v>
      </c>
      <c r="J2708">
        <v>0.14978696913727299</v>
      </c>
      <c r="K2708">
        <v>0.62281207188812704</v>
      </c>
      <c r="L2708" t="s">
        <v>49</v>
      </c>
      <c r="M2708" t="s">
        <v>34</v>
      </c>
      <c r="N2708" t="s">
        <v>35</v>
      </c>
      <c r="O2708">
        <v>0.69517554639147505</v>
      </c>
      <c r="P2708" t="s">
        <v>36</v>
      </c>
    </row>
    <row r="2709" spans="1:16">
      <c r="A2709">
        <v>2708</v>
      </c>
      <c r="B2709" t="s">
        <v>2772</v>
      </c>
      <c r="C2709">
        <v>231</v>
      </c>
      <c r="D2709">
        <v>367</v>
      </c>
      <c r="E2709">
        <v>222.36188776598101</v>
      </c>
      <c r="F2709">
        <v>0.630771982274694</v>
      </c>
      <c r="G2709">
        <v>38833.8622809074</v>
      </c>
      <c r="H2709">
        <v>2080.3553506692601</v>
      </c>
      <c r="I2709">
        <v>0.65908115597357797</v>
      </c>
      <c r="J2709">
        <v>0.112757490481633</v>
      </c>
      <c r="K2709">
        <v>0.65169360470916904</v>
      </c>
      <c r="L2709" t="s">
        <v>33</v>
      </c>
      <c r="M2709" t="s">
        <v>34</v>
      </c>
      <c r="N2709" t="s">
        <v>35</v>
      </c>
      <c r="O2709">
        <v>0.69430261269981697</v>
      </c>
      <c r="P2709" t="s">
        <v>36</v>
      </c>
    </row>
    <row r="2710" spans="1:16">
      <c r="A2710">
        <v>2709</v>
      </c>
      <c r="B2710" t="s">
        <v>2773</v>
      </c>
      <c r="C2710">
        <v>363</v>
      </c>
      <c r="D2710">
        <v>198</v>
      </c>
      <c r="E2710">
        <v>223.83470706154699</v>
      </c>
      <c r="F2710">
        <v>1.8269894544531</v>
      </c>
      <c r="G2710">
        <v>39350</v>
      </c>
      <c r="H2710">
        <v>1210.5382275581401</v>
      </c>
      <c r="I2710">
        <v>0.73230303037970301</v>
      </c>
      <c r="J2710">
        <v>0.33744079344392103</v>
      </c>
      <c r="K2710">
        <v>0.76686967113276505</v>
      </c>
      <c r="L2710" t="s">
        <v>33</v>
      </c>
      <c r="M2710" t="s">
        <v>34</v>
      </c>
      <c r="N2710" t="s">
        <v>35</v>
      </c>
      <c r="O2710">
        <v>0.69353103887467604</v>
      </c>
      <c r="P2710" t="s">
        <v>36</v>
      </c>
    </row>
    <row r="2711" spans="1:16">
      <c r="A2711">
        <v>2710</v>
      </c>
      <c r="B2711" t="s">
        <v>2774</v>
      </c>
      <c r="C2711">
        <v>211</v>
      </c>
      <c r="D2711">
        <v>357</v>
      </c>
      <c r="E2711">
        <v>227.04688077017201</v>
      </c>
      <c r="F2711">
        <v>0.59160306241001803</v>
      </c>
      <c r="G2711">
        <v>40487.5</v>
      </c>
      <c r="H2711">
        <v>1323.4671598672901</v>
      </c>
      <c r="I2711">
        <v>0.610533918369909</v>
      </c>
      <c r="J2711">
        <v>0.29047214140187</v>
      </c>
      <c r="K2711">
        <v>0.670878210439105</v>
      </c>
      <c r="L2711" t="s">
        <v>38</v>
      </c>
      <c r="M2711" t="s">
        <v>34</v>
      </c>
      <c r="N2711" t="s">
        <v>35</v>
      </c>
      <c r="O2711">
        <v>0.74150003208396298</v>
      </c>
      <c r="P2711" t="s">
        <v>36</v>
      </c>
    </row>
    <row r="2712" spans="1:16">
      <c r="A2712">
        <v>2711</v>
      </c>
      <c r="B2712" t="s">
        <v>2775</v>
      </c>
      <c r="C2712">
        <v>314</v>
      </c>
      <c r="D2712">
        <v>318</v>
      </c>
      <c r="E2712">
        <v>231.04669387973601</v>
      </c>
      <c r="F2712">
        <v>0.98458904109588996</v>
      </c>
      <c r="G2712">
        <v>41926.576168241998</v>
      </c>
      <c r="H2712">
        <v>4877.06053784298</v>
      </c>
      <c r="I2712">
        <v>0.73359133402555599</v>
      </c>
      <c r="J2712">
        <v>2.21504712080519E-2</v>
      </c>
      <c r="K2712">
        <v>0.52069220119981496</v>
      </c>
      <c r="L2712" t="s">
        <v>38</v>
      </c>
      <c r="M2712" t="s">
        <v>34</v>
      </c>
      <c r="N2712" t="s">
        <v>35</v>
      </c>
      <c r="O2712">
        <v>0.69042988695392704</v>
      </c>
      <c r="P2712" t="s">
        <v>36</v>
      </c>
    </row>
    <row r="2713" spans="1:16">
      <c r="A2713">
        <v>2712</v>
      </c>
      <c r="B2713" t="s">
        <v>2776</v>
      </c>
      <c r="C2713">
        <v>230</v>
      </c>
      <c r="D2713">
        <v>259</v>
      </c>
      <c r="E2713">
        <v>238.31503510158899</v>
      </c>
      <c r="F2713">
        <v>0.89053252648516101</v>
      </c>
      <c r="G2713">
        <v>44605.947239319503</v>
      </c>
      <c r="H2713">
        <v>1235.0962165366</v>
      </c>
      <c r="I2713">
        <v>0.67794507605357301</v>
      </c>
      <c r="J2713">
        <v>0.36745236563585898</v>
      </c>
      <c r="K2713">
        <v>0.87673858108996405</v>
      </c>
      <c r="L2713" t="s">
        <v>38</v>
      </c>
      <c r="M2713" t="s">
        <v>34</v>
      </c>
      <c r="N2713" t="s">
        <v>35</v>
      </c>
      <c r="O2713">
        <v>0.75790944700845697</v>
      </c>
      <c r="P2713" t="s">
        <v>36</v>
      </c>
    </row>
    <row r="2714" spans="1:16">
      <c r="A2714">
        <v>2713</v>
      </c>
      <c r="B2714" t="s">
        <v>2777</v>
      </c>
      <c r="C2714">
        <v>283</v>
      </c>
      <c r="D2714">
        <v>321</v>
      </c>
      <c r="E2714">
        <v>238.632853224949</v>
      </c>
      <c r="F2714">
        <v>0.88177346341549201</v>
      </c>
      <c r="G2714">
        <v>44725</v>
      </c>
      <c r="H2714">
        <v>1540.24385213852</v>
      </c>
      <c r="I2714">
        <v>0.70634090637673597</v>
      </c>
      <c r="J2714">
        <v>0.236908828558065</v>
      </c>
      <c r="K2714">
        <v>0.69126738794435905</v>
      </c>
      <c r="L2714" t="s">
        <v>38</v>
      </c>
      <c r="M2714" t="s">
        <v>34</v>
      </c>
      <c r="N2714" t="s">
        <v>35</v>
      </c>
      <c r="O2714">
        <v>0.85174737819491897</v>
      </c>
      <c r="P2714" t="s">
        <v>36</v>
      </c>
    </row>
    <row r="2715" spans="1:16">
      <c r="A2715">
        <v>2714</v>
      </c>
      <c r="B2715" t="s">
        <v>2778</v>
      </c>
      <c r="C2715">
        <v>406</v>
      </c>
      <c r="D2715">
        <v>277</v>
      </c>
      <c r="E2715">
        <v>251.27030450205399</v>
      </c>
      <c r="F2715">
        <v>1.46373639440019</v>
      </c>
      <c r="G2715">
        <v>49587.5</v>
      </c>
      <c r="H2715">
        <v>2126.7261689901402</v>
      </c>
      <c r="I2715">
        <v>0.76233880433885104</v>
      </c>
      <c r="J2715">
        <v>0.13777135426659801</v>
      </c>
      <c r="K2715">
        <v>0.61887675507020301</v>
      </c>
      <c r="L2715" t="s">
        <v>38</v>
      </c>
      <c r="M2715" t="s">
        <v>34</v>
      </c>
      <c r="N2715" t="s">
        <v>35</v>
      </c>
      <c r="O2715">
        <v>0.71918129250060103</v>
      </c>
      <c r="P2715" t="s">
        <v>36</v>
      </c>
    </row>
    <row r="2716" spans="1:16">
      <c r="A2716">
        <v>2715</v>
      </c>
      <c r="B2716" t="s">
        <v>2779</v>
      </c>
      <c r="C2716">
        <v>383</v>
      </c>
      <c r="D2716">
        <v>267</v>
      </c>
      <c r="E2716">
        <v>255.3542249205</v>
      </c>
      <c r="F2716">
        <v>1.43485556595863</v>
      </c>
      <c r="G2716">
        <v>51212.5</v>
      </c>
      <c r="H2716">
        <v>1728.02559673786</v>
      </c>
      <c r="I2716">
        <v>0.85945039083886499</v>
      </c>
      <c r="J2716">
        <v>0.21551896783018901</v>
      </c>
      <c r="K2716">
        <v>0.673959532817898</v>
      </c>
      <c r="L2716" t="s">
        <v>38</v>
      </c>
      <c r="M2716" t="s">
        <v>34</v>
      </c>
      <c r="N2716" t="s">
        <v>35</v>
      </c>
      <c r="O2716">
        <v>0.74182028058428495</v>
      </c>
      <c r="P2716" t="s">
        <v>36</v>
      </c>
    </row>
    <row r="2717" spans="1:16">
      <c r="A2717">
        <v>2716</v>
      </c>
      <c r="B2717" t="s">
        <v>2780</v>
      </c>
      <c r="C2717">
        <v>361</v>
      </c>
      <c r="D2717">
        <v>697</v>
      </c>
      <c r="E2717">
        <v>255.79014270506599</v>
      </c>
      <c r="F2717">
        <v>0.517986725440993</v>
      </c>
      <c r="G2717">
        <v>51387.5</v>
      </c>
      <c r="H2717">
        <v>2812.7059596776999</v>
      </c>
      <c r="I2717">
        <v>0.65888091115958702</v>
      </c>
      <c r="J2717">
        <v>8.1624152874250497E-2</v>
      </c>
      <c r="K2717">
        <v>0.326944488627326</v>
      </c>
      <c r="L2717" t="s">
        <v>38</v>
      </c>
      <c r="M2717" t="s">
        <v>34</v>
      </c>
      <c r="N2717" t="s">
        <v>35</v>
      </c>
      <c r="O2717">
        <v>0.72747534341555697</v>
      </c>
      <c r="P2717" t="s">
        <v>36</v>
      </c>
    </row>
    <row r="2718" spans="1:16">
      <c r="A2718">
        <v>2717</v>
      </c>
      <c r="B2718" t="s">
        <v>2781</v>
      </c>
      <c r="C2718">
        <v>357</v>
      </c>
      <c r="D2718">
        <v>387</v>
      </c>
      <c r="E2718">
        <v>259.588526143026</v>
      </c>
      <c r="F2718">
        <v>0.92239071263601202</v>
      </c>
      <c r="G2718">
        <v>52925</v>
      </c>
      <c r="H2718">
        <v>2505.92926740646</v>
      </c>
      <c r="I2718">
        <v>0.737857185813101</v>
      </c>
      <c r="J2718">
        <v>0.10590906011402799</v>
      </c>
      <c r="K2718">
        <v>0.52239358420727899</v>
      </c>
      <c r="L2718" t="s">
        <v>38</v>
      </c>
      <c r="M2718" t="s">
        <v>34</v>
      </c>
      <c r="N2718" t="s">
        <v>35</v>
      </c>
      <c r="O2718">
        <v>0.68676411579057395</v>
      </c>
      <c r="P2718" t="s">
        <v>36</v>
      </c>
    </row>
    <row r="2719" spans="1:16">
      <c r="A2719">
        <v>2718</v>
      </c>
      <c r="B2719" t="s">
        <v>2782</v>
      </c>
      <c r="C2719">
        <v>599</v>
      </c>
      <c r="D2719">
        <v>190</v>
      </c>
      <c r="E2719">
        <v>272.45158369526899</v>
      </c>
      <c r="F2719">
        <v>3.1502800639079802</v>
      </c>
      <c r="G2719">
        <v>58300</v>
      </c>
      <c r="H2719">
        <v>2229.65510129929</v>
      </c>
      <c r="I2719">
        <v>0.73961398231422903</v>
      </c>
      <c r="J2719">
        <v>0.147367949842409</v>
      </c>
      <c r="K2719">
        <v>0.59075364154528198</v>
      </c>
      <c r="L2719" t="s">
        <v>38</v>
      </c>
      <c r="M2719" t="s">
        <v>34</v>
      </c>
      <c r="N2719" t="s">
        <v>35</v>
      </c>
      <c r="O2719">
        <v>0.759098402312538</v>
      </c>
      <c r="P2719" t="s">
        <v>36</v>
      </c>
    </row>
    <row r="2720" spans="1:16">
      <c r="A2720">
        <v>2719</v>
      </c>
      <c r="B2720" t="s">
        <v>2783</v>
      </c>
      <c r="C2720">
        <v>454</v>
      </c>
      <c r="D2720">
        <v>216</v>
      </c>
      <c r="E2720">
        <v>273.50104799285702</v>
      </c>
      <c r="F2720">
        <v>2.10510271083584</v>
      </c>
      <c r="G2720">
        <v>58750</v>
      </c>
      <c r="H2720">
        <v>1757.5230705738099</v>
      </c>
      <c r="I2720">
        <v>0.57474042961441996</v>
      </c>
      <c r="J2720">
        <v>0.239009776489084</v>
      </c>
      <c r="K2720">
        <v>0.73610023492560706</v>
      </c>
      <c r="L2720" t="s">
        <v>38</v>
      </c>
      <c r="M2720" t="s">
        <v>34</v>
      </c>
      <c r="N2720" t="s">
        <v>35</v>
      </c>
      <c r="O2720">
        <v>0.81559211044570001</v>
      </c>
      <c r="P2720" t="s">
        <v>36</v>
      </c>
    </row>
    <row r="2721" spans="1:16">
      <c r="A2721">
        <v>2720</v>
      </c>
      <c r="B2721" t="s">
        <v>2784</v>
      </c>
      <c r="C2721">
        <v>387</v>
      </c>
      <c r="D2721">
        <v>362</v>
      </c>
      <c r="E2721">
        <v>274.05331168417803</v>
      </c>
      <c r="F2721">
        <v>1.06902088199219</v>
      </c>
      <c r="G2721">
        <v>58987.5</v>
      </c>
      <c r="H2721">
        <v>2767.1424704790102</v>
      </c>
      <c r="I2721">
        <v>0.57826627724042701</v>
      </c>
      <c r="J2721">
        <v>9.6807011718002295E-2</v>
      </c>
      <c r="K2721">
        <v>0.53900628212449997</v>
      </c>
      <c r="L2721" t="s">
        <v>38</v>
      </c>
      <c r="M2721" t="s">
        <v>34</v>
      </c>
      <c r="N2721" t="s">
        <v>35</v>
      </c>
      <c r="O2721">
        <v>0.82609499991760005</v>
      </c>
      <c r="P2721" t="s">
        <v>36</v>
      </c>
    </row>
    <row r="2722" spans="1:16">
      <c r="A2722">
        <v>2721</v>
      </c>
      <c r="B2722" t="s">
        <v>2785</v>
      </c>
      <c r="C2722">
        <v>249</v>
      </c>
      <c r="D2722">
        <v>481</v>
      </c>
      <c r="E2722">
        <v>275.93427618757801</v>
      </c>
      <c r="F2722">
        <v>0.51735303379185604</v>
      </c>
      <c r="G2722">
        <v>59800</v>
      </c>
      <c r="H2722">
        <v>2497.64499664307</v>
      </c>
      <c r="I2722">
        <v>0.83150270061602705</v>
      </c>
      <c r="J2722">
        <v>0.12046187764534</v>
      </c>
      <c r="K2722">
        <v>0.63431450543622403</v>
      </c>
      <c r="L2722" t="s">
        <v>38</v>
      </c>
      <c r="M2722" t="s">
        <v>34</v>
      </c>
      <c r="N2722" t="s">
        <v>35</v>
      </c>
      <c r="O2722">
        <v>0.71741993725176401</v>
      </c>
      <c r="P2722" t="s">
        <v>36</v>
      </c>
    </row>
    <row r="2723" spans="1:16">
      <c r="A2723">
        <v>2722</v>
      </c>
      <c r="B2723" t="s">
        <v>2786</v>
      </c>
      <c r="C2723">
        <v>399</v>
      </c>
      <c r="D2723">
        <v>293</v>
      </c>
      <c r="E2723">
        <v>277.42986587467601</v>
      </c>
      <c r="F2723">
        <v>1.36455331243117</v>
      </c>
      <c r="G2723">
        <v>60450</v>
      </c>
      <c r="H2723">
        <v>2268.6500489711798</v>
      </c>
      <c r="I2723">
        <v>0.51941914725249605</v>
      </c>
      <c r="J2723">
        <v>0.14759483214841199</v>
      </c>
      <c r="K2723">
        <v>0.67930889169827202</v>
      </c>
      <c r="L2723" t="s">
        <v>144</v>
      </c>
      <c r="M2723" t="s">
        <v>34</v>
      </c>
      <c r="N2723" t="s">
        <v>35</v>
      </c>
      <c r="O2723">
        <v>0.73815243464907099</v>
      </c>
      <c r="P2723" t="s">
        <v>36</v>
      </c>
    </row>
    <row r="2724" spans="1:16">
      <c r="A2724">
        <v>2723</v>
      </c>
      <c r="B2724" t="s">
        <v>2787</v>
      </c>
      <c r="C2724">
        <v>289</v>
      </c>
      <c r="D2724">
        <v>559</v>
      </c>
      <c r="E2724">
        <v>280.680773888217</v>
      </c>
      <c r="F2724">
        <v>0.51643190006921302</v>
      </c>
      <c r="G2724">
        <v>61875</v>
      </c>
      <c r="H2724">
        <v>2213.7972366809799</v>
      </c>
      <c r="I2724">
        <v>0.85656760296899004</v>
      </c>
      <c r="J2724">
        <v>0.158653403767614</v>
      </c>
      <c r="K2724">
        <v>0.53542455381287202</v>
      </c>
      <c r="L2724" t="s">
        <v>38</v>
      </c>
      <c r="M2724" t="s">
        <v>34</v>
      </c>
      <c r="N2724" t="s">
        <v>35</v>
      </c>
      <c r="O2724">
        <v>0.78879566499977105</v>
      </c>
      <c r="P2724" t="s">
        <v>36</v>
      </c>
    </row>
    <row r="2725" spans="1:16">
      <c r="A2725">
        <v>2724</v>
      </c>
      <c r="B2725" t="s">
        <v>2788</v>
      </c>
      <c r="C2725">
        <v>245</v>
      </c>
      <c r="D2725">
        <v>617</v>
      </c>
      <c r="E2725">
        <v>290.76297180076898</v>
      </c>
      <c r="F2725">
        <v>0.396859596132001</v>
      </c>
      <c r="G2725">
        <v>66400</v>
      </c>
      <c r="H2725">
        <v>2510.3657782077798</v>
      </c>
      <c r="I2725">
        <v>0.88592179151564299</v>
      </c>
      <c r="J2725">
        <v>0.13240486157321599</v>
      </c>
      <c r="K2725">
        <v>0.56916318439944302</v>
      </c>
      <c r="L2725" t="s">
        <v>49</v>
      </c>
      <c r="M2725" t="s">
        <v>34</v>
      </c>
      <c r="N2725" t="s">
        <v>35</v>
      </c>
      <c r="O2725">
        <v>0.68760924934118495</v>
      </c>
      <c r="P2725" t="s">
        <v>36</v>
      </c>
    </row>
    <row r="2726" spans="1:16">
      <c r="A2726">
        <v>2725</v>
      </c>
      <c r="B2726" t="s">
        <v>2789</v>
      </c>
      <c r="C2726">
        <v>535</v>
      </c>
      <c r="D2726">
        <v>260</v>
      </c>
      <c r="E2726">
        <v>291.66473403998998</v>
      </c>
      <c r="F2726">
        <v>2.0547617492430601</v>
      </c>
      <c r="G2726">
        <v>66812.5</v>
      </c>
      <c r="H2726">
        <v>2042.16773211956</v>
      </c>
      <c r="I2726">
        <v>0.85596047669560804</v>
      </c>
      <c r="J2726">
        <v>0.201319001236793</v>
      </c>
      <c r="K2726">
        <v>0.64945321992709604</v>
      </c>
      <c r="L2726" t="s">
        <v>38</v>
      </c>
      <c r="M2726" t="s">
        <v>34</v>
      </c>
      <c r="N2726" t="s">
        <v>35</v>
      </c>
      <c r="O2726">
        <v>0.77119665748672706</v>
      </c>
      <c r="P2726" t="s">
        <v>36</v>
      </c>
    </row>
    <row r="2727" spans="1:16">
      <c r="A2727">
        <v>2726</v>
      </c>
      <c r="B2727" t="s">
        <v>2790</v>
      </c>
      <c r="C2727">
        <v>319</v>
      </c>
      <c r="D2727">
        <v>421</v>
      </c>
      <c r="E2727">
        <v>291.69201664928602</v>
      </c>
      <c r="F2727">
        <v>0.75804364817626901</v>
      </c>
      <c r="G2727">
        <v>66825</v>
      </c>
      <c r="H2727">
        <v>1874.0916121006001</v>
      </c>
      <c r="I2727">
        <v>0.63205719713260999</v>
      </c>
      <c r="J2727">
        <v>0.239093185165723</v>
      </c>
      <c r="K2727">
        <v>0.682235834609495</v>
      </c>
      <c r="L2727" t="s">
        <v>38</v>
      </c>
      <c r="M2727" t="s">
        <v>34</v>
      </c>
      <c r="N2727" t="s">
        <v>35</v>
      </c>
      <c r="O2727">
        <v>0.71901980842929702</v>
      </c>
      <c r="P2727" t="s">
        <v>36</v>
      </c>
    </row>
    <row r="2728" spans="1:16">
      <c r="A2728">
        <v>2727</v>
      </c>
      <c r="B2728" t="s">
        <v>2791</v>
      </c>
      <c r="C2728">
        <v>342</v>
      </c>
      <c r="D2728">
        <v>301</v>
      </c>
      <c r="E2728">
        <v>291.82839143659999</v>
      </c>
      <c r="F2728">
        <v>1.1344371276746901</v>
      </c>
      <c r="G2728">
        <v>66887.5</v>
      </c>
      <c r="H2728">
        <v>1494.88851368427</v>
      </c>
      <c r="I2728">
        <v>0.77704406377083102</v>
      </c>
      <c r="J2728">
        <v>0.37612934543689303</v>
      </c>
      <c r="K2728">
        <v>0.83897773596738801</v>
      </c>
      <c r="L2728" t="s">
        <v>38</v>
      </c>
      <c r="M2728" t="s">
        <v>34</v>
      </c>
      <c r="N2728" t="s">
        <v>35</v>
      </c>
      <c r="O2728">
        <v>0.77858769347601398</v>
      </c>
      <c r="P2728" t="s">
        <v>36</v>
      </c>
    </row>
    <row r="2729" spans="1:16">
      <c r="A2729">
        <v>2728</v>
      </c>
      <c r="B2729" t="s">
        <v>2792</v>
      </c>
      <c r="C2729">
        <v>569</v>
      </c>
      <c r="D2729">
        <v>278</v>
      </c>
      <c r="E2729">
        <v>292.12819187109301</v>
      </c>
      <c r="F2729">
        <v>2.0460704835819499</v>
      </c>
      <c r="G2729">
        <v>67025</v>
      </c>
      <c r="H2729">
        <v>2153.0865597724901</v>
      </c>
      <c r="I2729">
        <v>0.70735304739154803</v>
      </c>
      <c r="J2729">
        <v>0.18168693842360001</v>
      </c>
      <c r="K2729">
        <v>0.63238589456303795</v>
      </c>
      <c r="L2729" t="s">
        <v>33</v>
      </c>
      <c r="M2729" t="s">
        <v>34</v>
      </c>
      <c r="N2729" t="s">
        <v>35</v>
      </c>
      <c r="O2729">
        <v>0.70609932998177904</v>
      </c>
      <c r="P2729" t="s">
        <v>36</v>
      </c>
    </row>
    <row r="2730" spans="1:16">
      <c r="A2730">
        <v>2729</v>
      </c>
      <c r="B2730" t="s">
        <v>2793</v>
      </c>
      <c r="C2730">
        <v>268</v>
      </c>
      <c r="D2730">
        <v>436</v>
      </c>
      <c r="E2730">
        <v>296.53516833298602</v>
      </c>
      <c r="F2730">
        <v>0.61448242325304003</v>
      </c>
      <c r="G2730">
        <v>69062.5</v>
      </c>
      <c r="H2730">
        <v>1614.88851368427</v>
      </c>
      <c r="I2730">
        <v>0.88577317571747205</v>
      </c>
      <c r="J2730">
        <v>0.33278754842095598</v>
      </c>
      <c r="K2730">
        <v>0.78491262963489095</v>
      </c>
      <c r="L2730" t="s">
        <v>38</v>
      </c>
      <c r="M2730" t="s">
        <v>34</v>
      </c>
      <c r="N2730" t="s">
        <v>35</v>
      </c>
      <c r="O2730">
        <v>0.69457455663832901</v>
      </c>
      <c r="P2730" t="s">
        <v>36</v>
      </c>
    </row>
    <row r="2731" spans="1:16">
      <c r="A2731">
        <v>2730</v>
      </c>
      <c r="B2731" t="s">
        <v>2794</v>
      </c>
      <c r="C2731">
        <v>510</v>
      </c>
      <c r="D2731">
        <v>254</v>
      </c>
      <c r="E2731">
        <v>296.85702280724701</v>
      </c>
      <c r="F2731">
        <v>2.01211260979295</v>
      </c>
      <c r="G2731">
        <v>69212.5</v>
      </c>
      <c r="H2731">
        <v>1857.7312213182399</v>
      </c>
      <c r="I2731">
        <v>0.57949639239100903</v>
      </c>
      <c r="J2731">
        <v>0.25201630547804299</v>
      </c>
      <c r="K2731">
        <v>0.72559297601886996</v>
      </c>
      <c r="L2731" t="s">
        <v>38</v>
      </c>
      <c r="M2731" t="s">
        <v>34</v>
      </c>
      <c r="N2731" t="s">
        <v>35</v>
      </c>
      <c r="O2731">
        <v>0.78683699005178798</v>
      </c>
      <c r="P2731" t="s">
        <v>36</v>
      </c>
    </row>
    <row r="2732" spans="1:16">
      <c r="A2732">
        <v>2731</v>
      </c>
      <c r="B2732" t="s">
        <v>2795</v>
      </c>
      <c r="C2732">
        <v>304</v>
      </c>
      <c r="D2732">
        <v>671</v>
      </c>
      <c r="E2732">
        <v>302.90728728850002</v>
      </c>
      <c r="F2732">
        <v>0.45266841149929599</v>
      </c>
      <c r="G2732">
        <v>72062.5</v>
      </c>
      <c r="H2732">
        <v>2771.9952827692</v>
      </c>
      <c r="I2732">
        <v>0.81489682644067196</v>
      </c>
      <c r="J2732">
        <v>0.117851255869257</v>
      </c>
      <c r="K2732">
        <v>0.50402168211225695</v>
      </c>
      <c r="L2732" t="s">
        <v>38</v>
      </c>
      <c r="M2732" t="s">
        <v>34</v>
      </c>
      <c r="N2732" t="s">
        <v>35</v>
      </c>
      <c r="O2732">
        <v>0.815491326441947</v>
      </c>
      <c r="P2732" t="s">
        <v>36</v>
      </c>
    </row>
    <row r="2733" spans="1:16">
      <c r="A2733">
        <v>2732</v>
      </c>
      <c r="B2733" t="s">
        <v>2796</v>
      </c>
      <c r="C2733">
        <v>349</v>
      </c>
      <c r="D2733">
        <v>373</v>
      </c>
      <c r="E2733">
        <v>303.37980089327499</v>
      </c>
      <c r="F2733">
        <v>0.93647248418434803</v>
      </c>
      <c r="G2733">
        <v>72287.5</v>
      </c>
      <c r="H2733">
        <v>2041.16267979145</v>
      </c>
      <c r="I2733">
        <v>0.80259199718752605</v>
      </c>
      <c r="J2733">
        <v>0.21803079129823699</v>
      </c>
      <c r="K2733">
        <v>0.699782187802517</v>
      </c>
      <c r="L2733" t="s">
        <v>38</v>
      </c>
      <c r="M2733" t="s">
        <v>34</v>
      </c>
      <c r="N2733" t="s">
        <v>35</v>
      </c>
      <c r="O2733">
        <v>0.77737497530854605</v>
      </c>
      <c r="P2733" t="s">
        <v>36</v>
      </c>
    </row>
    <row r="2734" spans="1:16">
      <c r="A2734">
        <v>2733</v>
      </c>
      <c r="B2734" t="s">
        <v>2797</v>
      </c>
      <c r="C2734">
        <v>255</v>
      </c>
      <c r="D2734">
        <v>555</v>
      </c>
      <c r="E2734">
        <v>311.66049119030703</v>
      </c>
      <c r="F2734">
        <v>0.460340054326912</v>
      </c>
      <c r="G2734">
        <v>76287.5</v>
      </c>
      <c r="H2734">
        <v>2226.7261689901402</v>
      </c>
      <c r="I2734">
        <v>0.85334004228970695</v>
      </c>
      <c r="J2734">
        <v>0.19334351989422199</v>
      </c>
      <c r="K2734">
        <v>0.70767625231910902</v>
      </c>
      <c r="L2734" t="s">
        <v>38</v>
      </c>
      <c r="M2734" t="s">
        <v>34</v>
      </c>
      <c r="N2734" t="s">
        <v>35</v>
      </c>
      <c r="O2734">
        <v>0.76072165323990504</v>
      </c>
      <c r="P2734" t="s">
        <v>36</v>
      </c>
    </row>
    <row r="2735" spans="1:16">
      <c r="A2735">
        <v>2734</v>
      </c>
      <c r="B2735" t="s">
        <v>2798</v>
      </c>
      <c r="C2735">
        <v>425</v>
      </c>
      <c r="D2735">
        <v>376</v>
      </c>
      <c r="E2735">
        <v>313.89938717396802</v>
      </c>
      <c r="F2735">
        <v>1.1324082996238101</v>
      </c>
      <c r="G2735">
        <v>77387.5</v>
      </c>
      <c r="H2735">
        <v>2240.1576274633398</v>
      </c>
      <c r="I2735">
        <v>0.74104797594399696</v>
      </c>
      <c r="J2735">
        <v>0.193786502449113</v>
      </c>
      <c r="K2735">
        <v>0.62377833753148604</v>
      </c>
      <c r="L2735" t="s">
        <v>74</v>
      </c>
      <c r="M2735" t="s">
        <v>34</v>
      </c>
      <c r="N2735" t="s">
        <v>35</v>
      </c>
      <c r="O2735">
        <v>0.66937658465712702</v>
      </c>
      <c r="P2735" t="s">
        <v>36</v>
      </c>
    </row>
    <row r="2736" spans="1:16">
      <c r="A2736">
        <v>2735</v>
      </c>
      <c r="B2736" t="s">
        <v>2799</v>
      </c>
      <c r="C2736">
        <v>478</v>
      </c>
      <c r="D2736">
        <v>269</v>
      </c>
      <c r="E2736">
        <v>314.96234065230499</v>
      </c>
      <c r="F2736">
        <v>1.7788638689721701</v>
      </c>
      <c r="G2736">
        <v>77912.5</v>
      </c>
      <c r="H2736">
        <v>1654.5941382646599</v>
      </c>
      <c r="I2736">
        <v>0.534780224379094</v>
      </c>
      <c r="J2736">
        <v>0.35763008102161098</v>
      </c>
      <c r="K2736">
        <v>0.809270319397559</v>
      </c>
      <c r="L2736" t="s">
        <v>38</v>
      </c>
      <c r="M2736" t="s">
        <v>34</v>
      </c>
      <c r="N2736" t="s">
        <v>35</v>
      </c>
      <c r="O2736">
        <v>0.85457293286762803</v>
      </c>
      <c r="P2736" t="s">
        <v>36</v>
      </c>
    </row>
    <row r="2737" spans="1:16">
      <c r="A2737">
        <v>2736</v>
      </c>
      <c r="B2737" t="s">
        <v>2800</v>
      </c>
      <c r="C2737">
        <v>305</v>
      </c>
      <c r="D2737">
        <v>669</v>
      </c>
      <c r="E2737">
        <v>315.61856548881502</v>
      </c>
      <c r="F2737">
        <v>0.45550801474594699</v>
      </c>
      <c r="G2737">
        <v>78237.5</v>
      </c>
      <c r="H2737">
        <v>2944.4216889142999</v>
      </c>
      <c r="I2737">
        <v>0.89522553254664095</v>
      </c>
      <c r="J2737">
        <v>0.113403070149332</v>
      </c>
      <c r="K2737">
        <v>0.54378801042571701</v>
      </c>
      <c r="L2737" t="s">
        <v>38</v>
      </c>
      <c r="M2737" t="s">
        <v>34</v>
      </c>
      <c r="N2737" t="s">
        <v>35</v>
      </c>
      <c r="O2737">
        <v>0.83310565469345799</v>
      </c>
      <c r="P2737" t="s">
        <v>36</v>
      </c>
    </row>
    <row r="2738" spans="1:16">
      <c r="A2738">
        <v>2737</v>
      </c>
      <c r="B2738" t="s">
        <v>2801</v>
      </c>
      <c r="C2738">
        <v>630</v>
      </c>
      <c r="D2738">
        <v>291</v>
      </c>
      <c r="E2738">
        <v>317.05245947136399</v>
      </c>
      <c r="F2738">
        <v>2.1660759546129098</v>
      </c>
      <c r="G2738">
        <v>78950</v>
      </c>
      <c r="H2738">
        <v>2724.2135381698599</v>
      </c>
      <c r="I2738">
        <v>0.584827990677104</v>
      </c>
      <c r="J2738">
        <v>0.13368408400735901</v>
      </c>
      <c r="K2738">
        <v>0.58901426839503901</v>
      </c>
      <c r="L2738" t="s">
        <v>38</v>
      </c>
      <c r="M2738" t="s">
        <v>34</v>
      </c>
      <c r="N2738" t="s">
        <v>35</v>
      </c>
      <c r="O2738">
        <v>0.71979204481464598</v>
      </c>
      <c r="P2738" t="s">
        <v>36</v>
      </c>
    </row>
    <row r="2739" spans="1:16">
      <c r="A2739">
        <v>2738</v>
      </c>
      <c r="B2739" t="s">
        <v>2802</v>
      </c>
      <c r="C2739">
        <v>375</v>
      </c>
      <c r="D2739">
        <v>360</v>
      </c>
      <c r="E2739">
        <v>317.25318912709901</v>
      </c>
      <c r="F2739">
        <v>1.04168208042273</v>
      </c>
      <c r="G2739">
        <v>79050</v>
      </c>
      <c r="H2739">
        <v>1894.8022890090899</v>
      </c>
      <c r="I2739">
        <v>0.61191283320006196</v>
      </c>
      <c r="J2739">
        <v>0.27668393072749498</v>
      </c>
      <c r="K2739">
        <v>0.76478413351070296</v>
      </c>
      <c r="L2739" t="s">
        <v>43</v>
      </c>
      <c r="M2739" t="s">
        <v>34</v>
      </c>
      <c r="N2739" t="s">
        <v>35</v>
      </c>
      <c r="O2739">
        <v>0.630830082312828</v>
      </c>
      <c r="P2739" t="s">
        <v>36</v>
      </c>
    </row>
    <row r="2740" spans="1:16">
      <c r="A2740">
        <v>2739</v>
      </c>
      <c r="B2740" t="s">
        <v>2803</v>
      </c>
      <c r="C2740">
        <v>651</v>
      </c>
      <c r="D2740">
        <v>353</v>
      </c>
      <c r="E2740">
        <v>320.099909969625</v>
      </c>
      <c r="F2740">
        <v>1.8431758496899799</v>
      </c>
      <c r="G2740">
        <v>80475</v>
      </c>
      <c r="H2740">
        <v>2704.9242150783498</v>
      </c>
      <c r="I2740">
        <v>0.54620032610186697</v>
      </c>
      <c r="J2740">
        <v>0.13821674010491899</v>
      </c>
      <c r="K2740">
        <v>0.53224206349206304</v>
      </c>
      <c r="L2740" t="s">
        <v>38</v>
      </c>
      <c r="M2740" t="s">
        <v>34</v>
      </c>
      <c r="N2740" t="s">
        <v>35</v>
      </c>
      <c r="O2740">
        <v>0.694651190262361</v>
      </c>
      <c r="P2740" t="s">
        <v>36</v>
      </c>
    </row>
    <row r="2741" spans="1:16">
      <c r="A2741">
        <v>2740</v>
      </c>
      <c r="B2741" t="s">
        <v>2804</v>
      </c>
      <c r="C2741">
        <v>364</v>
      </c>
      <c r="D2741">
        <v>415</v>
      </c>
      <c r="E2741">
        <v>320.39809346229299</v>
      </c>
      <c r="F2741">
        <v>0.876994406794393</v>
      </c>
      <c r="G2741">
        <v>80625</v>
      </c>
      <c r="H2741">
        <v>2084.8022890090901</v>
      </c>
      <c r="I2741">
        <v>0.79599063730390296</v>
      </c>
      <c r="J2741">
        <v>0.233104061887976</v>
      </c>
      <c r="K2741">
        <v>0.74991280083711198</v>
      </c>
      <c r="L2741" t="s">
        <v>38</v>
      </c>
      <c r="M2741" t="s">
        <v>34</v>
      </c>
      <c r="N2741" t="s">
        <v>35</v>
      </c>
      <c r="O2741">
        <v>0.80536008185298202</v>
      </c>
      <c r="P2741" t="s">
        <v>36</v>
      </c>
    </row>
    <row r="2742" spans="1:16">
      <c r="A2742">
        <v>2741</v>
      </c>
      <c r="B2742" t="s">
        <v>2805</v>
      </c>
      <c r="C2742">
        <v>316</v>
      </c>
      <c r="D2742">
        <v>583</v>
      </c>
      <c r="E2742">
        <v>323.95488802423699</v>
      </c>
      <c r="F2742">
        <v>0.54266892465654504</v>
      </c>
      <c r="G2742">
        <v>82425</v>
      </c>
      <c r="H2742">
        <v>2356.2236428260799</v>
      </c>
      <c r="I2742">
        <v>0.76952872533846906</v>
      </c>
      <c r="J2742">
        <v>0.18656741788476799</v>
      </c>
      <c r="K2742">
        <v>0.64231443600233795</v>
      </c>
      <c r="L2742" t="s">
        <v>38</v>
      </c>
      <c r="M2742" t="s">
        <v>34</v>
      </c>
      <c r="N2742" t="s">
        <v>35</v>
      </c>
      <c r="O2742">
        <v>0.72816463338942405</v>
      </c>
      <c r="P2742" t="s">
        <v>36</v>
      </c>
    </row>
    <row r="2743" spans="1:16">
      <c r="A2743">
        <v>2742</v>
      </c>
      <c r="B2743" t="s">
        <v>2806</v>
      </c>
      <c r="C2743">
        <v>476</v>
      </c>
      <c r="D2743">
        <v>356</v>
      </c>
      <c r="E2743">
        <v>324.76450050305499</v>
      </c>
      <c r="F2743">
        <v>1.33760337167778</v>
      </c>
      <c r="G2743">
        <v>82837.5</v>
      </c>
      <c r="H2743">
        <v>2461.57898128033</v>
      </c>
      <c r="I2743">
        <v>0.80106680396772401</v>
      </c>
      <c r="J2743">
        <v>0.171794516598784</v>
      </c>
      <c r="K2743">
        <v>0.65309943825761296</v>
      </c>
      <c r="L2743" t="s">
        <v>38</v>
      </c>
      <c r="M2743" t="s">
        <v>34</v>
      </c>
      <c r="N2743" t="s">
        <v>35</v>
      </c>
      <c r="O2743">
        <v>0.66221812683722903</v>
      </c>
      <c r="P2743" t="s">
        <v>36</v>
      </c>
    </row>
    <row r="2744" spans="1:16">
      <c r="A2744">
        <v>2743</v>
      </c>
      <c r="B2744" t="s">
        <v>2807</v>
      </c>
      <c r="C2744">
        <v>282</v>
      </c>
      <c r="D2744">
        <v>485</v>
      </c>
      <c r="E2744">
        <v>327.30290587642901</v>
      </c>
      <c r="F2744">
        <v>0.58147264631543805</v>
      </c>
      <c r="G2744">
        <v>84137.5</v>
      </c>
      <c r="H2744">
        <v>1997.0205444097501</v>
      </c>
      <c r="I2744">
        <v>0.82806760036498395</v>
      </c>
      <c r="J2744">
        <v>0.26511506207826402</v>
      </c>
      <c r="K2744">
        <v>0.80169128156264902</v>
      </c>
      <c r="L2744" t="s">
        <v>38</v>
      </c>
      <c r="M2744" t="s">
        <v>34</v>
      </c>
      <c r="N2744" t="s">
        <v>35</v>
      </c>
      <c r="O2744">
        <v>0.78140204586879702</v>
      </c>
      <c r="P2744" t="s">
        <v>36</v>
      </c>
    </row>
    <row r="2745" spans="1:16">
      <c r="A2745">
        <v>2744</v>
      </c>
      <c r="B2745" t="s">
        <v>2808</v>
      </c>
      <c r="C2745">
        <v>592</v>
      </c>
      <c r="D2745">
        <v>244</v>
      </c>
      <c r="E2745">
        <v>331.86626918021</v>
      </c>
      <c r="F2745">
        <v>2.4252427141988999</v>
      </c>
      <c r="G2745">
        <v>86500</v>
      </c>
      <c r="H2745">
        <v>2278.6500489711798</v>
      </c>
      <c r="I2745">
        <v>0.66849870519232402</v>
      </c>
      <c r="J2745">
        <v>0.209348911546135</v>
      </c>
      <c r="K2745">
        <v>0.72384937238493696</v>
      </c>
      <c r="L2745" t="s">
        <v>38</v>
      </c>
      <c r="M2745" t="s">
        <v>34</v>
      </c>
      <c r="N2745" t="s">
        <v>35</v>
      </c>
      <c r="O2745">
        <v>0.75883002241652897</v>
      </c>
      <c r="P2745" t="s">
        <v>36</v>
      </c>
    </row>
    <row r="2746" spans="1:16">
      <c r="A2746">
        <v>2745</v>
      </c>
      <c r="B2746" t="s">
        <v>2809</v>
      </c>
      <c r="C2746">
        <v>438</v>
      </c>
      <c r="D2746">
        <v>414</v>
      </c>
      <c r="E2746">
        <v>340.66961194478398</v>
      </c>
      <c r="F2746">
        <v>1.05945937073331</v>
      </c>
      <c r="G2746">
        <v>91150</v>
      </c>
      <c r="H2746">
        <v>2365.51296591759</v>
      </c>
      <c r="I2746">
        <v>0.802609713828352</v>
      </c>
      <c r="J2746">
        <v>0.20469907081991001</v>
      </c>
      <c r="K2746">
        <v>0.65107142857142897</v>
      </c>
      <c r="L2746" t="s">
        <v>38</v>
      </c>
      <c r="M2746" t="s">
        <v>34</v>
      </c>
      <c r="N2746" t="s">
        <v>35</v>
      </c>
      <c r="O2746">
        <v>0.76840995126507805</v>
      </c>
      <c r="P2746" t="s">
        <v>36</v>
      </c>
    </row>
    <row r="2747" spans="1:16">
      <c r="A2747">
        <v>2746</v>
      </c>
      <c r="B2747" t="s">
        <v>2810</v>
      </c>
      <c r="C2747">
        <v>364</v>
      </c>
      <c r="D2747">
        <v>416</v>
      </c>
      <c r="E2747">
        <v>343.15993704640601</v>
      </c>
      <c r="F2747">
        <v>0.87483697871591504</v>
      </c>
      <c r="G2747">
        <v>92487.5</v>
      </c>
      <c r="H2747">
        <v>2309.86325204372</v>
      </c>
      <c r="I2747">
        <v>0.81028806101035</v>
      </c>
      <c r="J2747">
        <v>0.21783134098669399</v>
      </c>
      <c r="K2747">
        <v>0.72023751581816398</v>
      </c>
      <c r="L2747" t="s">
        <v>38</v>
      </c>
      <c r="M2747" t="s">
        <v>34</v>
      </c>
      <c r="N2747" t="s">
        <v>35</v>
      </c>
      <c r="O2747">
        <v>0.80118087231359103</v>
      </c>
      <c r="P2747" t="s">
        <v>36</v>
      </c>
    </row>
    <row r="2748" spans="1:16">
      <c r="A2748">
        <v>2747</v>
      </c>
      <c r="B2748" t="s">
        <v>2811</v>
      </c>
      <c r="C2748">
        <v>430</v>
      </c>
      <c r="D2748">
        <v>415</v>
      </c>
      <c r="E2748">
        <v>344.98705257461398</v>
      </c>
      <c r="F2748">
        <v>1.0361445783132499</v>
      </c>
      <c r="G2748">
        <v>93475</v>
      </c>
      <c r="H2748">
        <v>2482.7921843528702</v>
      </c>
      <c r="I2748">
        <v>0.68203321398804495</v>
      </c>
      <c r="J2748">
        <v>0.19055686473328901</v>
      </c>
      <c r="K2748">
        <v>0.65395714910362901</v>
      </c>
      <c r="L2748" t="s">
        <v>38</v>
      </c>
      <c r="M2748" t="s">
        <v>34</v>
      </c>
      <c r="N2748" t="s">
        <v>35</v>
      </c>
      <c r="O2748">
        <v>0.77710214240711495</v>
      </c>
      <c r="P2748" t="s">
        <v>36</v>
      </c>
    </row>
    <row r="2749" spans="1:16">
      <c r="A2749">
        <v>2748</v>
      </c>
      <c r="B2749" t="s">
        <v>2812</v>
      </c>
      <c r="C2749">
        <v>303</v>
      </c>
      <c r="D2749">
        <v>703</v>
      </c>
      <c r="E2749">
        <v>357.24830141708298</v>
      </c>
      <c r="F2749">
        <v>0.43103444161417598</v>
      </c>
      <c r="G2749">
        <v>100237.5</v>
      </c>
      <c r="H2749">
        <v>3384.12731349468</v>
      </c>
      <c r="I2749">
        <v>0.87488885331840305</v>
      </c>
      <c r="J2749">
        <v>0.109988354350582</v>
      </c>
      <c r="K2749">
        <v>0.59364820846905497</v>
      </c>
      <c r="L2749" t="s">
        <v>38</v>
      </c>
      <c r="M2749" t="s">
        <v>34</v>
      </c>
      <c r="N2749" t="s">
        <v>35</v>
      </c>
      <c r="O2749">
        <v>0.70582606045056195</v>
      </c>
      <c r="P2749" t="s">
        <v>36</v>
      </c>
    </row>
    <row r="2750" spans="1:16">
      <c r="A2750">
        <v>2749</v>
      </c>
      <c r="B2750" t="s">
        <v>2813</v>
      </c>
      <c r="C2750">
        <v>473</v>
      </c>
      <c r="D2750">
        <v>550</v>
      </c>
      <c r="E2750">
        <v>372.89901284314101</v>
      </c>
      <c r="F2750">
        <v>0.86010663598930703</v>
      </c>
      <c r="G2750">
        <v>109212.5</v>
      </c>
      <c r="H2750">
        <v>3191.7009073495901</v>
      </c>
      <c r="I2750">
        <v>0.78065286443499604</v>
      </c>
      <c r="J2750">
        <v>0.13472178816588901</v>
      </c>
      <c r="K2750">
        <v>0.60472037652270205</v>
      </c>
      <c r="L2750" t="s">
        <v>38</v>
      </c>
      <c r="M2750" t="s">
        <v>34</v>
      </c>
      <c r="N2750" t="s">
        <v>35</v>
      </c>
      <c r="O2750">
        <v>0.74078322938261099</v>
      </c>
      <c r="P2750" t="s">
        <v>36</v>
      </c>
    </row>
    <row r="2751" spans="1:16">
      <c r="A2751">
        <v>2750</v>
      </c>
      <c r="B2751" t="s">
        <v>2814</v>
      </c>
      <c r="C2751">
        <v>561</v>
      </c>
      <c r="D2751">
        <v>408</v>
      </c>
      <c r="E2751">
        <v>380.984655989987</v>
      </c>
      <c r="F2751">
        <v>1.3764803811266999</v>
      </c>
      <c r="G2751">
        <v>114000</v>
      </c>
      <c r="H2751">
        <v>2844.9242150783498</v>
      </c>
      <c r="I2751">
        <v>0.795238150602813</v>
      </c>
      <c r="J2751">
        <v>0.177000018445268</v>
      </c>
      <c r="K2751">
        <v>0.69269330092662895</v>
      </c>
      <c r="L2751" t="s">
        <v>38</v>
      </c>
      <c r="M2751" t="s">
        <v>34</v>
      </c>
      <c r="N2751" t="s">
        <v>35</v>
      </c>
      <c r="O2751">
        <v>0.72586809115758899</v>
      </c>
      <c r="P2751" t="s">
        <v>36</v>
      </c>
    </row>
    <row r="2752" spans="1:16">
      <c r="A2752">
        <v>2751</v>
      </c>
      <c r="B2752" t="s">
        <v>2815</v>
      </c>
      <c r="C2752">
        <v>411</v>
      </c>
      <c r="D2752">
        <v>868</v>
      </c>
      <c r="E2752">
        <v>384.85008775017599</v>
      </c>
      <c r="F2752">
        <v>0.47358733927507501</v>
      </c>
      <c r="G2752">
        <v>116325</v>
      </c>
      <c r="H2752">
        <v>4339.6045780181903</v>
      </c>
      <c r="I2752">
        <v>0.84254735253174895</v>
      </c>
      <c r="J2752">
        <v>7.7621603098360803E-2</v>
      </c>
      <c r="K2752">
        <v>0.441691584792824</v>
      </c>
      <c r="L2752" t="s">
        <v>288</v>
      </c>
      <c r="M2752" t="s">
        <v>34</v>
      </c>
      <c r="N2752" t="s">
        <v>35</v>
      </c>
      <c r="O2752">
        <v>0.62880592515552602</v>
      </c>
      <c r="P2752" t="s">
        <v>36</v>
      </c>
    </row>
    <row r="2753" spans="1:16">
      <c r="A2753">
        <v>2752</v>
      </c>
      <c r="B2753" t="s">
        <v>2816</v>
      </c>
      <c r="C2753">
        <v>386</v>
      </c>
      <c r="D2753">
        <v>586</v>
      </c>
      <c r="E2753">
        <v>387.59044207054399</v>
      </c>
      <c r="F2753">
        <v>0.65732014789969795</v>
      </c>
      <c r="G2753">
        <v>117987.5</v>
      </c>
      <c r="H2753">
        <v>2899.9851781129801</v>
      </c>
      <c r="I2753">
        <v>0.76294720367519298</v>
      </c>
      <c r="J2753">
        <v>0.17630080961533001</v>
      </c>
      <c r="K2753">
        <v>0.64655113363928995</v>
      </c>
      <c r="L2753" t="s">
        <v>38</v>
      </c>
      <c r="M2753" t="s">
        <v>34</v>
      </c>
      <c r="N2753" t="s">
        <v>35</v>
      </c>
      <c r="O2753">
        <v>0.76280937238713797</v>
      </c>
      <c r="P2753" t="s">
        <v>36</v>
      </c>
    </row>
    <row r="2754" spans="1:16">
      <c r="A2754">
        <v>2753</v>
      </c>
      <c r="B2754" t="s">
        <v>2817</v>
      </c>
      <c r="C2754">
        <v>539</v>
      </c>
      <c r="D2754">
        <v>347</v>
      </c>
      <c r="E2754">
        <v>389.10679429087298</v>
      </c>
      <c r="F2754">
        <v>1.5545187393086299</v>
      </c>
      <c r="G2754">
        <v>118912.5</v>
      </c>
      <c r="H2754">
        <v>2369.86325204372</v>
      </c>
      <c r="I2754">
        <v>0.65647971497643798</v>
      </c>
      <c r="J2754">
        <v>0.26606686986447797</v>
      </c>
      <c r="K2754">
        <v>0.79024754942681497</v>
      </c>
      <c r="L2754" t="s">
        <v>33</v>
      </c>
      <c r="M2754" t="s">
        <v>34</v>
      </c>
      <c r="N2754" t="s">
        <v>35</v>
      </c>
      <c r="O2754">
        <v>0.67198371151714897</v>
      </c>
      <c r="P2754" t="s">
        <v>36</v>
      </c>
    </row>
    <row r="2755" spans="1:16">
      <c r="A2755">
        <v>2754</v>
      </c>
      <c r="B2755" t="s">
        <v>2818</v>
      </c>
      <c r="C2755">
        <v>772</v>
      </c>
      <c r="D2755">
        <v>358</v>
      </c>
      <c r="E2755">
        <v>396.09966283751203</v>
      </c>
      <c r="F2755">
        <v>2.1581620050907802</v>
      </c>
      <c r="G2755">
        <v>123225</v>
      </c>
      <c r="H2755">
        <v>3794.0410888195001</v>
      </c>
      <c r="I2755">
        <v>0.56330787277840699</v>
      </c>
      <c r="J2755">
        <v>0.107573334540336</v>
      </c>
      <c r="K2755">
        <v>0.52679955111419896</v>
      </c>
      <c r="L2755" t="s">
        <v>38</v>
      </c>
      <c r="M2755" t="s">
        <v>34</v>
      </c>
      <c r="N2755" t="s">
        <v>35</v>
      </c>
      <c r="O2755">
        <v>0.70180320413264397</v>
      </c>
      <c r="P2755" t="s">
        <v>36</v>
      </c>
    </row>
    <row r="2756" spans="1:16">
      <c r="A2756">
        <v>2755</v>
      </c>
      <c r="B2756" t="s">
        <v>2819</v>
      </c>
      <c r="C2756">
        <v>488</v>
      </c>
      <c r="D2756">
        <v>618</v>
      </c>
      <c r="E2756">
        <v>404.764250420905</v>
      </c>
      <c r="F2756">
        <v>0.79005028435313296</v>
      </c>
      <c r="G2756">
        <v>128675</v>
      </c>
      <c r="H2756">
        <v>3636.4674949646001</v>
      </c>
      <c r="I2756">
        <v>0.68262960565211195</v>
      </c>
      <c r="J2756">
        <v>0.122276956664699</v>
      </c>
      <c r="K2756">
        <v>0.570874001774623</v>
      </c>
      <c r="L2756" t="s">
        <v>38</v>
      </c>
      <c r="M2756" t="s">
        <v>34</v>
      </c>
      <c r="N2756" t="s">
        <v>35</v>
      </c>
      <c r="O2756">
        <v>0.79258970122994599</v>
      </c>
      <c r="P2756" t="s">
        <v>36</v>
      </c>
    </row>
    <row r="2757" spans="1:16">
      <c r="A2757">
        <v>2756</v>
      </c>
      <c r="B2757" t="s">
        <v>2820</v>
      </c>
      <c r="C2757">
        <v>357</v>
      </c>
      <c r="D2757">
        <v>601</v>
      </c>
      <c r="E2757">
        <v>406.882012141345</v>
      </c>
      <c r="F2757">
        <v>0.59431445386180404</v>
      </c>
      <c r="G2757">
        <v>130025</v>
      </c>
      <c r="H2757">
        <v>2477.64499664307</v>
      </c>
      <c r="I2757">
        <v>0.79973649659889701</v>
      </c>
      <c r="J2757">
        <v>0.266169670600998</v>
      </c>
      <c r="K2757">
        <v>0.78624338624338597</v>
      </c>
      <c r="L2757" t="s">
        <v>38</v>
      </c>
      <c r="M2757" t="s">
        <v>34</v>
      </c>
      <c r="N2757" t="s">
        <v>35</v>
      </c>
      <c r="O2757">
        <v>0.77234403529089002</v>
      </c>
      <c r="P2757" t="s">
        <v>36</v>
      </c>
    </row>
    <row r="2758" spans="1:16">
      <c r="A2758">
        <v>2757</v>
      </c>
      <c r="B2758" t="s">
        <v>2821</v>
      </c>
      <c r="C2758">
        <v>393</v>
      </c>
      <c r="D2758">
        <v>640</v>
      </c>
      <c r="E2758">
        <v>408.910972232765</v>
      </c>
      <c r="F2758">
        <v>0.61425964856752002</v>
      </c>
      <c r="G2758">
        <v>131325</v>
      </c>
      <c r="H2758">
        <v>3016.6399443149598</v>
      </c>
      <c r="I2758">
        <v>0.71934230944375699</v>
      </c>
      <c r="J2758">
        <v>0.18134697629463201</v>
      </c>
      <c r="K2758">
        <v>0.69268807278960898</v>
      </c>
      <c r="L2758" t="s">
        <v>38</v>
      </c>
      <c r="M2758" t="s">
        <v>34</v>
      </c>
      <c r="N2758" t="s">
        <v>35</v>
      </c>
      <c r="O2758">
        <v>0.81446717535680202</v>
      </c>
      <c r="P2758" t="s">
        <v>36</v>
      </c>
    </row>
    <row r="2759" spans="1:16">
      <c r="A2759">
        <v>2758</v>
      </c>
      <c r="B2759" t="s">
        <v>2822</v>
      </c>
      <c r="C2759">
        <v>374</v>
      </c>
      <c r="D2759">
        <v>778</v>
      </c>
      <c r="E2759">
        <v>416.03004772784902</v>
      </c>
      <c r="F2759">
        <v>0.47993590418950399</v>
      </c>
      <c r="G2759">
        <v>135937.5</v>
      </c>
      <c r="H2759">
        <v>3002.41158425808</v>
      </c>
      <c r="I2759">
        <v>0.86076414457231398</v>
      </c>
      <c r="J2759">
        <v>0.189499770591811</v>
      </c>
      <c r="K2759">
        <v>0.62478455704929303</v>
      </c>
      <c r="L2759" t="s">
        <v>38</v>
      </c>
      <c r="M2759" t="s">
        <v>34</v>
      </c>
      <c r="N2759" t="s">
        <v>35</v>
      </c>
      <c r="O2759">
        <v>0.72892864094364795</v>
      </c>
      <c r="P2759" t="s">
        <v>36</v>
      </c>
    </row>
    <row r="2760" spans="1:16">
      <c r="A2760">
        <v>2759</v>
      </c>
      <c r="B2760" t="s">
        <v>2823</v>
      </c>
      <c r="C2760">
        <v>355</v>
      </c>
      <c r="D2760">
        <v>825</v>
      </c>
      <c r="E2760">
        <v>421.72935504324698</v>
      </c>
      <c r="F2760">
        <v>0.42960424336368902</v>
      </c>
      <c r="G2760">
        <v>139687.5</v>
      </c>
      <c r="H2760">
        <v>4057.6806980371498</v>
      </c>
      <c r="I2760">
        <v>0.77736564026537602</v>
      </c>
      <c r="J2760">
        <v>0.10661336981712501</v>
      </c>
      <c r="K2760">
        <v>0.64379536812996896</v>
      </c>
      <c r="L2760" t="s">
        <v>74</v>
      </c>
      <c r="M2760" t="s">
        <v>34</v>
      </c>
      <c r="N2760" t="s">
        <v>35</v>
      </c>
      <c r="O2760">
        <v>0.71286701699403299</v>
      </c>
      <c r="P2760" t="s">
        <v>36</v>
      </c>
    </row>
    <row r="2761" spans="1:16">
      <c r="A2761">
        <v>2760</v>
      </c>
      <c r="B2761" t="s">
        <v>2824</v>
      </c>
      <c r="C2761">
        <v>395</v>
      </c>
      <c r="D2761">
        <v>626</v>
      </c>
      <c r="E2761">
        <v>427.073254586742</v>
      </c>
      <c r="F2761">
        <v>0.63104045298381295</v>
      </c>
      <c r="G2761">
        <v>143250</v>
      </c>
      <c r="H2761">
        <v>3328.7719750404399</v>
      </c>
      <c r="I2761">
        <v>0.83890298483839099</v>
      </c>
      <c r="J2761">
        <v>0.162456241614923</v>
      </c>
      <c r="K2761">
        <v>0.72554605887939205</v>
      </c>
      <c r="L2761" t="s">
        <v>33</v>
      </c>
      <c r="M2761" t="s">
        <v>34</v>
      </c>
      <c r="N2761" t="s">
        <v>35</v>
      </c>
      <c r="O2761">
        <v>0.71250143180760594</v>
      </c>
      <c r="P2761" t="s">
        <v>36</v>
      </c>
    </row>
    <row r="2762" spans="1:16">
      <c r="A2762">
        <v>2761</v>
      </c>
      <c r="B2762" t="s">
        <v>2825</v>
      </c>
      <c r="C2762">
        <v>677</v>
      </c>
      <c r="D2762">
        <v>484</v>
      </c>
      <c r="E2762">
        <v>432.57192071740099</v>
      </c>
      <c r="F2762">
        <v>1.3987072417136299</v>
      </c>
      <c r="G2762">
        <v>146962.5</v>
      </c>
      <c r="H2762">
        <v>3436.55371963978</v>
      </c>
      <c r="I2762">
        <v>0.45438570187919303</v>
      </c>
      <c r="J2762">
        <v>0.15637600757478701</v>
      </c>
      <c r="K2762">
        <v>0.64221336100945003</v>
      </c>
      <c r="L2762" t="s">
        <v>38</v>
      </c>
      <c r="M2762" t="s">
        <v>34</v>
      </c>
      <c r="N2762" t="s">
        <v>35</v>
      </c>
      <c r="O2762">
        <v>0.745580021478081</v>
      </c>
      <c r="P2762" t="s">
        <v>36</v>
      </c>
    </row>
    <row r="2763" spans="1:16">
      <c r="A2763">
        <v>2762</v>
      </c>
      <c r="B2763" t="s">
        <v>2826</v>
      </c>
      <c r="C2763">
        <v>826</v>
      </c>
      <c r="D2763">
        <v>634</v>
      </c>
      <c r="E2763">
        <v>442.82593124559003</v>
      </c>
      <c r="F2763">
        <v>1.3017980897032999</v>
      </c>
      <c r="G2763">
        <v>154012.5</v>
      </c>
      <c r="H2763">
        <v>5636.2088209390604</v>
      </c>
      <c r="I2763">
        <v>0.67305939657709302</v>
      </c>
      <c r="J2763">
        <v>6.0924459364630298E-2</v>
      </c>
      <c r="K2763">
        <v>0.38883453782308203</v>
      </c>
      <c r="L2763" t="s">
        <v>38</v>
      </c>
      <c r="M2763" t="s">
        <v>34</v>
      </c>
      <c r="N2763" t="s">
        <v>35</v>
      </c>
      <c r="O2763">
        <v>0.825442621026233</v>
      </c>
      <c r="P2763" t="s">
        <v>36</v>
      </c>
    </row>
    <row r="2764" spans="1:16">
      <c r="A2764">
        <v>2763</v>
      </c>
      <c r="B2764" t="s">
        <v>2827</v>
      </c>
      <c r="C2764">
        <v>690</v>
      </c>
      <c r="D2764">
        <v>421</v>
      </c>
      <c r="E2764">
        <v>443.20314841392701</v>
      </c>
      <c r="F2764">
        <v>1.64047143193253</v>
      </c>
      <c r="G2764">
        <v>154275</v>
      </c>
      <c r="H2764">
        <v>3368.47759962082</v>
      </c>
      <c r="I2764">
        <v>0.73820417635326596</v>
      </c>
      <c r="J2764">
        <v>0.17085909112519501</v>
      </c>
      <c r="K2764">
        <v>0.68578096349391604</v>
      </c>
      <c r="L2764" t="s">
        <v>38</v>
      </c>
      <c r="M2764" t="s">
        <v>34</v>
      </c>
      <c r="N2764" t="s">
        <v>35</v>
      </c>
      <c r="O2764">
        <v>0.68571864035141294</v>
      </c>
      <c r="P2764" t="s">
        <v>36</v>
      </c>
    </row>
    <row r="2765" spans="1:16">
      <c r="A2765">
        <v>2764</v>
      </c>
      <c r="B2765" t="s">
        <v>2828</v>
      </c>
      <c r="C2765">
        <v>673</v>
      </c>
      <c r="D2765">
        <v>520</v>
      </c>
      <c r="E2765">
        <v>444.76249703512201</v>
      </c>
      <c r="F2765">
        <v>1.29431356595008</v>
      </c>
      <c r="G2765">
        <v>155362.5</v>
      </c>
      <c r="H2765">
        <v>4870.2290302515003</v>
      </c>
      <c r="I2765">
        <v>0.77854265272851297</v>
      </c>
      <c r="J2765">
        <v>8.2310889486245403E-2</v>
      </c>
      <c r="K2765">
        <v>0.59832474847157402</v>
      </c>
      <c r="L2765" t="s">
        <v>38</v>
      </c>
      <c r="M2765" t="s">
        <v>34</v>
      </c>
      <c r="N2765" t="s">
        <v>35</v>
      </c>
      <c r="O2765">
        <v>0.81607309951017404</v>
      </c>
      <c r="P2765" t="s">
        <v>36</v>
      </c>
    </row>
    <row r="2766" spans="1:16">
      <c r="A2766">
        <v>2765</v>
      </c>
      <c r="B2766" t="s">
        <v>2829</v>
      </c>
      <c r="C2766">
        <v>422</v>
      </c>
      <c r="D2766">
        <v>743</v>
      </c>
      <c r="E2766">
        <v>453.497538541663</v>
      </c>
      <c r="F2766">
        <v>0.567636034552499</v>
      </c>
      <c r="G2766">
        <v>161525</v>
      </c>
      <c r="H2766">
        <v>3092.20343351364</v>
      </c>
      <c r="I2766">
        <v>0.86015626294416903</v>
      </c>
      <c r="J2766">
        <v>0.21228215981660101</v>
      </c>
      <c r="K2766">
        <v>0.75127906976744196</v>
      </c>
      <c r="L2766" t="s">
        <v>47</v>
      </c>
      <c r="M2766" t="s">
        <v>34</v>
      </c>
      <c r="N2766" t="s">
        <v>35</v>
      </c>
      <c r="O2766">
        <v>0.72502191017524997</v>
      </c>
      <c r="P2766" t="s">
        <v>36</v>
      </c>
    </row>
    <row r="2767" spans="1:16">
      <c r="A2767">
        <v>2766</v>
      </c>
      <c r="B2767" t="s">
        <v>2830</v>
      </c>
      <c r="C2767">
        <v>657</v>
      </c>
      <c r="D2767">
        <v>476</v>
      </c>
      <c r="E2767">
        <v>463.95803746867898</v>
      </c>
      <c r="F2767">
        <v>1.38028154349139</v>
      </c>
      <c r="G2767">
        <v>169062.5</v>
      </c>
      <c r="H2767">
        <v>4119.10205185413</v>
      </c>
      <c r="I2767">
        <v>0.65264553000625602</v>
      </c>
      <c r="J2767">
        <v>0.12521375714181601</v>
      </c>
      <c r="K2767">
        <v>0.66796720663769305</v>
      </c>
      <c r="L2767" t="s">
        <v>38</v>
      </c>
      <c r="M2767" t="s">
        <v>34</v>
      </c>
      <c r="N2767" t="s">
        <v>35</v>
      </c>
      <c r="O2767">
        <v>0.80433756316471805</v>
      </c>
      <c r="P2767" t="s">
        <v>36</v>
      </c>
    </row>
    <row r="2768" spans="1:16">
      <c r="A2768">
        <v>2767</v>
      </c>
      <c r="B2768" t="s">
        <v>2831</v>
      </c>
      <c r="C2768">
        <v>442</v>
      </c>
      <c r="D2768">
        <v>704</v>
      </c>
      <c r="E2768">
        <v>468.24336578684699</v>
      </c>
      <c r="F2768">
        <v>0.62861315560568798</v>
      </c>
      <c r="G2768">
        <v>172200</v>
      </c>
      <c r="H2768">
        <v>3706.7618703842199</v>
      </c>
      <c r="I2768">
        <v>0.68561781572594205</v>
      </c>
      <c r="J2768">
        <v>0.15749023721399699</v>
      </c>
      <c r="K2768">
        <v>0.72246696035242297</v>
      </c>
      <c r="L2768" t="s">
        <v>38</v>
      </c>
      <c r="M2768" t="s">
        <v>34</v>
      </c>
      <c r="N2768" t="s">
        <v>35</v>
      </c>
      <c r="O2768">
        <v>0.70216644893822699</v>
      </c>
      <c r="P2768" t="s">
        <v>36</v>
      </c>
    </row>
    <row r="2769" spans="1:16">
      <c r="A2769">
        <v>2768</v>
      </c>
      <c r="B2769" t="s">
        <v>2832</v>
      </c>
      <c r="C2769">
        <v>857</v>
      </c>
      <c r="D2769">
        <v>392</v>
      </c>
      <c r="E2769">
        <v>469.24499333251998</v>
      </c>
      <c r="F2769">
        <v>2.18576710758536</v>
      </c>
      <c r="G2769">
        <v>172937.5</v>
      </c>
      <c r="H2769">
        <v>3756.2593442201601</v>
      </c>
      <c r="I2769">
        <v>0.55603660853868297</v>
      </c>
      <c r="J2769">
        <v>0.154023823827587</v>
      </c>
      <c r="K2769">
        <v>0.62325434723849005</v>
      </c>
      <c r="L2769" t="s">
        <v>38</v>
      </c>
      <c r="M2769" t="s">
        <v>34</v>
      </c>
      <c r="N2769" t="s">
        <v>35</v>
      </c>
      <c r="O2769">
        <v>0.79824011901581005</v>
      </c>
      <c r="P2769" t="s">
        <v>36</v>
      </c>
    </row>
    <row r="2770" spans="1:16">
      <c r="A2770">
        <v>2769</v>
      </c>
      <c r="B2770" t="s">
        <v>2833</v>
      </c>
      <c r="C2770">
        <v>545</v>
      </c>
      <c r="D2770">
        <v>612</v>
      </c>
      <c r="E2770">
        <v>476.38118492939401</v>
      </c>
      <c r="F2770">
        <v>0.89109389012378304</v>
      </c>
      <c r="G2770">
        <v>178237.5</v>
      </c>
      <c r="H2770">
        <v>3432.41158425808</v>
      </c>
      <c r="I2770">
        <v>0.70655950807842305</v>
      </c>
      <c r="J2770">
        <v>0.19011230523789199</v>
      </c>
      <c r="K2770">
        <v>0.69107740028110298</v>
      </c>
      <c r="L2770" t="s">
        <v>74</v>
      </c>
      <c r="M2770" t="s">
        <v>34</v>
      </c>
      <c r="N2770" t="s">
        <v>35</v>
      </c>
      <c r="O2770">
        <v>0.68101935661861202</v>
      </c>
      <c r="P2770" t="s">
        <v>36</v>
      </c>
    </row>
    <row r="2771" spans="1:16">
      <c r="A2771">
        <v>2770</v>
      </c>
      <c r="B2771" t="s">
        <v>2834</v>
      </c>
      <c r="C2771">
        <v>978</v>
      </c>
      <c r="D2771">
        <v>449</v>
      </c>
      <c r="E2771">
        <v>483.13211395908399</v>
      </c>
      <c r="F2771">
        <v>2.1792658569119698</v>
      </c>
      <c r="G2771">
        <v>183325</v>
      </c>
      <c r="H2771">
        <v>5170.1428055763199</v>
      </c>
      <c r="I2771">
        <v>0.65519570757589296</v>
      </c>
      <c r="J2771">
        <v>8.61839668314789E-2</v>
      </c>
      <c r="K2771">
        <v>0.53342547464901402</v>
      </c>
      <c r="L2771" t="s">
        <v>38</v>
      </c>
      <c r="M2771" t="s">
        <v>34</v>
      </c>
      <c r="N2771" t="s">
        <v>35</v>
      </c>
      <c r="O2771">
        <v>0.68073819274253999</v>
      </c>
      <c r="P2771" t="s">
        <v>36</v>
      </c>
    </row>
    <row r="2772" spans="1:16">
      <c r="A2772">
        <v>2771</v>
      </c>
      <c r="B2772" t="s">
        <v>2835</v>
      </c>
      <c r="C2772">
        <v>570</v>
      </c>
      <c r="D2772">
        <v>700</v>
      </c>
      <c r="E2772">
        <v>486.38247029656901</v>
      </c>
      <c r="F2772">
        <v>0.81428571428571395</v>
      </c>
      <c r="G2772">
        <v>185800</v>
      </c>
      <c r="H2772">
        <v>5489.1377532482102</v>
      </c>
      <c r="I2772">
        <v>0.67029774477741999</v>
      </c>
      <c r="J2772">
        <v>7.7490294973396101E-2</v>
      </c>
      <c r="K2772">
        <v>0.56008138965296395</v>
      </c>
      <c r="L2772" t="s">
        <v>298</v>
      </c>
      <c r="M2772" t="s">
        <v>34</v>
      </c>
      <c r="N2772" t="s">
        <v>35</v>
      </c>
      <c r="O2772">
        <v>0.66354090027509405</v>
      </c>
      <c r="P2772" t="s">
        <v>36</v>
      </c>
    </row>
    <row r="2773" spans="1:16">
      <c r="A2773">
        <v>2772</v>
      </c>
      <c r="B2773" t="s">
        <v>2836</v>
      </c>
      <c r="C2773">
        <v>542</v>
      </c>
      <c r="D2773">
        <v>744</v>
      </c>
      <c r="E2773">
        <v>486.67688080425501</v>
      </c>
      <c r="F2773">
        <v>0.72883377619586198</v>
      </c>
      <c r="G2773">
        <v>186025</v>
      </c>
      <c r="H2773">
        <v>4037.1781718730899</v>
      </c>
      <c r="I2773">
        <v>0.87113544461459602</v>
      </c>
      <c r="J2773">
        <v>0.14342516042478201</v>
      </c>
      <c r="K2773">
        <v>0.62434972310790404</v>
      </c>
      <c r="L2773" t="s">
        <v>38</v>
      </c>
      <c r="M2773" t="s">
        <v>34</v>
      </c>
      <c r="N2773" t="s">
        <v>35</v>
      </c>
      <c r="O2773">
        <v>0.77233674025135302</v>
      </c>
      <c r="P2773" t="s">
        <v>36</v>
      </c>
    </row>
    <row r="2774" spans="1:16">
      <c r="A2774">
        <v>2773</v>
      </c>
      <c r="B2774" t="s">
        <v>2837</v>
      </c>
      <c r="C2774">
        <v>421</v>
      </c>
      <c r="D2774">
        <v>839</v>
      </c>
      <c r="E2774">
        <v>487.78749463509598</v>
      </c>
      <c r="F2774">
        <v>0.50137657365578503</v>
      </c>
      <c r="G2774">
        <v>186875</v>
      </c>
      <c r="H2774">
        <v>4736.5894210338602</v>
      </c>
      <c r="I2774">
        <v>0.85121976403289501</v>
      </c>
      <c r="J2774">
        <v>0.10467177486889601</v>
      </c>
      <c r="K2774">
        <v>0.66565742018789797</v>
      </c>
      <c r="L2774" t="s">
        <v>38</v>
      </c>
      <c r="M2774" t="s">
        <v>34</v>
      </c>
      <c r="N2774" t="s">
        <v>35</v>
      </c>
      <c r="O2774">
        <v>0.78845373753606796</v>
      </c>
      <c r="P2774" t="s">
        <v>36</v>
      </c>
    </row>
    <row r="2775" spans="1:16">
      <c r="A2775">
        <v>2774</v>
      </c>
      <c r="B2775" t="s">
        <v>2838</v>
      </c>
      <c r="C2775">
        <v>1116</v>
      </c>
      <c r="D2775">
        <v>441</v>
      </c>
      <c r="E2775">
        <v>492.447344179173</v>
      </c>
      <c r="F2775">
        <v>2.5329948614368401</v>
      </c>
      <c r="G2775">
        <v>190462.5</v>
      </c>
      <c r="H2775">
        <v>5001.65038406849</v>
      </c>
      <c r="I2775">
        <v>0.77396374042193306</v>
      </c>
      <c r="J2775">
        <v>9.5673724745338695E-2</v>
      </c>
      <c r="K2775">
        <v>0.54811324148350704</v>
      </c>
      <c r="L2775" t="s">
        <v>38</v>
      </c>
      <c r="M2775" t="s">
        <v>34</v>
      </c>
      <c r="N2775" t="s">
        <v>35</v>
      </c>
      <c r="O2775">
        <v>0.70452180595578295</v>
      </c>
      <c r="P2775" t="s">
        <v>36</v>
      </c>
    </row>
    <row r="2776" spans="1:16">
      <c r="A2776">
        <v>2775</v>
      </c>
      <c r="B2776" t="s">
        <v>2839</v>
      </c>
      <c r="C2776">
        <v>880</v>
      </c>
      <c r="D2776">
        <v>511</v>
      </c>
      <c r="E2776">
        <v>495.57238894545299</v>
      </c>
      <c r="F2776">
        <v>1.7229451137724801</v>
      </c>
      <c r="G2776">
        <v>192887.5</v>
      </c>
      <c r="H2776">
        <v>6361.1835592985199</v>
      </c>
      <c r="I2776">
        <v>0.77936075675386196</v>
      </c>
      <c r="J2776">
        <v>5.9901554467654501E-2</v>
      </c>
      <c r="K2776">
        <v>0.56045472705480703</v>
      </c>
      <c r="L2776" t="s">
        <v>33</v>
      </c>
      <c r="M2776" t="s">
        <v>34</v>
      </c>
      <c r="N2776" t="s">
        <v>35</v>
      </c>
      <c r="O2776">
        <v>0.73999305365328505</v>
      </c>
      <c r="P2776" t="s">
        <v>36</v>
      </c>
    </row>
    <row r="2777" spans="1:16">
      <c r="A2777">
        <v>2776</v>
      </c>
      <c r="B2777" t="s">
        <v>2840</v>
      </c>
      <c r="C2777">
        <v>976</v>
      </c>
      <c r="D2777">
        <v>609</v>
      </c>
      <c r="E2777">
        <v>496.16616770447399</v>
      </c>
      <c r="F2777">
        <v>1.60267034688016</v>
      </c>
      <c r="G2777">
        <v>193350</v>
      </c>
      <c r="H2777">
        <v>4814.8736917972601</v>
      </c>
      <c r="I2777">
        <v>0.60873849495503696</v>
      </c>
      <c r="J2777">
        <v>0.10480554069085</v>
      </c>
      <c r="K2777">
        <v>0.46645155453695603</v>
      </c>
      <c r="L2777" t="s">
        <v>298</v>
      </c>
      <c r="M2777" t="s">
        <v>34</v>
      </c>
      <c r="N2777" t="s">
        <v>35</v>
      </c>
      <c r="O2777">
        <v>0.690366514539</v>
      </c>
      <c r="P2777" t="s">
        <v>36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C76A0-5172-4D04-BF28-FE57A6F00AEC}">
  <dimension ref="A1:AM2777"/>
  <sheetViews>
    <sheetView tabSelected="1" topLeftCell="W1" workbookViewId="0">
      <selection activeCell="L2" sqref="L2:AM2"/>
    </sheetView>
  </sheetViews>
  <sheetFormatPr defaultRowHeight="15"/>
  <cols>
    <col min="2" max="2" width="30" bestFit="1" customWidth="1"/>
    <col min="4" max="4" width="30.5703125" bestFit="1" customWidth="1"/>
  </cols>
  <sheetData>
    <row r="1" spans="1:39">
      <c r="A1" t="s">
        <v>20</v>
      </c>
      <c r="B1" t="s">
        <v>27</v>
      </c>
      <c r="E1" t="s">
        <v>2847</v>
      </c>
      <c r="F1" t="s">
        <v>2848</v>
      </c>
      <c r="H1" t="s">
        <v>2847</v>
      </c>
      <c r="I1" t="s">
        <v>2848</v>
      </c>
      <c r="K1" t="s">
        <v>2847</v>
      </c>
      <c r="L1">
        <v>92.071926381783271</v>
      </c>
      <c r="M1">
        <v>100.03599419490713</v>
      </c>
      <c r="N1" t="e">
        <v>#DIV/0!</v>
      </c>
      <c r="O1">
        <v>93.679593659166898</v>
      </c>
      <c r="P1">
        <v>82.286660448946662</v>
      </c>
      <c r="Q1" t="e">
        <v>#DIV/0!</v>
      </c>
      <c r="R1">
        <v>66.495561042827006</v>
      </c>
      <c r="S1">
        <v>126.18220476158299</v>
      </c>
      <c r="T1">
        <v>98.441556503578113</v>
      </c>
      <c r="U1">
        <v>105.12736287633113</v>
      </c>
      <c r="V1" t="e">
        <v>#DIV/0!</v>
      </c>
      <c r="W1" t="e">
        <v>#DIV/0!</v>
      </c>
      <c r="X1" t="e">
        <v>#DIV/0!</v>
      </c>
      <c r="Y1" t="e">
        <v>#DIV/0!</v>
      </c>
      <c r="Z1" t="e">
        <v>#DIV/0!</v>
      </c>
      <c r="AA1">
        <v>98.088815921115312</v>
      </c>
      <c r="AB1" t="e">
        <v>#DIV/0!</v>
      </c>
      <c r="AC1">
        <v>103.97203596270984</v>
      </c>
      <c r="AD1">
        <v>83.650892055288665</v>
      </c>
      <c r="AE1">
        <v>85.748716836671804</v>
      </c>
      <c r="AF1">
        <v>113.28321464649288</v>
      </c>
      <c r="AG1" t="e">
        <v>#DIV/0!</v>
      </c>
      <c r="AH1" t="e">
        <v>#DIV/0!</v>
      </c>
      <c r="AI1" t="e">
        <v>#DIV/0!</v>
      </c>
      <c r="AJ1" t="e">
        <v>#DIV/0!</v>
      </c>
      <c r="AK1" t="e">
        <v>#DIV/0!</v>
      </c>
      <c r="AL1" t="e">
        <v>#DIV/0!</v>
      </c>
      <c r="AM1">
        <v>113.18224725551684</v>
      </c>
    </row>
    <row r="2" spans="1:39">
      <c r="A2">
        <v>50.019795815599103</v>
      </c>
      <c r="B2" t="s">
        <v>33</v>
      </c>
      <c r="D2" t="s">
        <v>2849</v>
      </c>
      <c r="E2">
        <f>AVERAGEIF($B:$B, D2, $A:$A)</f>
        <v>92.071926381783271</v>
      </c>
      <c r="F2" cm="1">
        <f t="array" ref="F2">_xlfn.STDEV.S(IF($B:$B=D2, $A:$A))</f>
        <v>36.725884165369692</v>
      </c>
      <c r="H2">
        <v>92.071926381783271</v>
      </c>
      <c r="I2">
        <v>36.725884165369692</v>
      </c>
      <c r="K2" t="s">
        <v>2848</v>
      </c>
      <c r="L2">
        <v>36.725884165369692</v>
      </c>
      <c r="M2">
        <v>32.788364795126057</v>
      </c>
      <c r="N2" t="e">
        <v>#DIV/0!</v>
      </c>
      <c r="O2">
        <v>53.796437101533655</v>
      </c>
      <c r="P2">
        <v>26.978128125333082</v>
      </c>
      <c r="Q2" t="e">
        <v>#DIV/0!</v>
      </c>
      <c r="R2" t="e">
        <v>#DIV/0!</v>
      </c>
      <c r="S2" t="e">
        <v>#DIV/0!</v>
      </c>
      <c r="T2">
        <v>62.349564418521084</v>
      </c>
      <c r="U2">
        <v>55.496311101215589</v>
      </c>
      <c r="V2" t="e">
        <v>#DIV/0!</v>
      </c>
      <c r="W2" t="e">
        <v>#DIV/0!</v>
      </c>
      <c r="X2" t="e">
        <v>#DIV/0!</v>
      </c>
      <c r="Y2" t="e">
        <v>#DIV/0!</v>
      </c>
      <c r="Z2" t="e">
        <v>#DIV/0!</v>
      </c>
      <c r="AA2">
        <v>53.12120555150311</v>
      </c>
      <c r="AB2" t="e">
        <v>#DIV/0!</v>
      </c>
      <c r="AC2">
        <v>93.432622364805212</v>
      </c>
      <c r="AD2">
        <v>24.151141266366469</v>
      </c>
      <c r="AE2" t="e">
        <v>#DIV/0!</v>
      </c>
      <c r="AF2">
        <v>82.748052268846905</v>
      </c>
      <c r="AG2" t="e">
        <v>#DIV/0!</v>
      </c>
      <c r="AH2" t="e">
        <v>#DIV/0!</v>
      </c>
      <c r="AI2" t="e">
        <v>#DIV/0!</v>
      </c>
      <c r="AJ2" t="e">
        <v>#DIV/0!</v>
      </c>
      <c r="AK2" t="e">
        <v>#DIV/0!</v>
      </c>
      <c r="AL2" t="e">
        <v>#DIV/0!</v>
      </c>
      <c r="AM2">
        <v>79.128213619862592</v>
      </c>
    </row>
    <row r="3" spans="1:39">
      <c r="A3">
        <v>50.123730220716297</v>
      </c>
      <c r="B3" t="s">
        <v>38</v>
      </c>
      <c r="D3" t="s">
        <v>2850</v>
      </c>
      <c r="E3">
        <f t="shared" ref="E3:E29" si="0">AVERAGEIF($B:$B, D3, $A:$A)</f>
        <v>100.03599419490713</v>
      </c>
      <c r="F3" cm="1">
        <f t="array" ref="F3">_xlfn.STDEV.S(IF($B:$B=D3, $A:$A))</f>
        <v>32.788364795126057</v>
      </c>
      <c r="H3">
        <v>100.03599419490713</v>
      </c>
      <c r="I3">
        <v>32.788364795126057</v>
      </c>
    </row>
    <row r="4" spans="1:39">
      <c r="A4">
        <v>50.148265060104499</v>
      </c>
      <c r="B4" t="s">
        <v>33</v>
      </c>
      <c r="D4" t="s">
        <v>2851</v>
      </c>
      <c r="E4" t="e">
        <f t="shared" si="0"/>
        <v>#DIV/0!</v>
      </c>
      <c r="F4" t="e" cm="1">
        <f t="array" ref="F4">_xlfn.STDEV.S(IF($B:$B=D4, $A:$A))</f>
        <v>#DIV/0!</v>
      </c>
      <c r="H4" t="e">
        <v>#DIV/0!</v>
      </c>
      <c r="I4" t="e">
        <v>#DIV/0!</v>
      </c>
    </row>
    <row r="5" spans="1:39">
      <c r="A5">
        <v>50.189758234728203</v>
      </c>
      <c r="B5" t="s">
        <v>41</v>
      </c>
      <c r="D5" t="s">
        <v>2852</v>
      </c>
      <c r="E5">
        <f t="shared" si="0"/>
        <v>93.679593659166898</v>
      </c>
      <c r="F5" cm="1">
        <f t="array" ref="F5">_xlfn.STDEV.S(IF($B:$B=D5, $A:$A))</f>
        <v>53.796437101533655</v>
      </c>
      <c r="H5">
        <v>93.679593659166898</v>
      </c>
      <c r="I5">
        <v>53.796437101533655</v>
      </c>
    </row>
    <row r="6" spans="1:39">
      <c r="A6">
        <v>50.1935286406408</v>
      </c>
      <c r="B6" t="s">
        <v>43</v>
      </c>
      <c r="D6" t="s">
        <v>2853</v>
      </c>
      <c r="E6">
        <f t="shared" si="0"/>
        <v>82.286660448946662</v>
      </c>
      <c r="F6" cm="1">
        <f t="array" ref="F6">_xlfn.STDEV.S(IF($B:$B=D6, $A:$A))</f>
        <v>26.978128125333082</v>
      </c>
      <c r="H6">
        <v>82.286660448946662</v>
      </c>
      <c r="I6">
        <v>26.978128125333082</v>
      </c>
    </row>
    <row r="7" spans="1:39">
      <c r="A7">
        <v>50.221797662335099</v>
      </c>
      <c r="B7" t="s">
        <v>33</v>
      </c>
      <c r="D7" t="s">
        <v>2854</v>
      </c>
      <c r="E7" t="e">
        <f t="shared" si="0"/>
        <v>#DIV/0!</v>
      </c>
      <c r="F7" t="e" cm="1">
        <f t="array" ref="F7">_xlfn.STDEV.S(IF($B:$B=D7, $A:$A))</f>
        <v>#DIV/0!</v>
      </c>
      <c r="H7" t="e">
        <v>#DIV/0!</v>
      </c>
      <c r="I7" t="e">
        <v>#DIV/0!</v>
      </c>
    </row>
    <row r="8" spans="1:39">
      <c r="A8">
        <v>50.3253148846727</v>
      </c>
      <c r="B8" t="s">
        <v>33</v>
      </c>
      <c r="D8" t="s">
        <v>2855</v>
      </c>
      <c r="E8">
        <f t="shared" si="0"/>
        <v>66.495561042827006</v>
      </c>
      <c r="F8" t="e" cm="1">
        <f t="array" ref="F8">_xlfn.STDEV.S(IF($B:$B=D8, $A:$A))</f>
        <v>#DIV/0!</v>
      </c>
      <c r="H8">
        <v>66.495561042827006</v>
      </c>
      <c r="I8" t="e">
        <v>#DIV/0!</v>
      </c>
    </row>
    <row r="9" spans="1:39">
      <c r="A9">
        <v>50.473631778451498</v>
      </c>
      <c r="B9" t="s">
        <v>47</v>
      </c>
      <c r="D9" t="s">
        <v>2856</v>
      </c>
      <c r="E9">
        <f t="shared" si="0"/>
        <v>126.18220476158299</v>
      </c>
      <c r="F9" t="e" cm="1">
        <f t="array" ref="F9">_xlfn.STDEV.S(IF($B:$B=D9, $A:$A))</f>
        <v>#DIV/0!</v>
      </c>
      <c r="H9">
        <v>126.18220476158299</v>
      </c>
      <c r="I9" t="e">
        <v>#DIV/0!</v>
      </c>
    </row>
    <row r="10" spans="1:39">
      <c r="A10">
        <v>50.580375131566498</v>
      </c>
      <c r="B10" t="s">
        <v>49</v>
      </c>
      <c r="D10" t="s">
        <v>2857</v>
      </c>
      <c r="E10">
        <f t="shared" si="0"/>
        <v>98.441556503578113</v>
      </c>
      <c r="F10" cm="1">
        <f t="array" ref="F10">_xlfn.STDEV.S(IF($B:$B=D10, $A:$A))</f>
        <v>62.349564418521084</v>
      </c>
      <c r="H10">
        <v>98.441556503578113</v>
      </c>
      <c r="I10">
        <v>62.349564418521084</v>
      </c>
    </row>
    <row r="11" spans="1:39">
      <c r="A11">
        <v>50.698093151600503</v>
      </c>
      <c r="B11" t="s">
        <v>49</v>
      </c>
      <c r="D11" t="s">
        <v>2858</v>
      </c>
      <c r="E11">
        <f t="shared" si="0"/>
        <v>105.12736287633113</v>
      </c>
      <c r="F11" cm="1">
        <f t="array" ref="F11">_xlfn.STDEV.S(IF($B:$B=D11, $A:$A))</f>
        <v>55.496311101215589</v>
      </c>
      <c r="H11">
        <v>105.12736287633113</v>
      </c>
      <c r="I11">
        <v>55.496311101215589</v>
      </c>
    </row>
    <row r="12" spans="1:39">
      <c r="A12">
        <v>50.759646018183702</v>
      </c>
      <c r="B12" t="s">
        <v>33</v>
      </c>
      <c r="D12" t="s">
        <v>2859</v>
      </c>
      <c r="E12" t="e">
        <f t="shared" si="0"/>
        <v>#DIV/0!</v>
      </c>
      <c r="F12" t="e" cm="1">
        <f t="array" ref="F12">_xlfn.STDEV.S(IF($B:$B=D12, $A:$A))</f>
        <v>#DIV/0!</v>
      </c>
      <c r="H12" t="e">
        <v>#DIV/0!</v>
      </c>
      <c r="I12" t="e">
        <v>#DIV/0!</v>
      </c>
    </row>
    <row r="13" spans="1:39">
      <c r="A13">
        <v>50.8006398287785</v>
      </c>
      <c r="B13" t="s">
        <v>33</v>
      </c>
      <c r="D13" t="s">
        <v>2860</v>
      </c>
      <c r="E13" t="e">
        <f t="shared" si="0"/>
        <v>#DIV/0!</v>
      </c>
      <c r="F13" t="e" cm="1">
        <f t="array" ref="F13">_xlfn.STDEV.S(IF($B:$B=D13, $A:$A))</f>
        <v>#DIV/0!</v>
      </c>
      <c r="H13" t="e">
        <v>#DIV/0!</v>
      </c>
      <c r="I13" t="e">
        <v>#DIV/0!</v>
      </c>
    </row>
    <row r="14" spans="1:39">
      <c r="A14">
        <v>50.876949246684198</v>
      </c>
      <c r="B14" t="s">
        <v>38</v>
      </c>
      <c r="D14" t="s">
        <v>2861</v>
      </c>
      <c r="E14" t="e">
        <f t="shared" si="0"/>
        <v>#DIV/0!</v>
      </c>
      <c r="F14" t="e" cm="1">
        <f t="array" ref="F14">_xlfn.STDEV.S(IF($B:$B=D14, $A:$A))</f>
        <v>#DIV/0!</v>
      </c>
      <c r="H14" t="e">
        <v>#DIV/0!</v>
      </c>
      <c r="I14" t="e">
        <v>#DIV/0!</v>
      </c>
    </row>
    <row r="15" spans="1:39">
      <c r="A15">
        <v>50.9327129723628</v>
      </c>
      <c r="B15" t="s">
        <v>33</v>
      </c>
      <c r="D15" t="s">
        <v>2862</v>
      </c>
      <c r="E15" t="e">
        <f t="shared" si="0"/>
        <v>#DIV/0!</v>
      </c>
      <c r="F15" t="e" cm="1">
        <f t="array" ref="F15">_xlfn.STDEV.S(IF($B:$B=D15, $A:$A))</f>
        <v>#DIV/0!</v>
      </c>
      <c r="H15" t="e">
        <v>#DIV/0!</v>
      </c>
      <c r="I15" t="e">
        <v>#DIV/0!</v>
      </c>
    </row>
    <row r="16" spans="1:39">
      <c r="A16">
        <v>50.936428383460999</v>
      </c>
      <c r="B16" t="s">
        <v>33</v>
      </c>
      <c r="D16" t="s">
        <v>2863</v>
      </c>
      <c r="E16" t="e">
        <f t="shared" si="0"/>
        <v>#DIV/0!</v>
      </c>
      <c r="F16" t="e" cm="1">
        <f t="array" ref="F16">_xlfn.STDEV.S(IF($B:$B=D16, $A:$A))</f>
        <v>#DIV/0!</v>
      </c>
      <c r="H16" t="e">
        <v>#DIV/0!</v>
      </c>
      <c r="I16" t="e">
        <v>#DIV/0!</v>
      </c>
    </row>
    <row r="17" spans="1:9">
      <c r="A17">
        <v>51.006969773672203</v>
      </c>
      <c r="B17" t="s">
        <v>33</v>
      </c>
      <c r="D17" t="s">
        <v>2864</v>
      </c>
      <c r="E17">
        <f t="shared" si="0"/>
        <v>98.088815921115312</v>
      </c>
      <c r="F17" cm="1">
        <f t="array" ref="F17">_xlfn.STDEV.S(IF($B:$B=D17, $A:$A))</f>
        <v>53.12120555150311</v>
      </c>
      <c r="H17">
        <v>98.088815921115312</v>
      </c>
      <c r="I17">
        <v>53.12120555150311</v>
      </c>
    </row>
    <row r="18" spans="1:9">
      <c r="A18">
        <v>51.201381492653603</v>
      </c>
      <c r="B18" t="s">
        <v>58</v>
      </c>
      <c r="D18" t="s">
        <v>2865</v>
      </c>
      <c r="E18" t="e">
        <f t="shared" si="0"/>
        <v>#DIV/0!</v>
      </c>
      <c r="F18" t="e" cm="1">
        <f t="array" ref="F18">_xlfn.STDEV.S(IF($B:$B=D18, $A:$A))</f>
        <v>#DIV/0!</v>
      </c>
      <c r="H18" t="e">
        <v>#DIV/0!</v>
      </c>
      <c r="I18" t="e">
        <v>#DIV/0!</v>
      </c>
    </row>
    <row r="19" spans="1:9">
      <c r="A19">
        <v>51.301077782947097</v>
      </c>
      <c r="B19" t="s">
        <v>33</v>
      </c>
      <c r="D19" t="s">
        <v>2866</v>
      </c>
      <c r="E19">
        <f t="shared" si="0"/>
        <v>103.97203596270984</v>
      </c>
      <c r="F19" cm="1">
        <f t="array" ref="F19">_xlfn.STDEV.S(IF($B:$B=D19, $A:$A))</f>
        <v>93.432622364805212</v>
      </c>
      <c r="H19">
        <v>103.97203596270984</v>
      </c>
      <c r="I19">
        <v>93.432622364805212</v>
      </c>
    </row>
    <row r="20" spans="1:9">
      <c r="A20">
        <v>51.444742447484998</v>
      </c>
      <c r="B20" t="s">
        <v>61</v>
      </c>
      <c r="D20" t="s">
        <v>2867</v>
      </c>
      <c r="E20">
        <f t="shared" si="0"/>
        <v>83.650892055288665</v>
      </c>
      <c r="F20" cm="1">
        <f t="array" ref="F20">_xlfn.STDEV.S(IF($B:$B=D20, $A:$A))</f>
        <v>24.151141266366469</v>
      </c>
      <c r="H20">
        <v>83.650892055288665</v>
      </c>
      <c r="I20">
        <v>24.151141266366469</v>
      </c>
    </row>
    <row r="21" spans="1:9">
      <c r="A21">
        <v>51.448420881757102</v>
      </c>
      <c r="B21" t="s">
        <v>33</v>
      </c>
      <c r="D21" t="s">
        <v>2868</v>
      </c>
      <c r="E21">
        <f t="shared" si="0"/>
        <v>85.748716836671804</v>
      </c>
      <c r="F21" t="e" cm="1">
        <f t="array" ref="F21">_xlfn.STDEV.S(IF($B:$B=D21, $A:$A))</f>
        <v>#DIV/0!</v>
      </c>
      <c r="H21">
        <v>85.748716836671804</v>
      </c>
      <c r="I21" t="e">
        <v>#DIV/0!</v>
      </c>
    </row>
    <row r="22" spans="1:9">
      <c r="A22">
        <v>51.578835339102298</v>
      </c>
      <c r="B22" t="s">
        <v>47</v>
      </c>
      <c r="D22" t="s">
        <v>2869</v>
      </c>
      <c r="E22">
        <f t="shared" si="0"/>
        <v>113.28321464649288</v>
      </c>
      <c r="F22" cm="1">
        <f t="array" ref="F22">_xlfn.STDEV.S(IF($B:$B=D22, $A:$A))</f>
        <v>82.748052268846905</v>
      </c>
      <c r="H22">
        <v>113.28321464649288</v>
      </c>
      <c r="I22">
        <v>82.748052268846905</v>
      </c>
    </row>
    <row r="23" spans="1:9">
      <c r="A23">
        <v>51.686957583319597</v>
      </c>
      <c r="B23" t="s">
        <v>33</v>
      </c>
      <c r="D23" t="s">
        <v>2870</v>
      </c>
      <c r="E23" t="e">
        <f t="shared" si="0"/>
        <v>#DIV/0!</v>
      </c>
      <c r="F23" t="e" cm="1">
        <f t="array" ref="F23">_xlfn.STDEV.S(IF($B:$B=D23, $A:$A))</f>
        <v>#DIV/0!</v>
      </c>
      <c r="H23" t="e">
        <v>#DIV/0!</v>
      </c>
      <c r="I23" t="e">
        <v>#DIV/0!</v>
      </c>
    </row>
    <row r="24" spans="1:9">
      <c r="A24">
        <v>51.772927279335399</v>
      </c>
      <c r="B24" t="s">
        <v>33</v>
      </c>
      <c r="D24" t="s">
        <v>2871</v>
      </c>
      <c r="E24" t="e">
        <f t="shared" si="0"/>
        <v>#DIV/0!</v>
      </c>
      <c r="F24" t="e" cm="1">
        <f t="array" ref="F24">_xlfn.STDEV.S(IF($B:$B=D24, $A:$A))</f>
        <v>#DIV/0!</v>
      </c>
      <c r="H24" t="e">
        <v>#DIV/0!</v>
      </c>
      <c r="I24" t="e">
        <v>#DIV/0!</v>
      </c>
    </row>
    <row r="25" spans="1:9">
      <c r="A25">
        <v>51.787546205866903</v>
      </c>
      <c r="B25" t="s">
        <v>67</v>
      </c>
      <c r="D25" t="s">
        <v>2872</v>
      </c>
      <c r="E25" t="e">
        <f t="shared" si="0"/>
        <v>#DIV/0!</v>
      </c>
      <c r="F25" t="e" cm="1">
        <f t="array" ref="F25">_xlfn.STDEV.S(IF($B:$B=D25, $A:$A))</f>
        <v>#DIV/0!</v>
      </c>
      <c r="H25" t="e">
        <v>#DIV/0!</v>
      </c>
      <c r="I25" t="e">
        <v>#DIV/0!</v>
      </c>
    </row>
    <row r="26" spans="1:9">
      <c r="A26">
        <v>51.871525078862902</v>
      </c>
      <c r="B26" t="s">
        <v>33</v>
      </c>
      <c r="D26" t="s">
        <v>2873</v>
      </c>
      <c r="E26" t="e">
        <f t="shared" si="0"/>
        <v>#DIV/0!</v>
      </c>
      <c r="F26" t="e" cm="1">
        <f t="array" ref="F26">_xlfn.STDEV.S(IF($B:$B=D26, $A:$A))</f>
        <v>#DIV/0!</v>
      </c>
      <c r="H26" t="e">
        <v>#DIV/0!</v>
      </c>
      <c r="I26" t="e">
        <v>#DIV/0!</v>
      </c>
    </row>
    <row r="27" spans="1:9">
      <c r="A27">
        <v>51.944439825397197</v>
      </c>
      <c r="B27" t="s">
        <v>33</v>
      </c>
      <c r="D27" t="s">
        <v>2874</v>
      </c>
      <c r="E27" t="e">
        <f t="shared" si="0"/>
        <v>#DIV/0!</v>
      </c>
      <c r="F27" t="e" cm="1">
        <f t="array" ref="F27">_xlfn.STDEV.S(IF($B:$B=D27, $A:$A))</f>
        <v>#DIV/0!</v>
      </c>
      <c r="H27" t="e">
        <v>#DIV/0!</v>
      </c>
      <c r="I27" t="e">
        <v>#DIV/0!</v>
      </c>
    </row>
    <row r="28" spans="1:9">
      <c r="A28">
        <v>52.006336982395197</v>
      </c>
      <c r="B28" t="s">
        <v>43</v>
      </c>
      <c r="D28" t="s">
        <v>2875</v>
      </c>
      <c r="E28" t="e">
        <f t="shared" si="0"/>
        <v>#DIV/0!</v>
      </c>
      <c r="F28" t="e" cm="1">
        <f t="array" ref="F28">_xlfn.STDEV.S(IF($B:$B=D28, $A:$A))</f>
        <v>#DIV/0!</v>
      </c>
      <c r="H28" t="e">
        <v>#DIV/0!</v>
      </c>
      <c r="I28" t="e">
        <v>#DIV/0!</v>
      </c>
    </row>
    <row r="29" spans="1:9">
      <c r="A29">
        <v>52.155316139385498</v>
      </c>
      <c r="B29" t="s">
        <v>72</v>
      </c>
      <c r="D29" t="s">
        <v>2876</v>
      </c>
      <c r="E29">
        <f t="shared" si="0"/>
        <v>113.18224725551684</v>
      </c>
      <c r="F29" cm="1">
        <f t="array" ref="F29">_xlfn.STDEV.S(IF($B:$B=D29, $A:$A))</f>
        <v>79.128213619862592</v>
      </c>
      <c r="H29">
        <v>113.18224725551684</v>
      </c>
      <c r="I29">
        <v>79.128213619862592</v>
      </c>
    </row>
    <row r="30" spans="1:9">
      <c r="A30">
        <v>52.171641601753997</v>
      </c>
      <c r="B30" t="s">
        <v>74</v>
      </c>
    </row>
    <row r="31" spans="1:9">
      <c r="A31">
        <v>52.253192405201297</v>
      </c>
      <c r="B31" t="s">
        <v>47</v>
      </c>
    </row>
    <row r="32" spans="1:9">
      <c r="A32">
        <v>52.258624600562598</v>
      </c>
      <c r="B32" t="s">
        <v>33</v>
      </c>
    </row>
    <row r="33" spans="1:2">
      <c r="A33">
        <v>52.320150063762803</v>
      </c>
      <c r="B33" t="s">
        <v>38</v>
      </c>
    </row>
    <row r="34" spans="1:2">
      <c r="A34">
        <v>52.3237669556868</v>
      </c>
      <c r="B34" t="s">
        <v>33</v>
      </c>
    </row>
    <row r="35" spans="1:2">
      <c r="A35">
        <v>52.536722842182598</v>
      </c>
      <c r="B35" t="s">
        <v>43</v>
      </c>
    </row>
    <row r="36" spans="1:2">
      <c r="A36">
        <v>52.583529375603902</v>
      </c>
      <c r="B36" t="s">
        <v>43</v>
      </c>
    </row>
    <row r="37" spans="1:2">
      <c r="A37">
        <v>52.596124017642801</v>
      </c>
      <c r="B37" t="s">
        <v>47</v>
      </c>
    </row>
    <row r="38" spans="1:2">
      <c r="A38">
        <v>52.739849177009397</v>
      </c>
      <c r="B38" t="s">
        <v>43</v>
      </c>
    </row>
    <row r="39" spans="1:2">
      <c r="A39">
        <v>52.867077987396897</v>
      </c>
      <c r="B39" t="s">
        <v>33</v>
      </c>
    </row>
    <row r="40" spans="1:2">
      <c r="A40">
        <v>52.906438909148598</v>
      </c>
      <c r="B40" t="s">
        <v>49</v>
      </c>
    </row>
    <row r="41" spans="1:2">
      <c r="A41">
        <v>52.9868588157535</v>
      </c>
      <c r="B41" t="s">
        <v>33</v>
      </c>
    </row>
    <row r="42" spans="1:2">
      <c r="A42">
        <v>53.0546740277372</v>
      </c>
      <c r="B42" t="s">
        <v>33</v>
      </c>
    </row>
    <row r="43" spans="1:2">
      <c r="A43">
        <v>53.072505733960298</v>
      </c>
      <c r="B43" t="s">
        <v>43</v>
      </c>
    </row>
    <row r="44" spans="1:2">
      <c r="A44">
        <v>53.074288575075897</v>
      </c>
      <c r="B44" t="s">
        <v>33</v>
      </c>
    </row>
    <row r="45" spans="1:2">
      <c r="A45">
        <v>53.086766786410102</v>
      </c>
      <c r="B45" t="s">
        <v>33</v>
      </c>
    </row>
    <row r="46" spans="1:2">
      <c r="A46">
        <v>53.090331450962502</v>
      </c>
      <c r="B46" t="s">
        <v>47</v>
      </c>
    </row>
    <row r="47" spans="1:2">
      <c r="A47">
        <v>53.216722346315798</v>
      </c>
      <c r="B47" t="s">
        <v>38</v>
      </c>
    </row>
    <row r="48" spans="1:2">
      <c r="A48">
        <v>53.262931311406</v>
      </c>
      <c r="B48" t="s">
        <v>47</v>
      </c>
    </row>
    <row r="49" spans="1:2">
      <c r="A49">
        <v>53.4261190416088</v>
      </c>
      <c r="B49" t="s">
        <v>72</v>
      </c>
    </row>
    <row r="50" spans="1:2">
      <c r="A50">
        <v>53.452678500575303</v>
      </c>
      <c r="B50" t="s">
        <v>33</v>
      </c>
    </row>
    <row r="51" spans="1:2">
      <c r="A51">
        <v>53.457988808908702</v>
      </c>
      <c r="B51" t="s">
        <v>47</v>
      </c>
    </row>
    <row r="52" spans="1:2">
      <c r="A52">
        <v>53.548183478261898</v>
      </c>
      <c r="B52" t="s">
        <v>43</v>
      </c>
    </row>
    <row r="53" spans="1:2">
      <c r="A53">
        <v>53.553484316420899</v>
      </c>
      <c r="B53" t="s">
        <v>49</v>
      </c>
    </row>
    <row r="54" spans="1:2">
      <c r="A54">
        <v>53.682310046041401</v>
      </c>
      <c r="B54" t="s">
        <v>49</v>
      </c>
    </row>
    <row r="55" spans="1:2">
      <c r="A55">
        <v>53.6911224153977</v>
      </c>
      <c r="B55" t="s">
        <v>33</v>
      </c>
    </row>
    <row r="56" spans="1:2">
      <c r="A56">
        <v>53.710504538555597</v>
      </c>
      <c r="B56" t="s">
        <v>101</v>
      </c>
    </row>
    <row r="57" spans="1:2">
      <c r="A57">
        <v>53.733401670520998</v>
      </c>
      <c r="B57" t="s">
        <v>47</v>
      </c>
    </row>
    <row r="58" spans="1:2">
      <c r="A58">
        <v>53.784444761397097</v>
      </c>
      <c r="B58" t="s">
        <v>43</v>
      </c>
    </row>
    <row r="59" spans="1:2">
      <c r="A59">
        <v>53.787963189082902</v>
      </c>
      <c r="B59" t="s">
        <v>49</v>
      </c>
    </row>
    <row r="60" spans="1:2">
      <c r="A60">
        <v>53.793240399121501</v>
      </c>
      <c r="B60" t="s">
        <v>43</v>
      </c>
    </row>
    <row r="61" spans="1:2">
      <c r="A61">
        <v>53.820256077730598</v>
      </c>
      <c r="B61" t="s">
        <v>33</v>
      </c>
    </row>
    <row r="62" spans="1:2">
      <c r="A62">
        <v>53.886385893880899</v>
      </c>
      <c r="B62" t="s">
        <v>33</v>
      </c>
    </row>
    <row r="63" spans="1:2">
      <c r="A63">
        <v>53.954824219918301</v>
      </c>
      <c r="B63" t="s">
        <v>33</v>
      </c>
    </row>
    <row r="64" spans="1:2">
      <c r="A64">
        <v>53.967911378722903</v>
      </c>
      <c r="B64" t="s">
        <v>33</v>
      </c>
    </row>
    <row r="65" spans="1:2">
      <c r="A65">
        <v>53.984629158477603</v>
      </c>
      <c r="B65" t="s">
        <v>49</v>
      </c>
    </row>
    <row r="66" spans="1:2">
      <c r="A66">
        <v>53.998649319513397</v>
      </c>
      <c r="B66" t="s">
        <v>33</v>
      </c>
    </row>
    <row r="67" spans="1:2">
      <c r="A67">
        <v>54.009162051885902</v>
      </c>
      <c r="B67" t="s">
        <v>72</v>
      </c>
    </row>
    <row r="68" spans="1:2">
      <c r="A68">
        <v>54.016169403462797</v>
      </c>
      <c r="B68" t="s">
        <v>43</v>
      </c>
    </row>
    <row r="69" spans="1:2">
      <c r="A69">
        <v>54.019672738382603</v>
      </c>
      <c r="B69" t="s">
        <v>33</v>
      </c>
    </row>
    <row r="70" spans="1:2">
      <c r="A70">
        <v>54.070445586920997</v>
      </c>
      <c r="B70" t="s">
        <v>47</v>
      </c>
    </row>
    <row r="71" spans="1:2">
      <c r="A71">
        <v>54.103684721861697</v>
      </c>
      <c r="B71" t="s">
        <v>43</v>
      </c>
    </row>
    <row r="72" spans="1:2">
      <c r="A72">
        <v>54.271318538652899</v>
      </c>
      <c r="B72" t="s">
        <v>33</v>
      </c>
    </row>
    <row r="73" spans="1:2">
      <c r="A73">
        <v>54.295721894938097</v>
      </c>
      <c r="B73" t="s">
        <v>43</v>
      </c>
    </row>
    <row r="74" spans="1:2">
      <c r="A74">
        <v>54.473187796831397</v>
      </c>
      <c r="B74" t="s">
        <v>41</v>
      </c>
    </row>
    <row r="75" spans="1:2">
      <c r="A75">
        <v>54.480135464457</v>
      </c>
      <c r="B75" t="s">
        <v>33</v>
      </c>
    </row>
    <row r="76" spans="1:2">
      <c r="A76">
        <v>54.527009066089903</v>
      </c>
      <c r="B76" t="s">
        <v>47</v>
      </c>
    </row>
    <row r="77" spans="1:2">
      <c r="A77">
        <v>54.653540115381603</v>
      </c>
      <c r="B77" t="s">
        <v>33</v>
      </c>
    </row>
    <row r="78" spans="1:2">
      <c r="A78">
        <v>54.665657841353102</v>
      </c>
      <c r="B78" t="s">
        <v>49</v>
      </c>
    </row>
    <row r="79" spans="1:2">
      <c r="A79">
        <v>54.798775973143599</v>
      </c>
      <c r="B79" t="s">
        <v>33</v>
      </c>
    </row>
    <row r="80" spans="1:2">
      <c r="A80">
        <v>54.831573592859897</v>
      </c>
      <c r="B80" t="s">
        <v>38</v>
      </c>
    </row>
    <row r="81" spans="1:2">
      <c r="A81">
        <v>55.076074207343702</v>
      </c>
      <c r="B81" t="s">
        <v>33</v>
      </c>
    </row>
    <row r="82" spans="1:2">
      <c r="A82">
        <v>55.134455720946001</v>
      </c>
      <c r="B82" t="s">
        <v>47</v>
      </c>
    </row>
    <row r="83" spans="1:2">
      <c r="A83">
        <v>55.160192627316498</v>
      </c>
      <c r="B83" t="s">
        <v>47</v>
      </c>
    </row>
    <row r="84" spans="1:2">
      <c r="A84">
        <v>55.168768927977403</v>
      </c>
      <c r="B84" t="s">
        <v>33</v>
      </c>
    </row>
    <row r="85" spans="1:2">
      <c r="A85">
        <v>55.172199074959202</v>
      </c>
      <c r="B85" t="s">
        <v>43</v>
      </c>
    </row>
    <row r="86" spans="1:2">
      <c r="A86">
        <v>55.2407572860306</v>
      </c>
      <c r="B86" t="s">
        <v>33</v>
      </c>
    </row>
    <row r="87" spans="1:2">
      <c r="A87">
        <v>55.279063915413701</v>
      </c>
      <c r="B87" t="s">
        <v>47</v>
      </c>
    </row>
    <row r="88" spans="1:2">
      <c r="A88">
        <v>55.49027594484</v>
      </c>
      <c r="B88" t="s">
        <v>47</v>
      </c>
    </row>
    <row r="89" spans="1:2">
      <c r="A89">
        <v>55.566956489874499</v>
      </c>
      <c r="B89" t="s">
        <v>43</v>
      </c>
    </row>
    <row r="90" spans="1:2">
      <c r="A90">
        <v>55.674131823549502</v>
      </c>
      <c r="B90" t="s">
        <v>33</v>
      </c>
    </row>
    <row r="91" spans="1:2">
      <c r="A91">
        <v>55.687726630375302</v>
      </c>
      <c r="B91" t="s">
        <v>72</v>
      </c>
    </row>
    <row r="92" spans="1:2">
      <c r="A92">
        <v>55.7081126200626</v>
      </c>
      <c r="B92" t="s">
        <v>47</v>
      </c>
    </row>
    <row r="93" spans="1:2">
      <c r="A93">
        <v>55.709257671341803</v>
      </c>
      <c r="B93" t="s">
        <v>41</v>
      </c>
    </row>
    <row r="94" spans="1:2">
      <c r="A94">
        <v>55.789582086714297</v>
      </c>
      <c r="B94" t="s">
        <v>49</v>
      </c>
    </row>
    <row r="95" spans="1:2">
      <c r="A95">
        <v>55.799757406509599</v>
      </c>
      <c r="B95" t="s">
        <v>33</v>
      </c>
    </row>
    <row r="96" spans="1:2">
      <c r="A96">
        <v>55.859076496542897</v>
      </c>
      <c r="B96" t="s">
        <v>33</v>
      </c>
    </row>
    <row r="97" spans="1:2">
      <c r="A97">
        <v>55.898023337482897</v>
      </c>
      <c r="B97" t="s">
        <v>43</v>
      </c>
    </row>
    <row r="98" spans="1:2">
      <c r="A98">
        <v>55.899716062847403</v>
      </c>
      <c r="B98" t="s">
        <v>144</v>
      </c>
    </row>
    <row r="99" spans="1:2">
      <c r="A99">
        <v>55.906486451785597</v>
      </c>
      <c r="B99" t="s">
        <v>43</v>
      </c>
    </row>
    <row r="100" spans="1:2">
      <c r="A100">
        <v>56.014701382862299</v>
      </c>
      <c r="B100" t="s">
        <v>38</v>
      </c>
    </row>
    <row r="101" spans="1:2">
      <c r="A101">
        <v>56.163156459543004</v>
      </c>
      <c r="B101" t="s">
        <v>38</v>
      </c>
    </row>
    <row r="102" spans="1:2">
      <c r="A102">
        <v>56.228823706326502</v>
      </c>
      <c r="B102" t="s">
        <v>72</v>
      </c>
    </row>
    <row r="103" spans="1:2">
      <c r="A103">
        <v>56.2473313763251</v>
      </c>
      <c r="B103" t="s">
        <v>33</v>
      </c>
    </row>
    <row r="104" spans="1:2">
      <c r="A104">
        <v>56.398529636723403</v>
      </c>
      <c r="B104" t="s">
        <v>38</v>
      </c>
    </row>
    <row r="105" spans="1:2">
      <c r="A105">
        <v>56.403562598402502</v>
      </c>
      <c r="B105" t="s">
        <v>33</v>
      </c>
    </row>
    <row r="106" spans="1:2">
      <c r="A106">
        <v>56.418958354775597</v>
      </c>
      <c r="B106" t="s">
        <v>74</v>
      </c>
    </row>
    <row r="107" spans="1:2">
      <c r="A107">
        <v>56.4957541023822</v>
      </c>
      <c r="B107" t="s">
        <v>144</v>
      </c>
    </row>
    <row r="108" spans="1:2">
      <c r="A108">
        <v>56.554343175552297</v>
      </c>
      <c r="B108" t="s">
        <v>33</v>
      </c>
    </row>
    <row r="109" spans="1:2">
      <c r="A109">
        <v>56.647959651626003</v>
      </c>
      <c r="B109" t="s">
        <v>49</v>
      </c>
    </row>
    <row r="110" spans="1:2">
      <c r="A110">
        <v>56.8596973002685</v>
      </c>
      <c r="B110" t="s">
        <v>43</v>
      </c>
    </row>
    <row r="111" spans="1:2">
      <c r="A111">
        <v>56.929547491471801</v>
      </c>
      <c r="B111" t="s">
        <v>33</v>
      </c>
    </row>
    <row r="112" spans="1:2">
      <c r="A112">
        <v>56.934533511668299</v>
      </c>
      <c r="B112" t="s">
        <v>47</v>
      </c>
    </row>
    <row r="113" spans="1:2">
      <c r="A113">
        <v>56.939519095254198</v>
      </c>
      <c r="B113" t="s">
        <v>49</v>
      </c>
    </row>
    <row r="114" spans="1:2">
      <c r="A114">
        <v>57.010931216509498</v>
      </c>
      <c r="B114" t="s">
        <v>47</v>
      </c>
    </row>
    <row r="115" spans="1:2">
      <c r="A115">
        <v>57.054067276332397</v>
      </c>
      <c r="B115" t="s">
        <v>33</v>
      </c>
    </row>
    <row r="116" spans="1:2">
      <c r="A116">
        <v>57.073965231114201</v>
      </c>
      <c r="B116" t="s">
        <v>61</v>
      </c>
    </row>
    <row r="117" spans="1:2">
      <c r="A117">
        <v>57.133617516248101</v>
      </c>
      <c r="B117" t="s">
        <v>33</v>
      </c>
    </row>
    <row r="118" spans="1:2">
      <c r="A118">
        <v>57.1650755707307</v>
      </c>
      <c r="B118" t="s">
        <v>43</v>
      </c>
    </row>
    <row r="119" spans="1:2">
      <c r="A119">
        <v>57.194861977738903</v>
      </c>
      <c r="B119" t="s">
        <v>49</v>
      </c>
    </row>
    <row r="120" spans="1:2">
      <c r="A120">
        <v>57.371606423865302</v>
      </c>
      <c r="B120" t="s">
        <v>144</v>
      </c>
    </row>
    <row r="121" spans="1:2">
      <c r="A121">
        <v>57.447422880728098</v>
      </c>
      <c r="B121" t="s">
        <v>33</v>
      </c>
    </row>
    <row r="122" spans="1:2">
      <c r="A122">
        <v>57.500105803824198</v>
      </c>
      <c r="B122" t="s">
        <v>47</v>
      </c>
    </row>
    <row r="123" spans="1:2">
      <c r="A123">
        <v>57.521494458596301</v>
      </c>
      <c r="B123" t="s">
        <v>72</v>
      </c>
    </row>
    <row r="124" spans="1:2">
      <c r="A124">
        <v>57.611897057424201</v>
      </c>
      <c r="B124" t="s">
        <v>38</v>
      </c>
    </row>
    <row r="125" spans="1:2">
      <c r="A125">
        <v>57.677555403488299</v>
      </c>
      <c r="B125" t="s">
        <v>33</v>
      </c>
    </row>
    <row r="126" spans="1:2">
      <c r="A126">
        <v>57.816831815681503</v>
      </c>
      <c r="B126" t="s">
        <v>49</v>
      </c>
    </row>
    <row r="127" spans="1:2">
      <c r="A127">
        <v>58.014519116972998</v>
      </c>
      <c r="B127" t="s">
        <v>47</v>
      </c>
    </row>
    <row r="128" spans="1:2">
      <c r="A128">
        <v>58.034087765758798</v>
      </c>
      <c r="B128" t="s">
        <v>33</v>
      </c>
    </row>
    <row r="129" spans="1:2">
      <c r="A129">
        <v>58.061798728422602</v>
      </c>
      <c r="B129" t="s">
        <v>43</v>
      </c>
    </row>
    <row r="130" spans="1:2">
      <c r="A130">
        <v>58.0862385993237</v>
      </c>
      <c r="B130" t="s">
        <v>38</v>
      </c>
    </row>
    <row r="131" spans="1:2">
      <c r="A131">
        <v>58.172510575736098</v>
      </c>
      <c r="B131" t="s">
        <v>33</v>
      </c>
    </row>
    <row r="132" spans="1:2">
      <c r="A132">
        <v>58.1920260956284</v>
      </c>
      <c r="B132" t="s">
        <v>38</v>
      </c>
    </row>
    <row r="133" spans="1:2">
      <c r="A133">
        <v>58.231037514152398</v>
      </c>
      <c r="B133" t="s">
        <v>33</v>
      </c>
    </row>
    <row r="134" spans="1:2">
      <c r="A134">
        <v>58.253782110204199</v>
      </c>
      <c r="B134" t="s">
        <v>47</v>
      </c>
    </row>
    <row r="135" spans="1:2">
      <c r="A135">
        <v>58.351158534291102</v>
      </c>
      <c r="B135" t="s">
        <v>47</v>
      </c>
    </row>
    <row r="136" spans="1:2">
      <c r="A136">
        <v>58.383581250875501</v>
      </c>
      <c r="B136" t="s">
        <v>43</v>
      </c>
    </row>
    <row r="137" spans="1:2">
      <c r="A137">
        <v>58.506623708220403</v>
      </c>
      <c r="B137" t="s">
        <v>47</v>
      </c>
    </row>
    <row r="138" spans="1:2">
      <c r="A138">
        <v>58.514709535989297</v>
      </c>
      <c r="B138" t="s">
        <v>74</v>
      </c>
    </row>
    <row r="139" spans="1:2">
      <c r="A139">
        <v>58.5195604963737</v>
      </c>
      <c r="B139" t="s">
        <v>38</v>
      </c>
    </row>
    <row r="140" spans="1:2">
      <c r="A140">
        <v>58.526027818103799</v>
      </c>
      <c r="B140" t="s">
        <v>49</v>
      </c>
    </row>
    <row r="141" spans="1:2">
      <c r="A141">
        <v>58.530877840444198</v>
      </c>
      <c r="B141" t="s">
        <v>188</v>
      </c>
    </row>
    <row r="142" spans="1:2">
      <c r="A142">
        <v>58.768038614050397</v>
      </c>
      <c r="B142" t="s">
        <v>33</v>
      </c>
    </row>
    <row r="143" spans="1:2">
      <c r="A143">
        <v>58.769648675244802</v>
      </c>
      <c r="B143" t="s">
        <v>38</v>
      </c>
    </row>
    <row r="144" spans="1:2">
      <c r="A144">
        <v>58.821147364068601</v>
      </c>
      <c r="B144" t="s">
        <v>33</v>
      </c>
    </row>
    <row r="145" spans="1:2">
      <c r="A145">
        <v>58.846879807958899</v>
      </c>
      <c r="B145" t="s">
        <v>144</v>
      </c>
    </row>
    <row r="146" spans="1:2">
      <c r="A146">
        <v>58.901523924975798</v>
      </c>
      <c r="B146" t="s">
        <v>38</v>
      </c>
    </row>
    <row r="147" spans="1:2">
      <c r="A147">
        <v>58.930432650115002</v>
      </c>
      <c r="B147" t="s">
        <v>47</v>
      </c>
    </row>
    <row r="148" spans="1:2">
      <c r="A148">
        <v>58.988207597961797</v>
      </c>
      <c r="B148" t="s">
        <v>33</v>
      </c>
    </row>
    <row r="149" spans="1:2">
      <c r="A149">
        <v>59.020280353483997</v>
      </c>
      <c r="B149" t="s">
        <v>47</v>
      </c>
    </row>
    <row r="150" spans="1:2">
      <c r="A150">
        <v>59.036310197162997</v>
      </c>
      <c r="B150" t="s">
        <v>33</v>
      </c>
    </row>
    <row r="151" spans="1:2">
      <c r="A151">
        <v>59.052335689517399</v>
      </c>
      <c r="B151" t="s">
        <v>47</v>
      </c>
    </row>
    <row r="152" spans="1:2">
      <c r="A152">
        <v>59.068356834088902</v>
      </c>
      <c r="B152" t="s">
        <v>58</v>
      </c>
    </row>
    <row r="153" spans="1:2">
      <c r="A153">
        <v>59.2874105705164</v>
      </c>
      <c r="B153" t="s">
        <v>74</v>
      </c>
    </row>
    <row r="154" spans="1:2">
      <c r="A154">
        <v>59.3070336665971</v>
      </c>
      <c r="B154" t="s">
        <v>33</v>
      </c>
    </row>
    <row r="155" spans="1:2">
      <c r="A155">
        <v>59.410173817990703</v>
      </c>
      <c r="B155" t="s">
        <v>41</v>
      </c>
    </row>
    <row r="156" spans="1:2">
      <c r="A156">
        <v>59.445202465849498</v>
      </c>
      <c r="B156" t="s">
        <v>38</v>
      </c>
    </row>
    <row r="157" spans="1:2">
      <c r="A157">
        <v>59.659700665903401</v>
      </c>
      <c r="B157" t="s">
        <v>74</v>
      </c>
    </row>
    <row r="158" spans="1:2">
      <c r="A158">
        <v>59.770618905845502</v>
      </c>
      <c r="B158" t="s">
        <v>43</v>
      </c>
    </row>
    <row r="159" spans="1:2">
      <c r="A159">
        <v>60.034410495489603</v>
      </c>
      <c r="B159" t="s">
        <v>47</v>
      </c>
    </row>
    <row r="160" spans="1:2">
      <c r="A160">
        <v>60.226390175577997</v>
      </c>
      <c r="B160" t="s">
        <v>49</v>
      </c>
    </row>
    <row r="161" spans="1:2">
      <c r="A161">
        <v>60.345675335011897</v>
      </c>
      <c r="B161" t="s">
        <v>49</v>
      </c>
    </row>
    <row r="162" spans="1:2">
      <c r="A162">
        <v>60.351946970378599</v>
      </c>
      <c r="B162" t="s">
        <v>47</v>
      </c>
    </row>
    <row r="163" spans="1:2">
      <c r="A163">
        <v>60.608525255618801</v>
      </c>
      <c r="B163" t="s">
        <v>211</v>
      </c>
    </row>
    <row r="164" spans="1:2">
      <c r="A164">
        <v>60.644421999489197</v>
      </c>
      <c r="B164" t="s">
        <v>47</v>
      </c>
    </row>
    <row r="165" spans="1:2">
      <c r="A165">
        <v>60.653782873512597</v>
      </c>
      <c r="B165" t="s">
        <v>33</v>
      </c>
    </row>
    <row r="166" spans="1:2">
      <c r="A166">
        <v>60.660022653671398</v>
      </c>
      <c r="B166" t="s">
        <v>38</v>
      </c>
    </row>
    <row r="167" spans="1:2">
      <c r="A167">
        <v>60.720826906770398</v>
      </c>
      <c r="B167" t="s">
        <v>47</v>
      </c>
    </row>
    <row r="168" spans="1:2">
      <c r="A168">
        <v>60.765077797464997</v>
      </c>
      <c r="B168" t="s">
        <v>33</v>
      </c>
    </row>
    <row r="169" spans="1:2">
      <c r="A169">
        <v>60.780013567543897</v>
      </c>
      <c r="B169" t="s">
        <v>43</v>
      </c>
    </row>
    <row r="170" spans="1:2">
      <c r="A170">
        <v>60.784683744166699</v>
      </c>
      <c r="B170" t="s">
        <v>41</v>
      </c>
    </row>
    <row r="171" spans="1:2">
      <c r="A171">
        <v>60.845363420530298</v>
      </c>
      <c r="B171" t="s">
        <v>33</v>
      </c>
    </row>
    <row r="172" spans="1:2">
      <c r="A172">
        <v>60.895896200328302</v>
      </c>
      <c r="B172" t="s">
        <v>33</v>
      </c>
    </row>
    <row r="173" spans="1:2">
      <c r="A173">
        <v>60.9075361884194</v>
      </c>
      <c r="B173" t="s">
        <v>33</v>
      </c>
    </row>
    <row r="174" spans="1:2">
      <c r="A174">
        <v>60.960333185570398</v>
      </c>
      <c r="B174" t="s">
        <v>33</v>
      </c>
    </row>
    <row r="175" spans="1:2">
      <c r="A175">
        <v>60.986714544003902</v>
      </c>
      <c r="B175" t="s">
        <v>47</v>
      </c>
    </row>
    <row r="176" spans="1:2">
      <c r="A176">
        <v>61.095223640759698</v>
      </c>
      <c r="B176" t="s">
        <v>43</v>
      </c>
    </row>
    <row r="177" spans="1:2">
      <c r="A177">
        <v>61.171065482826798</v>
      </c>
      <c r="B177" t="s">
        <v>33</v>
      </c>
    </row>
    <row r="178" spans="1:2">
      <c r="A178">
        <v>61.192717315648103</v>
      </c>
      <c r="B178" t="s">
        <v>33</v>
      </c>
    </row>
    <row r="179" spans="1:2">
      <c r="A179">
        <v>61.201994327700604</v>
      </c>
      <c r="B179" t="s">
        <v>33</v>
      </c>
    </row>
    <row r="180" spans="1:2">
      <c r="A180">
        <v>61.232907550364601</v>
      </c>
      <c r="B180" t="s">
        <v>49</v>
      </c>
    </row>
    <row r="181" spans="1:2">
      <c r="A181">
        <v>61.431924088341702</v>
      </c>
      <c r="B181" t="s">
        <v>33</v>
      </c>
    </row>
    <row r="182" spans="1:2">
      <c r="A182">
        <v>61.684010308518097</v>
      </c>
      <c r="B182" t="s">
        <v>43</v>
      </c>
    </row>
    <row r="183" spans="1:2">
      <c r="A183">
        <v>61.691679682816797</v>
      </c>
      <c r="B183" t="s">
        <v>33</v>
      </c>
    </row>
    <row r="184" spans="1:2">
      <c r="A184">
        <v>61.783637916831097</v>
      </c>
      <c r="B184" t="s">
        <v>38</v>
      </c>
    </row>
    <row r="185" spans="1:2">
      <c r="A185">
        <v>61.8066060973728</v>
      </c>
      <c r="B185" t="s">
        <v>33</v>
      </c>
    </row>
    <row r="186" spans="1:2">
      <c r="A186">
        <v>61.957982547244498</v>
      </c>
      <c r="B186" t="s">
        <v>72</v>
      </c>
    </row>
    <row r="187" spans="1:2">
      <c r="A187">
        <v>62.060854190253202</v>
      </c>
      <c r="B187" t="s">
        <v>43</v>
      </c>
    </row>
    <row r="188" spans="1:2">
      <c r="A188">
        <v>62.0739402598415</v>
      </c>
      <c r="B188" t="s">
        <v>33</v>
      </c>
    </row>
    <row r="189" spans="1:2">
      <c r="A189">
        <v>62.1028958575749</v>
      </c>
      <c r="B189" t="s">
        <v>49</v>
      </c>
    </row>
    <row r="190" spans="1:2">
      <c r="A190">
        <v>62.177508590217997</v>
      </c>
      <c r="B190" t="s">
        <v>43</v>
      </c>
    </row>
    <row r="191" spans="1:2">
      <c r="A191">
        <v>62.198810074270398</v>
      </c>
      <c r="B191" t="s">
        <v>43</v>
      </c>
    </row>
    <row r="192" spans="1:2">
      <c r="A192">
        <v>62.247471807848797</v>
      </c>
      <c r="B192" t="s">
        <v>33</v>
      </c>
    </row>
    <row r="193" spans="1:2">
      <c r="A193">
        <v>62.324947916521701</v>
      </c>
      <c r="B193" t="s">
        <v>33</v>
      </c>
    </row>
    <row r="194" spans="1:2">
      <c r="A194">
        <v>62.334056421928899</v>
      </c>
      <c r="B194" t="s">
        <v>33</v>
      </c>
    </row>
    <row r="195" spans="1:2">
      <c r="A195">
        <v>62.397778730639097</v>
      </c>
      <c r="B195" t="s">
        <v>144</v>
      </c>
    </row>
    <row r="196" spans="1:2">
      <c r="A196">
        <v>62.428099826131202</v>
      </c>
      <c r="B196" t="s">
        <v>47</v>
      </c>
    </row>
    <row r="197" spans="1:2">
      <c r="A197">
        <v>62.4296154943356</v>
      </c>
      <c r="B197" t="s">
        <v>144</v>
      </c>
    </row>
    <row r="198" spans="1:2">
      <c r="A198">
        <v>62.441739515519799</v>
      </c>
      <c r="B198" t="s">
        <v>33</v>
      </c>
    </row>
    <row r="199" spans="1:2">
      <c r="A199">
        <v>62.450830986778001</v>
      </c>
      <c r="B199" t="s">
        <v>33</v>
      </c>
    </row>
    <row r="200" spans="1:2">
      <c r="A200">
        <v>62.6520198600181</v>
      </c>
      <c r="B200" t="s">
        <v>41</v>
      </c>
    </row>
    <row r="201" spans="1:2">
      <c r="A201">
        <v>62.745586700813398</v>
      </c>
      <c r="B201" t="s">
        <v>47</v>
      </c>
    </row>
    <row r="202" spans="1:2">
      <c r="A202">
        <v>62.783275815768</v>
      </c>
      <c r="B202" t="s">
        <v>33</v>
      </c>
    </row>
    <row r="203" spans="1:2">
      <c r="A203">
        <v>62.786289967612902</v>
      </c>
      <c r="B203" t="s">
        <v>38</v>
      </c>
    </row>
    <row r="204" spans="1:2">
      <c r="A204">
        <v>62.840519978654399</v>
      </c>
      <c r="B204" t="s">
        <v>33</v>
      </c>
    </row>
    <row r="205" spans="1:2">
      <c r="A205">
        <v>62.846542646866297</v>
      </c>
      <c r="B205" t="s">
        <v>49</v>
      </c>
    </row>
    <row r="206" spans="1:2">
      <c r="A206">
        <v>62.906737615549602</v>
      </c>
      <c r="B206" t="s">
        <v>144</v>
      </c>
    </row>
    <row r="207" spans="1:2">
      <c r="A207">
        <v>62.933806567510601</v>
      </c>
      <c r="B207" t="s">
        <v>47</v>
      </c>
    </row>
    <row r="208" spans="1:2">
      <c r="A208">
        <v>62.9803980459114</v>
      </c>
      <c r="B208" t="s">
        <v>33</v>
      </c>
    </row>
    <row r="209" spans="1:2">
      <c r="A209">
        <v>63.011940442064002</v>
      </c>
      <c r="B209" t="s">
        <v>33</v>
      </c>
    </row>
    <row r="210" spans="1:2">
      <c r="A210">
        <v>63.049470338804099</v>
      </c>
      <c r="B210" t="s">
        <v>33</v>
      </c>
    </row>
    <row r="211" spans="1:2">
      <c r="A211">
        <v>63.097476033653699</v>
      </c>
      <c r="B211" t="s">
        <v>33</v>
      </c>
    </row>
    <row r="212" spans="1:2">
      <c r="A212">
        <v>63.269695840688698</v>
      </c>
      <c r="B212" t="s">
        <v>33</v>
      </c>
    </row>
    <row r="213" spans="1:2">
      <c r="A213">
        <v>63.365337175784099</v>
      </c>
      <c r="B213" t="s">
        <v>33</v>
      </c>
    </row>
    <row r="214" spans="1:2">
      <c r="A214">
        <v>63.374296150851897</v>
      </c>
      <c r="B214" t="s">
        <v>33</v>
      </c>
    </row>
    <row r="215" spans="1:2">
      <c r="A215">
        <v>63.390717649959399</v>
      </c>
      <c r="B215" t="s">
        <v>47</v>
      </c>
    </row>
    <row r="216" spans="1:2">
      <c r="A216">
        <v>63.502569234365602</v>
      </c>
      <c r="B216" t="s">
        <v>33</v>
      </c>
    </row>
    <row r="217" spans="1:2">
      <c r="A217">
        <v>63.580937037245199</v>
      </c>
      <c r="B217" t="s">
        <v>38</v>
      </c>
    </row>
    <row r="218" spans="1:2">
      <c r="A218">
        <v>63.582980539615697</v>
      </c>
      <c r="B218" t="s">
        <v>43</v>
      </c>
    </row>
    <row r="219" spans="1:2">
      <c r="A219">
        <v>63.608274171503901</v>
      </c>
      <c r="B219" t="s">
        <v>33</v>
      </c>
    </row>
    <row r="220" spans="1:2">
      <c r="A220">
        <v>63.629096671615102</v>
      </c>
      <c r="B220" t="s">
        <v>47</v>
      </c>
    </row>
    <row r="221" spans="1:2">
      <c r="A221">
        <v>63.6692351195898</v>
      </c>
      <c r="B221" t="s">
        <v>47</v>
      </c>
    </row>
    <row r="222" spans="1:2">
      <c r="A222">
        <v>63.7093482793654</v>
      </c>
      <c r="B222" t="s">
        <v>33</v>
      </c>
    </row>
    <row r="223" spans="1:2">
      <c r="A223">
        <v>63.789498925114799</v>
      </c>
      <c r="B223" t="s">
        <v>33</v>
      </c>
    </row>
    <row r="224" spans="1:2">
      <c r="A224">
        <v>63.931740853495803</v>
      </c>
      <c r="B224" t="s">
        <v>49</v>
      </c>
    </row>
    <row r="225" spans="1:2">
      <c r="A225">
        <v>64.088432908689995</v>
      </c>
      <c r="B225" t="s">
        <v>49</v>
      </c>
    </row>
    <row r="226" spans="1:2">
      <c r="A226">
        <v>64.318342020638298</v>
      </c>
      <c r="B226" t="s">
        <v>33</v>
      </c>
    </row>
    <row r="227" spans="1:2">
      <c r="A227">
        <v>64.451097854873396</v>
      </c>
      <c r="B227" t="s">
        <v>38</v>
      </c>
    </row>
    <row r="228" spans="1:2">
      <c r="A228">
        <v>64.518107152119299</v>
      </c>
      <c r="B228" t="s">
        <v>33</v>
      </c>
    </row>
    <row r="229" spans="1:2">
      <c r="A229">
        <v>64.574449351176497</v>
      </c>
      <c r="B229" t="s">
        <v>33</v>
      </c>
    </row>
    <row r="230" spans="1:2">
      <c r="A230">
        <v>64.588464977989702</v>
      </c>
      <c r="B230" t="s">
        <v>47</v>
      </c>
    </row>
    <row r="231" spans="1:2">
      <c r="A231">
        <v>64.633863702842305</v>
      </c>
      <c r="B231" t="s">
        <v>49</v>
      </c>
    </row>
    <row r="232" spans="1:2">
      <c r="A232">
        <v>64.712869292694293</v>
      </c>
      <c r="B232" t="s">
        <v>33</v>
      </c>
    </row>
    <row r="233" spans="1:2">
      <c r="A233">
        <v>64.742106155707901</v>
      </c>
      <c r="B233" t="s">
        <v>41</v>
      </c>
    </row>
    <row r="234" spans="1:2">
      <c r="A234">
        <v>64.905589210985198</v>
      </c>
      <c r="B234" t="s">
        <v>47</v>
      </c>
    </row>
    <row r="235" spans="1:2">
      <c r="A235">
        <v>65.017745360417095</v>
      </c>
      <c r="B235" t="s">
        <v>47</v>
      </c>
    </row>
    <row r="236" spans="1:2">
      <c r="A236">
        <v>65.045390507448502</v>
      </c>
      <c r="B236" t="s">
        <v>33</v>
      </c>
    </row>
    <row r="237" spans="1:2">
      <c r="A237">
        <v>65.067207326764702</v>
      </c>
      <c r="B237" t="s">
        <v>61</v>
      </c>
    </row>
    <row r="238" spans="1:2">
      <c r="A238">
        <v>65.091924215529602</v>
      </c>
      <c r="B238" t="s">
        <v>33</v>
      </c>
    </row>
    <row r="239" spans="1:2">
      <c r="A239">
        <v>65.455775591192307</v>
      </c>
      <c r="B239" t="s">
        <v>288</v>
      </c>
    </row>
    <row r="240" spans="1:2">
      <c r="A240">
        <v>65.569876810238</v>
      </c>
      <c r="B240" t="s">
        <v>49</v>
      </c>
    </row>
    <row r="241" spans="1:2">
      <c r="A241">
        <v>65.594404286385995</v>
      </c>
      <c r="B241" t="s">
        <v>47</v>
      </c>
    </row>
    <row r="242" spans="1:2">
      <c r="A242">
        <v>65.711144763194199</v>
      </c>
      <c r="B242" t="s">
        <v>41</v>
      </c>
    </row>
    <row r="243" spans="1:2">
      <c r="A243">
        <v>65.873659305574094</v>
      </c>
      <c r="B243" t="s">
        <v>33</v>
      </c>
    </row>
    <row r="244" spans="1:2">
      <c r="A244">
        <v>65.999942142358904</v>
      </c>
      <c r="B244" t="s">
        <v>74</v>
      </c>
    </row>
    <row r="245" spans="1:2">
      <c r="A245">
        <v>66.001375786144806</v>
      </c>
      <c r="B245" t="s">
        <v>33</v>
      </c>
    </row>
    <row r="246" spans="1:2">
      <c r="A246">
        <v>66.051533714859502</v>
      </c>
      <c r="B246" t="s">
        <v>41</v>
      </c>
    </row>
    <row r="247" spans="1:2">
      <c r="A247">
        <v>66.131707272376701</v>
      </c>
      <c r="B247" t="s">
        <v>72</v>
      </c>
    </row>
    <row r="248" spans="1:2">
      <c r="A248">
        <v>66.248929214230401</v>
      </c>
      <c r="B248" t="s">
        <v>298</v>
      </c>
    </row>
    <row r="249" spans="1:2">
      <c r="A249">
        <v>66.323157729630907</v>
      </c>
      <c r="B249" t="s">
        <v>33</v>
      </c>
    </row>
    <row r="250" spans="1:2">
      <c r="A250">
        <v>66.328864174703199</v>
      </c>
      <c r="B250" t="s">
        <v>47</v>
      </c>
    </row>
    <row r="251" spans="1:2">
      <c r="A251">
        <v>66.414402013848203</v>
      </c>
      <c r="B251" t="s">
        <v>47</v>
      </c>
    </row>
    <row r="252" spans="1:2">
      <c r="A252">
        <v>66.475636425925302</v>
      </c>
      <c r="B252" t="s">
        <v>72</v>
      </c>
    </row>
    <row r="253" spans="1:2">
      <c r="A253">
        <v>66.568093143250906</v>
      </c>
      <c r="B253" t="s">
        <v>74</v>
      </c>
    </row>
    <row r="254" spans="1:2">
      <c r="A254">
        <v>66.712920767906198</v>
      </c>
      <c r="B254" t="s">
        <v>33</v>
      </c>
    </row>
    <row r="255" spans="1:2">
      <c r="A255">
        <v>66.728520656057697</v>
      </c>
      <c r="B255" t="s">
        <v>33</v>
      </c>
    </row>
    <row r="256" spans="1:2">
      <c r="A256">
        <v>66.755811781245498</v>
      </c>
      <c r="B256" t="s">
        <v>33</v>
      </c>
    </row>
    <row r="257" spans="1:2">
      <c r="A257">
        <v>66.932402034499702</v>
      </c>
      <c r="B257" t="s">
        <v>49</v>
      </c>
    </row>
    <row r="258" spans="1:2">
      <c r="A258">
        <v>67.059513123300604</v>
      </c>
      <c r="B258" t="s">
        <v>41</v>
      </c>
    </row>
    <row r="259" spans="1:2">
      <c r="A259">
        <v>67.079264310982595</v>
      </c>
      <c r="B259" t="s">
        <v>47</v>
      </c>
    </row>
    <row r="260" spans="1:2">
      <c r="A260">
        <v>67.183566984955505</v>
      </c>
      <c r="B260" t="s">
        <v>33</v>
      </c>
    </row>
    <row r="261" spans="1:2">
      <c r="A261">
        <v>67.331286740162298</v>
      </c>
      <c r="B261" t="s">
        <v>47</v>
      </c>
    </row>
    <row r="262" spans="1:2">
      <c r="A262">
        <v>67.380454692049</v>
      </c>
      <c r="B262" t="s">
        <v>47</v>
      </c>
    </row>
    <row r="263" spans="1:2">
      <c r="A263">
        <v>67.4646592421402</v>
      </c>
      <c r="B263" t="s">
        <v>47</v>
      </c>
    </row>
    <row r="264" spans="1:2">
      <c r="A264">
        <v>67.551560341322102</v>
      </c>
      <c r="B264" t="s">
        <v>47</v>
      </c>
    </row>
    <row r="265" spans="1:2">
      <c r="A265">
        <v>67.635551869546404</v>
      </c>
      <c r="B265" t="s">
        <v>33</v>
      </c>
    </row>
    <row r="266" spans="1:2">
      <c r="A266">
        <v>67.745981898289401</v>
      </c>
      <c r="B266" t="s">
        <v>33</v>
      </c>
    </row>
    <row r="267" spans="1:2">
      <c r="A267">
        <v>67.820187668243605</v>
      </c>
      <c r="B267" t="s">
        <v>33</v>
      </c>
    </row>
    <row r="268" spans="1:2">
      <c r="A268">
        <v>67.824152512489604</v>
      </c>
      <c r="B268" t="s">
        <v>33</v>
      </c>
    </row>
    <row r="269" spans="1:2">
      <c r="A269">
        <v>68.017794898493506</v>
      </c>
      <c r="B269" t="s">
        <v>33</v>
      </c>
    </row>
    <row r="270" spans="1:2">
      <c r="A270">
        <v>68.048392824338606</v>
      </c>
      <c r="B270" t="s">
        <v>49</v>
      </c>
    </row>
    <row r="271" spans="1:2">
      <c r="A271">
        <v>68.105379549723494</v>
      </c>
      <c r="B271" t="s">
        <v>43</v>
      </c>
    </row>
    <row r="272" spans="1:2">
      <c r="A272">
        <v>68.307921813741601</v>
      </c>
      <c r="B272" t="s">
        <v>47</v>
      </c>
    </row>
    <row r="273" spans="1:2">
      <c r="A273">
        <v>68.328696940231097</v>
      </c>
      <c r="B273" t="s">
        <v>33</v>
      </c>
    </row>
    <row r="274" spans="1:2">
      <c r="A274">
        <v>68.3799152654463</v>
      </c>
      <c r="B274" t="s">
        <v>43</v>
      </c>
    </row>
    <row r="275" spans="1:2">
      <c r="A275">
        <v>68.384066421332093</v>
      </c>
      <c r="B275" t="s">
        <v>72</v>
      </c>
    </row>
    <row r="276" spans="1:2">
      <c r="A276">
        <v>68.450450678120603</v>
      </c>
      <c r="B276" t="s">
        <v>33</v>
      </c>
    </row>
    <row r="277" spans="1:2">
      <c r="A277">
        <v>68.511246407299893</v>
      </c>
      <c r="B277" t="s">
        <v>47</v>
      </c>
    </row>
    <row r="278" spans="1:2">
      <c r="A278">
        <v>68.613372287048506</v>
      </c>
      <c r="B278" t="s">
        <v>33</v>
      </c>
    </row>
    <row r="279" spans="1:2">
      <c r="A279">
        <v>68.614751325573494</v>
      </c>
      <c r="B279" t="s">
        <v>74</v>
      </c>
    </row>
    <row r="280" spans="1:2">
      <c r="A280">
        <v>68.638190741353</v>
      </c>
      <c r="B280" t="s">
        <v>331</v>
      </c>
    </row>
    <row r="281" spans="1:2">
      <c r="A281">
        <v>69.034072562541994</v>
      </c>
      <c r="B281" t="s">
        <v>49</v>
      </c>
    </row>
    <row r="282" spans="1:2">
      <c r="A282">
        <v>69.047777685180606</v>
      </c>
      <c r="B282" t="s">
        <v>101</v>
      </c>
    </row>
    <row r="283" spans="1:2">
      <c r="A283">
        <v>69.098829894267098</v>
      </c>
      <c r="B283" t="s">
        <v>47</v>
      </c>
    </row>
    <row r="284" spans="1:2">
      <c r="A284">
        <v>69.127213813913997</v>
      </c>
      <c r="B284" t="s">
        <v>43</v>
      </c>
    </row>
    <row r="285" spans="1:2">
      <c r="A285">
        <v>69.135426135156393</v>
      </c>
      <c r="B285" t="s">
        <v>33</v>
      </c>
    </row>
    <row r="286" spans="1:2">
      <c r="A286">
        <v>69.147742788266697</v>
      </c>
      <c r="B286" t="s">
        <v>41</v>
      </c>
    </row>
    <row r="287" spans="1:2">
      <c r="A287">
        <v>69.299468188372998</v>
      </c>
      <c r="B287" t="s">
        <v>33</v>
      </c>
    </row>
    <row r="288" spans="1:2">
      <c r="A288">
        <v>69.300833574066701</v>
      </c>
      <c r="B288" t="s">
        <v>43</v>
      </c>
    </row>
    <row r="289" spans="1:2">
      <c r="A289">
        <v>69.311755691325104</v>
      </c>
      <c r="B289" t="s">
        <v>47</v>
      </c>
    </row>
    <row r="290" spans="1:2">
      <c r="A290">
        <v>69.390889628440405</v>
      </c>
      <c r="B290" t="s">
        <v>33</v>
      </c>
    </row>
    <row r="291" spans="1:2">
      <c r="A291">
        <v>69.409977406673505</v>
      </c>
      <c r="B291" t="s">
        <v>33</v>
      </c>
    </row>
    <row r="292" spans="1:2">
      <c r="A292">
        <v>69.467209272436605</v>
      </c>
      <c r="B292" t="s">
        <v>38</v>
      </c>
    </row>
    <row r="293" spans="1:2">
      <c r="A293">
        <v>69.595129095386199</v>
      </c>
      <c r="B293" t="s">
        <v>33</v>
      </c>
    </row>
    <row r="294" spans="1:2">
      <c r="A294">
        <v>69.603286208472596</v>
      </c>
      <c r="B294" t="s">
        <v>33</v>
      </c>
    </row>
    <row r="295" spans="1:2">
      <c r="A295">
        <v>69.664434111902906</v>
      </c>
      <c r="B295" t="s">
        <v>41</v>
      </c>
    </row>
    <row r="296" spans="1:2">
      <c r="A296">
        <v>69.672273999797099</v>
      </c>
      <c r="B296" t="s">
        <v>49</v>
      </c>
    </row>
    <row r="297" spans="1:2">
      <c r="A297">
        <v>69.813681293436403</v>
      </c>
      <c r="B297" t="s">
        <v>61</v>
      </c>
    </row>
    <row r="298" spans="1:2">
      <c r="A298">
        <v>70.130114267194301</v>
      </c>
      <c r="B298" t="s">
        <v>47</v>
      </c>
    </row>
    <row r="299" spans="1:2">
      <c r="A299">
        <v>70.262214086302507</v>
      </c>
      <c r="B299" t="s">
        <v>72</v>
      </c>
    </row>
    <row r="300" spans="1:2">
      <c r="A300">
        <v>70.264907415065807</v>
      </c>
      <c r="B300" t="s">
        <v>74</v>
      </c>
    </row>
    <row r="301" spans="1:2">
      <c r="A301">
        <v>70.365832825571701</v>
      </c>
      <c r="B301" t="s">
        <v>74</v>
      </c>
    </row>
    <row r="302" spans="1:2">
      <c r="A302">
        <v>70.540428140391597</v>
      </c>
      <c r="B302" t="s">
        <v>43</v>
      </c>
    </row>
    <row r="303" spans="1:2">
      <c r="A303">
        <v>71.029653638554905</v>
      </c>
      <c r="B303" t="s">
        <v>33</v>
      </c>
    </row>
    <row r="304" spans="1:2">
      <c r="A304">
        <v>71.357955975751906</v>
      </c>
      <c r="B304" t="s">
        <v>41</v>
      </c>
    </row>
    <row r="305" spans="1:2">
      <c r="A305">
        <v>71.364585722774606</v>
      </c>
      <c r="B305" t="s">
        <v>47</v>
      </c>
    </row>
    <row r="306" spans="1:2">
      <c r="A306">
        <v>71.403026116471295</v>
      </c>
      <c r="B306" t="s">
        <v>33</v>
      </c>
    </row>
    <row r="307" spans="1:2">
      <c r="A307">
        <v>71.573769418088901</v>
      </c>
      <c r="B307" t="s">
        <v>43</v>
      </c>
    </row>
    <row r="308" spans="1:2">
      <c r="A308">
        <v>71.653046277632697</v>
      </c>
      <c r="B308" t="s">
        <v>47</v>
      </c>
    </row>
    <row r="309" spans="1:2">
      <c r="A309">
        <v>71.915355605263301</v>
      </c>
      <c r="B309" t="s">
        <v>47</v>
      </c>
    </row>
    <row r="310" spans="1:2">
      <c r="A310">
        <v>71.916671326617006</v>
      </c>
      <c r="B310" t="s">
        <v>144</v>
      </c>
    </row>
    <row r="311" spans="1:2">
      <c r="A311">
        <v>71.999513300153794</v>
      </c>
      <c r="B311" t="s">
        <v>33</v>
      </c>
    </row>
    <row r="312" spans="1:2">
      <c r="A312">
        <v>72.030904095365798</v>
      </c>
      <c r="B312" t="s">
        <v>33</v>
      </c>
    </row>
    <row r="313" spans="1:2">
      <c r="A313">
        <v>72.073070672291493</v>
      </c>
      <c r="B313" t="s">
        <v>298</v>
      </c>
    </row>
    <row r="314" spans="1:2">
      <c r="A314">
        <v>72.213409441290295</v>
      </c>
      <c r="B314" t="s">
        <v>33</v>
      </c>
    </row>
    <row r="315" spans="1:2">
      <c r="A315">
        <v>72.235681154893996</v>
      </c>
      <c r="B315" t="s">
        <v>188</v>
      </c>
    </row>
    <row r="316" spans="1:2">
      <c r="A316">
        <v>72.353476005909599</v>
      </c>
      <c r="B316" t="s">
        <v>41</v>
      </c>
    </row>
    <row r="317" spans="1:2">
      <c r="A317">
        <v>72.384855591470696</v>
      </c>
      <c r="B317" t="s">
        <v>47</v>
      </c>
    </row>
    <row r="318" spans="1:2">
      <c r="A318">
        <v>72.407074569921207</v>
      </c>
      <c r="B318" t="s">
        <v>74</v>
      </c>
    </row>
    <row r="319" spans="1:2">
      <c r="A319">
        <v>72.471464191311497</v>
      </c>
      <c r="B319" t="s">
        <v>74</v>
      </c>
    </row>
    <row r="320" spans="1:2">
      <c r="A320">
        <v>72.518067346382495</v>
      </c>
      <c r="B320" t="s">
        <v>43</v>
      </c>
    </row>
    <row r="321" spans="1:2">
      <c r="A321">
        <v>72.519372132718104</v>
      </c>
      <c r="B321" t="s">
        <v>43</v>
      </c>
    </row>
    <row r="322" spans="1:2">
      <c r="A322">
        <v>72.635404245317602</v>
      </c>
      <c r="B322" t="s">
        <v>43</v>
      </c>
    </row>
    <row r="323" spans="1:2">
      <c r="A323">
        <v>72.888986200734706</v>
      </c>
      <c r="B323" t="s">
        <v>47</v>
      </c>
    </row>
    <row r="324" spans="1:2">
      <c r="A324">
        <v>72.905860304026504</v>
      </c>
      <c r="B324" t="s">
        <v>33</v>
      </c>
    </row>
    <row r="325" spans="1:2">
      <c r="A325">
        <v>72.909362219603196</v>
      </c>
      <c r="B325" t="s">
        <v>33</v>
      </c>
    </row>
    <row r="326" spans="1:2">
      <c r="A326">
        <v>72.951271182149696</v>
      </c>
      <c r="B326" t="s">
        <v>33</v>
      </c>
    </row>
    <row r="327" spans="1:2">
      <c r="A327">
        <v>72.990172305365604</v>
      </c>
      <c r="B327" t="s">
        <v>33</v>
      </c>
    </row>
    <row r="328" spans="1:2">
      <c r="A328">
        <v>73.109340012966598</v>
      </c>
      <c r="B328" t="s">
        <v>33</v>
      </c>
    </row>
    <row r="329" spans="1:2">
      <c r="A329">
        <v>73.424456805696394</v>
      </c>
      <c r="B329" t="s">
        <v>43</v>
      </c>
    </row>
    <row r="330" spans="1:2">
      <c r="A330">
        <v>73.453063726540705</v>
      </c>
      <c r="B330" t="s">
        <v>33</v>
      </c>
    </row>
    <row r="331" spans="1:2">
      <c r="A331">
        <v>73.494013172144307</v>
      </c>
      <c r="B331" t="s">
        <v>288</v>
      </c>
    </row>
    <row r="332" spans="1:2">
      <c r="A332">
        <v>73.517184003419004</v>
      </c>
      <c r="B332" t="s">
        <v>38</v>
      </c>
    </row>
    <row r="333" spans="1:2">
      <c r="A333">
        <v>73.582795068689606</v>
      </c>
      <c r="B333" t="s">
        <v>43</v>
      </c>
    </row>
    <row r="334" spans="1:2">
      <c r="A334">
        <v>73.587938560592207</v>
      </c>
      <c r="B334" t="s">
        <v>47</v>
      </c>
    </row>
    <row r="335" spans="1:2">
      <c r="A335">
        <v>73.744642731777503</v>
      </c>
      <c r="B335" t="s">
        <v>298</v>
      </c>
    </row>
    <row r="336" spans="1:2">
      <c r="A336">
        <v>73.822870078706003</v>
      </c>
      <c r="B336" t="s">
        <v>47</v>
      </c>
    </row>
    <row r="337" spans="1:2">
      <c r="A337">
        <v>74.002095567238896</v>
      </c>
      <c r="B337" t="s">
        <v>33</v>
      </c>
    </row>
    <row r="338" spans="1:2">
      <c r="A338">
        <v>74.007209917814706</v>
      </c>
      <c r="B338" t="s">
        <v>41</v>
      </c>
    </row>
    <row r="339" spans="1:2">
      <c r="A339">
        <v>74.080051048597198</v>
      </c>
      <c r="B339" t="s">
        <v>33</v>
      </c>
    </row>
    <row r="340" spans="1:2">
      <c r="A340">
        <v>74.174510013090895</v>
      </c>
      <c r="B340" t="s">
        <v>33</v>
      </c>
    </row>
    <row r="341" spans="1:2">
      <c r="A341">
        <v>74.177061288652297</v>
      </c>
      <c r="B341" t="s">
        <v>33</v>
      </c>
    </row>
    <row r="342" spans="1:2">
      <c r="A342">
        <v>74.314712710800194</v>
      </c>
      <c r="B342" t="s">
        <v>33</v>
      </c>
    </row>
    <row r="343" spans="1:2">
      <c r="A343">
        <v>74.3350693629787</v>
      </c>
      <c r="B343" t="s">
        <v>47</v>
      </c>
    </row>
    <row r="344" spans="1:2">
      <c r="A344">
        <v>74.702032946848206</v>
      </c>
      <c r="B344" t="s">
        <v>33</v>
      </c>
    </row>
    <row r="345" spans="1:2">
      <c r="A345">
        <v>75.0520752621469</v>
      </c>
      <c r="B345" t="s">
        <v>47</v>
      </c>
    </row>
    <row r="346" spans="1:2">
      <c r="A346">
        <v>75.107527501568697</v>
      </c>
      <c r="B346" t="s">
        <v>33</v>
      </c>
    </row>
    <row r="347" spans="1:2">
      <c r="A347">
        <v>75.369113064891707</v>
      </c>
      <c r="B347" t="s">
        <v>49</v>
      </c>
    </row>
    <row r="348" spans="1:2">
      <c r="A348">
        <v>75.547175272223399</v>
      </c>
      <c r="B348" t="s">
        <v>47</v>
      </c>
    </row>
    <row r="349" spans="1:2">
      <c r="A349">
        <v>75.674820543351501</v>
      </c>
      <c r="B349" t="s">
        <v>43</v>
      </c>
    </row>
    <row r="350" spans="1:2">
      <c r="A350">
        <v>75.797257638044698</v>
      </c>
      <c r="B350" t="s">
        <v>33</v>
      </c>
    </row>
    <row r="351" spans="1:2">
      <c r="A351">
        <v>75.809740100728007</v>
      </c>
      <c r="B351" t="s">
        <v>33</v>
      </c>
    </row>
    <row r="352" spans="1:2">
      <c r="A352">
        <v>75.913265324855502</v>
      </c>
      <c r="B352" t="s">
        <v>33</v>
      </c>
    </row>
    <row r="353" spans="1:2">
      <c r="A353">
        <v>76.025362284622801</v>
      </c>
      <c r="B353" t="s">
        <v>47</v>
      </c>
    </row>
    <row r="354" spans="1:2">
      <c r="A354">
        <v>76.068910935608002</v>
      </c>
      <c r="B354" t="s">
        <v>47</v>
      </c>
    </row>
    <row r="355" spans="1:2">
      <c r="A355">
        <v>76.129837196195894</v>
      </c>
      <c r="B355" t="s">
        <v>33</v>
      </c>
    </row>
    <row r="356" spans="1:2">
      <c r="A356">
        <v>76.150963488949799</v>
      </c>
      <c r="B356" t="s">
        <v>47</v>
      </c>
    </row>
    <row r="357" spans="1:2">
      <c r="A357">
        <v>76.318523489613696</v>
      </c>
      <c r="B357" t="s">
        <v>33</v>
      </c>
    </row>
    <row r="358" spans="1:2">
      <c r="A358">
        <v>76.368100293263396</v>
      </c>
      <c r="B358" t="s">
        <v>47</v>
      </c>
    </row>
    <row r="359" spans="1:2">
      <c r="A359">
        <v>76.485716411458696</v>
      </c>
      <c r="B359" t="s">
        <v>33</v>
      </c>
    </row>
    <row r="360" spans="1:2">
      <c r="A360">
        <v>76.515401350541197</v>
      </c>
      <c r="B360" t="s">
        <v>43</v>
      </c>
    </row>
    <row r="361" spans="1:2">
      <c r="A361">
        <v>76.667356265516304</v>
      </c>
      <c r="B361" t="s">
        <v>33</v>
      </c>
    </row>
    <row r="362" spans="1:2">
      <c r="A362">
        <v>76.731506866091095</v>
      </c>
      <c r="B362" t="s">
        <v>43</v>
      </c>
    </row>
    <row r="363" spans="1:2">
      <c r="A363">
        <v>76.844872892767398</v>
      </c>
      <c r="B363" t="s">
        <v>43</v>
      </c>
    </row>
    <row r="364" spans="1:2">
      <c r="A364">
        <v>77.007236988723307</v>
      </c>
      <c r="B364" t="s">
        <v>33</v>
      </c>
    </row>
    <row r="365" spans="1:2">
      <c r="A365">
        <v>77.039177456902294</v>
      </c>
      <c r="B365" t="s">
        <v>43</v>
      </c>
    </row>
    <row r="366" spans="1:2">
      <c r="A366">
        <v>77.0477745513804</v>
      </c>
      <c r="B366" t="s">
        <v>33</v>
      </c>
    </row>
    <row r="367" spans="1:2">
      <c r="A367">
        <v>77.101791480900602</v>
      </c>
      <c r="B367" t="s">
        <v>33</v>
      </c>
    </row>
    <row r="368" spans="1:2">
      <c r="A368">
        <v>77.202358544522994</v>
      </c>
      <c r="B368" t="s">
        <v>47</v>
      </c>
    </row>
    <row r="369" spans="1:2">
      <c r="A369">
        <v>77.212162952416506</v>
      </c>
      <c r="B369" t="s">
        <v>41</v>
      </c>
    </row>
    <row r="370" spans="1:2">
      <c r="A370">
        <v>77.247693499526306</v>
      </c>
      <c r="B370" t="s">
        <v>33</v>
      </c>
    </row>
    <row r="371" spans="1:2">
      <c r="A371">
        <v>77.281983355331903</v>
      </c>
      <c r="B371" t="s">
        <v>47</v>
      </c>
    </row>
    <row r="372" spans="1:2">
      <c r="A372">
        <v>77.345624184766805</v>
      </c>
      <c r="B372" t="s">
        <v>47</v>
      </c>
    </row>
    <row r="373" spans="1:2">
      <c r="A373">
        <v>77.429989916728204</v>
      </c>
      <c r="B373" t="s">
        <v>43</v>
      </c>
    </row>
    <row r="374" spans="1:2">
      <c r="A374">
        <v>77.513043119264097</v>
      </c>
      <c r="B374" t="s">
        <v>38</v>
      </c>
    </row>
    <row r="375" spans="1:2">
      <c r="A375">
        <v>77.548435811530894</v>
      </c>
      <c r="B375" t="s">
        <v>33</v>
      </c>
    </row>
    <row r="376" spans="1:2">
      <c r="A376">
        <v>77.841938749543104</v>
      </c>
      <c r="B376" t="s">
        <v>33</v>
      </c>
    </row>
    <row r="377" spans="1:2">
      <c r="A377">
        <v>77.8954049641669</v>
      </c>
      <c r="B377" t="s">
        <v>49</v>
      </c>
    </row>
    <row r="378" spans="1:2">
      <c r="A378">
        <v>77.926981393675504</v>
      </c>
      <c r="B378" t="s">
        <v>41</v>
      </c>
    </row>
    <row r="379" spans="1:2">
      <c r="A379">
        <v>78.074543357099401</v>
      </c>
      <c r="B379" t="s">
        <v>43</v>
      </c>
    </row>
    <row r="380" spans="1:2">
      <c r="A380">
        <v>78.074543357099401</v>
      </c>
      <c r="B380" t="s">
        <v>41</v>
      </c>
    </row>
    <row r="381" spans="1:2">
      <c r="A381">
        <v>78.0774009871526</v>
      </c>
      <c r="B381" t="s">
        <v>33</v>
      </c>
    </row>
    <row r="382" spans="1:2">
      <c r="A382">
        <v>78.182764561809293</v>
      </c>
      <c r="B382" t="s">
        <v>41</v>
      </c>
    </row>
    <row r="383" spans="1:2">
      <c r="A383">
        <v>78.186395256047305</v>
      </c>
      <c r="B383" t="s">
        <v>33</v>
      </c>
    </row>
    <row r="384" spans="1:2">
      <c r="A384">
        <v>78.372544969451098</v>
      </c>
      <c r="B384" t="s">
        <v>47</v>
      </c>
    </row>
    <row r="385" spans="1:2">
      <c r="A385">
        <v>78.379721888682198</v>
      </c>
      <c r="B385" t="s">
        <v>33</v>
      </c>
    </row>
    <row r="386" spans="1:2">
      <c r="A386">
        <v>78.379721888682198</v>
      </c>
      <c r="B386" t="s">
        <v>33</v>
      </c>
    </row>
    <row r="387" spans="1:2">
      <c r="A387">
        <v>78.481184354317406</v>
      </c>
      <c r="B387" t="s">
        <v>49</v>
      </c>
    </row>
    <row r="388" spans="1:2">
      <c r="A388">
        <v>78.620861328529102</v>
      </c>
      <c r="B388" t="s">
        <v>33</v>
      </c>
    </row>
    <row r="389" spans="1:2">
      <c r="A389">
        <v>78.660567317575001</v>
      </c>
      <c r="B389" t="s">
        <v>74</v>
      </c>
    </row>
    <row r="390" spans="1:2">
      <c r="A390">
        <v>78.793976985565195</v>
      </c>
      <c r="B390" t="s">
        <v>33</v>
      </c>
    </row>
    <row r="391" spans="1:2">
      <c r="A391">
        <v>78.798780324815297</v>
      </c>
      <c r="B391" t="s">
        <v>47</v>
      </c>
    </row>
    <row r="392" spans="1:2">
      <c r="A392">
        <v>78.8491977206114</v>
      </c>
      <c r="B392" t="s">
        <v>33</v>
      </c>
    </row>
    <row r="393" spans="1:2">
      <c r="A393">
        <v>78.892386986797206</v>
      </c>
      <c r="B393" t="s">
        <v>43</v>
      </c>
    </row>
    <row r="394" spans="1:2">
      <c r="A394">
        <v>78.941545982524104</v>
      </c>
      <c r="B394" t="s">
        <v>38</v>
      </c>
    </row>
    <row r="395" spans="1:2">
      <c r="A395">
        <v>79.032589102019699</v>
      </c>
      <c r="B395" t="s">
        <v>38</v>
      </c>
    </row>
    <row r="396" spans="1:2">
      <c r="A396">
        <v>79.0601209596838</v>
      </c>
      <c r="B396" t="s">
        <v>144</v>
      </c>
    </row>
    <row r="397" spans="1:2">
      <c r="A397">
        <v>79.237053647889596</v>
      </c>
      <c r="B397" t="s">
        <v>33</v>
      </c>
    </row>
    <row r="398" spans="1:2">
      <c r="A398">
        <v>79.256157847232402</v>
      </c>
      <c r="B398" t="s">
        <v>49</v>
      </c>
    </row>
    <row r="399" spans="1:2">
      <c r="A399">
        <v>79.284805515090596</v>
      </c>
      <c r="B399" t="s">
        <v>188</v>
      </c>
    </row>
    <row r="400" spans="1:2">
      <c r="A400">
        <v>79.464810191757095</v>
      </c>
      <c r="B400" t="s">
        <v>47</v>
      </c>
    </row>
    <row r="401" spans="1:2">
      <c r="A401">
        <v>79.691915818515994</v>
      </c>
      <c r="B401" t="s">
        <v>47</v>
      </c>
    </row>
    <row r="402" spans="1:2">
      <c r="A402">
        <v>79.914824070577595</v>
      </c>
      <c r="B402" t="s">
        <v>33</v>
      </c>
    </row>
    <row r="403" spans="1:2">
      <c r="A403">
        <v>79.951520530731401</v>
      </c>
      <c r="B403" t="s">
        <v>33</v>
      </c>
    </row>
    <row r="404" spans="1:2">
      <c r="A404">
        <v>79.956254331057096</v>
      </c>
      <c r="B404" t="s">
        <v>74</v>
      </c>
    </row>
    <row r="405" spans="1:2">
      <c r="A405">
        <v>79.964537807311501</v>
      </c>
      <c r="B405" t="s">
        <v>33</v>
      </c>
    </row>
    <row r="406" spans="1:2">
      <c r="A406">
        <v>80.196127768716494</v>
      </c>
      <c r="B406" t="s">
        <v>43</v>
      </c>
    </row>
    <row r="407" spans="1:2">
      <c r="A407">
        <v>80.197307635390601</v>
      </c>
      <c r="B407" t="s">
        <v>33</v>
      </c>
    </row>
    <row r="408" spans="1:2">
      <c r="A408">
        <v>80.199667316665597</v>
      </c>
      <c r="B408" t="s">
        <v>49</v>
      </c>
    </row>
    <row r="409" spans="1:2">
      <c r="A409">
        <v>80.235054208115699</v>
      </c>
      <c r="B409" t="s">
        <v>33</v>
      </c>
    </row>
    <row r="410" spans="1:2">
      <c r="A410">
        <v>80.281033847835403</v>
      </c>
      <c r="B410" t="s">
        <v>33</v>
      </c>
    </row>
    <row r="411" spans="1:2">
      <c r="A411">
        <v>80.3328767188206</v>
      </c>
      <c r="B411" t="s">
        <v>33</v>
      </c>
    </row>
    <row r="412" spans="1:2">
      <c r="A412">
        <v>80.348187529157002</v>
      </c>
      <c r="B412" t="s">
        <v>43</v>
      </c>
    </row>
    <row r="413" spans="1:2">
      <c r="A413">
        <v>80.610374016300199</v>
      </c>
      <c r="B413" t="s">
        <v>43</v>
      </c>
    </row>
    <row r="414" spans="1:2">
      <c r="A414">
        <v>80.790938853943203</v>
      </c>
      <c r="B414" t="s">
        <v>47</v>
      </c>
    </row>
    <row r="415" spans="1:2">
      <c r="A415">
        <v>80.969932443384195</v>
      </c>
      <c r="B415" t="s">
        <v>38</v>
      </c>
    </row>
    <row r="416" spans="1:2">
      <c r="A416">
        <v>81.090208875127303</v>
      </c>
      <c r="B416" t="s">
        <v>33</v>
      </c>
    </row>
    <row r="417" spans="1:2">
      <c r="A417">
        <v>82.137130983993401</v>
      </c>
      <c r="B417" t="s">
        <v>61</v>
      </c>
    </row>
    <row r="418" spans="1:2">
      <c r="A418">
        <v>82.542782961942706</v>
      </c>
      <c r="B418" t="s">
        <v>331</v>
      </c>
    </row>
    <row r="419" spans="1:2">
      <c r="A419">
        <v>82.706545988786004</v>
      </c>
      <c r="B419" t="s">
        <v>38</v>
      </c>
    </row>
    <row r="420" spans="1:2">
      <c r="A420">
        <v>82.969263039433301</v>
      </c>
      <c r="B420" t="s">
        <v>41</v>
      </c>
    </row>
    <row r="421" spans="1:2">
      <c r="A421">
        <v>83.129909502303093</v>
      </c>
      <c r="B421" t="s">
        <v>33</v>
      </c>
    </row>
    <row r="422" spans="1:2">
      <c r="A422">
        <v>83.397068372430397</v>
      </c>
      <c r="B422" t="s">
        <v>33</v>
      </c>
    </row>
    <row r="423" spans="1:2">
      <c r="A423">
        <v>83.435533111921998</v>
      </c>
      <c r="B423" t="s">
        <v>33</v>
      </c>
    </row>
    <row r="424" spans="1:2">
      <c r="A424">
        <v>83.4604788435377</v>
      </c>
      <c r="B424" t="s">
        <v>33</v>
      </c>
    </row>
    <row r="425" spans="1:2">
      <c r="A425">
        <v>83.461612563272396</v>
      </c>
      <c r="B425" t="s">
        <v>47</v>
      </c>
    </row>
    <row r="426" spans="1:2">
      <c r="A426">
        <v>83.525076308470901</v>
      </c>
      <c r="B426" t="s">
        <v>47</v>
      </c>
    </row>
    <row r="427" spans="1:2">
      <c r="A427">
        <v>83.571510276961504</v>
      </c>
      <c r="B427" t="s">
        <v>49</v>
      </c>
    </row>
    <row r="428" spans="1:2">
      <c r="A428">
        <v>84.0693370693551</v>
      </c>
      <c r="B428" t="s">
        <v>74</v>
      </c>
    </row>
    <row r="429" spans="1:2">
      <c r="A429">
        <v>84.172820905833106</v>
      </c>
      <c r="B429" t="s">
        <v>47</v>
      </c>
    </row>
    <row r="430" spans="1:2">
      <c r="A430">
        <v>84.467950453647802</v>
      </c>
      <c r="B430" t="s">
        <v>33</v>
      </c>
    </row>
    <row r="431" spans="1:2">
      <c r="A431">
        <v>84.724089082634606</v>
      </c>
      <c r="B431" t="s">
        <v>38</v>
      </c>
    </row>
    <row r="432" spans="1:2">
      <c r="A432">
        <v>84.820081098945707</v>
      </c>
      <c r="B432" t="s">
        <v>33</v>
      </c>
    </row>
    <row r="433" spans="1:2">
      <c r="A433">
        <v>84.884758608623002</v>
      </c>
      <c r="B433" t="s">
        <v>47</v>
      </c>
    </row>
    <row r="434" spans="1:2">
      <c r="A434">
        <v>85.598512889694504</v>
      </c>
      <c r="B434" t="s">
        <v>38</v>
      </c>
    </row>
    <row r="435" spans="1:2">
      <c r="A435">
        <v>85.664811802034706</v>
      </c>
      <c r="B435" t="s">
        <v>188</v>
      </c>
    </row>
    <row r="436" spans="1:2">
      <c r="A436">
        <v>85.675856632833401</v>
      </c>
      <c r="B436" t="s">
        <v>33</v>
      </c>
    </row>
    <row r="437" spans="1:2">
      <c r="A437">
        <v>85.851278534274101</v>
      </c>
      <c r="B437" t="s">
        <v>33</v>
      </c>
    </row>
    <row r="438" spans="1:2">
      <c r="A438">
        <v>85.863401385750393</v>
      </c>
      <c r="B438" t="s">
        <v>47</v>
      </c>
    </row>
    <row r="439" spans="1:2">
      <c r="A439">
        <v>85.905267164239405</v>
      </c>
      <c r="B439" t="s">
        <v>47</v>
      </c>
    </row>
    <row r="440" spans="1:2">
      <c r="A440">
        <v>85.964725565170596</v>
      </c>
      <c r="B440" t="s">
        <v>43</v>
      </c>
    </row>
    <row r="441" spans="1:2">
      <c r="A441">
        <v>86.004341662415996</v>
      </c>
      <c r="B441" t="s">
        <v>33</v>
      </c>
    </row>
    <row r="442" spans="1:2">
      <c r="A442">
        <v>86.017542973603696</v>
      </c>
      <c r="B442" t="s">
        <v>43</v>
      </c>
    </row>
    <row r="443" spans="1:2">
      <c r="A443">
        <v>86.332672857212799</v>
      </c>
      <c r="B443" t="s">
        <v>47</v>
      </c>
    </row>
    <row r="444" spans="1:2">
      <c r="A444">
        <v>86.506762850485899</v>
      </c>
      <c r="B444" t="s">
        <v>38</v>
      </c>
    </row>
    <row r="445" spans="1:2">
      <c r="A445">
        <v>86.594222950521598</v>
      </c>
      <c r="B445" t="s">
        <v>47</v>
      </c>
    </row>
    <row r="446" spans="1:2">
      <c r="A446">
        <v>86.726338764965007</v>
      </c>
      <c r="B446" t="s">
        <v>49</v>
      </c>
    </row>
    <row r="447" spans="1:2">
      <c r="A447">
        <v>86.811397750361905</v>
      </c>
      <c r="B447" t="s">
        <v>33</v>
      </c>
    </row>
    <row r="448" spans="1:2">
      <c r="A448">
        <v>86.8255661465613</v>
      </c>
      <c r="B448" t="s">
        <v>47</v>
      </c>
    </row>
    <row r="449" spans="1:2">
      <c r="A449">
        <v>86.838642614340003</v>
      </c>
      <c r="B449" t="s">
        <v>38</v>
      </c>
    </row>
    <row r="450" spans="1:2">
      <c r="A450">
        <v>86.985617422884403</v>
      </c>
      <c r="B450" t="s">
        <v>33</v>
      </c>
    </row>
    <row r="451" spans="1:2">
      <c r="A451">
        <v>87.007370353459294</v>
      </c>
      <c r="B451" t="s">
        <v>74</v>
      </c>
    </row>
    <row r="452" spans="1:2">
      <c r="A452">
        <v>87.118225811138004</v>
      </c>
      <c r="B452" t="s">
        <v>47</v>
      </c>
    </row>
    <row r="453" spans="1:2">
      <c r="A453">
        <v>87.118225811138004</v>
      </c>
      <c r="B453" t="s">
        <v>33</v>
      </c>
    </row>
    <row r="454" spans="1:2">
      <c r="A454">
        <v>87.246294632171697</v>
      </c>
      <c r="B454" t="s">
        <v>33</v>
      </c>
    </row>
    <row r="455" spans="1:2">
      <c r="A455">
        <v>87.275572095011697</v>
      </c>
      <c r="B455" t="s">
        <v>43</v>
      </c>
    </row>
    <row r="456" spans="1:2">
      <c r="A456">
        <v>87.397997280995895</v>
      </c>
      <c r="B456" t="s">
        <v>47</v>
      </c>
    </row>
    <row r="457" spans="1:2">
      <c r="A457">
        <v>87.911828182894993</v>
      </c>
      <c r="B457" t="s">
        <v>47</v>
      </c>
    </row>
    <row r="458" spans="1:2">
      <c r="A458">
        <v>88.012944298902994</v>
      </c>
      <c r="B458" t="s">
        <v>41</v>
      </c>
    </row>
    <row r="459" spans="1:2">
      <c r="A459">
        <v>88.218046635454698</v>
      </c>
      <c r="B459" t="s">
        <v>47</v>
      </c>
    </row>
    <row r="460" spans="1:2">
      <c r="A460">
        <v>88.294167394494806</v>
      </c>
      <c r="B460" t="s">
        <v>74</v>
      </c>
    </row>
    <row r="461" spans="1:2">
      <c r="A461">
        <v>88.549924006862895</v>
      </c>
      <c r="B461" t="s">
        <v>49</v>
      </c>
    </row>
    <row r="462" spans="1:2">
      <c r="A462">
        <v>88.592656334418706</v>
      </c>
      <c r="B462" t="s">
        <v>33</v>
      </c>
    </row>
    <row r="463" spans="1:2">
      <c r="A463">
        <v>89.282070627967201</v>
      </c>
      <c r="B463" t="s">
        <v>33</v>
      </c>
    </row>
    <row r="464" spans="1:2">
      <c r="A464">
        <v>89.662788092509501</v>
      </c>
      <c r="B464" t="s">
        <v>47</v>
      </c>
    </row>
    <row r="465" spans="1:2">
      <c r="A465">
        <v>90.143771608124496</v>
      </c>
      <c r="B465" t="s">
        <v>74</v>
      </c>
    </row>
    <row r="466" spans="1:2">
      <c r="A466">
        <v>90.450802762648706</v>
      </c>
      <c r="B466" t="s">
        <v>33</v>
      </c>
    </row>
    <row r="467" spans="1:2">
      <c r="A467">
        <v>90.601317283853803</v>
      </c>
      <c r="B467" t="s">
        <v>49</v>
      </c>
    </row>
    <row r="468" spans="1:2">
      <c r="A468">
        <v>90.915129638541799</v>
      </c>
      <c r="B468" t="s">
        <v>47</v>
      </c>
    </row>
    <row r="469" spans="1:2">
      <c r="A469">
        <v>91.147616696197503</v>
      </c>
      <c r="B469" t="s">
        <v>33</v>
      </c>
    </row>
    <row r="470" spans="1:2">
      <c r="A470">
        <v>91.703732860986406</v>
      </c>
      <c r="B470" t="s">
        <v>33</v>
      </c>
    </row>
    <row r="471" spans="1:2">
      <c r="A471">
        <v>92.1720137900667</v>
      </c>
      <c r="B471" t="s">
        <v>33</v>
      </c>
    </row>
    <row r="472" spans="1:2">
      <c r="A472">
        <v>92.239742819904606</v>
      </c>
      <c r="B472" t="s">
        <v>49</v>
      </c>
    </row>
    <row r="473" spans="1:2">
      <c r="A473">
        <v>92.363783717715805</v>
      </c>
      <c r="B473" t="s">
        <v>47</v>
      </c>
    </row>
    <row r="474" spans="1:2">
      <c r="A474">
        <v>92.4538907517734</v>
      </c>
      <c r="B474" t="s">
        <v>33</v>
      </c>
    </row>
    <row r="475" spans="1:2">
      <c r="A475">
        <v>92.549022155691304</v>
      </c>
      <c r="B475" t="s">
        <v>43</v>
      </c>
    </row>
    <row r="476" spans="1:2">
      <c r="A476">
        <v>92.767556160433799</v>
      </c>
      <c r="B476" t="s">
        <v>33</v>
      </c>
    </row>
    <row r="477" spans="1:2">
      <c r="A477">
        <v>92.904133494960305</v>
      </c>
      <c r="B477" t="s">
        <v>74</v>
      </c>
    </row>
    <row r="478" spans="1:2">
      <c r="A478">
        <v>93.080164572360005</v>
      </c>
      <c r="B478" t="s">
        <v>298</v>
      </c>
    </row>
    <row r="479" spans="1:2">
      <c r="A479">
        <v>93.599195433710804</v>
      </c>
      <c r="B479" t="s">
        <v>47</v>
      </c>
    </row>
    <row r="480" spans="1:2">
      <c r="A480">
        <v>93.825368576597697</v>
      </c>
      <c r="B480" t="s">
        <v>33</v>
      </c>
    </row>
    <row r="481" spans="1:2">
      <c r="A481">
        <v>93.940265464927094</v>
      </c>
      <c r="B481" t="s">
        <v>43</v>
      </c>
    </row>
    <row r="482" spans="1:2">
      <c r="A482">
        <v>94.292144316661506</v>
      </c>
      <c r="B482" t="s">
        <v>43</v>
      </c>
    </row>
    <row r="483" spans="1:2">
      <c r="A483">
        <v>94.485619824319997</v>
      </c>
      <c r="B483" t="s">
        <v>47</v>
      </c>
    </row>
    <row r="484" spans="1:2">
      <c r="A484">
        <v>94.667705981378802</v>
      </c>
      <c r="B484" t="s">
        <v>33</v>
      </c>
    </row>
    <row r="485" spans="1:2">
      <c r="A485">
        <v>94.992987799782298</v>
      </c>
      <c r="B485" t="s">
        <v>47</v>
      </c>
    </row>
    <row r="486" spans="1:2">
      <c r="A486">
        <v>95.182056482689305</v>
      </c>
      <c r="B486" t="s">
        <v>144</v>
      </c>
    </row>
    <row r="487" spans="1:2">
      <c r="A487">
        <v>95.183050587502393</v>
      </c>
      <c r="B487" t="s">
        <v>33</v>
      </c>
    </row>
    <row r="488" spans="1:2">
      <c r="A488">
        <v>95.194979035520603</v>
      </c>
      <c r="B488" t="s">
        <v>33</v>
      </c>
    </row>
    <row r="489" spans="1:2">
      <c r="A489">
        <v>95.329676651854996</v>
      </c>
      <c r="B489" t="s">
        <v>188</v>
      </c>
    </row>
    <row r="490" spans="1:2">
      <c r="A490">
        <v>95.872447325040199</v>
      </c>
      <c r="B490" t="s">
        <v>74</v>
      </c>
    </row>
    <row r="491" spans="1:2">
      <c r="A491">
        <v>96.132649363035</v>
      </c>
      <c r="B491" t="s">
        <v>47</v>
      </c>
    </row>
    <row r="492" spans="1:2">
      <c r="A492">
        <v>96.223160504739397</v>
      </c>
      <c r="B492" t="s">
        <v>47</v>
      </c>
    </row>
    <row r="493" spans="1:2">
      <c r="A493">
        <v>96.365641353918207</v>
      </c>
      <c r="B493" t="s">
        <v>47</v>
      </c>
    </row>
    <row r="494" spans="1:2">
      <c r="A494">
        <v>96.372514409640004</v>
      </c>
      <c r="B494" t="s">
        <v>33</v>
      </c>
    </row>
    <row r="495" spans="1:2">
      <c r="A495">
        <v>97.074908775171096</v>
      </c>
      <c r="B495" t="s">
        <v>74</v>
      </c>
    </row>
    <row r="496" spans="1:2">
      <c r="A496">
        <v>97.315368274468099</v>
      </c>
      <c r="B496" t="s">
        <v>33</v>
      </c>
    </row>
    <row r="497" spans="1:2">
      <c r="A497">
        <v>97.4727564358503</v>
      </c>
      <c r="B497" t="s">
        <v>43</v>
      </c>
    </row>
    <row r="498" spans="1:2">
      <c r="A498">
        <v>97.537774833331497</v>
      </c>
      <c r="B498" t="s">
        <v>33</v>
      </c>
    </row>
    <row r="499" spans="1:2">
      <c r="A499">
        <v>97.640551327667097</v>
      </c>
      <c r="B499" t="s">
        <v>33</v>
      </c>
    </row>
    <row r="500" spans="1:2">
      <c r="A500">
        <v>97.674463213227398</v>
      </c>
      <c r="B500" t="s">
        <v>33</v>
      </c>
    </row>
    <row r="501" spans="1:2">
      <c r="A501">
        <v>97.682212848325406</v>
      </c>
      <c r="B501" t="s">
        <v>33</v>
      </c>
    </row>
    <row r="502" spans="1:2">
      <c r="A502">
        <v>97.756771672720703</v>
      </c>
      <c r="B502" t="s">
        <v>33</v>
      </c>
    </row>
    <row r="503" spans="1:2">
      <c r="A503">
        <v>97.784837531586007</v>
      </c>
      <c r="B503" t="s">
        <v>47</v>
      </c>
    </row>
    <row r="504" spans="1:2">
      <c r="A504">
        <v>97.867053163763998</v>
      </c>
      <c r="B504" t="s">
        <v>49</v>
      </c>
    </row>
    <row r="505" spans="1:2">
      <c r="A505">
        <v>97.918282087798005</v>
      </c>
      <c r="B505" t="s">
        <v>33</v>
      </c>
    </row>
    <row r="506" spans="1:2">
      <c r="A506">
        <v>98.126826388402407</v>
      </c>
      <c r="B506" t="s">
        <v>58</v>
      </c>
    </row>
    <row r="507" spans="1:2">
      <c r="A507">
        <v>98.155711565063598</v>
      </c>
      <c r="B507" t="s">
        <v>43</v>
      </c>
    </row>
    <row r="508" spans="1:2">
      <c r="A508">
        <v>98.396414721975802</v>
      </c>
      <c r="B508" t="s">
        <v>47</v>
      </c>
    </row>
    <row r="509" spans="1:2">
      <c r="A509">
        <v>99.541787141969706</v>
      </c>
      <c r="B509" t="s">
        <v>74</v>
      </c>
    </row>
    <row r="510" spans="1:2">
      <c r="A510">
        <v>99.860667890124901</v>
      </c>
      <c r="B510" t="s">
        <v>38</v>
      </c>
    </row>
    <row r="511" spans="1:2">
      <c r="A511">
        <v>99.868247878969299</v>
      </c>
      <c r="B511" t="s">
        <v>144</v>
      </c>
    </row>
    <row r="512" spans="1:2">
      <c r="A512">
        <v>100.213157365181</v>
      </c>
      <c r="B512" t="s">
        <v>43</v>
      </c>
    </row>
    <row r="513" spans="1:2">
      <c r="A513">
        <v>100.530288402726</v>
      </c>
      <c r="B513" t="s">
        <v>49</v>
      </c>
    </row>
    <row r="514" spans="1:2">
      <c r="A514">
        <v>100.583860679803</v>
      </c>
      <c r="B514" t="s">
        <v>49</v>
      </c>
    </row>
    <row r="515" spans="1:2">
      <c r="A515">
        <v>101.81711238148</v>
      </c>
      <c r="B515" t="s">
        <v>47</v>
      </c>
    </row>
    <row r="516" spans="1:2">
      <c r="A516">
        <v>102.18724127065001</v>
      </c>
      <c r="B516" t="s">
        <v>144</v>
      </c>
    </row>
    <row r="517" spans="1:2">
      <c r="A517">
        <v>102.291821387261</v>
      </c>
      <c r="B517" t="s">
        <v>33</v>
      </c>
    </row>
    <row r="518" spans="1:2">
      <c r="A518">
        <v>102.509892399953</v>
      </c>
      <c r="B518" t="s">
        <v>47</v>
      </c>
    </row>
    <row r="519" spans="1:2">
      <c r="A519">
        <v>102.6491778491</v>
      </c>
      <c r="B519" t="s">
        <v>33</v>
      </c>
    </row>
    <row r="520" spans="1:2">
      <c r="A520">
        <v>103.488268395635</v>
      </c>
      <c r="B520" t="s">
        <v>47</v>
      </c>
    </row>
    <row r="521" spans="1:2">
      <c r="A521">
        <v>103.722982568505</v>
      </c>
      <c r="B521" t="s">
        <v>74</v>
      </c>
    </row>
    <row r="522" spans="1:2">
      <c r="A522">
        <v>104.318795968031</v>
      </c>
      <c r="B522" t="s">
        <v>144</v>
      </c>
    </row>
    <row r="523" spans="1:2">
      <c r="A523">
        <v>104.394959616021</v>
      </c>
      <c r="B523" t="s">
        <v>33</v>
      </c>
    </row>
    <row r="524" spans="1:2">
      <c r="A524">
        <v>104.518154516042</v>
      </c>
      <c r="B524" t="s">
        <v>47</v>
      </c>
    </row>
    <row r="525" spans="1:2">
      <c r="A525">
        <v>104.906715977514</v>
      </c>
      <c r="B525" t="s">
        <v>47</v>
      </c>
    </row>
    <row r="526" spans="1:2">
      <c r="A526">
        <v>104.922048140336</v>
      </c>
      <c r="B526" t="s">
        <v>298</v>
      </c>
    </row>
    <row r="527" spans="1:2">
      <c r="A527">
        <v>105.027508785351</v>
      </c>
      <c r="B527" t="s">
        <v>43</v>
      </c>
    </row>
    <row r="528" spans="1:2">
      <c r="A528">
        <v>105.11756222713301</v>
      </c>
      <c r="B528" t="s">
        <v>47</v>
      </c>
    </row>
    <row r="529" spans="1:2">
      <c r="A529">
        <v>105.414192760769</v>
      </c>
      <c r="B529" t="s">
        <v>33</v>
      </c>
    </row>
    <row r="530" spans="1:2">
      <c r="A530">
        <v>106.042446829415</v>
      </c>
      <c r="B530" t="s">
        <v>41</v>
      </c>
    </row>
    <row r="531" spans="1:2">
      <c r="A531">
        <v>107.07869516343</v>
      </c>
      <c r="B531" t="s">
        <v>33</v>
      </c>
    </row>
    <row r="532" spans="1:2">
      <c r="A532">
        <v>107.259693016924</v>
      </c>
      <c r="B532" t="s">
        <v>43</v>
      </c>
    </row>
    <row r="533" spans="1:2">
      <c r="A533">
        <v>107.41396207286699</v>
      </c>
      <c r="B533" t="s">
        <v>33</v>
      </c>
    </row>
    <row r="534" spans="1:2">
      <c r="A534">
        <v>107.794718843487</v>
      </c>
      <c r="B534" t="s">
        <v>33</v>
      </c>
    </row>
    <row r="535" spans="1:2">
      <c r="A535">
        <v>107.894740824718</v>
      </c>
      <c r="B535" t="s">
        <v>101</v>
      </c>
    </row>
    <row r="536" spans="1:2">
      <c r="A536">
        <v>107.994670168113</v>
      </c>
      <c r="B536" t="s">
        <v>33</v>
      </c>
    </row>
    <row r="537" spans="1:2">
      <c r="A537">
        <v>107.999050917429</v>
      </c>
      <c r="B537" t="s">
        <v>33</v>
      </c>
    </row>
    <row r="538" spans="1:2">
      <c r="A538">
        <v>108.055984496752</v>
      </c>
      <c r="B538" t="s">
        <v>58</v>
      </c>
    </row>
    <row r="539" spans="1:2">
      <c r="A539">
        <v>108.08317548511</v>
      </c>
      <c r="B539" t="s">
        <v>144</v>
      </c>
    </row>
    <row r="540" spans="1:2">
      <c r="A540">
        <v>108.122514970842</v>
      </c>
      <c r="B540" t="s">
        <v>47</v>
      </c>
    </row>
    <row r="541" spans="1:2">
      <c r="A541">
        <v>108.80645501558</v>
      </c>
      <c r="B541" t="s">
        <v>43</v>
      </c>
    </row>
    <row r="542" spans="1:2">
      <c r="A542">
        <v>109.421286079566</v>
      </c>
      <c r="B542" t="s">
        <v>47</v>
      </c>
    </row>
    <row r="543" spans="1:2">
      <c r="A543">
        <v>109.451547945781</v>
      </c>
      <c r="B543" t="s">
        <v>49</v>
      </c>
    </row>
    <row r="544" spans="1:2">
      <c r="A544">
        <v>109.70628055920901</v>
      </c>
      <c r="B544" t="s">
        <v>33</v>
      </c>
    </row>
    <row r="545" spans="1:2">
      <c r="A545">
        <v>110.036121401256</v>
      </c>
      <c r="B545" t="s">
        <v>58</v>
      </c>
    </row>
    <row r="546" spans="1:2">
      <c r="A546">
        <v>110.98915530497899</v>
      </c>
      <c r="B546" t="s">
        <v>47</v>
      </c>
    </row>
    <row r="547" spans="1:2">
      <c r="A547">
        <v>111.188390391344</v>
      </c>
      <c r="B547" t="s">
        <v>144</v>
      </c>
    </row>
    <row r="548" spans="1:2">
      <c r="A548">
        <v>111.561268143501</v>
      </c>
      <c r="B548" t="s">
        <v>61</v>
      </c>
    </row>
    <row r="549" spans="1:2">
      <c r="A549">
        <v>111.840049541068</v>
      </c>
      <c r="B549" t="s">
        <v>33</v>
      </c>
    </row>
    <row r="550" spans="1:2">
      <c r="A550">
        <v>111.91735353077399</v>
      </c>
      <c r="B550" t="s">
        <v>74</v>
      </c>
    </row>
    <row r="551" spans="1:2">
      <c r="A551">
        <v>112.09610729508</v>
      </c>
      <c r="B551" t="s">
        <v>47</v>
      </c>
    </row>
    <row r="552" spans="1:2">
      <c r="A552">
        <v>112.545959335964</v>
      </c>
      <c r="B552" t="s">
        <v>33</v>
      </c>
    </row>
    <row r="553" spans="1:2">
      <c r="A553">
        <v>112.68039679519001</v>
      </c>
      <c r="B553" t="s">
        <v>38</v>
      </c>
    </row>
    <row r="554" spans="1:2">
      <c r="A554">
        <v>112.947953930959</v>
      </c>
      <c r="B554" t="s">
        <v>61</v>
      </c>
    </row>
    <row r="555" spans="1:2">
      <c r="A555">
        <v>112.96973316684701</v>
      </c>
      <c r="B555" t="s">
        <v>41</v>
      </c>
    </row>
    <row r="556" spans="1:2">
      <c r="A556">
        <v>113.411114299772</v>
      </c>
      <c r="B556" t="s">
        <v>288</v>
      </c>
    </row>
    <row r="557" spans="1:2">
      <c r="A557">
        <v>113.84081064017801</v>
      </c>
      <c r="B557" t="s">
        <v>33</v>
      </c>
    </row>
    <row r="558" spans="1:2">
      <c r="A558">
        <v>114.17000411327901</v>
      </c>
      <c r="B558" t="s">
        <v>47</v>
      </c>
    </row>
    <row r="559" spans="1:2">
      <c r="A559">
        <v>114.42446044057201</v>
      </c>
      <c r="B559" t="s">
        <v>47</v>
      </c>
    </row>
    <row r="560" spans="1:2">
      <c r="A560">
        <v>114.437690613813</v>
      </c>
      <c r="B560" t="s">
        <v>38</v>
      </c>
    </row>
    <row r="561" spans="1:2">
      <c r="A561">
        <v>114.79762595099901</v>
      </c>
      <c r="B561" t="s">
        <v>38</v>
      </c>
    </row>
    <row r="562" spans="1:2">
      <c r="A562">
        <v>115.058615120797</v>
      </c>
      <c r="B562" t="s">
        <v>41</v>
      </c>
    </row>
    <row r="563" spans="1:2">
      <c r="A563">
        <v>116.576576397032</v>
      </c>
      <c r="B563" t="s">
        <v>47</v>
      </c>
    </row>
    <row r="564" spans="1:2">
      <c r="A564">
        <v>116.624454955788</v>
      </c>
      <c r="B564" t="s">
        <v>74</v>
      </c>
    </row>
    <row r="565" spans="1:2">
      <c r="A565">
        <v>117.042354787622</v>
      </c>
      <c r="B565" t="s">
        <v>43</v>
      </c>
    </row>
    <row r="566" spans="1:2">
      <c r="A566">
        <v>117.139327121737</v>
      </c>
      <c r="B566" t="s">
        <v>33</v>
      </c>
    </row>
    <row r="567" spans="1:2">
      <c r="A567">
        <v>117.170825850257</v>
      </c>
      <c r="B567" t="s">
        <v>33</v>
      </c>
    </row>
    <row r="568" spans="1:2">
      <c r="A568">
        <v>117.53607722810099</v>
      </c>
      <c r="B568" t="s">
        <v>33</v>
      </c>
    </row>
    <row r="569" spans="1:2">
      <c r="A569">
        <v>118.235989580565</v>
      </c>
      <c r="B569" t="s">
        <v>41</v>
      </c>
    </row>
    <row r="570" spans="1:2">
      <c r="A570">
        <v>118.980304374467</v>
      </c>
      <c r="B570" t="s">
        <v>33</v>
      </c>
    </row>
    <row r="571" spans="1:2">
      <c r="A571">
        <v>119.76977384442399</v>
      </c>
      <c r="B571" t="s">
        <v>47</v>
      </c>
    </row>
    <row r="572" spans="1:2">
      <c r="A572">
        <v>119.848750571971</v>
      </c>
      <c r="B572" t="s">
        <v>33</v>
      </c>
    </row>
    <row r="573" spans="1:2">
      <c r="A573">
        <v>119.95055374522801</v>
      </c>
      <c r="B573" t="s">
        <v>43</v>
      </c>
    </row>
    <row r="574" spans="1:2">
      <c r="A574">
        <v>120.05463507303099</v>
      </c>
      <c r="B574" t="s">
        <v>38</v>
      </c>
    </row>
    <row r="575" spans="1:2">
      <c r="A575">
        <v>120.448852547369</v>
      </c>
      <c r="B575" t="s">
        <v>33</v>
      </c>
    </row>
    <row r="576" spans="1:2">
      <c r="A576">
        <v>120.539944635805</v>
      </c>
      <c r="B576" t="s">
        <v>144</v>
      </c>
    </row>
    <row r="577" spans="1:2">
      <c r="A577">
        <v>120.721922609163</v>
      </c>
      <c r="B577" t="s">
        <v>47</v>
      </c>
    </row>
    <row r="578" spans="1:2">
      <c r="A578">
        <v>121.478268409701</v>
      </c>
      <c r="B578" t="s">
        <v>47</v>
      </c>
    </row>
    <row r="579" spans="1:2">
      <c r="A579">
        <v>121.62850640195801</v>
      </c>
      <c r="B579" t="s">
        <v>38</v>
      </c>
    </row>
    <row r="580" spans="1:2">
      <c r="A580">
        <v>122.59014630150401</v>
      </c>
      <c r="B580" t="s">
        <v>58</v>
      </c>
    </row>
    <row r="581" spans="1:2">
      <c r="A581">
        <v>122.76796451355899</v>
      </c>
      <c r="B581" t="s">
        <v>33</v>
      </c>
    </row>
    <row r="582" spans="1:2">
      <c r="A582">
        <v>124.485822772899</v>
      </c>
      <c r="B582" t="s">
        <v>38</v>
      </c>
    </row>
    <row r="583" spans="1:2">
      <c r="A583">
        <v>125.080320118247</v>
      </c>
      <c r="B583" t="s">
        <v>49</v>
      </c>
    </row>
    <row r="584" spans="1:2">
      <c r="A584">
        <v>128.14954913930401</v>
      </c>
      <c r="B584" t="s">
        <v>33</v>
      </c>
    </row>
    <row r="585" spans="1:2">
      <c r="A585">
        <v>128.24181183707</v>
      </c>
      <c r="B585" t="s">
        <v>47</v>
      </c>
    </row>
    <row r="586" spans="1:2">
      <c r="A586">
        <v>128.987074273876</v>
      </c>
      <c r="B586" t="s">
        <v>41</v>
      </c>
    </row>
    <row r="587" spans="1:2">
      <c r="A587">
        <v>129.69741769097999</v>
      </c>
      <c r="B587" t="s">
        <v>47</v>
      </c>
    </row>
    <row r="588" spans="1:2">
      <c r="A588">
        <v>130.72928145578001</v>
      </c>
      <c r="B588" t="s">
        <v>47</v>
      </c>
    </row>
    <row r="589" spans="1:2">
      <c r="A589">
        <v>130.74112164146999</v>
      </c>
      <c r="B589" t="s">
        <v>74</v>
      </c>
    </row>
    <row r="590" spans="1:2">
      <c r="A590">
        <v>132.27700647335399</v>
      </c>
      <c r="B590" t="s">
        <v>49</v>
      </c>
    </row>
    <row r="591" spans="1:2">
      <c r="A591">
        <v>132.33064519127899</v>
      </c>
      <c r="B591" t="s">
        <v>47</v>
      </c>
    </row>
    <row r="592" spans="1:2">
      <c r="A592">
        <v>134.30796808185599</v>
      </c>
      <c r="B592" t="s">
        <v>33</v>
      </c>
    </row>
    <row r="593" spans="1:2">
      <c r="A593">
        <v>134.718774214577</v>
      </c>
      <c r="B593" t="s">
        <v>33</v>
      </c>
    </row>
    <row r="594" spans="1:2">
      <c r="A594">
        <v>135.43957707503699</v>
      </c>
      <c r="B594" t="s">
        <v>33</v>
      </c>
    </row>
    <row r="595" spans="1:2">
      <c r="A595">
        <v>135.61551622619899</v>
      </c>
      <c r="B595" t="s">
        <v>47</v>
      </c>
    </row>
    <row r="596" spans="1:2">
      <c r="A596">
        <v>136.599219987482</v>
      </c>
      <c r="B596" t="s">
        <v>49</v>
      </c>
    </row>
    <row r="597" spans="1:2">
      <c r="A597">
        <v>139.40164472315399</v>
      </c>
      <c r="B597" t="s">
        <v>33</v>
      </c>
    </row>
    <row r="598" spans="1:2">
      <c r="A598">
        <v>140.49883872903999</v>
      </c>
      <c r="B598" t="s">
        <v>47</v>
      </c>
    </row>
    <row r="599" spans="1:2">
      <c r="A599">
        <v>141.082197653203</v>
      </c>
      <c r="B599" t="s">
        <v>38</v>
      </c>
    </row>
    <row r="600" spans="1:2">
      <c r="A600">
        <v>142.33911709575199</v>
      </c>
      <c r="B600" t="s">
        <v>298</v>
      </c>
    </row>
    <row r="601" spans="1:2">
      <c r="A601">
        <v>146.761256463134</v>
      </c>
      <c r="B601" t="s">
        <v>47</v>
      </c>
    </row>
    <row r="602" spans="1:2">
      <c r="A602">
        <v>152.06976435587799</v>
      </c>
      <c r="B602" t="s">
        <v>144</v>
      </c>
    </row>
    <row r="603" spans="1:2">
      <c r="A603">
        <v>152.644304409478</v>
      </c>
      <c r="B603" t="s">
        <v>41</v>
      </c>
    </row>
    <row r="604" spans="1:2">
      <c r="A604">
        <v>154.439643559844</v>
      </c>
      <c r="B604" t="s">
        <v>33</v>
      </c>
    </row>
    <row r="605" spans="1:2">
      <c r="A605">
        <v>155.43397428281199</v>
      </c>
      <c r="B605" t="s">
        <v>33</v>
      </c>
    </row>
    <row r="606" spans="1:2">
      <c r="A606">
        <v>157.96996848918801</v>
      </c>
      <c r="B606" t="s">
        <v>41</v>
      </c>
    </row>
    <row r="607" spans="1:2">
      <c r="A607">
        <v>164.34739727027201</v>
      </c>
      <c r="B607" t="s">
        <v>33</v>
      </c>
    </row>
    <row r="608" spans="1:2">
      <c r="A608">
        <v>172.10094395267501</v>
      </c>
      <c r="B608" t="s">
        <v>33</v>
      </c>
    </row>
    <row r="609" spans="1:2">
      <c r="A609">
        <v>172.28580001450601</v>
      </c>
      <c r="B609" t="s">
        <v>47</v>
      </c>
    </row>
    <row r="610" spans="1:2">
      <c r="A610">
        <v>181.45311061396799</v>
      </c>
      <c r="B610" t="s">
        <v>38</v>
      </c>
    </row>
    <row r="611" spans="1:2">
      <c r="A611">
        <v>184.34967365315799</v>
      </c>
      <c r="B611" t="s">
        <v>38</v>
      </c>
    </row>
    <row r="612" spans="1:2">
      <c r="A612">
        <v>187.200918153993</v>
      </c>
      <c r="B612" t="s">
        <v>38</v>
      </c>
    </row>
    <row r="613" spans="1:2">
      <c r="A613">
        <v>193.31213267143099</v>
      </c>
      <c r="B613" t="s">
        <v>43</v>
      </c>
    </row>
    <row r="614" spans="1:2">
      <c r="A614">
        <v>193.84654256394799</v>
      </c>
      <c r="B614" t="s">
        <v>43</v>
      </c>
    </row>
    <row r="615" spans="1:2">
      <c r="A615">
        <v>199.590787001558</v>
      </c>
      <c r="B615" t="s">
        <v>298</v>
      </c>
    </row>
    <row r="616" spans="1:2">
      <c r="A616">
        <v>217.04806646271001</v>
      </c>
      <c r="B616" t="s">
        <v>288</v>
      </c>
    </row>
    <row r="617" spans="1:2">
      <c r="A617">
        <v>223.79915234651699</v>
      </c>
      <c r="B617" t="s">
        <v>74</v>
      </c>
    </row>
    <row r="618" spans="1:2">
      <c r="A618">
        <v>226.55566456642899</v>
      </c>
      <c r="B618" t="s">
        <v>33</v>
      </c>
    </row>
    <row r="619" spans="1:2">
      <c r="A619">
        <v>228.75783109790001</v>
      </c>
      <c r="B619" t="s">
        <v>33</v>
      </c>
    </row>
    <row r="620" spans="1:2">
      <c r="A620">
        <v>232.68973256218899</v>
      </c>
      <c r="B620" t="s">
        <v>33</v>
      </c>
    </row>
    <row r="621" spans="1:2">
      <c r="A621">
        <v>237.362275550541</v>
      </c>
      <c r="B621" t="s">
        <v>33</v>
      </c>
    </row>
    <row r="622" spans="1:2">
      <c r="A622">
        <v>251.99766327025</v>
      </c>
      <c r="B622" t="s">
        <v>47</v>
      </c>
    </row>
    <row r="623" spans="1:2">
      <c r="A623">
        <v>252.56543942359099</v>
      </c>
      <c r="B623" t="s">
        <v>33</v>
      </c>
    </row>
    <row r="624" spans="1:2">
      <c r="A624">
        <v>252.911786258831</v>
      </c>
      <c r="B624" t="s">
        <v>33</v>
      </c>
    </row>
    <row r="625" spans="1:2">
      <c r="A625">
        <v>253.10050295186701</v>
      </c>
      <c r="B625" t="s">
        <v>188</v>
      </c>
    </row>
    <row r="626" spans="1:2">
      <c r="A626">
        <v>265.64883166870197</v>
      </c>
      <c r="B626" t="s">
        <v>33</v>
      </c>
    </row>
    <row r="627" spans="1:2">
      <c r="A627">
        <v>272.86018833532398</v>
      </c>
      <c r="B627" t="s">
        <v>33</v>
      </c>
    </row>
    <row r="628" spans="1:2">
      <c r="A628">
        <v>292.01920914323</v>
      </c>
      <c r="B628" t="s">
        <v>47</v>
      </c>
    </row>
    <row r="629" spans="1:2">
      <c r="A629">
        <v>306.51127696570302</v>
      </c>
      <c r="B629" t="s">
        <v>47</v>
      </c>
    </row>
    <row r="630" spans="1:2">
      <c r="A630">
        <v>306.61510870207098</v>
      </c>
      <c r="B630" t="s">
        <v>47</v>
      </c>
    </row>
    <row r="631" spans="1:2">
      <c r="A631">
        <v>314.55782953255402</v>
      </c>
      <c r="B631" t="s">
        <v>33</v>
      </c>
    </row>
    <row r="632" spans="1:2">
      <c r="A632">
        <v>314.785430998663</v>
      </c>
      <c r="B632" t="s">
        <v>41</v>
      </c>
    </row>
    <row r="633" spans="1:2">
      <c r="A633">
        <v>317.70436715424597</v>
      </c>
      <c r="B633" t="s">
        <v>38</v>
      </c>
    </row>
    <row r="634" spans="1:2">
      <c r="A634">
        <v>343.83177824142399</v>
      </c>
      <c r="B634" t="s">
        <v>144</v>
      </c>
    </row>
    <row r="635" spans="1:2">
      <c r="A635">
        <v>370.22187535414503</v>
      </c>
      <c r="B635" t="s">
        <v>33</v>
      </c>
    </row>
    <row r="636" spans="1:2">
      <c r="A636">
        <v>384.85008775017599</v>
      </c>
      <c r="B636" t="s">
        <v>47</v>
      </c>
    </row>
    <row r="637" spans="1:2">
      <c r="A637">
        <v>399.28123734424503</v>
      </c>
      <c r="B637" t="s">
        <v>33</v>
      </c>
    </row>
    <row r="638" spans="1:2">
      <c r="A638">
        <v>400.73349944785298</v>
      </c>
      <c r="B638" t="s">
        <v>47</v>
      </c>
    </row>
    <row r="639" spans="1:2">
      <c r="A639">
        <v>410.25157198928503</v>
      </c>
      <c r="B639" t="s">
        <v>33</v>
      </c>
    </row>
    <row r="640" spans="1:2">
      <c r="A640">
        <v>414.55458934937502</v>
      </c>
      <c r="B640" t="s">
        <v>33</v>
      </c>
    </row>
    <row r="641" spans="1:2">
      <c r="A641">
        <v>456.26161964841998</v>
      </c>
      <c r="B641" t="s">
        <v>33</v>
      </c>
    </row>
    <row r="642" spans="1:2">
      <c r="A642">
        <v>471.22497450985401</v>
      </c>
      <c r="B642" t="s">
        <v>33</v>
      </c>
    </row>
    <row r="643" spans="1:2">
      <c r="A643">
        <v>50.091628067603096</v>
      </c>
      <c r="B643" t="s">
        <v>49</v>
      </c>
    </row>
    <row r="644" spans="1:2">
      <c r="A644">
        <v>50.1048490921522</v>
      </c>
      <c r="B644" t="s">
        <v>33</v>
      </c>
    </row>
    <row r="645" spans="1:2">
      <c r="A645">
        <v>50.1124023972516</v>
      </c>
      <c r="B645" t="s">
        <v>38</v>
      </c>
    </row>
    <row r="646" spans="1:2">
      <c r="A646">
        <v>50.119954564033598</v>
      </c>
      <c r="B646" t="s">
        <v>211</v>
      </c>
    </row>
    <row r="647" spans="1:2">
      <c r="A647">
        <v>50.140717157433798</v>
      </c>
      <c r="B647" t="s">
        <v>38</v>
      </c>
    </row>
    <row r="648" spans="1:2">
      <c r="A648">
        <v>50.310271071502001</v>
      </c>
      <c r="B648" t="s">
        <v>74</v>
      </c>
    </row>
    <row r="649" spans="1:2">
      <c r="A649">
        <v>50.332835105109801</v>
      </c>
      <c r="B649" t="s">
        <v>74</v>
      </c>
    </row>
    <row r="650" spans="1:2">
      <c r="A650">
        <v>50.394834104311997</v>
      </c>
      <c r="B650" t="s">
        <v>38</v>
      </c>
    </row>
    <row r="651" spans="1:2">
      <c r="A651">
        <v>50.486752767344498</v>
      </c>
      <c r="B651" t="s">
        <v>47</v>
      </c>
    </row>
    <row r="652" spans="1:2">
      <c r="A652">
        <v>50.620100590373298</v>
      </c>
      <c r="B652" t="s">
        <v>211</v>
      </c>
    </row>
    <row r="653" spans="1:2">
      <c r="A653">
        <v>50.688760439198496</v>
      </c>
      <c r="B653" t="s">
        <v>211</v>
      </c>
    </row>
    <row r="654" spans="1:2">
      <c r="A654">
        <v>50.809951991309603</v>
      </c>
      <c r="B654" t="s">
        <v>49</v>
      </c>
    </row>
    <row r="655" spans="1:2">
      <c r="A655">
        <v>50.834155630427503</v>
      </c>
      <c r="B655" t="s">
        <v>49</v>
      </c>
    </row>
    <row r="656" spans="1:2">
      <c r="A656">
        <v>50.841600585890802</v>
      </c>
      <c r="B656" t="s">
        <v>43</v>
      </c>
    </row>
    <row r="657" spans="1:2">
      <c r="A657">
        <v>50.8509052474108</v>
      </c>
      <c r="B657" t="s">
        <v>41</v>
      </c>
    </row>
    <row r="658" spans="1:2">
      <c r="A658">
        <v>50.910414811656402</v>
      </c>
      <c r="B658" t="s">
        <v>38</v>
      </c>
    </row>
    <row r="659" spans="1:2">
      <c r="A659">
        <v>50.990271421808302</v>
      </c>
      <c r="B659" t="s">
        <v>33</v>
      </c>
    </row>
    <row r="660" spans="1:2">
      <c r="A660">
        <v>51.0236626607198</v>
      </c>
      <c r="B660" t="s">
        <v>38</v>
      </c>
    </row>
    <row r="661" spans="1:2">
      <c r="A661">
        <v>51.092231674439503</v>
      </c>
      <c r="B661" t="s">
        <v>38</v>
      </c>
    </row>
    <row r="662" spans="1:2">
      <c r="A662">
        <v>51.168106229476599</v>
      </c>
      <c r="B662" t="s">
        <v>33</v>
      </c>
    </row>
    <row r="663" spans="1:2">
      <c r="A663">
        <v>51.242021914423098</v>
      </c>
      <c r="B663" t="s">
        <v>49</v>
      </c>
    </row>
    <row r="664" spans="1:2">
      <c r="A664">
        <v>51.302922183450399</v>
      </c>
      <c r="B664" t="s">
        <v>41</v>
      </c>
    </row>
    <row r="665" spans="1:2">
      <c r="A665">
        <v>51.308454987153098</v>
      </c>
      <c r="B665" t="s">
        <v>33</v>
      </c>
    </row>
    <row r="666" spans="1:2">
      <c r="A666">
        <v>51.5604870637044</v>
      </c>
      <c r="B666" t="s">
        <v>33</v>
      </c>
    </row>
    <row r="667" spans="1:2">
      <c r="A667">
        <v>51.571496812304296</v>
      </c>
      <c r="B667" t="s">
        <v>38</v>
      </c>
    </row>
    <row r="668" spans="1:2">
      <c r="A668">
        <v>51.736361890722002</v>
      </c>
      <c r="B668" t="s">
        <v>144</v>
      </c>
    </row>
    <row r="669" spans="1:2">
      <c r="A669">
        <v>51.809466861327202</v>
      </c>
      <c r="B669" t="s">
        <v>33</v>
      </c>
    </row>
    <row r="670" spans="1:2">
      <c r="A670">
        <v>51.827726991898501</v>
      </c>
      <c r="B670" t="s">
        <v>43</v>
      </c>
    </row>
    <row r="671" spans="1:2">
      <c r="A671">
        <v>51.999058788113899</v>
      </c>
      <c r="B671" t="s">
        <v>38</v>
      </c>
    </row>
    <row r="672" spans="1:2">
      <c r="A672">
        <v>52.129910813569602</v>
      </c>
      <c r="B672" t="s">
        <v>47</v>
      </c>
    </row>
    <row r="673" spans="1:2">
      <c r="A673">
        <v>52.305679995017897</v>
      </c>
      <c r="B673" t="s">
        <v>33</v>
      </c>
    </row>
    <row r="674" spans="1:2">
      <c r="A674">
        <v>52.399664015512499</v>
      </c>
      <c r="B674" t="s">
        <v>49</v>
      </c>
    </row>
    <row r="675" spans="1:2">
      <c r="A675">
        <v>52.408692058517403</v>
      </c>
      <c r="B675" t="s">
        <v>33</v>
      </c>
    </row>
    <row r="676" spans="1:2">
      <c r="A676">
        <v>52.448396986051598</v>
      </c>
      <c r="B676" t="s">
        <v>33</v>
      </c>
    </row>
    <row r="677" spans="1:2">
      <c r="A677">
        <v>52.525915411168498</v>
      </c>
      <c r="B677" t="s">
        <v>49</v>
      </c>
    </row>
    <row r="678" spans="1:2">
      <c r="A678">
        <v>52.560131319239098</v>
      </c>
      <c r="B678" t="s">
        <v>33</v>
      </c>
    </row>
    <row r="679" spans="1:2">
      <c r="A679">
        <v>52.680610062249102</v>
      </c>
      <c r="B679" t="s">
        <v>33</v>
      </c>
    </row>
    <row r="680" spans="1:2">
      <c r="A680">
        <v>52.734466552778898</v>
      </c>
      <c r="B680" t="s">
        <v>43</v>
      </c>
    </row>
    <row r="681" spans="1:2">
      <c r="A681">
        <v>52.777512175797803</v>
      </c>
      <c r="B681" t="s">
        <v>33</v>
      </c>
    </row>
    <row r="682" spans="1:2">
      <c r="A682">
        <v>52.806189763827597</v>
      </c>
      <c r="B682" t="s">
        <v>49</v>
      </c>
    </row>
    <row r="683" spans="1:2">
      <c r="A683">
        <v>52.908227346194998</v>
      </c>
      <c r="B683" t="s">
        <v>49</v>
      </c>
    </row>
    <row r="684" spans="1:2">
      <c r="A684">
        <v>52.927896165232603</v>
      </c>
      <c r="B684" t="s">
        <v>33</v>
      </c>
    </row>
    <row r="685" spans="1:2">
      <c r="A685">
        <v>53.093895876187297</v>
      </c>
      <c r="B685" t="s">
        <v>41</v>
      </c>
    </row>
    <row r="686" spans="1:2">
      <c r="A686">
        <v>53.239831842185701</v>
      </c>
      <c r="B686" t="s">
        <v>33</v>
      </c>
    </row>
    <row r="687" spans="1:2">
      <c r="A687">
        <v>53.645282286763397</v>
      </c>
      <c r="B687" t="s">
        <v>74</v>
      </c>
    </row>
    <row r="688" spans="1:2">
      <c r="A688">
        <v>53.719312282754501</v>
      </c>
      <c r="B688" t="s">
        <v>33</v>
      </c>
    </row>
    <row r="689" spans="1:2">
      <c r="A689">
        <v>53.772128451527003</v>
      </c>
      <c r="B689" t="s">
        <v>38</v>
      </c>
    </row>
    <row r="690" spans="1:2">
      <c r="A690">
        <v>53.8776054623657</v>
      </c>
      <c r="B690" t="s">
        <v>38</v>
      </c>
    </row>
    <row r="691" spans="1:2">
      <c r="A691">
        <v>53.925002807846099</v>
      </c>
      <c r="B691" t="s">
        <v>47</v>
      </c>
    </row>
    <row r="692" spans="1:2">
      <c r="A692">
        <v>54.103684721861697</v>
      </c>
      <c r="B692" t="s">
        <v>38</v>
      </c>
    </row>
    <row r="693" spans="1:2">
      <c r="A693">
        <v>54.4540771401727</v>
      </c>
      <c r="B693" t="s">
        <v>41</v>
      </c>
    </row>
    <row r="694" spans="1:2">
      <c r="A694">
        <v>54.537419950970701</v>
      </c>
      <c r="B694" t="s">
        <v>74</v>
      </c>
    </row>
    <row r="695" spans="1:2">
      <c r="A695">
        <v>54.636224416149197</v>
      </c>
      <c r="B695" t="s">
        <v>33</v>
      </c>
    </row>
    <row r="696" spans="1:2">
      <c r="A696">
        <v>54.8177664604803</v>
      </c>
      <c r="B696" t="s">
        <v>298</v>
      </c>
    </row>
    <row r="697" spans="1:2">
      <c r="A697">
        <v>54.898833635763502</v>
      </c>
      <c r="B697" t="s">
        <v>47</v>
      </c>
    </row>
    <row r="698" spans="1:2">
      <c r="A698">
        <v>55.312651952692697</v>
      </c>
      <c r="B698" t="s">
        <v>38</v>
      </c>
    </row>
    <row r="699" spans="1:2">
      <c r="A699">
        <v>55.403243028782001</v>
      </c>
      <c r="B699" t="s">
        <v>288</v>
      </c>
    </row>
    <row r="700" spans="1:2">
      <c r="A700">
        <v>55.439096658937999</v>
      </c>
      <c r="B700" t="s">
        <v>33</v>
      </c>
    </row>
    <row r="701" spans="1:2">
      <c r="A701">
        <v>55.464692205012497</v>
      </c>
      <c r="B701" t="s">
        <v>43</v>
      </c>
    </row>
    <row r="702" spans="1:2">
      <c r="A702">
        <v>55.529481452878997</v>
      </c>
      <c r="B702" t="s">
        <v>38</v>
      </c>
    </row>
    <row r="703" spans="1:2">
      <c r="A703">
        <v>55.762438823130303</v>
      </c>
      <c r="B703" t="s">
        <v>33</v>
      </c>
    </row>
    <row r="704" spans="1:2">
      <c r="A704">
        <v>55.779404910729902</v>
      </c>
      <c r="B704" t="s">
        <v>33</v>
      </c>
    </row>
    <row r="705" spans="1:2">
      <c r="A705">
        <v>55.862464256287502</v>
      </c>
      <c r="B705" t="s">
        <v>74</v>
      </c>
    </row>
    <row r="706" spans="1:2">
      <c r="A706">
        <v>55.960620075169501</v>
      </c>
      <c r="B706" t="s">
        <v>74</v>
      </c>
    </row>
    <row r="707" spans="1:2">
      <c r="A707">
        <v>55.982596907403298</v>
      </c>
      <c r="B707" t="s">
        <v>298</v>
      </c>
    </row>
    <row r="708" spans="1:2">
      <c r="A708">
        <v>56.0619797309039</v>
      </c>
      <c r="B708" t="s">
        <v>38</v>
      </c>
    </row>
    <row r="709" spans="1:2">
      <c r="A709">
        <v>56.134508234445597</v>
      </c>
      <c r="B709" t="s">
        <v>38</v>
      </c>
    </row>
    <row r="710" spans="1:2">
      <c r="A710">
        <v>56.316260925193902</v>
      </c>
      <c r="B710" t="s">
        <v>38</v>
      </c>
    </row>
    <row r="711" spans="1:2">
      <c r="A711">
        <v>56.505802257926703</v>
      </c>
      <c r="B711" t="s">
        <v>33</v>
      </c>
    </row>
    <row r="712" spans="1:2">
      <c r="A712">
        <v>56.579434205865397</v>
      </c>
      <c r="B712" t="s">
        <v>49</v>
      </c>
    </row>
    <row r="713" spans="1:2">
      <c r="A713">
        <v>56.749759010169001</v>
      </c>
      <c r="B713" t="s">
        <v>33</v>
      </c>
    </row>
    <row r="714" spans="1:2">
      <c r="A714">
        <v>56.754760825148402</v>
      </c>
      <c r="B714" t="s">
        <v>38</v>
      </c>
    </row>
    <row r="715" spans="1:2">
      <c r="A715">
        <v>56.982709214265199</v>
      </c>
      <c r="B715" t="s">
        <v>74</v>
      </c>
    </row>
    <row r="716" spans="1:2">
      <c r="A716">
        <v>57.297341077416398</v>
      </c>
      <c r="B716" t="s">
        <v>43</v>
      </c>
    </row>
    <row r="717" spans="1:2">
      <c r="A717">
        <v>57.445775760868798</v>
      </c>
      <c r="B717" t="s">
        <v>33</v>
      </c>
    </row>
    <row r="718" spans="1:2">
      <c r="A718">
        <v>57.506687775663998</v>
      </c>
      <c r="B718" t="s">
        <v>33</v>
      </c>
    </row>
    <row r="719" spans="1:2">
      <c r="A719">
        <v>57.689037931020501</v>
      </c>
      <c r="B719" t="s">
        <v>38</v>
      </c>
    </row>
    <row r="720" spans="1:2">
      <c r="A720">
        <v>57.7922780150177</v>
      </c>
      <c r="B720" t="s">
        <v>74</v>
      </c>
    </row>
    <row r="721" spans="1:2">
      <c r="A721">
        <v>57.8397392920415</v>
      </c>
      <c r="B721" t="s">
        <v>43</v>
      </c>
    </row>
    <row r="722" spans="1:2">
      <c r="A722">
        <v>57.931278615661697</v>
      </c>
      <c r="B722" t="s">
        <v>74</v>
      </c>
    </row>
    <row r="723" spans="1:2">
      <c r="A723">
        <v>58.014519116972998</v>
      </c>
      <c r="B723" t="s">
        <v>33</v>
      </c>
    </row>
    <row r="724" spans="1:2">
      <c r="A724">
        <v>58.110668191436901</v>
      </c>
      <c r="B724" t="s">
        <v>33</v>
      </c>
    </row>
    <row r="725" spans="1:2">
      <c r="A725">
        <v>58.164377176569403</v>
      </c>
      <c r="B725" t="s">
        <v>47</v>
      </c>
    </row>
    <row r="726" spans="1:2">
      <c r="A726">
        <v>58.208284030763998</v>
      </c>
      <c r="B726" t="s">
        <v>38</v>
      </c>
    </row>
    <row r="727" spans="1:2">
      <c r="A727">
        <v>58.211535072908497</v>
      </c>
      <c r="B727" t="s">
        <v>33</v>
      </c>
    </row>
    <row r="728" spans="1:2">
      <c r="A728">
        <v>58.287882363283202</v>
      </c>
      <c r="B728" t="s">
        <v>33</v>
      </c>
    </row>
    <row r="729" spans="1:2">
      <c r="A729">
        <v>58.321962678297503</v>
      </c>
      <c r="B729" t="s">
        <v>38</v>
      </c>
    </row>
    <row r="730" spans="1:2">
      <c r="A730">
        <v>58.451610415651999</v>
      </c>
      <c r="B730" t="s">
        <v>33</v>
      </c>
    </row>
    <row r="731" spans="1:2">
      <c r="A731">
        <v>58.589046792583098</v>
      </c>
      <c r="B731" t="s">
        <v>33</v>
      </c>
    </row>
    <row r="732" spans="1:2">
      <c r="A732">
        <v>58.666515677890402</v>
      </c>
      <c r="B732" t="s">
        <v>38</v>
      </c>
    </row>
    <row r="733" spans="1:2">
      <c r="A733">
        <v>58.991415658200602</v>
      </c>
      <c r="B733" t="s">
        <v>47</v>
      </c>
    </row>
    <row r="734" spans="1:2">
      <c r="A734">
        <v>59.018677129656702</v>
      </c>
      <c r="B734" t="s">
        <v>38</v>
      </c>
    </row>
    <row r="735" spans="1:2">
      <c r="A735">
        <v>59.106789863260097</v>
      </c>
      <c r="B735" t="s">
        <v>47</v>
      </c>
    </row>
    <row r="736" spans="1:2">
      <c r="A736">
        <v>59.247497672285398</v>
      </c>
      <c r="B736" t="s">
        <v>33</v>
      </c>
    </row>
    <row r="737" spans="1:2">
      <c r="A737">
        <v>59.285814570500698</v>
      </c>
      <c r="B737" t="s">
        <v>331</v>
      </c>
    </row>
    <row r="738" spans="1:2">
      <c r="A738">
        <v>59.2969856685149</v>
      </c>
      <c r="B738" t="s">
        <v>38</v>
      </c>
    </row>
    <row r="739" spans="1:2">
      <c r="A739">
        <v>59.531094489699903</v>
      </c>
      <c r="B739" t="s">
        <v>33</v>
      </c>
    </row>
    <row r="740" spans="1:2">
      <c r="A740">
        <v>59.631145485391599</v>
      </c>
      <c r="B740" t="s">
        <v>49</v>
      </c>
    </row>
    <row r="741" spans="1:2">
      <c r="A741">
        <v>59.666044405691203</v>
      </c>
      <c r="B741" t="s">
        <v>38</v>
      </c>
    </row>
    <row r="742" spans="1:2">
      <c r="A742">
        <v>59.740532889097899</v>
      </c>
      <c r="B742" t="s">
        <v>74</v>
      </c>
    </row>
    <row r="743" spans="1:2">
      <c r="A743">
        <v>59.775367945294697</v>
      </c>
      <c r="B743" t="s">
        <v>41</v>
      </c>
    </row>
    <row r="744" spans="1:2">
      <c r="A744">
        <v>59.776950874601702</v>
      </c>
      <c r="B744" t="s">
        <v>33</v>
      </c>
    </row>
    <row r="745" spans="1:2">
      <c r="A745">
        <v>59.898710810763099</v>
      </c>
      <c r="B745" t="s">
        <v>144</v>
      </c>
    </row>
    <row r="746" spans="1:2">
      <c r="A746">
        <v>59.912926339931502</v>
      </c>
      <c r="B746" t="s">
        <v>33</v>
      </c>
    </row>
    <row r="747" spans="1:2">
      <c r="A747">
        <v>60.119460730088797</v>
      </c>
      <c r="B747" t="s">
        <v>49</v>
      </c>
    </row>
    <row r="748" spans="1:2">
      <c r="A748">
        <v>60.196531952152597</v>
      </c>
      <c r="B748" t="s">
        <v>38</v>
      </c>
    </row>
    <row r="749" spans="1:2">
      <c r="A749">
        <v>60.295478767689502</v>
      </c>
      <c r="B749" t="s">
        <v>33</v>
      </c>
    </row>
    <row r="750" spans="1:2">
      <c r="A750">
        <v>60.510090339567398</v>
      </c>
      <c r="B750" t="s">
        <v>33</v>
      </c>
    </row>
    <row r="751" spans="1:2">
      <c r="A751">
        <v>60.561671439827101</v>
      </c>
      <c r="B751" t="s">
        <v>38</v>
      </c>
    </row>
    <row r="752" spans="1:2">
      <c r="A752">
        <v>60.610086425694497</v>
      </c>
      <c r="B752" t="s">
        <v>38</v>
      </c>
    </row>
    <row r="753" spans="1:2">
      <c r="A753">
        <v>60.639741020593</v>
      </c>
      <c r="B753" t="s">
        <v>38</v>
      </c>
    </row>
    <row r="754" spans="1:2">
      <c r="A754">
        <v>60.8329212418979</v>
      </c>
      <c r="B754" t="s">
        <v>38</v>
      </c>
    </row>
    <row r="755" spans="1:2">
      <c r="A755">
        <v>60.8857829413</v>
      </c>
      <c r="B755" t="s">
        <v>47</v>
      </c>
    </row>
    <row r="756" spans="1:2">
      <c r="A756">
        <v>60.947914477382298</v>
      </c>
      <c r="B756" t="s">
        <v>33</v>
      </c>
    </row>
    <row r="757" spans="1:2">
      <c r="A757">
        <v>60.983611447121199</v>
      </c>
      <c r="B757" t="s">
        <v>38</v>
      </c>
    </row>
    <row r="758" spans="1:2">
      <c r="A758">
        <v>61.085930413634202</v>
      </c>
      <c r="B758" t="s">
        <v>47</v>
      </c>
    </row>
    <row r="759" spans="1:2">
      <c r="A759">
        <v>61.1416685885318</v>
      </c>
      <c r="B759" t="s">
        <v>47</v>
      </c>
    </row>
    <row r="760" spans="1:2">
      <c r="A760">
        <v>61.214361490105702</v>
      </c>
      <c r="B760" t="s">
        <v>298</v>
      </c>
    </row>
    <row r="761" spans="1:2">
      <c r="A761">
        <v>61.257626896398698</v>
      </c>
      <c r="B761" t="s">
        <v>298</v>
      </c>
    </row>
    <row r="762" spans="1:2">
      <c r="A762">
        <v>61.3671988662526</v>
      </c>
      <c r="B762" t="s">
        <v>33</v>
      </c>
    </row>
    <row r="763" spans="1:2">
      <c r="A763">
        <v>61.394946602594601</v>
      </c>
      <c r="B763" t="s">
        <v>38</v>
      </c>
    </row>
    <row r="764" spans="1:2">
      <c r="A764">
        <v>61.6609964621369</v>
      </c>
      <c r="B764" t="s">
        <v>38</v>
      </c>
    </row>
    <row r="765" spans="1:2">
      <c r="A765">
        <v>61.7775116264921</v>
      </c>
      <c r="B765" t="s">
        <v>33</v>
      </c>
    </row>
    <row r="766" spans="1:2">
      <c r="A766">
        <v>61.991571559742098</v>
      </c>
      <c r="B766" t="s">
        <v>33</v>
      </c>
    </row>
    <row r="767" spans="1:2">
      <c r="A767">
        <v>61.993097900619603</v>
      </c>
      <c r="B767" t="s">
        <v>38</v>
      </c>
    </row>
    <row r="768" spans="1:2">
      <c r="A768">
        <v>62.020565613037199</v>
      </c>
      <c r="B768" t="s">
        <v>33</v>
      </c>
    </row>
    <row r="769" spans="1:2">
      <c r="A769">
        <v>62.072415906851802</v>
      </c>
      <c r="B769" t="s">
        <v>38</v>
      </c>
    </row>
    <row r="770" spans="1:2">
      <c r="A770">
        <v>62.1516326874087</v>
      </c>
      <c r="B770" t="s">
        <v>41</v>
      </c>
    </row>
    <row r="771" spans="1:2">
      <c r="A771">
        <v>62.1896817602412</v>
      </c>
      <c r="B771" t="s">
        <v>38</v>
      </c>
    </row>
    <row r="772" spans="1:2">
      <c r="A772">
        <v>62.2824239449629</v>
      </c>
      <c r="B772" t="s">
        <v>38</v>
      </c>
    </row>
    <row r="773" spans="1:2">
      <c r="A773">
        <v>62.321911452223397</v>
      </c>
      <c r="B773" t="s">
        <v>38</v>
      </c>
    </row>
    <row r="774" spans="1:2">
      <c r="A774">
        <v>62.338610175554599</v>
      </c>
      <c r="B774" t="s">
        <v>38</v>
      </c>
    </row>
    <row r="775" spans="1:2">
      <c r="A775">
        <v>62.371994210075798</v>
      </c>
      <c r="B775" t="s">
        <v>33</v>
      </c>
    </row>
    <row r="776" spans="1:2">
      <c r="A776">
        <v>62.440224141612802</v>
      </c>
      <c r="B776" t="s">
        <v>38</v>
      </c>
    </row>
    <row r="777" spans="1:2">
      <c r="A777">
        <v>62.597626546456297</v>
      </c>
      <c r="B777" t="s">
        <v>830</v>
      </c>
    </row>
    <row r="778" spans="1:2">
      <c r="A778">
        <v>62.599138110031497</v>
      </c>
      <c r="B778" t="s">
        <v>43</v>
      </c>
    </row>
    <row r="779" spans="1:2">
      <c r="A779">
        <v>62.609718033249898</v>
      </c>
      <c r="B779" t="s">
        <v>33</v>
      </c>
    </row>
    <row r="780" spans="1:2">
      <c r="A780">
        <v>62.632383279265099</v>
      </c>
      <c r="B780" t="s">
        <v>33</v>
      </c>
    </row>
    <row r="781" spans="1:2">
      <c r="A781">
        <v>62.665610811375103</v>
      </c>
      <c r="B781" t="s">
        <v>49</v>
      </c>
    </row>
    <row r="782" spans="1:2">
      <c r="A782">
        <v>62.725979411484303</v>
      </c>
      <c r="B782" t="s">
        <v>188</v>
      </c>
    </row>
    <row r="783" spans="1:2">
      <c r="A783">
        <v>62.8088914958294</v>
      </c>
      <c r="B783" t="s">
        <v>67</v>
      </c>
    </row>
    <row r="784" spans="1:2">
      <c r="A784">
        <v>62.811904418455804</v>
      </c>
      <c r="B784" t="s">
        <v>33</v>
      </c>
    </row>
    <row r="785" spans="1:2">
      <c r="A785">
        <v>62.814917196567201</v>
      </c>
      <c r="B785" t="s">
        <v>74</v>
      </c>
    </row>
    <row r="786" spans="1:2">
      <c r="A786">
        <v>62.852564737973097</v>
      </c>
      <c r="B786" t="s">
        <v>33</v>
      </c>
    </row>
    <row r="787" spans="1:2">
      <c r="A787">
        <v>63.038964219912998</v>
      </c>
      <c r="B787" t="s">
        <v>43</v>
      </c>
    </row>
    <row r="788" spans="1:2">
      <c r="A788">
        <v>63.236785723590401</v>
      </c>
      <c r="B788" t="s">
        <v>33</v>
      </c>
    </row>
    <row r="789" spans="1:2">
      <c r="A789">
        <v>63.286144481507499</v>
      </c>
      <c r="B789" t="s">
        <v>33</v>
      </c>
    </row>
    <row r="790" spans="1:2">
      <c r="A790">
        <v>63.375789190234698</v>
      </c>
      <c r="B790" t="s">
        <v>58</v>
      </c>
    </row>
    <row r="791" spans="1:2">
      <c r="A791">
        <v>63.429515202116797</v>
      </c>
      <c r="B791" t="s">
        <v>38</v>
      </c>
    </row>
    <row r="792" spans="1:2">
      <c r="A792">
        <v>63.569585718946797</v>
      </c>
      <c r="B792" t="s">
        <v>74</v>
      </c>
    </row>
    <row r="793" spans="1:2">
      <c r="A793">
        <v>63.646939106887899</v>
      </c>
      <c r="B793" t="s">
        <v>33</v>
      </c>
    </row>
    <row r="794" spans="1:2">
      <c r="A794">
        <v>63.651398934221703</v>
      </c>
      <c r="B794" t="s">
        <v>331</v>
      </c>
    </row>
    <row r="795" spans="1:2">
      <c r="A795">
        <v>63.747951910474498</v>
      </c>
      <c r="B795" t="s">
        <v>144</v>
      </c>
    </row>
    <row r="796" spans="1:2">
      <c r="A796">
        <v>63.765761088615101</v>
      </c>
      <c r="B796" t="s">
        <v>49</v>
      </c>
    </row>
    <row r="797" spans="1:2">
      <c r="A797">
        <v>64.026393246739204</v>
      </c>
      <c r="B797" t="s">
        <v>38</v>
      </c>
    </row>
    <row r="798" spans="1:2">
      <c r="A798">
        <v>64.0456024211298</v>
      </c>
      <c r="B798" t="s">
        <v>144</v>
      </c>
    </row>
    <row r="799" spans="1:2">
      <c r="A799">
        <v>64.228539647603696</v>
      </c>
      <c r="B799" t="s">
        <v>188</v>
      </c>
    </row>
    <row r="800" spans="1:2">
      <c r="A800">
        <v>64.299214326338898</v>
      </c>
      <c r="B800" t="s">
        <v>43</v>
      </c>
    </row>
    <row r="801" spans="1:2">
      <c r="A801">
        <v>64.318342020638298</v>
      </c>
      <c r="B801" t="s">
        <v>74</v>
      </c>
    </row>
    <row r="802" spans="1:2">
      <c r="A802">
        <v>64.358050605589995</v>
      </c>
      <c r="B802" t="s">
        <v>38</v>
      </c>
    </row>
    <row r="803" spans="1:2">
      <c r="A803">
        <v>64.385979003709394</v>
      </c>
      <c r="B803" t="s">
        <v>33</v>
      </c>
    </row>
    <row r="804" spans="1:2">
      <c r="A804">
        <v>64.493170349396493</v>
      </c>
      <c r="B804" t="s">
        <v>33</v>
      </c>
    </row>
    <row r="805" spans="1:2">
      <c r="A805">
        <v>64.506373386967695</v>
      </c>
      <c r="B805" t="s">
        <v>144</v>
      </c>
    </row>
    <row r="806" spans="1:2">
      <c r="A806">
        <v>64.509307028344793</v>
      </c>
      <c r="B806" t="s">
        <v>33</v>
      </c>
    </row>
    <row r="807" spans="1:2">
      <c r="A807">
        <v>64.607507036816898</v>
      </c>
      <c r="B807" t="s">
        <v>33</v>
      </c>
    </row>
    <row r="808" spans="1:2">
      <c r="A808">
        <v>64.633863702842305</v>
      </c>
      <c r="B808" t="s">
        <v>43</v>
      </c>
    </row>
    <row r="809" spans="1:2">
      <c r="A809">
        <v>64.761103038600993</v>
      </c>
      <c r="B809" t="s">
        <v>38</v>
      </c>
    </row>
    <row r="810" spans="1:2">
      <c r="A810">
        <v>64.823899220511606</v>
      </c>
      <c r="B810" t="s">
        <v>74</v>
      </c>
    </row>
    <row r="811" spans="1:2">
      <c r="A811">
        <v>64.971158523904094</v>
      </c>
      <c r="B811" t="s">
        <v>33</v>
      </c>
    </row>
    <row r="812" spans="1:2">
      <c r="A812">
        <v>64.991544373916796</v>
      </c>
      <c r="B812" t="s">
        <v>33</v>
      </c>
    </row>
    <row r="813" spans="1:2">
      <c r="A813">
        <v>65.071569812873904</v>
      </c>
      <c r="B813" t="s">
        <v>33</v>
      </c>
    </row>
    <row r="814" spans="1:2">
      <c r="A814">
        <v>65.074477974472302</v>
      </c>
      <c r="B814" t="s">
        <v>33</v>
      </c>
    </row>
    <row r="815" spans="1:2">
      <c r="A815">
        <v>65.086109321448305</v>
      </c>
      <c r="B815" t="s">
        <v>74</v>
      </c>
    </row>
    <row r="816" spans="1:2">
      <c r="A816">
        <v>65.1674706220644</v>
      </c>
      <c r="B816" t="s">
        <v>47</v>
      </c>
    </row>
    <row r="817" spans="1:2">
      <c r="A817">
        <v>65.229875598933802</v>
      </c>
      <c r="B817" t="s">
        <v>38</v>
      </c>
    </row>
    <row r="818" spans="1:2">
      <c r="A818">
        <v>65.266130131806406</v>
      </c>
      <c r="B818" t="s">
        <v>38</v>
      </c>
    </row>
    <row r="819" spans="1:2">
      <c r="A819">
        <v>65.290771715135705</v>
      </c>
      <c r="B819" t="s">
        <v>873</v>
      </c>
    </row>
    <row r="820" spans="1:2">
      <c r="A820">
        <v>65.502017755625701</v>
      </c>
      <c r="B820" t="s">
        <v>33</v>
      </c>
    </row>
    <row r="821" spans="1:2">
      <c r="A821">
        <v>65.577091726117899</v>
      </c>
      <c r="B821" t="s">
        <v>38</v>
      </c>
    </row>
    <row r="822" spans="1:2">
      <c r="A822">
        <v>65.605943455141997</v>
      </c>
      <c r="B822" t="s">
        <v>33</v>
      </c>
    </row>
    <row r="823" spans="1:2">
      <c r="A823">
        <v>65.6145964999738</v>
      </c>
      <c r="B823" t="s">
        <v>38</v>
      </c>
    </row>
    <row r="824" spans="1:2">
      <c r="A824">
        <v>65.923914406899101</v>
      </c>
      <c r="B824" t="s">
        <v>38</v>
      </c>
    </row>
    <row r="825" spans="1:2">
      <c r="A825">
        <v>66.208925544031203</v>
      </c>
      <c r="B825" t="s">
        <v>38</v>
      </c>
    </row>
    <row r="826" spans="1:2">
      <c r="A826">
        <v>66.307462473453995</v>
      </c>
      <c r="B826" t="s">
        <v>47</v>
      </c>
    </row>
    <row r="827" spans="1:2">
      <c r="A827">
        <v>66.326011013537197</v>
      </c>
      <c r="B827" t="s">
        <v>33</v>
      </c>
    </row>
    <row r="828" spans="1:2">
      <c r="A828">
        <v>66.397303261705403</v>
      </c>
      <c r="B828" t="s">
        <v>38</v>
      </c>
    </row>
    <row r="829" spans="1:2">
      <c r="A829">
        <v>66.499829826909107</v>
      </c>
      <c r="B829" t="s">
        <v>41</v>
      </c>
    </row>
    <row r="830" spans="1:2">
      <c r="A830">
        <v>66.542502606103398</v>
      </c>
      <c r="B830" t="s">
        <v>43</v>
      </c>
    </row>
    <row r="831" spans="1:2">
      <c r="A831">
        <v>66.623505586441198</v>
      </c>
      <c r="B831" t="s">
        <v>33</v>
      </c>
    </row>
    <row r="832" spans="1:2">
      <c r="A832">
        <v>66.633446531834394</v>
      </c>
      <c r="B832" t="s">
        <v>38</v>
      </c>
    </row>
    <row r="833" spans="1:2">
      <c r="A833">
        <v>66.674614658931901</v>
      </c>
      <c r="B833" t="s">
        <v>33</v>
      </c>
    </row>
    <row r="834" spans="1:2">
      <c r="A834">
        <v>66.715757382520096</v>
      </c>
      <c r="B834" t="s">
        <v>33</v>
      </c>
    </row>
    <row r="835" spans="1:2">
      <c r="A835">
        <v>66.837617924884199</v>
      </c>
      <c r="B835" t="s">
        <v>38</v>
      </c>
    </row>
    <row r="836" spans="1:2">
      <c r="A836">
        <v>67.070800228471796</v>
      </c>
      <c r="B836" t="s">
        <v>49</v>
      </c>
    </row>
    <row r="837" spans="1:2">
      <c r="A837">
        <v>67.073621707985396</v>
      </c>
      <c r="B837" t="s">
        <v>33</v>
      </c>
    </row>
    <row r="838" spans="1:2">
      <c r="A838">
        <v>67.075032403235696</v>
      </c>
      <c r="B838" t="s">
        <v>893</v>
      </c>
    </row>
    <row r="839" spans="1:2">
      <c r="A839">
        <v>67.166664040964903</v>
      </c>
      <c r="B839" t="s">
        <v>33</v>
      </c>
    </row>
    <row r="840" spans="1:2">
      <c r="A840">
        <v>67.180750122960404</v>
      </c>
      <c r="B840" t="s">
        <v>38</v>
      </c>
    </row>
    <row r="841" spans="1:2">
      <c r="A841">
        <v>67.218767800008905</v>
      </c>
      <c r="B841" t="s">
        <v>47</v>
      </c>
    </row>
    <row r="842" spans="1:2">
      <c r="A842">
        <v>67.320043309051002</v>
      </c>
      <c r="B842" t="s">
        <v>38</v>
      </c>
    </row>
    <row r="843" spans="1:2">
      <c r="A843">
        <v>67.327070673529306</v>
      </c>
      <c r="B843" t="s">
        <v>43</v>
      </c>
    </row>
    <row r="844" spans="1:2">
      <c r="A844">
        <v>67.336907751712701</v>
      </c>
      <c r="B844" t="s">
        <v>58</v>
      </c>
    </row>
    <row r="845" spans="1:2">
      <c r="A845">
        <v>67.501115259355402</v>
      </c>
      <c r="B845" t="s">
        <v>33</v>
      </c>
    </row>
    <row r="846" spans="1:2">
      <c r="A846">
        <v>67.5319472870341</v>
      </c>
      <c r="B846" t="s">
        <v>33</v>
      </c>
    </row>
    <row r="847" spans="1:2">
      <c r="A847">
        <v>67.594968995420601</v>
      </c>
      <c r="B847" t="s">
        <v>74</v>
      </c>
    </row>
    <row r="848" spans="1:2">
      <c r="A848">
        <v>67.615963178302593</v>
      </c>
      <c r="B848" t="s">
        <v>38</v>
      </c>
    </row>
    <row r="849" spans="1:2">
      <c r="A849">
        <v>67.6565334593475</v>
      </c>
      <c r="B849" t="s">
        <v>43</v>
      </c>
    </row>
    <row r="850" spans="1:2">
      <c r="A850">
        <v>67.664924273591595</v>
      </c>
      <c r="B850" t="s">
        <v>33</v>
      </c>
    </row>
    <row r="851" spans="1:2">
      <c r="A851">
        <v>67.701272451480406</v>
      </c>
      <c r="B851" t="s">
        <v>38</v>
      </c>
    </row>
    <row r="852" spans="1:2">
      <c r="A852">
        <v>67.747378593068305</v>
      </c>
      <c r="B852" t="s">
        <v>33</v>
      </c>
    </row>
    <row r="853" spans="1:2">
      <c r="A853">
        <v>67.850654223462598</v>
      </c>
      <c r="B853" t="s">
        <v>38</v>
      </c>
    </row>
    <row r="854" spans="1:2">
      <c r="A854">
        <v>68.012230160294095</v>
      </c>
      <c r="B854" t="s">
        <v>38</v>
      </c>
    </row>
    <row r="855" spans="1:2">
      <c r="A855">
        <v>68.126216441613806</v>
      </c>
      <c r="B855" t="s">
        <v>38</v>
      </c>
    </row>
    <row r="856" spans="1:2">
      <c r="A856">
        <v>68.126216441613806</v>
      </c>
      <c r="B856" t="s">
        <v>47</v>
      </c>
    </row>
    <row r="857" spans="1:2">
      <c r="A857">
        <v>68.187301258324794</v>
      </c>
      <c r="B857" t="s">
        <v>298</v>
      </c>
    </row>
    <row r="858" spans="1:2">
      <c r="A858">
        <v>68.199789139821902</v>
      </c>
      <c r="B858" t="s">
        <v>49</v>
      </c>
    </row>
    <row r="859" spans="1:2">
      <c r="A859">
        <v>68.2705106546331</v>
      </c>
      <c r="B859" t="s">
        <v>144</v>
      </c>
    </row>
    <row r="860" spans="1:2">
      <c r="A860">
        <v>68.271896618693305</v>
      </c>
      <c r="B860" t="s">
        <v>38</v>
      </c>
    </row>
    <row r="861" spans="1:2">
      <c r="A861">
        <v>68.424181277698807</v>
      </c>
      <c r="B861" t="s">
        <v>38</v>
      </c>
    </row>
    <row r="862" spans="1:2">
      <c r="A862">
        <v>68.4421561672537</v>
      </c>
      <c r="B862" t="s">
        <v>33</v>
      </c>
    </row>
    <row r="863" spans="1:2">
      <c r="A863">
        <v>68.462890560218398</v>
      </c>
      <c r="B863" t="s">
        <v>47</v>
      </c>
    </row>
    <row r="864" spans="1:2">
      <c r="A864">
        <v>68.523675252458403</v>
      </c>
      <c r="B864" t="s">
        <v>47</v>
      </c>
    </row>
    <row r="865" spans="1:2">
      <c r="A865">
        <v>68.653353157783499</v>
      </c>
      <c r="B865" t="s">
        <v>58</v>
      </c>
    </row>
    <row r="866" spans="1:2">
      <c r="A866">
        <v>68.793790944123302</v>
      </c>
      <c r="B866" t="s">
        <v>33</v>
      </c>
    </row>
    <row r="867" spans="1:2">
      <c r="A867">
        <v>68.836416244661805</v>
      </c>
      <c r="B867" t="s">
        <v>49</v>
      </c>
    </row>
    <row r="868" spans="1:2">
      <c r="A868">
        <v>69.154584425460897</v>
      </c>
      <c r="B868" t="s">
        <v>33</v>
      </c>
    </row>
    <row r="869" spans="1:2">
      <c r="A869">
        <v>69.186047242557095</v>
      </c>
      <c r="B869" t="s">
        <v>38</v>
      </c>
    </row>
    <row r="870" spans="1:2">
      <c r="A870">
        <v>69.229797810358505</v>
      </c>
      <c r="B870" t="s">
        <v>72</v>
      </c>
    </row>
    <row r="871" spans="1:2">
      <c r="A871">
        <v>69.581531781872002</v>
      </c>
      <c r="B871" t="s">
        <v>38</v>
      </c>
    </row>
    <row r="872" spans="1:2">
      <c r="A872">
        <v>69.618238433470395</v>
      </c>
      <c r="B872" t="s">
        <v>144</v>
      </c>
    </row>
    <row r="873" spans="1:2">
      <c r="A873">
        <v>69.824523189886193</v>
      </c>
      <c r="B873" t="s">
        <v>33</v>
      </c>
    </row>
    <row r="874" spans="1:2">
      <c r="A874">
        <v>69.842137682020507</v>
      </c>
      <c r="B874" t="s">
        <v>74</v>
      </c>
    </row>
    <row r="875" spans="1:2">
      <c r="A875">
        <v>70.277026117148694</v>
      </c>
      <c r="B875" t="s">
        <v>33</v>
      </c>
    </row>
    <row r="876" spans="1:2">
      <c r="A876">
        <v>70.303949087188599</v>
      </c>
      <c r="B876" t="s">
        <v>49</v>
      </c>
    </row>
    <row r="877" spans="1:2">
      <c r="A877">
        <v>70.359108968849199</v>
      </c>
      <c r="B877" t="s">
        <v>74</v>
      </c>
    </row>
    <row r="878" spans="1:2">
      <c r="A878">
        <v>70.371211448382994</v>
      </c>
      <c r="B878" t="s">
        <v>49</v>
      </c>
    </row>
    <row r="879" spans="1:2">
      <c r="A879">
        <v>70.373900605632102</v>
      </c>
      <c r="B879" t="s">
        <v>144</v>
      </c>
    </row>
    <row r="880" spans="1:2">
      <c r="A880">
        <v>70.548475954090193</v>
      </c>
      <c r="B880" t="s">
        <v>38</v>
      </c>
    </row>
    <row r="881" spans="1:2">
      <c r="A881">
        <v>70.671761004020794</v>
      </c>
      <c r="B881" t="s">
        <v>893</v>
      </c>
    </row>
    <row r="882" spans="1:2">
      <c r="A882">
        <v>70.695856845042101</v>
      </c>
      <c r="B882" t="s">
        <v>41</v>
      </c>
    </row>
    <row r="883" spans="1:2">
      <c r="A883">
        <v>70.698533653768493</v>
      </c>
      <c r="B883" t="s">
        <v>298</v>
      </c>
    </row>
    <row r="884" spans="1:2">
      <c r="A884">
        <v>70.821557486104794</v>
      </c>
      <c r="B884" t="s">
        <v>38</v>
      </c>
    </row>
    <row r="885" spans="1:2">
      <c r="A885">
        <v>70.836252556996698</v>
      </c>
      <c r="B885" t="s">
        <v>74</v>
      </c>
    </row>
    <row r="886" spans="1:2">
      <c r="A886">
        <v>70.873644443161496</v>
      </c>
      <c r="B886" t="s">
        <v>33</v>
      </c>
    </row>
    <row r="887" spans="1:2">
      <c r="A887">
        <v>70.900340859824396</v>
      </c>
      <c r="B887" t="s">
        <v>33</v>
      </c>
    </row>
    <row r="888" spans="1:2">
      <c r="A888">
        <v>71.027011809672999</v>
      </c>
      <c r="B888" t="s">
        <v>58</v>
      </c>
    </row>
    <row r="889" spans="1:2">
      <c r="A889">
        <v>71.069629086025202</v>
      </c>
      <c r="B889" t="s">
        <v>41</v>
      </c>
    </row>
    <row r="890" spans="1:2">
      <c r="A890">
        <v>71.176060638107998</v>
      </c>
      <c r="B890" t="s">
        <v>38</v>
      </c>
    </row>
    <row r="891" spans="1:2">
      <c r="A891">
        <v>71.195998841208294</v>
      </c>
      <c r="B891" t="s">
        <v>188</v>
      </c>
    </row>
    <row r="892" spans="1:2">
      <c r="A892">
        <v>71.235858505901007</v>
      </c>
      <c r="B892" t="s">
        <v>47</v>
      </c>
    </row>
    <row r="893" spans="1:2">
      <c r="A893">
        <v>71.263747005932402</v>
      </c>
      <c r="B893" t="s">
        <v>144</v>
      </c>
    </row>
    <row r="894" spans="1:2">
      <c r="A894">
        <v>71.278350913068394</v>
      </c>
      <c r="B894" t="s">
        <v>58</v>
      </c>
    </row>
    <row r="895" spans="1:2">
      <c r="A895">
        <v>71.368563275372097</v>
      </c>
      <c r="B895" t="s">
        <v>38</v>
      </c>
    </row>
    <row r="896" spans="1:2">
      <c r="A896">
        <v>71.391098554139504</v>
      </c>
      <c r="B896" t="s">
        <v>74</v>
      </c>
    </row>
    <row r="897" spans="1:2">
      <c r="A897">
        <v>71.3963999389576</v>
      </c>
      <c r="B897" t="s">
        <v>38</v>
      </c>
    </row>
    <row r="898" spans="1:2">
      <c r="A898">
        <v>71.459985879961096</v>
      </c>
      <c r="B898" t="s">
        <v>33</v>
      </c>
    </row>
    <row r="899" spans="1:2">
      <c r="A899">
        <v>71.568481171791205</v>
      </c>
      <c r="B899" t="s">
        <v>38</v>
      </c>
    </row>
    <row r="900" spans="1:2">
      <c r="A900">
        <v>71.9298272164786</v>
      </c>
      <c r="B900" t="s">
        <v>33</v>
      </c>
    </row>
    <row r="901" spans="1:2">
      <c r="A901">
        <v>72.062567073201606</v>
      </c>
      <c r="B901" t="s">
        <v>957</v>
      </c>
    </row>
    <row r="902" spans="1:2">
      <c r="A902">
        <v>72.074383514549098</v>
      </c>
      <c r="B902" t="s">
        <v>47</v>
      </c>
    </row>
    <row r="903" spans="1:2">
      <c r="A903">
        <v>72.100635339682796</v>
      </c>
      <c r="B903" t="s">
        <v>43</v>
      </c>
    </row>
    <row r="904" spans="1:2">
      <c r="A904">
        <v>72.149176035112106</v>
      </c>
      <c r="B904" t="s">
        <v>33</v>
      </c>
    </row>
    <row r="905" spans="1:2">
      <c r="A905">
        <v>72.150487492565006</v>
      </c>
      <c r="B905" t="s">
        <v>288</v>
      </c>
    </row>
    <row r="906" spans="1:2">
      <c r="A906">
        <v>72.166223123043807</v>
      </c>
      <c r="B906" t="s">
        <v>33</v>
      </c>
    </row>
    <row r="907" spans="1:2">
      <c r="A907">
        <v>72.168845394555802</v>
      </c>
      <c r="B907" t="s">
        <v>38</v>
      </c>
    </row>
    <row r="908" spans="1:2">
      <c r="A908">
        <v>72.176711637469197</v>
      </c>
      <c r="B908" t="s">
        <v>38</v>
      </c>
    </row>
    <row r="909" spans="1:2">
      <c r="A909">
        <v>72.213409441290295</v>
      </c>
      <c r="B909" t="s">
        <v>38</v>
      </c>
    </row>
    <row r="910" spans="1:2">
      <c r="A910">
        <v>72.2343712441821</v>
      </c>
      <c r="B910" t="s">
        <v>74</v>
      </c>
    </row>
    <row r="911" spans="1:2">
      <c r="A911">
        <v>72.273658238100396</v>
      </c>
      <c r="B911" t="s">
        <v>47</v>
      </c>
    </row>
    <row r="912" spans="1:2">
      <c r="A912">
        <v>72.290675971504598</v>
      </c>
      <c r="B912" t="s">
        <v>33</v>
      </c>
    </row>
    <row r="913" spans="1:2">
      <c r="A913">
        <v>72.344321062910495</v>
      </c>
      <c r="B913" t="s">
        <v>47</v>
      </c>
    </row>
    <row r="914" spans="1:2">
      <c r="A914">
        <v>72.461939308023702</v>
      </c>
      <c r="B914" t="s">
        <v>38</v>
      </c>
    </row>
    <row r="915" spans="1:2">
      <c r="A915">
        <v>72.499797872035103</v>
      </c>
      <c r="B915" t="s">
        <v>38</v>
      </c>
    </row>
    <row r="916" spans="1:2">
      <c r="A916">
        <v>72.499797872035103</v>
      </c>
      <c r="B916" t="s">
        <v>41</v>
      </c>
    </row>
    <row r="917" spans="1:2">
      <c r="A917">
        <v>72.531114153487806</v>
      </c>
      <c r="B917" t="s">
        <v>33</v>
      </c>
    </row>
    <row r="918" spans="1:2">
      <c r="A918">
        <v>72.593706187705607</v>
      </c>
      <c r="B918" t="s">
        <v>49</v>
      </c>
    </row>
    <row r="919" spans="1:2">
      <c r="A919">
        <v>72.735642231354504</v>
      </c>
      <c r="B919" t="s">
        <v>144</v>
      </c>
    </row>
    <row r="920" spans="1:2">
      <c r="A920">
        <v>73.434765609791498</v>
      </c>
      <c r="B920" t="s">
        <v>33</v>
      </c>
    </row>
    <row r="921" spans="1:2">
      <c r="A921">
        <v>73.442496263267799</v>
      </c>
      <c r="B921" t="s">
        <v>38</v>
      </c>
    </row>
    <row r="922" spans="1:2">
      <c r="A922">
        <v>73.508173992477197</v>
      </c>
      <c r="B922" t="s">
        <v>41</v>
      </c>
    </row>
    <row r="923" spans="1:2">
      <c r="A923">
        <v>73.560931215861501</v>
      </c>
      <c r="B923" t="s">
        <v>38</v>
      </c>
    </row>
    <row r="924" spans="1:2">
      <c r="A924">
        <v>73.811333552747101</v>
      </c>
      <c r="B924" t="s">
        <v>33</v>
      </c>
    </row>
    <row r="925" spans="1:2">
      <c r="A925">
        <v>73.893331935042895</v>
      </c>
      <c r="B925" t="s">
        <v>33</v>
      </c>
    </row>
    <row r="926" spans="1:2">
      <c r="A926">
        <v>73.938136336289602</v>
      </c>
      <c r="B926" t="s">
        <v>38</v>
      </c>
    </row>
    <row r="927" spans="1:2">
      <c r="A927">
        <v>74.011045448818194</v>
      </c>
      <c r="B927" t="s">
        <v>144</v>
      </c>
    </row>
    <row r="928" spans="1:2">
      <c r="A928">
        <v>74.036610577542206</v>
      </c>
      <c r="B928" t="s">
        <v>41</v>
      </c>
    </row>
    <row r="929" spans="1:2">
      <c r="A929">
        <v>74.104315514531294</v>
      </c>
      <c r="B929" t="s">
        <v>47</v>
      </c>
    </row>
    <row r="930" spans="1:2">
      <c r="A930">
        <v>74.202569219698105</v>
      </c>
      <c r="B930" t="s">
        <v>33</v>
      </c>
    </row>
    <row r="931" spans="1:2">
      <c r="A931">
        <v>74.261204210451595</v>
      </c>
      <c r="B931" t="s">
        <v>33</v>
      </c>
    </row>
    <row r="932" spans="1:2">
      <c r="A932">
        <v>74.393599920834205</v>
      </c>
      <c r="B932" t="s">
        <v>33</v>
      </c>
    </row>
    <row r="933" spans="1:2">
      <c r="A933">
        <v>74.605705333669206</v>
      </c>
      <c r="B933" t="s">
        <v>38</v>
      </c>
    </row>
    <row r="934" spans="1:2">
      <c r="A934">
        <v>74.608241864237996</v>
      </c>
      <c r="B934" t="s">
        <v>74</v>
      </c>
    </row>
    <row r="935" spans="1:2">
      <c r="A935">
        <v>74.638673507324398</v>
      </c>
      <c r="B935" t="s">
        <v>74</v>
      </c>
    </row>
    <row r="936" spans="1:2">
      <c r="A936">
        <v>74.664023735106696</v>
      </c>
      <c r="B936" t="s">
        <v>38</v>
      </c>
    </row>
    <row r="937" spans="1:2">
      <c r="A937">
        <v>74.752681832555098</v>
      </c>
      <c r="B937" t="s">
        <v>41</v>
      </c>
    </row>
    <row r="938" spans="1:2">
      <c r="A938">
        <v>74.934734364787005</v>
      </c>
      <c r="B938" t="s">
        <v>38</v>
      </c>
    </row>
    <row r="939" spans="1:2">
      <c r="A939">
        <v>74.965033470155404</v>
      </c>
      <c r="B939" t="s">
        <v>74</v>
      </c>
    </row>
    <row r="940" spans="1:2">
      <c r="A940">
        <v>75.011720613122804</v>
      </c>
      <c r="B940" t="s">
        <v>61</v>
      </c>
    </row>
    <row r="941" spans="1:2">
      <c r="A941">
        <v>75.011720613122804</v>
      </c>
      <c r="B941" t="s">
        <v>49</v>
      </c>
    </row>
    <row r="942" spans="1:2">
      <c r="A942">
        <v>75.127681804417406</v>
      </c>
      <c r="B942" t="s">
        <v>33</v>
      </c>
    </row>
    <row r="943" spans="1:2">
      <c r="A943">
        <v>75.227114526419498</v>
      </c>
      <c r="B943" t="s">
        <v>49</v>
      </c>
    </row>
    <row r="944" spans="1:2">
      <c r="A944">
        <v>75.230887862490206</v>
      </c>
      <c r="B944" t="s">
        <v>38</v>
      </c>
    </row>
    <row r="945" spans="1:2">
      <c r="A945">
        <v>75.389197436339103</v>
      </c>
      <c r="B945" t="s">
        <v>38</v>
      </c>
    </row>
    <row r="946" spans="1:2">
      <c r="A946">
        <v>75.395472705204398</v>
      </c>
      <c r="B946" t="s">
        <v>38</v>
      </c>
    </row>
    <row r="947" spans="1:2">
      <c r="A947">
        <v>75.429350135799893</v>
      </c>
      <c r="B947" t="s">
        <v>43</v>
      </c>
    </row>
    <row r="948" spans="1:2">
      <c r="A948">
        <v>75.487032223365304</v>
      </c>
      <c r="B948" t="s">
        <v>38</v>
      </c>
    </row>
    <row r="949" spans="1:2">
      <c r="A949">
        <v>75.606018983038197</v>
      </c>
      <c r="B949" t="s">
        <v>43</v>
      </c>
    </row>
    <row r="950" spans="1:2">
      <c r="A950">
        <v>75.693975660604806</v>
      </c>
      <c r="B950" t="s">
        <v>74</v>
      </c>
    </row>
    <row r="951" spans="1:2">
      <c r="A951">
        <v>75.8521651087961</v>
      </c>
      <c r="B951" t="s">
        <v>41</v>
      </c>
    </row>
    <row r="952" spans="1:2">
      <c r="A952">
        <v>75.8908260637388</v>
      </c>
      <c r="B952" t="s">
        <v>33</v>
      </c>
    </row>
    <row r="953" spans="1:2">
      <c r="A953">
        <v>75.900799887682993</v>
      </c>
      <c r="B953" t="s">
        <v>47</v>
      </c>
    </row>
    <row r="954" spans="1:2">
      <c r="A954">
        <v>75.918250926629199</v>
      </c>
      <c r="B954" t="s">
        <v>41</v>
      </c>
    </row>
    <row r="955" spans="1:2">
      <c r="A955">
        <v>75.9369440180228</v>
      </c>
      <c r="B955" t="s">
        <v>144</v>
      </c>
    </row>
    <row r="956" spans="1:2">
      <c r="A956">
        <v>76.136051420238502</v>
      </c>
      <c r="B956" t="s">
        <v>74</v>
      </c>
    </row>
    <row r="957" spans="1:2">
      <c r="A957">
        <v>76.174568294213501</v>
      </c>
      <c r="B957" t="s">
        <v>38</v>
      </c>
    </row>
    <row r="958" spans="1:2">
      <c r="A958">
        <v>76.205616108914896</v>
      </c>
      <c r="B958" t="s">
        <v>74</v>
      </c>
    </row>
    <row r="959" spans="1:2">
      <c r="A959">
        <v>76.219273140723999</v>
      </c>
      <c r="B959" t="s">
        <v>298</v>
      </c>
    </row>
    <row r="960" spans="1:2">
      <c r="A960">
        <v>76.580914828049501</v>
      </c>
      <c r="B960" t="s">
        <v>74</v>
      </c>
    </row>
    <row r="961" spans="1:2">
      <c r="A961">
        <v>76.647606817412793</v>
      </c>
      <c r="B961" t="s">
        <v>33</v>
      </c>
    </row>
    <row r="962" spans="1:2">
      <c r="A962">
        <v>76.715474245041605</v>
      </c>
      <c r="B962" t="s">
        <v>74</v>
      </c>
    </row>
    <row r="963" spans="1:2">
      <c r="A963">
        <v>76.738079819605403</v>
      </c>
      <c r="B963" t="s">
        <v>38</v>
      </c>
    </row>
    <row r="964" spans="1:2">
      <c r="A964">
        <v>76.843641552417296</v>
      </c>
      <c r="B964" t="s">
        <v>47</v>
      </c>
    </row>
    <row r="965" spans="1:2">
      <c r="A965">
        <v>76.947005452113302</v>
      </c>
      <c r="B965" t="s">
        <v>38</v>
      </c>
    </row>
    <row r="966" spans="1:2">
      <c r="A966">
        <v>76.9740540128264</v>
      </c>
      <c r="B966" t="s">
        <v>188</v>
      </c>
    </row>
    <row r="967" spans="1:2">
      <c r="A967">
        <v>77.007236988723307</v>
      </c>
      <c r="B967" t="s">
        <v>61</v>
      </c>
    </row>
    <row r="968" spans="1:2">
      <c r="A968">
        <v>77.030579402934606</v>
      </c>
      <c r="B968" t="s">
        <v>38</v>
      </c>
    </row>
    <row r="969" spans="1:2">
      <c r="A969">
        <v>77.036720967975498</v>
      </c>
      <c r="B969" t="s">
        <v>33</v>
      </c>
    </row>
    <row r="970" spans="1:2">
      <c r="A970">
        <v>77.062510196271901</v>
      </c>
      <c r="B970" t="s">
        <v>41</v>
      </c>
    </row>
    <row r="971" spans="1:2">
      <c r="A971">
        <v>77.106700234421993</v>
      </c>
      <c r="B971" t="s">
        <v>830</v>
      </c>
    </row>
    <row r="972" spans="1:2">
      <c r="A972">
        <v>77.111608675462904</v>
      </c>
      <c r="B972" t="s">
        <v>74</v>
      </c>
    </row>
    <row r="973" spans="1:2">
      <c r="A973">
        <v>77.3505174643836</v>
      </c>
      <c r="B973" t="s">
        <v>38</v>
      </c>
    </row>
    <row r="974" spans="1:2">
      <c r="A974">
        <v>77.425101659784204</v>
      </c>
      <c r="B974" t="s">
        <v>43</v>
      </c>
    </row>
    <row r="975" spans="1:2">
      <c r="A975">
        <v>77.432433929478094</v>
      </c>
      <c r="B975" t="s">
        <v>43</v>
      </c>
    </row>
    <row r="976" spans="1:2">
      <c r="A976">
        <v>77.570395567254806</v>
      </c>
      <c r="B976" t="s">
        <v>38</v>
      </c>
    </row>
    <row r="977" spans="1:2">
      <c r="A977">
        <v>77.793301212382005</v>
      </c>
      <c r="B977" t="s">
        <v>33</v>
      </c>
    </row>
    <row r="978" spans="1:2">
      <c r="A978">
        <v>78.007079540873406</v>
      </c>
      <c r="B978" t="s">
        <v>74</v>
      </c>
    </row>
    <row r="979" spans="1:2">
      <c r="A979">
        <v>78.036185756074005</v>
      </c>
      <c r="B979" t="s">
        <v>33</v>
      </c>
    </row>
    <row r="980" spans="1:2">
      <c r="A980">
        <v>78.165819092227196</v>
      </c>
      <c r="B980" t="s">
        <v>33</v>
      </c>
    </row>
    <row r="981" spans="1:2">
      <c r="A981">
        <v>78.182764561809293</v>
      </c>
      <c r="B981" t="s">
        <v>1038</v>
      </c>
    </row>
    <row r="982" spans="1:2">
      <c r="A982">
        <v>78.215434742735894</v>
      </c>
      <c r="B982" t="s">
        <v>33</v>
      </c>
    </row>
    <row r="983" spans="1:2">
      <c r="A983">
        <v>78.257764678123095</v>
      </c>
      <c r="B983" t="s">
        <v>38</v>
      </c>
    </row>
    <row r="984" spans="1:2">
      <c r="A984">
        <v>78.642521625931096</v>
      </c>
      <c r="B984" t="s">
        <v>43</v>
      </c>
    </row>
    <row r="985" spans="1:2">
      <c r="A985">
        <v>78.652146510050798</v>
      </c>
      <c r="B985" t="s">
        <v>144</v>
      </c>
    </row>
    <row r="986" spans="1:2">
      <c r="A986">
        <v>78.7915752061311</v>
      </c>
      <c r="B986" t="s">
        <v>58</v>
      </c>
    </row>
    <row r="987" spans="1:2">
      <c r="A987">
        <v>78.873194677074494</v>
      </c>
      <c r="B987" t="s">
        <v>38</v>
      </c>
    </row>
    <row r="988" spans="1:2">
      <c r="A988">
        <v>78.939148692981306</v>
      </c>
      <c r="B988" t="s">
        <v>33</v>
      </c>
    </row>
    <row r="989" spans="1:2">
      <c r="A989">
        <v>79.049348766053797</v>
      </c>
      <c r="B989" t="s">
        <v>38</v>
      </c>
    </row>
    <row r="990" spans="1:2">
      <c r="A990">
        <v>79.074481601778402</v>
      </c>
      <c r="B990" t="s">
        <v>49</v>
      </c>
    </row>
    <row r="991" spans="1:2">
      <c r="A991">
        <v>79.101998878543796</v>
      </c>
      <c r="B991" t="s">
        <v>74</v>
      </c>
    </row>
    <row r="992" spans="1:2">
      <c r="A992">
        <v>79.320600550179606</v>
      </c>
      <c r="B992" t="s">
        <v>33</v>
      </c>
    </row>
    <row r="993" spans="1:2">
      <c r="A993">
        <v>79.327757618983796</v>
      </c>
      <c r="B993" t="s">
        <v>74</v>
      </c>
    </row>
    <row r="994" spans="1:2">
      <c r="A994">
        <v>79.410017547093503</v>
      </c>
      <c r="B994" t="s">
        <v>33</v>
      </c>
    </row>
    <row r="995" spans="1:2">
      <c r="A995">
        <v>79.415975100577796</v>
      </c>
      <c r="B995" t="s">
        <v>41</v>
      </c>
    </row>
    <row r="996" spans="1:2">
      <c r="A996">
        <v>79.421932207177505</v>
      </c>
      <c r="B996" t="s">
        <v>38</v>
      </c>
    </row>
    <row r="997" spans="1:2">
      <c r="A997">
        <v>79.466000916625802</v>
      </c>
      <c r="B997" t="s">
        <v>33</v>
      </c>
    </row>
    <row r="998" spans="1:2">
      <c r="A998">
        <v>79.649160093091695</v>
      </c>
      <c r="B998" t="s">
        <v>33</v>
      </c>
    </row>
    <row r="999" spans="1:2">
      <c r="A999">
        <v>79.774986353293002</v>
      </c>
      <c r="B999" t="s">
        <v>33</v>
      </c>
    </row>
    <row r="1000" spans="1:2">
      <c r="A1000">
        <v>80.031957056417298</v>
      </c>
      <c r="B1000" t="s">
        <v>33</v>
      </c>
    </row>
    <row r="1001" spans="1:2">
      <c r="A1001">
        <v>80.087103871992895</v>
      </c>
      <c r="B1001" t="s">
        <v>49</v>
      </c>
    </row>
    <row r="1002" spans="1:2">
      <c r="A1002">
        <v>80.125303974122204</v>
      </c>
      <c r="B1002" t="s">
        <v>49</v>
      </c>
    </row>
    <row r="1003" spans="1:2">
      <c r="A1003">
        <v>80.212644322854899</v>
      </c>
      <c r="B1003" t="s">
        <v>1038</v>
      </c>
    </row>
    <row r="1004" spans="1:2">
      <c r="A1004">
        <v>80.243308904004707</v>
      </c>
      <c r="B1004" t="s">
        <v>288</v>
      </c>
    </row>
    <row r="1005" spans="1:2">
      <c r="A1005">
        <v>80.311672316519406</v>
      </c>
      <c r="B1005" t="s">
        <v>33</v>
      </c>
    </row>
    <row r="1006" spans="1:2">
      <c r="A1006">
        <v>80.376445978165194</v>
      </c>
      <c r="B1006" t="s">
        <v>38</v>
      </c>
    </row>
    <row r="1007" spans="1:2">
      <c r="A1007">
        <v>80.471744982226696</v>
      </c>
      <c r="B1007" t="s">
        <v>33</v>
      </c>
    </row>
    <row r="1008" spans="1:2">
      <c r="A1008">
        <v>80.5058369541659</v>
      </c>
      <c r="B1008" t="s">
        <v>38</v>
      </c>
    </row>
    <row r="1009" spans="1:2">
      <c r="A1009">
        <v>80.525815192811393</v>
      </c>
      <c r="B1009" t="s">
        <v>38</v>
      </c>
    </row>
    <row r="1010" spans="1:2">
      <c r="A1010">
        <v>80.544613714224894</v>
      </c>
      <c r="B1010" t="s">
        <v>33</v>
      </c>
    </row>
    <row r="1011" spans="1:2">
      <c r="A1011">
        <v>80.562233344237697</v>
      </c>
      <c r="B1011" t="s">
        <v>49</v>
      </c>
    </row>
    <row r="1012" spans="1:2">
      <c r="A1012">
        <v>80.584546011787097</v>
      </c>
      <c r="B1012" t="s">
        <v>33</v>
      </c>
    </row>
    <row r="1013" spans="1:2">
      <c r="A1013">
        <v>80.672562071093097</v>
      </c>
      <c r="B1013" t="s">
        <v>33</v>
      </c>
    </row>
    <row r="1014" spans="1:2">
      <c r="A1014">
        <v>80.8857495069756</v>
      </c>
      <c r="B1014" t="s">
        <v>1072</v>
      </c>
    </row>
    <row r="1015" spans="1:2">
      <c r="A1015">
        <v>80.951232689683707</v>
      </c>
      <c r="B1015" t="s">
        <v>38</v>
      </c>
    </row>
    <row r="1016" spans="1:2">
      <c r="A1016">
        <v>81.107709981539301</v>
      </c>
      <c r="B1016" t="s">
        <v>38</v>
      </c>
    </row>
    <row r="1017" spans="1:2">
      <c r="A1017">
        <v>81.107709981539301</v>
      </c>
      <c r="B1017" t="s">
        <v>43</v>
      </c>
    </row>
    <row r="1018" spans="1:2">
      <c r="A1018">
        <v>81.241759880034806</v>
      </c>
      <c r="B1018" t="s">
        <v>41</v>
      </c>
    </row>
    <row r="1019" spans="1:2">
      <c r="A1019">
        <v>81.302301182700901</v>
      </c>
      <c r="B1019" t="s">
        <v>38</v>
      </c>
    </row>
    <row r="1020" spans="1:2">
      <c r="A1020">
        <v>81.316265851505904</v>
      </c>
      <c r="B1020" t="s">
        <v>49</v>
      </c>
    </row>
    <row r="1021" spans="1:2">
      <c r="A1021">
        <v>81.390703619395794</v>
      </c>
      <c r="B1021" t="s">
        <v>43</v>
      </c>
    </row>
    <row r="1022" spans="1:2">
      <c r="A1022">
        <v>81.409302426486903</v>
      </c>
      <c r="B1022" t="s">
        <v>38</v>
      </c>
    </row>
    <row r="1023" spans="1:2">
      <c r="A1023">
        <v>81.467396331454196</v>
      </c>
      <c r="B1023" t="s">
        <v>101</v>
      </c>
    </row>
    <row r="1024" spans="1:2">
      <c r="A1024">
        <v>81.597376590025505</v>
      </c>
      <c r="B1024" t="s">
        <v>33</v>
      </c>
    </row>
    <row r="1025" spans="1:2">
      <c r="A1025">
        <v>81.621724844720305</v>
      </c>
      <c r="B1025" t="s">
        <v>38</v>
      </c>
    </row>
    <row r="1026" spans="1:2">
      <c r="A1026">
        <v>81.657654237504403</v>
      </c>
      <c r="B1026" t="s">
        <v>49</v>
      </c>
    </row>
    <row r="1027" spans="1:2">
      <c r="A1027">
        <v>81.817406531365407</v>
      </c>
      <c r="B1027" t="s">
        <v>1072</v>
      </c>
    </row>
    <row r="1028" spans="1:2">
      <c r="A1028">
        <v>81.999929175879302</v>
      </c>
      <c r="B1028" t="s">
        <v>41</v>
      </c>
    </row>
    <row r="1029" spans="1:2">
      <c r="A1029">
        <v>82.041459812339497</v>
      </c>
      <c r="B1029" t="s">
        <v>144</v>
      </c>
    </row>
    <row r="1030" spans="1:2">
      <c r="A1030">
        <v>82.177440862459406</v>
      </c>
      <c r="B1030" t="s">
        <v>33</v>
      </c>
    </row>
    <row r="1031" spans="1:2">
      <c r="A1031">
        <v>82.321243584815704</v>
      </c>
      <c r="B1031" t="s">
        <v>38</v>
      </c>
    </row>
    <row r="1032" spans="1:2">
      <c r="A1032">
        <v>82.329289110466704</v>
      </c>
      <c r="B1032" t="s">
        <v>33</v>
      </c>
    </row>
    <row r="1033" spans="1:2">
      <c r="A1033">
        <v>82.354569931223494</v>
      </c>
      <c r="B1033" t="s">
        <v>43</v>
      </c>
    </row>
    <row r="1034" spans="1:2">
      <c r="A1034">
        <v>82.387882796944197</v>
      </c>
      <c r="B1034" t="s">
        <v>33</v>
      </c>
    </row>
    <row r="1035" spans="1:2">
      <c r="A1035">
        <v>82.415441882109405</v>
      </c>
      <c r="B1035" t="s">
        <v>38</v>
      </c>
    </row>
    <row r="1036" spans="1:2">
      <c r="A1036">
        <v>82.529025831353493</v>
      </c>
      <c r="B1036" t="s">
        <v>38</v>
      </c>
    </row>
    <row r="1037" spans="1:2">
      <c r="A1037">
        <v>82.606952611608193</v>
      </c>
      <c r="B1037" t="s">
        <v>58</v>
      </c>
    </row>
    <row r="1038" spans="1:2">
      <c r="A1038">
        <v>82.696248787792996</v>
      </c>
      <c r="B1038" t="s">
        <v>33</v>
      </c>
    </row>
    <row r="1039" spans="1:2">
      <c r="A1039">
        <v>82.951013998623196</v>
      </c>
      <c r="B1039" t="s">
        <v>67</v>
      </c>
    </row>
    <row r="1040" spans="1:2">
      <c r="A1040">
        <v>83.129909502303093</v>
      </c>
      <c r="B1040" t="s">
        <v>38</v>
      </c>
    </row>
    <row r="1041" spans="1:2">
      <c r="A1041">
        <v>83.176564076051505</v>
      </c>
      <c r="B1041" t="s">
        <v>33</v>
      </c>
    </row>
    <row r="1042" spans="1:2">
      <c r="A1042">
        <v>83.193626285522697</v>
      </c>
      <c r="B1042" t="s">
        <v>33</v>
      </c>
    </row>
    <row r="1043" spans="1:2">
      <c r="A1043">
        <v>83.234561318155002</v>
      </c>
      <c r="B1043" t="s">
        <v>211</v>
      </c>
    </row>
    <row r="1044" spans="1:2">
      <c r="A1044">
        <v>83.284565701393007</v>
      </c>
      <c r="B1044" t="s">
        <v>33</v>
      </c>
    </row>
    <row r="1045" spans="1:2">
      <c r="A1045">
        <v>83.302741671427199</v>
      </c>
      <c r="B1045" t="s">
        <v>33</v>
      </c>
    </row>
    <row r="1046" spans="1:2">
      <c r="A1046">
        <v>83.413983067326399</v>
      </c>
      <c r="B1046" t="s">
        <v>49</v>
      </c>
    </row>
    <row r="1047" spans="1:2">
      <c r="A1047">
        <v>83.570378048104502</v>
      </c>
      <c r="B1047" t="s">
        <v>41</v>
      </c>
    </row>
    <row r="1048" spans="1:2">
      <c r="A1048">
        <v>83.591887773979195</v>
      </c>
      <c r="B1048" t="s">
        <v>38</v>
      </c>
    </row>
    <row r="1049" spans="1:2">
      <c r="A1049">
        <v>83.606601766349101</v>
      </c>
      <c r="B1049" t="s">
        <v>74</v>
      </c>
    </row>
    <row r="1050" spans="1:2">
      <c r="A1050">
        <v>83.780709359438205</v>
      </c>
      <c r="B1050" t="s">
        <v>38</v>
      </c>
    </row>
    <row r="1051" spans="1:2">
      <c r="A1051">
        <v>83.854087838741606</v>
      </c>
      <c r="B1051" t="s">
        <v>33</v>
      </c>
    </row>
    <row r="1052" spans="1:2">
      <c r="A1052">
        <v>83.945438945013606</v>
      </c>
      <c r="B1052" t="s">
        <v>41</v>
      </c>
    </row>
    <row r="1053" spans="1:2">
      <c r="A1053">
        <v>84.015294902536596</v>
      </c>
      <c r="B1053" t="s">
        <v>43</v>
      </c>
    </row>
    <row r="1054" spans="1:2">
      <c r="A1054">
        <v>84.050201109246501</v>
      </c>
      <c r="B1054" t="s">
        <v>33</v>
      </c>
    </row>
    <row r="1055" spans="1:2">
      <c r="A1055">
        <v>84.197548196888803</v>
      </c>
      <c r="B1055" t="s">
        <v>38</v>
      </c>
    </row>
    <row r="1056" spans="1:2">
      <c r="A1056">
        <v>84.271686536661406</v>
      </c>
      <c r="B1056" t="s">
        <v>43</v>
      </c>
    </row>
    <row r="1057" spans="1:2">
      <c r="A1057">
        <v>84.318831539810304</v>
      </c>
      <c r="B1057" t="s">
        <v>74</v>
      </c>
    </row>
    <row r="1058" spans="1:2">
      <c r="A1058">
        <v>84.331174685283997</v>
      </c>
      <c r="B1058" t="s">
        <v>49</v>
      </c>
    </row>
    <row r="1059" spans="1:2">
      <c r="A1059">
        <v>84.430975590460505</v>
      </c>
      <c r="B1059" t="s">
        <v>49</v>
      </c>
    </row>
    <row r="1060" spans="1:2">
      <c r="A1060">
        <v>84.627988184363105</v>
      </c>
      <c r="B1060" t="s">
        <v>38</v>
      </c>
    </row>
    <row r="1061" spans="1:2">
      <c r="A1061">
        <v>84.839043408137201</v>
      </c>
      <c r="B1061" t="s">
        <v>33</v>
      </c>
    </row>
    <row r="1062" spans="1:2">
      <c r="A1062">
        <v>84.905935355301395</v>
      </c>
      <c r="B1062" t="s">
        <v>38</v>
      </c>
    </row>
    <row r="1063" spans="1:2">
      <c r="A1063">
        <v>85.5697674084048</v>
      </c>
      <c r="B1063" t="s">
        <v>47</v>
      </c>
    </row>
    <row r="1064" spans="1:2">
      <c r="A1064">
        <v>85.630563773301304</v>
      </c>
      <c r="B1064" t="s">
        <v>288</v>
      </c>
    </row>
    <row r="1065" spans="1:2">
      <c r="A1065">
        <v>85.673647780583394</v>
      </c>
      <c r="B1065" t="s">
        <v>74</v>
      </c>
    </row>
    <row r="1066" spans="1:2">
      <c r="A1066">
        <v>85.838051652745094</v>
      </c>
      <c r="B1066" t="s">
        <v>74</v>
      </c>
    </row>
    <row r="1067" spans="1:2">
      <c r="A1067">
        <v>85.904165694628404</v>
      </c>
      <c r="B1067" t="s">
        <v>38</v>
      </c>
    </row>
    <row r="1068" spans="1:2">
      <c r="A1068">
        <v>85.933900418624305</v>
      </c>
      <c r="B1068" t="s">
        <v>33</v>
      </c>
    </row>
    <row r="1069" spans="1:2">
      <c r="A1069">
        <v>86.020842984844606</v>
      </c>
      <c r="B1069" t="s">
        <v>47</v>
      </c>
    </row>
    <row r="1070" spans="1:2">
      <c r="A1070">
        <v>86.039540657765897</v>
      </c>
      <c r="B1070" t="s">
        <v>38</v>
      </c>
    </row>
    <row r="1071" spans="1:2">
      <c r="A1071">
        <v>86.097807339478294</v>
      </c>
      <c r="B1071" t="s">
        <v>38</v>
      </c>
    </row>
    <row r="1072" spans="1:2">
      <c r="A1072">
        <v>86.109895483776498</v>
      </c>
      <c r="B1072" t="s">
        <v>893</v>
      </c>
    </row>
    <row r="1073" spans="1:2">
      <c r="A1073">
        <v>86.300882727028295</v>
      </c>
      <c r="B1073" t="s">
        <v>38</v>
      </c>
    </row>
    <row r="1074" spans="1:2">
      <c r="A1074">
        <v>86.581109567702399</v>
      </c>
      <c r="B1074" t="s">
        <v>41</v>
      </c>
    </row>
    <row r="1075" spans="1:2">
      <c r="A1075">
        <v>86.602964102610798</v>
      </c>
      <c r="B1075" t="s">
        <v>33</v>
      </c>
    </row>
    <row r="1076" spans="1:2">
      <c r="A1076">
        <v>86.728520806674894</v>
      </c>
      <c r="B1076" t="s">
        <v>144</v>
      </c>
    </row>
    <row r="1077" spans="1:2">
      <c r="A1077">
        <v>86.775421431927299</v>
      </c>
      <c r="B1077" t="s">
        <v>33</v>
      </c>
    </row>
    <row r="1078" spans="1:2">
      <c r="A1078">
        <v>86.954066007485693</v>
      </c>
      <c r="B1078" t="s">
        <v>288</v>
      </c>
    </row>
    <row r="1079" spans="1:2">
      <c r="A1079">
        <v>87.108450122004797</v>
      </c>
      <c r="B1079" t="s">
        <v>33</v>
      </c>
    </row>
    <row r="1080" spans="1:2">
      <c r="A1080">
        <v>87.186624944648401</v>
      </c>
      <c r="B1080" t="s">
        <v>38</v>
      </c>
    </row>
    <row r="1081" spans="1:2">
      <c r="A1081">
        <v>87.392583863752805</v>
      </c>
      <c r="B1081" t="s">
        <v>101</v>
      </c>
    </row>
    <row r="1082" spans="1:2">
      <c r="A1082">
        <v>87.433717428758101</v>
      </c>
      <c r="B1082" t="s">
        <v>43</v>
      </c>
    </row>
    <row r="1083" spans="1:2">
      <c r="A1083">
        <v>87.496462956078304</v>
      </c>
      <c r="B1083" t="s">
        <v>74</v>
      </c>
    </row>
    <row r="1084" spans="1:2">
      <c r="A1084">
        <v>87.520251216197707</v>
      </c>
      <c r="B1084" t="s">
        <v>74</v>
      </c>
    </row>
    <row r="1085" spans="1:2">
      <c r="A1085">
        <v>87.550517835609696</v>
      </c>
      <c r="B1085" t="s">
        <v>33</v>
      </c>
    </row>
    <row r="1086" spans="1:2">
      <c r="A1086">
        <v>87.588336402198706</v>
      </c>
      <c r="B1086" t="s">
        <v>38</v>
      </c>
    </row>
    <row r="1087" spans="1:2">
      <c r="A1087">
        <v>87.659607020968494</v>
      </c>
      <c r="B1087" t="s">
        <v>43</v>
      </c>
    </row>
    <row r="1088" spans="1:2">
      <c r="A1088">
        <v>87.663924590149094</v>
      </c>
      <c r="B1088" t="s">
        <v>38</v>
      </c>
    </row>
    <row r="1089" spans="1:2">
      <c r="A1089">
        <v>87.6984574913443</v>
      </c>
      <c r="B1089" t="s">
        <v>43</v>
      </c>
    </row>
    <row r="1090" spans="1:2">
      <c r="A1090">
        <v>87.763170057330697</v>
      </c>
      <c r="B1090" t="s">
        <v>33</v>
      </c>
    </row>
    <row r="1091" spans="1:2">
      <c r="A1091">
        <v>87.772872827170104</v>
      </c>
      <c r="B1091" t="s">
        <v>33</v>
      </c>
    </row>
    <row r="1092" spans="1:2">
      <c r="A1092">
        <v>87.861226485904297</v>
      </c>
      <c r="B1092" t="s">
        <v>33</v>
      </c>
    </row>
    <row r="1093" spans="1:2">
      <c r="A1093">
        <v>88.016169496117897</v>
      </c>
      <c r="B1093" t="s">
        <v>74</v>
      </c>
    </row>
    <row r="1094" spans="1:2">
      <c r="A1094">
        <v>88.191227910976295</v>
      </c>
      <c r="B1094" t="s">
        <v>38</v>
      </c>
    </row>
    <row r="1095" spans="1:2">
      <c r="A1095">
        <v>88.221264334528797</v>
      </c>
      <c r="B1095" t="s">
        <v>298</v>
      </c>
    </row>
    <row r="1096" spans="1:2">
      <c r="A1096">
        <v>88.237351069830495</v>
      </c>
      <c r="B1096" t="s">
        <v>74</v>
      </c>
    </row>
    <row r="1097" spans="1:2">
      <c r="A1097">
        <v>88.317740794299297</v>
      </c>
      <c r="B1097" t="s">
        <v>38</v>
      </c>
    </row>
    <row r="1098" spans="1:2">
      <c r="A1098">
        <v>88.352018147990293</v>
      </c>
      <c r="B1098" t="s">
        <v>43</v>
      </c>
    </row>
    <row r="1099" spans="1:2">
      <c r="A1099">
        <v>88.4280235815244</v>
      </c>
      <c r="B1099" t="s">
        <v>211</v>
      </c>
    </row>
    <row r="1100" spans="1:2">
      <c r="A1100">
        <v>88.437653408247201</v>
      </c>
      <c r="B1100" t="s">
        <v>33</v>
      </c>
    </row>
    <row r="1101" spans="1:2">
      <c r="A1101">
        <v>88.543512378977297</v>
      </c>
      <c r="B1101" t="s">
        <v>38</v>
      </c>
    </row>
    <row r="1102" spans="1:2">
      <c r="A1102">
        <v>88.555266675489705</v>
      </c>
      <c r="B1102" t="s">
        <v>33</v>
      </c>
    </row>
    <row r="1103" spans="1:2">
      <c r="A1103">
        <v>88.610811333406005</v>
      </c>
      <c r="B1103" t="s">
        <v>38</v>
      </c>
    </row>
    <row r="1104" spans="1:2">
      <c r="A1104">
        <v>88.894400770613601</v>
      </c>
      <c r="B1104" t="s">
        <v>33</v>
      </c>
    </row>
    <row r="1105" spans="1:2">
      <c r="A1105">
        <v>88.9231356050513</v>
      </c>
      <c r="B1105" t="s">
        <v>144</v>
      </c>
    </row>
    <row r="1106" spans="1:2">
      <c r="A1106">
        <v>88.989084182968895</v>
      </c>
      <c r="B1106" t="s">
        <v>893</v>
      </c>
    </row>
    <row r="1107" spans="1:2">
      <c r="A1107">
        <v>89.002905913362596</v>
      </c>
      <c r="B1107" t="s">
        <v>47</v>
      </c>
    </row>
    <row r="1108" spans="1:2">
      <c r="A1108">
        <v>89.097474017953601</v>
      </c>
      <c r="B1108" t="s">
        <v>38</v>
      </c>
    </row>
    <row r="1109" spans="1:2">
      <c r="A1109">
        <v>89.184515425340095</v>
      </c>
      <c r="B1109" t="s">
        <v>33</v>
      </c>
    </row>
    <row r="1110" spans="1:2">
      <c r="A1110">
        <v>89.282070627967201</v>
      </c>
      <c r="B1110" t="s">
        <v>38</v>
      </c>
    </row>
    <row r="1111" spans="1:2">
      <c r="A1111">
        <v>89.289488942996996</v>
      </c>
      <c r="B1111" t="s">
        <v>33</v>
      </c>
    </row>
    <row r="1112" spans="1:2">
      <c r="A1112">
        <v>89.426087725147895</v>
      </c>
      <c r="B1112" t="s">
        <v>33</v>
      </c>
    </row>
    <row r="1113" spans="1:2">
      <c r="A1113">
        <v>89.541345972497595</v>
      </c>
      <c r="B1113" t="s">
        <v>38</v>
      </c>
    </row>
    <row r="1114" spans="1:2">
      <c r="A1114">
        <v>89.575155095485599</v>
      </c>
      <c r="B1114" t="s">
        <v>298</v>
      </c>
    </row>
    <row r="1115" spans="1:2">
      <c r="A1115">
        <v>89.636401627869702</v>
      </c>
      <c r="B1115" t="s">
        <v>298</v>
      </c>
    </row>
    <row r="1116" spans="1:2">
      <c r="A1116">
        <v>89.657511420830602</v>
      </c>
      <c r="B1116" t="s">
        <v>33</v>
      </c>
    </row>
    <row r="1117" spans="1:2">
      <c r="A1117">
        <v>89.659622126767403</v>
      </c>
      <c r="B1117" t="s">
        <v>47</v>
      </c>
    </row>
    <row r="1118" spans="1:2">
      <c r="A1118">
        <v>89.693386666623795</v>
      </c>
      <c r="B1118" t="s">
        <v>33</v>
      </c>
    </row>
    <row r="1119" spans="1:2">
      <c r="A1119">
        <v>89.773526553133706</v>
      </c>
      <c r="B1119" t="s">
        <v>33</v>
      </c>
    </row>
    <row r="1120" spans="1:2">
      <c r="A1120">
        <v>89.8504357209044</v>
      </c>
      <c r="B1120" t="s">
        <v>72</v>
      </c>
    </row>
    <row r="1121" spans="1:2">
      <c r="A1121">
        <v>89.878864905517403</v>
      </c>
      <c r="B1121" t="s">
        <v>33</v>
      </c>
    </row>
    <row r="1122" spans="1:2">
      <c r="A1122">
        <v>89.896760150076105</v>
      </c>
      <c r="B1122" t="s">
        <v>72</v>
      </c>
    </row>
    <row r="1123" spans="1:2">
      <c r="A1123">
        <v>90.079718831253601</v>
      </c>
      <c r="B1123" t="s">
        <v>33</v>
      </c>
    </row>
    <row r="1124" spans="1:2">
      <c r="A1124">
        <v>90.132224471477102</v>
      </c>
      <c r="B1124" t="s">
        <v>41</v>
      </c>
    </row>
    <row r="1125" spans="1:2">
      <c r="A1125">
        <v>90.236095506319401</v>
      </c>
      <c r="B1125" t="s">
        <v>38</v>
      </c>
    </row>
    <row r="1126" spans="1:2">
      <c r="A1126">
        <v>90.300037360156097</v>
      </c>
      <c r="B1126" t="s">
        <v>47</v>
      </c>
    </row>
    <row r="1127" spans="1:2">
      <c r="A1127">
        <v>90.399528869445604</v>
      </c>
      <c r="B1127" t="s">
        <v>38</v>
      </c>
    </row>
    <row r="1128" spans="1:2">
      <c r="A1128">
        <v>90.421506955317497</v>
      </c>
      <c r="B1128" t="s">
        <v>38</v>
      </c>
    </row>
    <row r="1129" spans="1:2">
      <c r="A1129">
        <v>90.481134849281204</v>
      </c>
      <c r="B1129" t="s">
        <v>38</v>
      </c>
    </row>
    <row r="1130" spans="1:2">
      <c r="A1130">
        <v>90.554308370482502</v>
      </c>
      <c r="B1130" t="s">
        <v>49</v>
      </c>
    </row>
    <row r="1131" spans="1:2">
      <c r="A1131">
        <v>90.600272906323895</v>
      </c>
      <c r="B1131" t="s">
        <v>49</v>
      </c>
    </row>
    <row r="1132" spans="1:2">
      <c r="A1132">
        <v>90.760965467287505</v>
      </c>
      <c r="B1132" t="s">
        <v>38</v>
      </c>
    </row>
    <row r="1133" spans="1:2">
      <c r="A1133">
        <v>90.799531048975297</v>
      </c>
      <c r="B1133" t="s">
        <v>33</v>
      </c>
    </row>
    <row r="1134" spans="1:2">
      <c r="A1134">
        <v>90.879736683381296</v>
      </c>
      <c r="B1134" t="s">
        <v>47</v>
      </c>
    </row>
    <row r="1135" spans="1:2">
      <c r="A1135">
        <v>90.913048081419504</v>
      </c>
      <c r="B1135" t="s">
        <v>38</v>
      </c>
    </row>
    <row r="1136" spans="1:2">
      <c r="A1136">
        <v>90.972836829344601</v>
      </c>
      <c r="B1136" t="s">
        <v>188</v>
      </c>
    </row>
    <row r="1137" spans="1:2">
      <c r="A1137">
        <v>90.992113776481801</v>
      </c>
      <c r="B1137" t="s">
        <v>47</v>
      </c>
    </row>
    <row r="1138" spans="1:2">
      <c r="A1138">
        <v>90.992113776481801</v>
      </c>
      <c r="B1138" t="s">
        <v>298</v>
      </c>
    </row>
    <row r="1139" spans="1:2">
      <c r="A1139">
        <v>91.161457629793404</v>
      </c>
      <c r="B1139" t="s">
        <v>33</v>
      </c>
    </row>
    <row r="1140" spans="1:2">
      <c r="A1140">
        <v>91.173912231618004</v>
      </c>
      <c r="B1140" t="s">
        <v>33</v>
      </c>
    </row>
    <row r="1141" spans="1:2">
      <c r="A1141">
        <v>91.222676382960103</v>
      </c>
      <c r="B1141" t="s">
        <v>74</v>
      </c>
    </row>
    <row r="1142" spans="1:2">
      <c r="A1142">
        <v>91.319090409968695</v>
      </c>
      <c r="B1142" t="s">
        <v>188</v>
      </c>
    </row>
    <row r="1143" spans="1:2">
      <c r="A1143">
        <v>91.409159892893101</v>
      </c>
      <c r="B1143" t="s">
        <v>298</v>
      </c>
    </row>
    <row r="1144" spans="1:2">
      <c r="A1144">
        <v>91.442310637562699</v>
      </c>
      <c r="B1144" t="s">
        <v>47</v>
      </c>
    </row>
    <row r="1145" spans="1:2">
      <c r="A1145">
        <v>91.545728800717697</v>
      </c>
      <c r="B1145" t="s">
        <v>33</v>
      </c>
    </row>
    <row r="1146" spans="1:2">
      <c r="A1146">
        <v>91.639737902014801</v>
      </c>
      <c r="B1146" t="s">
        <v>33</v>
      </c>
    </row>
    <row r="1147" spans="1:2">
      <c r="A1147">
        <v>91.820254110171902</v>
      </c>
      <c r="B1147" t="s">
        <v>33</v>
      </c>
    </row>
    <row r="1148" spans="1:2">
      <c r="A1148">
        <v>91.912952966830403</v>
      </c>
      <c r="B1148" t="s">
        <v>33</v>
      </c>
    </row>
    <row r="1149" spans="1:2">
      <c r="A1149">
        <v>92.043602534172294</v>
      </c>
      <c r="B1149" t="s">
        <v>38</v>
      </c>
    </row>
    <row r="1150" spans="1:2">
      <c r="A1150">
        <v>92.078548126155994</v>
      </c>
      <c r="B1150" t="s">
        <v>38</v>
      </c>
    </row>
    <row r="1151" spans="1:2">
      <c r="A1151">
        <v>92.299221242081003</v>
      </c>
      <c r="B1151" t="s">
        <v>188</v>
      </c>
    </row>
    <row r="1152" spans="1:2">
      <c r="A1152">
        <v>92.463101294318903</v>
      </c>
      <c r="B1152" t="s">
        <v>41</v>
      </c>
    </row>
    <row r="1153" spans="1:2">
      <c r="A1153">
        <v>92.486635180195805</v>
      </c>
      <c r="B1153" t="s">
        <v>33</v>
      </c>
    </row>
    <row r="1154" spans="1:2">
      <c r="A1154">
        <v>92.553111635705406</v>
      </c>
      <c r="B1154" t="s">
        <v>49</v>
      </c>
    </row>
    <row r="1155" spans="1:2">
      <c r="A1155">
        <v>92.645077212324594</v>
      </c>
      <c r="B1155" t="s">
        <v>33</v>
      </c>
    </row>
    <row r="1156" spans="1:2">
      <c r="A1156">
        <v>92.933664856475204</v>
      </c>
      <c r="B1156" t="s">
        <v>38</v>
      </c>
    </row>
    <row r="1157" spans="1:2">
      <c r="A1157">
        <v>92.987611732543201</v>
      </c>
      <c r="B1157" t="s">
        <v>144</v>
      </c>
    </row>
    <row r="1158" spans="1:2">
      <c r="A1158">
        <v>93.174656552366201</v>
      </c>
      <c r="B1158" t="s">
        <v>33</v>
      </c>
    </row>
    <row r="1159" spans="1:2">
      <c r="A1159">
        <v>93.271081778992695</v>
      </c>
      <c r="B1159" t="s">
        <v>211</v>
      </c>
    </row>
    <row r="1160" spans="1:2">
      <c r="A1160">
        <v>93.303539418594994</v>
      </c>
      <c r="B1160" t="s">
        <v>49</v>
      </c>
    </row>
    <row r="1161" spans="1:2">
      <c r="A1161">
        <v>93.3623401294643</v>
      </c>
      <c r="B1161" t="s">
        <v>38</v>
      </c>
    </row>
    <row r="1162" spans="1:2">
      <c r="A1162">
        <v>93.373487811106003</v>
      </c>
      <c r="B1162" t="s">
        <v>33</v>
      </c>
    </row>
    <row r="1163" spans="1:2">
      <c r="A1163">
        <v>93.630528754154696</v>
      </c>
      <c r="B1163" t="s">
        <v>74</v>
      </c>
    </row>
    <row r="1164" spans="1:2">
      <c r="A1164">
        <v>93.671953499534695</v>
      </c>
      <c r="B1164" t="s">
        <v>38</v>
      </c>
    </row>
    <row r="1165" spans="1:2">
      <c r="A1165">
        <v>93.963429384054095</v>
      </c>
      <c r="B1165" t="s">
        <v>144</v>
      </c>
    </row>
    <row r="1166" spans="1:2">
      <c r="A1166">
        <v>93.985580834158199</v>
      </c>
      <c r="B1166" t="s">
        <v>72</v>
      </c>
    </row>
    <row r="1167" spans="1:2">
      <c r="A1167">
        <v>93.986587594205602</v>
      </c>
      <c r="B1167" t="s">
        <v>211</v>
      </c>
    </row>
    <row r="1168" spans="1:2">
      <c r="A1168">
        <v>93.989607809644696</v>
      </c>
      <c r="B1168" t="s">
        <v>33</v>
      </c>
    </row>
    <row r="1169" spans="1:2">
      <c r="A1169">
        <v>94.082180672938307</v>
      </c>
      <c r="B1169" t="s">
        <v>74</v>
      </c>
    </row>
    <row r="1170" spans="1:2">
      <c r="A1170">
        <v>94.088214869825705</v>
      </c>
      <c r="B1170" t="s">
        <v>74</v>
      </c>
    </row>
    <row r="1171" spans="1:2">
      <c r="A1171">
        <v>94.162604837110607</v>
      </c>
      <c r="B1171" t="s">
        <v>33</v>
      </c>
    </row>
    <row r="1172" spans="1:2">
      <c r="A1172">
        <v>94.210826381210097</v>
      </c>
      <c r="B1172" t="s">
        <v>38</v>
      </c>
    </row>
    <row r="1173" spans="1:2">
      <c r="A1173">
        <v>94.259023255872805</v>
      </c>
      <c r="B1173" t="s">
        <v>49</v>
      </c>
    </row>
    <row r="1174" spans="1:2">
      <c r="A1174">
        <v>94.266049907882703</v>
      </c>
      <c r="B1174" t="s">
        <v>33</v>
      </c>
    </row>
    <row r="1175" spans="1:2">
      <c r="A1175">
        <v>94.283112453988807</v>
      </c>
      <c r="B1175" t="s">
        <v>33</v>
      </c>
    </row>
    <row r="1176" spans="1:2">
      <c r="A1176">
        <v>94.337290659352902</v>
      </c>
      <c r="B1176" t="s">
        <v>43</v>
      </c>
    </row>
    <row r="1177" spans="1:2">
      <c r="A1177">
        <v>94.396449817929494</v>
      </c>
      <c r="B1177" t="s">
        <v>33</v>
      </c>
    </row>
    <row r="1178" spans="1:2">
      <c r="A1178">
        <v>94.457575414833101</v>
      </c>
      <c r="B1178" t="s">
        <v>43</v>
      </c>
    </row>
    <row r="1179" spans="1:2">
      <c r="A1179">
        <v>94.643714672007903</v>
      </c>
      <c r="B1179" t="s">
        <v>47</v>
      </c>
    </row>
    <row r="1180" spans="1:2">
      <c r="A1180">
        <v>94.666706464879198</v>
      </c>
      <c r="B1180" t="s">
        <v>47</v>
      </c>
    </row>
    <row r="1181" spans="1:2">
      <c r="A1181">
        <v>95.006932017080302</v>
      </c>
      <c r="B1181" t="s">
        <v>49</v>
      </c>
    </row>
    <row r="1182" spans="1:2">
      <c r="A1182">
        <v>95.064679128005196</v>
      </c>
      <c r="B1182" t="s">
        <v>43</v>
      </c>
    </row>
    <row r="1183" spans="1:2">
      <c r="A1183">
        <v>95.089559308265194</v>
      </c>
      <c r="B1183" t="s">
        <v>873</v>
      </c>
    </row>
    <row r="1184" spans="1:2">
      <c r="A1184">
        <v>95.180068241914498</v>
      </c>
      <c r="B1184" t="s">
        <v>38</v>
      </c>
    </row>
    <row r="1185" spans="1:2">
      <c r="A1185">
        <v>95.249631975027299</v>
      </c>
      <c r="B1185" t="s">
        <v>74</v>
      </c>
    </row>
    <row r="1186" spans="1:2">
      <c r="A1186">
        <v>95.2943247024252</v>
      </c>
      <c r="B1186" t="s">
        <v>41</v>
      </c>
    </row>
    <row r="1187" spans="1:2">
      <c r="A1187">
        <v>95.623412159675397</v>
      </c>
      <c r="B1187" t="s">
        <v>33</v>
      </c>
    </row>
    <row r="1188" spans="1:2">
      <c r="A1188">
        <v>95.688698300400404</v>
      </c>
      <c r="B1188" t="s">
        <v>38</v>
      </c>
    </row>
    <row r="1189" spans="1:2">
      <c r="A1189">
        <v>95.878368849848997</v>
      </c>
      <c r="B1189" t="s">
        <v>38</v>
      </c>
    </row>
    <row r="1190" spans="1:2">
      <c r="A1190">
        <v>95.912229203118599</v>
      </c>
      <c r="B1190" t="s">
        <v>33</v>
      </c>
    </row>
    <row r="1191" spans="1:2">
      <c r="A1191">
        <v>96.135602157389002</v>
      </c>
      <c r="B1191" t="s">
        <v>144</v>
      </c>
    </row>
    <row r="1192" spans="1:2">
      <c r="A1192">
        <v>96.1641411617138</v>
      </c>
      <c r="B1192" t="s">
        <v>33</v>
      </c>
    </row>
    <row r="1193" spans="1:2">
      <c r="A1193">
        <v>96.194639010261994</v>
      </c>
      <c r="B1193" t="s">
        <v>38</v>
      </c>
    </row>
    <row r="1194" spans="1:2">
      <c r="A1194">
        <v>96.476532264428897</v>
      </c>
      <c r="B1194" t="s">
        <v>58</v>
      </c>
    </row>
    <row r="1195" spans="1:2">
      <c r="A1195">
        <v>96.528499158724898</v>
      </c>
      <c r="B1195" t="s">
        <v>38</v>
      </c>
    </row>
    <row r="1196" spans="1:2">
      <c r="A1196">
        <v>96.673466341466494</v>
      </c>
      <c r="B1196" t="s">
        <v>49</v>
      </c>
    </row>
    <row r="1197" spans="1:2">
      <c r="A1197">
        <v>96.772271980469</v>
      </c>
      <c r="B1197" t="s">
        <v>38</v>
      </c>
    </row>
    <row r="1198" spans="1:2">
      <c r="A1198">
        <v>96.812352424152294</v>
      </c>
      <c r="B1198" t="s">
        <v>38</v>
      </c>
    </row>
    <row r="1199" spans="1:2">
      <c r="A1199">
        <v>96.833852164520593</v>
      </c>
      <c r="B1199" t="s">
        <v>74</v>
      </c>
    </row>
    <row r="1200" spans="1:2">
      <c r="A1200">
        <v>96.876837331036796</v>
      </c>
      <c r="B1200" t="s">
        <v>38</v>
      </c>
    </row>
    <row r="1201" spans="1:2">
      <c r="A1201">
        <v>96.902743214120704</v>
      </c>
      <c r="B1201" t="s">
        <v>298</v>
      </c>
    </row>
    <row r="1202" spans="1:2">
      <c r="A1202">
        <v>96.9442075073989</v>
      </c>
      <c r="B1202" t="s">
        <v>33</v>
      </c>
    </row>
    <row r="1203" spans="1:2">
      <c r="A1203">
        <v>97.057362121904802</v>
      </c>
      <c r="B1203" t="s">
        <v>288</v>
      </c>
    </row>
    <row r="1204" spans="1:2">
      <c r="A1204">
        <v>97.201540557242495</v>
      </c>
      <c r="B1204" t="s">
        <v>41</v>
      </c>
    </row>
    <row r="1205" spans="1:2">
      <c r="A1205">
        <v>97.394222663754306</v>
      </c>
      <c r="B1205" t="s">
        <v>38</v>
      </c>
    </row>
    <row r="1206" spans="1:2">
      <c r="A1206">
        <v>97.410608783515201</v>
      </c>
      <c r="B1206" t="s">
        <v>38</v>
      </c>
    </row>
    <row r="1207" spans="1:2">
      <c r="A1207">
        <v>97.444600691861595</v>
      </c>
      <c r="B1207" t="s">
        <v>38</v>
      </c>
    </row>
    <row r="1208" spans="1:2">
      <c r="A1208">
        <v>97.447513732285103</v>
      </c>
      <c r="B1208" t="s">
        <v>47</v>
      </c>
    </row>
    <row r="1209" spans="1:2">
      <c r="A1209">
        <v>97.461106769687504</v>
      </c>
      <c r="B1209" t="s">
        <v>49</v>
      </c>
    </row>
    <row r="1210" spans="1:2">
      <c r="A1210">
        <v>97.626014056362493</v>
      </c>
      <c r="B1210" t="s">
        <v>211</v>
      </c>
    </row>
    <row r="1211" spans="1:2">
      <c r="A1211">
        <v>97.645396603816906</v>
      </c>
      <c r="B1211" t="s">
        <v>33</v>
      </c>
    </row>
    <row r="1212" spans="1:2">
      <c r="A1212">
        <v>97.665744138717798</v>
      </c>
      <c r="B1212" t="s">
        <v>38</v>
      </c>
    </row>
    <row r="1213" spans="1:2">
      <c r="A1213">
        <v>97.756771672720703</v>
      </c>
      <c r="B1213" t="s">
        <v>38</v>
      </c>
    </row>
    <row r="1214" spans="1:2">
      <c r="A1214">
        <v>97.820634005501901</v>
      </c>
      <c r="B1214" t="s">
        <v>43</v>
      </c>
    </row>
    <row r="1215" spans="1:2">
      <c r="A1215">
        <v>97.854483482667604</v>
      </c>
      <c r="B1215" t="s">
        <v>38</v>
      </c>
    </row>
    <row r="1216" spans="1:2">
      <c r="A1216">
        <v>97.912483932389804</v>
      </c>
      <c r="B1216" t="s">
        <v>38</v>
      </c>
    </row>
    <row r="1217" spans="1:2">
      <c r="A1217">
        <v>98.104606623631099</v>
      </c>
      <c r="B1217" t="s">
        <v>298</v>
      </c>
    </row>
    <row r="1218" spans="1:2">
      <c r="A1218">
        <v>98.2250945503487</v>
      </c>
      <c r="B1218" t="s">
        <v>49</v>
      </c>
    </row>
    <row r="1219" spans="1:2">
      <c r="A1219">
        <v>98.242432640230305</v>
      </c>
      <c r="B1219" t="s">
        <v>33</v>
      </c>
    </row>
    <row r="1220" spans="1:2">
      <c r="A1220">
        <v>98.336775278884701</v>
      </c>
      <c r="B1220" t="s">
        <v>38</v>
      </c>
    </row>
    <row r="1221" spans="1:2">
      <c r="A1221">
        <v>98.388721341348997</v>
      </c>
      <c r="B1221" t="s">
        <v>49</v>
      </c>
    </row>
    <row r="1222" spans="1:2">
      <c r="A1222">
        <v>98.404107501122695</v>
      </c>
      <c r="B1222" t="s">
        <v>211</v>
      </c>
    </row>
    <row r="1223" spans="1:2">
      <c r="A1223">
        <v>98.413722629439803</v>
      </c>
      <c r="B1223" t="s">
        <v>38</v>
      </c>
    </row>
    <row r="1224" spans="1:2">
      <c r="A1224">
        <v>98.517506219228807</v>
      </c>
      <c r="B1224" t="s">
        <v>33</v>
      </c>
    </row>
    <row r="1225" spans="1:2">
      <c r="A1225">
        <v>98.530951643756694</v>
      </c>
      <c r="B1225" t="s">
        <v>873</v>
      </c>
    </row>
    <row r="1226" spans="1:2">
      <c r="A1226">
        <v>98.643245321301293</v>
      </c>
      <c r="B1226" t="s">
        <v>72</v>
      </c>
    </row>
    <row r="1227" spans="1:2">
      <c r="A1227">
        <v>98.900941245915106</v>
      </c>
      <c r="B1227" t="s">
        <v>47</v>
      </c>
    </row>
    <row r="1228" spans="1:2">
      <c r="A1228">
        <v>98.936333899572205</v>
      </c>
      <c r="B1228" t="s">
        <v>38</v>
      </c>
    </row>
    <row r="1229" spans="1:2">
      <c r="A1229">
        <v>98.985097624924506</v>
      </c>
      <c r="B1229" t="s">
        <v>38</v>
      </c>
    </row>
    <row r="1230" spans="1:2">
      <c r="A1230">
        <v>99.019504619576495</v>
      </c>
      <c r="B1230" t="s">
        <v>38</v>
      </c>
    </row>
    <row r="1231" spans="1:2">
      <c r="A1231">
        <v>99.030970961293207</v>
      </c>
      <c r="B1231" t="s">
        <v>38</v>
      </c>
    </row>
    <row r="1232" spans="1:2">
      <c r="A1232">
        <v>99.056765377254095</v>
      </c>
      <c r="B1232" t="s">
        <v>33</v>
      </c>
    </row>
    <row r="1233" spans="1:2">
      <c r="A1233">
        <v>99.080643108196895</v>
      </c>
      <c r="B1233" t="s">
        <v>41</v>
      </c>
    </row>
    <row r="1234" spans="1:2">
      <c r="A1234">
        <v>99.082553078088594</v>
      </c>
      <c r="B1234" t="s">
        <v>288</v>
      </c>
    </row>
    <row r="1235" spans="1:2">
      <c r="A1235">
        <v>99.130290365413799</v>
      </c>
      <c r="B1235" t="s">
        <v>38</v>
      </c>
    </row>
    <row r="1236" spans="1:2">
      <c r="A1236">
        <v>99.158921706554807</v>
      </c>
      <c r="B1236" t="s">
        <v>33</v>
      </c>
    </row>
    <row r="1237" spans="1:2">
      <c r="A1237">
        <v>99.2018532242205</v>
      </c>
      <c r="B1237" t="s">
        <v>33</v>
      </c>
    </row>
    <row r="1238" spans="1:2">
      <c r="A1238">
        <v>99.341014399995601</v>
      </c>
      <c r="B1238" t="s">
        <v>41</v>
      </c>
    </row>
    <row r="1239" spans="1:2">
      <c r="A1239">
        <v>99.369585025275896</v>
      </c>
      <c r="B1239" t="s">
        <v>873</v>
      </c>
    </row>
    <row r="1240" spans="1:2">
      <c r="A1240">
        <v>99.396243532804505</v>
      </c>
      <c r="B1240" t="s">
        <v>49</v>
      </c>
    </row>
    <row r="1241" spans="1:2">
      <c r="A1241">
        <v>99.424798287489693</v>
      </c>
      <c r="B1241" t="s">
        <v>49</v>
      </c>
    </row>
    <row r="1242" spans="1:2">
      <c r="A1242">
        <v>99.495916802228095</v>
      </c>
      <c r="B1242" t="s">
        <v>41</v>
      </c>
    </row>
    <row r="1243" spans="1:2">
      <c r="A1243">
        <v>99.6064049272006</v>
      </c>
      <c r="B1243" t="s">
        <v>33</v>
      </c>
    </row>
    <row r="1244" spans="1:2">
      <c r="A1244">
        <v>99.668132765785202</v>
      </c>
      <c r="B1244" t="s">
        <v>38</v>
      </c>
    </row>
    <row r="1245" spans="1:2">
      <c r="A1245">
        <v>99.675727396250494</v>
      </c>
      <c r="B1245" t="s">
        <v>144</v>
      </c>
    </row>
    <row r="1246" spans="1:2">
      <c r="A1246">
        <v>99.8474015249936</v>
      </c>
      <c r="B1246" t="s">
        <v>33</v>
      </c>
    </row>
    <row r="1247" spans="1:2">
      <c r="A1247">
        <v>100.01215851350599</v>
      </c>
      <c r="B1247" t="s">
        <v>41</v>
      </c>
    </row>
    <row r="1248" spans="1:2">
      <c r="A1248">
        <v>100.04715806403701</v>
      </c>
      <c r="B1248" t="s">
        <v>33</v>
      </c>
    </row>
    <row r="1249" spans="1:2">
      <c r="A1249">
        <v>100.19458929644099</v>
      </c>
      <c r="B1249" t="s">
        <v>33</v>
      </c>
    </row>
    <row r="1250" spans="1:2">
      <c r="A1250">
        <v>100.21253084718001</v>
      </c>
      <c r="B1250" t="s">
        <v>38</v>
      </c>
    </row>
    <row r="1251" spans="1:2">
      <c r="A1251">
        <v>100.23141322051001</v>
      </c>
      <c r="B1251" t="s">
        <v>38</v>
      </c>
    </row>
    <row r="1252" spans="1:2">
      <c r="A1252">
        <v>100.399309892522</v>
      </c>
      <c r="B1252" t="s">
        <v>43</v>
      </c>
    </row>
    <row r="1253" spans="1:2">
      <c r="A1253">
        <v>100.464317968461</v>
      </c>
      <c r="B1253" t="s">
        <v>38</v>
      </c>
    </row>
    <row r="1254" spans="1:2">
      <c r="A1254">
        <v>100.734263725521</v>
      </c>
      <c r="B1254" t="s">
        <v>74</v>
      </c>
    </row>
    <row r="1255" spans="1:2">
      <c r="A1255">
        <v>100.741777983498</v>
      </c>
      <c r="B1255" t="s">
        <v>33</v>
      </c>
    </row>
    <row r="1256" spans="1:2">
      <c r="A1256">
        <v>100.97912792839401</v>
      </c>
      <c r="B1256" t="s">
        <v>47</v>
      </c>
    </row>
    <row r="1257" spans="1:2">
      <c r="A1257">
        <v>101.027842233596</v>
      </c>
      <c r="B1257" t="s">
        <v>41</v>
      </c>
    </row>
    <row r="1258" spans="1:2">
      <c r="A1258">
        <v>101.250504735736</v>
      </c>
      <c r="B1258" t="s">
        <v>74</v>
      </c>
    </row>
    <row r="1259" spans="1:2">
      <c r="A1259">
        <v>101.31963620918</v>
      </c>
      <c r="B1259" t="s">
        <v>43</v>
      </c>
    </row>
    <row r="1260" spans="1:2">
      <c r="A1260">
        <v>101.330842274161</v>
      </c>
      <c r="B1260" t="s">
        <v>47</v>
      </c>
    </row>
    <row r="1261" spans="1:2">
      <c r="A1261">
        <v>101.42884253137601</v>
      </c>
      <c r="B1261" t="s">
        <v>144</v>
      </c>
    </row>
    <row r="1262" spans="1:2">
      <c r="A1262">
        <v>101.495055746408</v>
      </c>
      <c r="B1262" t="s">
        <v>38</v>
      </c>
    </row>
    <row r="1263" spans="1:2">
      <c r="A1263">
        <v>101.496920281873</v>
      </c>
      <c r="B1263" t="s">
        <v>38</v>
      </c>
    </row>
    <row r="1264" spans="1:2">
      <c r="A1264">
        <v>101.502513682765</v>
      </c>
      <c r="B1264" t="s">
        <v>33</v>
      </c>
    </row>
    <row r="1265" spans="1:2">
      <c r="A1265">
        <v>101.61338585714201</v>
      </c>
      <c r="B1265" t="s">
        <v>74</v>
      </c>
    </row>
    <row r="1266" spans="1:2">
      <c r="A1266">
        <v>101.71390472901901</v>
      </c>
      <c r="B1266" t="s">
        <v>33</v>
      </c>
    </row>
    <row r="1267" spans="1:2">
      <c r="A1267">
        <v>101.749248863335</v>
      </c>
      <c r="B1267" t="s">
        <v>830</v>
      </c>
    </row>
    <row r="1268" spans="1:2">
      <c r="A1268">
        <v>101.753898493368</v>
      </c>
      <c r="B1268" t="s">
        <v>41</v>
      </c>
    </row>
    <row r="1269" spans="1:2">
      <c r="A1269">
        <v>101.79201744849701</v>
      </c>
      <c r="B1269" t="s">
        <v>49</v>
      </c>
    </row>
    <row r="1270" spans="1:2">
      <c r="A1270">
        <v>101.94806333745299</v>
      </c>
      <c r="B1270" t="s">
        <v>49</v>
      </c>
    </row>
    <row r="1271" spans="1:2">
      <c r="A1271">
        <v>101.949919587981</v>
      </c>
      <c r="B1271" t="s">
        <v>33</v>
      </c>
    </row>
    <row r="1272" spans="1:2">
      <c r="A1272">
        <v>101.95270390040299</v>
      </c>
      <c r="B1272" t="s">
        <v>188</v>
      </c>
    </row>
    <row r="1273" spans="1:2">
      <c r="A1273">
        <v>102.06679531322899</v>
      </c>
      <c r="B1273" t="s">
        <v>38</v>
      </c>
    </row>
    <row r="1274" spans="1:2">
      <c r="A1274">
        <v>102.208536162578</v>
      </c>
      <c r="B1274" t="s">
        <v>33</v>
      </c>
    </row>
    <row r="1275" spans="1:2">
      <c r="A1275">
        <v>102.28627114871399</v>
      </c>
      <c r="B1275" t="s">
        <v>33</v>
      </c>
    </row>
    <row r="1276" spans="1:2">
      <c r="A1276">
        <v>102.314944140398</v>
      </c>
      <c r="B1276" t="s">
        <v>38</v>
      </c>
    </row>
    <row r="1277" spans="1:2">
      <c r="A1277">
        <v>102.327890599882</v>
      </c>
      <c r="B1277" t="s">
        <v>47</v>
      </c>
    </row>
    <row r="1278" spans="1:2">
      <c r="A1278">
        <v>102.387053567572</v>
      </c>
      <c r="B1278" t="s">
        <v>33</v>
      </c>
    </row>
    <row r="1279" spans="1:2">
      <c r="A1279">
        <v>102.399990910241</v>
      </c>
      <c r="B1279" t="s">
        <v>47</v>
      </c>
    </row>
    <row r="1280" spans="1:2">
      <c r="A1280">
        <v>102.493276209733</v>
      </c>
      <c r="B1280" t="s">
        <v>38</v>
      </c>
    </row>
    <row r="1281" spans="1:2">
      <c r="A1281">
        <v>102.533888809742</v>
      </c>
      <c r="B1281" t="s">
        <v>38</v>
      </c>
    </row>
    <row r="1282" spans="1:2">
      <c r="A1282">
        <v>102.669455322497</v>
      </c>
      <c r="B1282" t="s">
        <v>49</v>
      </c>
    </row>
    <row r="1283" spans="1:2">
      <c r="A1283">
        <v>102.907876080191</v>
      </c>
      <c r="B1283" t="s">
        <v>38</v>
      </c>
    </row>
    <row r="1284" spans="1:2">
      <c r="A1284">
        <v>103.025501923509</v>
      </c>
      <c r="B1284" t="s">
        <v>74</v>
      </c>
    </row>
    <row r="1285" spans="1:2">
      <c r="A1285">
        <v>103.105374138353</v>
      </c>
      <c r="B1285" t="s">
        <v>33</v>
      </c>
    </row>
    <row r="1286" spans="1:2">
      <c r="A1286">
        <v>103.12280926509</v>
      </c>
      <c r="B1286" t="s">
        <v>211</v>
      </c>
    </row>
    <row r="1287" spans="1:2">
      <c r="A1287">
        <v>103.377576429109</v>
      </c>
      <c r="B1287" t="s">
        <v>33</v>
      </c>
    </row>
    <row r="1288" spans="1:2">
      <c r="A1288">
        <v>103.525748744761</v>
      </c>
      <c r="B1288" t="s">
        <v>74</v>
      </c>
    </row>
    <row r="1289" spans="1:2">
      <c r="A1289">
        <v>103.83148373368699</v>
      </c>
      <c r="B1289" t="s">
        <v>74</v>
      </c>
    </row>
    <row r="1290" spans="1:2">
      <c r="A1290">
        <v>103.955346397131</v>
      </c>
      <c r="B1290" t="s">
        <v>288</v>
      </c>
    </row>
    <row r="1291" spans="1:2">
      <c r="A1291">
        <v>104.17356830382001</v>
      </c>
      <c r="B1291" t="s">
        <v>74</v>
      </c>
    </row>
    <row r="1292" spans="1:2">
      <c r="A1292">
        <v>104.227144556648</v>
      </c>
      <c r="B1292" t="s">
        <v>188</v>
      </c>
    </row>
    <row r="1293" spans="1:2">
      <c r="A1293">
        <v>104.58241184420601</v>
      </c>
      <c r="B1293" t="s">
        <v>43</v>
      </c>
    </row>
    <row r="1294" spans="1:2">
      <c r="A1294">
        <v>104.59145900045</v>
      </c>
      <c r="B1294" t="s">
        <v>38</v>
      </c>
    </row>
    <row r="1295" spans="1:2">
      <c r="A1295">
        <v>104.60502826767301</v>
      </c>
      <c r="B1295" t="s">
        <v>38</v>
      </c>
    </row>
    <row r="1296" spans="1:2">
      <c r="A1296">
        <v>104.69906015469</v>
      </c>
      <c r="B1296" t="s">
        <v>144</v>
      </c>
    </row>
    <row r="1297" spans="1:2">
      <c r="A1297">
        <v>104.73972086266301</v>
      </c>
      <c r="B1297" t="s">
        <v>331</v>
      </c>
    </row>
    <row r="1298" spans="1:2">
      <c r="A1298">
        <v>104.86947395524599</v>
      </c>
      <c r="B1298" t="s">
        <v>144</v>
      </c>
    </row>
    <row r="1299" spans="1:2">
      <c r="A1299">
        <v>104.981551785677</v>
      </c>
      <c r="B1299" t="s">
        <v>38</v>
      </c>
    </row>
    <row r="1300" spans="1:2">
      <c r="A1300">
        <v>104.996873020604</v>
      </c>
      <c r="B1300" t="s">
        <v>74</v>
      </c>
    </row>
    <row r="1301" spans="1:2">
      <c r="A1301">
        <v>104.996873020604</v>
      </c>
      <c r="B1301" t="s">
        <v>38</v>
      </c>
    </row>
    <row r="1302" spans="1:2">
      <c r="A1302">
        <v>105.05543360817499</v>
      </c>
      <c r="B1302" t="s">
        <v>33</v>
      </c>
    </row>
    <row r="1303" spans="1:2">
      <c r="A1303">
        <v>105.29743806195501</v>
      </c>
      <c r="B1303" t="s">
        <v>33</v>
      </c>
    </row>
    <row r="1304" spans="1:2">
      <c r="A1304">
        <v>105.345951879258</v>
      </c>
      <c r="B1304" t="s">
        <v>38</v>
      </c>
    </row>
    <row r="1305" spans="1:2">
      <c r="A1305">
        <v>105.363914291044</v>
      </c>
      <c r="B1305" t="s">
        <v>47</v>
      </c>
    </row>
    <row r="1306" spans="1:2">
      <c r="A1306">
        <v>105.48418354995501</v>
      </c>
      <c r="B1306" t="s">
        <v>41</v>
      </c>
    </row>
    <row r="1307" spans="1:2">
      <c r="A1307">
        <v>105.49494724218199</v>
      </c>
      <c r="B1307" t="s">
        <v>38</v>
      </c>
    </row>
    <row r="1308" spans="1:2">
      <c r="A1308">
        <v>105.514677826134</v>
      </c>
      <c r="B1308" t="s">
        <v>1038</v>
      </c>
    </row>
    <row r="1309" spans="1:2">
      <c r="A1309">
        <v>105.64283679949899</v>
      </c>
      <c r="B1309" t="s">
        <v>49</v>
      </c>
    </row>
    <row r="1310" spans="1:2">
      <c r="A1310">
        <v>105.81198358088101</v>
      </c>
      <c r="B1310" t="s">
        <v>33</v>
      </c>
    </row>
    <row r="1311" spans="1:2">
      <c r="A1311">
        <v>106.076644350191</v>
      </c>
      <c r="B1311" t="s">
        <v>38</v>
      </c>
    </row>
    <row r="1312" spans="1:2">
      <c r="A1312">
        <v>106.199375113722</v>
      </c>
      <c r="B1312" t="s">
        <v>47</v>
      </c>
    </row>
    <row r="1313" spans="1:2">
      <c r="A1313">
        <v>106.30146264056999</v>
      </c>
      <c r="B1313" t="s">
        <v>33</v>
      </c>
    </row>
    <row r="1314" spans="1:2">
      <c r="A1314">
        <v>106.44055661303599</v>
      </c>
      <c r="B1314" t="s">
        <v>47</v>
      </c>
    </row>
    <row r="1315" spans="1:2">
      <c r="A1315">
        <v>106.488549652198</v>
      </c>
      <c r="B1315" t="s">
        <v>38</v>
      </c>
    </row>
    <row r="1316" spans="1:2">
      <c r="A1316">
        <v>106.68828826349301</v>
      </c>
      <c r="B1316" t="s">
        <v>38</v>
      </c>
    </row>
    <row r="1317" spans="1:2">
      <c r="A1317">
        <v>106.745920948254</v>
      </c>
      <c r="B1317" t="s">
        <v>43</v>
      </c>
    </row>
    <row r="1318" spans="1:2">
      <c r="A1318">
        <v>106.75921638026701</v>
      </c>
      <c r="B1318" t="s">
        <v>72</v>
      </c>
    </row>
    <row r="1319" spans="1:2">
      <c r="A1319">
        <v>106.78580227822501</v>
      </c>
      <c r="B1319" t="s">
        <v>47</v>
      </c>
    </row>
    <row r="1320" spans="1:2">
      <c r="A1320">
        <v>106.798206765716</v>
      </c>
      <c r="B1320" t="s">
        <v>893</v>
      </c>
    </row>
    <row r="1321" spans="1:2">
      <c r="A1321">
        <v>107.447431226718</v>
      </c>
      <c r="B1321" t="s">
        <v>43</v>
      </c>
    </row>
    <row r="1322" spans="1:2">
      <c r="A1322">
        <v>107.664727120389</v>
      </c>
      <c r="B1322" t="s">
        <v>74</v>
      </c>
    </row>
    <row r="1323" spans="1:2">
      <c r="A1323">
        <v>107.720959007685</v>
      </c>
      <c r="B1323" t="s">
        <v>49</v>
      </c>
    </row>
    <row r="1324" spans="1:2">
      <c r="A1324">
        <v>107.74028194068001</v>
      </c>
      <c r="B1324" t="s">
        <v>33</v>
      </c>
    </row>
    <row r="1325" spans="1:2">
      <c r="A1325">
        <v>107.82719228796699</v>
      </c>
      <c r="B1325" t="s">
        <v>144</v>
      </c>
    </row>
    <row r="1326" spans="1:2">
      <c r="A1326">
        <v>107.850882955004</v>
      </c>
      <c r="B1326" t="s">
        <v>43</v>
      </c>
    </row>
    <row r="1327" spans="1:2">
      <c r="A1327">
        <v>108.10676145355001</v>
      </c>
      <c r="B1327" t="s">
        <v>33</v>
      </c>
    </row>
    <row r="1328" spans="1:2">
      <c r="A1328">
        <v>108.111137660838</v>
      </c>
      <c r="B1328" t="s">
        <v>38</v>
      </c>
    </row>
    <row r="1329" spans="1:2">
      <c r="A1329">
        <v>108.228354098133</v>
      </c>
      <c r="B1329" t="s">
        <v>288</v>
      </c>
    </row>
    <row r="1330" spans="1:2">
      <c r="A1330">
        <v>108.240593267772</v>
      </c>
      <c r="B1330" t="s">
        <v>43</v>
      </c>
    </row>
    <row r="1331" spans="1:2">
      <c r="A1331">
        <v>108.449320314576</v>
      </c>
      <c r="B1331" t="s">
        <v>33</v>
      </c>
    </row>
    <row r="1332" spans="1:2">
      <c r="A1332">
        <v>108.478108811762</v>
      </c>
      <c r="B1332" t="s">
        <v>47</v>
      </c>
    </row>
    <row r="1333" spans="1:2">
      <c r="A1333">
        <v>108.583601333476</v>
      </c>
      <c r="B1333" t="s">
        <v>74</v>
      </c>
    </row>
    <row r="1334" spans="1:2">
      <c r="A1334">
        <v>108.58795832362399</v>
      </c>
      <c r="B1334" t="s">
        <v>41</v>
      </c>
    </row>
    <row r="1335" spans="1:2">
      <c r="A1335">
        <v>108.66025883935301</v>
      </c>
      <c r="B1335" t="s">
        <v>43</v>
      </c>
    </row>
    <row r="1336" spans="1:2">
      <c r="A1336">
        <v>108.911629499463</v>
      </c>
      <c r="B1336" t="s">
        <v>33</v>
      </c>
    </row>
    <row r="1337" spans="1:2">
      <c r="A1337">
        <v>109.17282236825901</v>
      </c>
      <c r="B1337" t="s">
        <v>38</v>
      </c>
    </row>
    <row r="1338" spans="1:2">
      <c r="A1338">
        <v>109.671775217549</v>
      </c>
      <c r="B1338" t="s">
        <v>38</v>
      </c>
    </row>
    <row r="1339" spans="1:2">
      <c r="A1339">
        <v>109.70628055920901</v>
      </c>
      <c r="B1339" t="s">
        <v>38</v>
      </c>
    </row>
    <row r="1340" spans="1:2">
      <c r="A1340">
        <v>109.744223904403</v>
      </c>
      <c r="B1340" t="s">
        <v>33</v>
      </c>
    </row>
    <row r="1341" spans="1:2">
      <c r="A1341">
        <v>109.86055919992</v>
      </c>
      <c r="B1341" t="s">
        <v>38</v>
      </c>
    </row>
    <row r="1342" spans="1:2">
      <c r="A1342">
        <v>109.96042306459201</v>
      </c>
      <c r="B1342" t="s">
        <v>38</v>
      </c>
    </row>
    <row r="1343" spans="1:2">
      <c r="A1343">
        <v>110.043860341477</v>
      </c>
      <c r="B1343" t="s">
        <v>144</v>
      </c>
    </row>
    <row r="1344" spans="1:2">
      <c r="A1344">
        <v>110.09715825916599</v>
      </c>
      <c r="B1344" t="s">
        <v>49</v>
      </c>
    </row>
    <row r="1345" spans="1:2">
      <c r="A1345">
        <v>110.312665713906</v>
      </c>
      <c r="B1345" t="s">
        <v>830</v>
      </c>
    </row>
    <row r="1346" spans="1:2">
      <c r="A1346">
        <v>110.418976325115</v>
      </c>
      <c r="B1346" t="s">
        <v>33</v>
      </c>
    </row>
    <row r="1347" spans="1:2">
      <c r="A1347">
        <v>110.554288501247</v>
      </c>
      <c r="B1347" t="s">
        <v>33</v>
      </c>
    </row>
    <row r="1348" spans="1:2">
      <c r="A1348">
        <v>110.58509596373</v>
      </c>
      <c r="B1348" t="s">
        <v>33</v>
      </c>
    </row>
    <row r="1349" spans="1:2">
      <c r="A1349">
        <v>110.78940605961201</v>
      </c>
      <c r="B1349" t="s">
        <v>38</v>
      </c>
    </row>
    <row r="1350" spans="1:2">
      <c r="A1350">
        <v>110.827832353406</v>
      </c>
      <c r="B1350" t="s">
        <v>74</v>
      </c>
    </row>
    <row r="1351" spans="1:2">
      <c r="A1351">
        <v>110.870512615455</v>
      </c>
      <c r="B1351" t="s">
        <v>49</v>
      </c>
    </row>
    <row r="1352" spans="1:2">
      <c r="A1352">
        <v>111.04788644725799</v>
      </c>
      <c r="B1352" t="s">
        <v>67</v>
      </c>
    </row>
    <row r="1353" spans="1:2">
      <c r="A1353">
        <v>111.161155022805</v>
      </c>
      <c r="B1353" t="s">
        <v>74</v>
      </c>
    </row>
    <row r="1354" spans="1:2">
      <c r="A1354">
        <v>111.509604798726</v>
      </c>
      <c r="B1354" t="s">
        <v>74</v>
      </c>
    </row>
    <row r="1355" spans="1:2">
      <c r="A1355">
        <v>111.635967097867</v>
      </c>
      <c r="B1355" t="s">
        <v>33</v>
      </c>
    </row>
    <row r="1356" spans="1:2">
      <c r="A1356">
        <v>111.883189388204</v>
      </c>
      <c r="B1356" t="s">
        <v>38</v>
      </c>
    </row>
    <row r="1357" spans="1:2">
      <c r="A1357">
        <v>111.919549280059</v>
      </c>
      <c r="B1357" t="s">
        <v>33</v>
      </c>
    </row>
    <row r="1358" spans="1:2">
      <c r="A1358">
        <v>112.283343322455</v>
      </c>
      <c r="B1358" t="s">
        <v>38</v>
      </c>
    </row>
    <row r="1359" spans="1:2">
      <c r="A1359">
        <v>112.306093980407</v>
      </c>
      <c r="B1359" t="s">
        <v>49</v>
      </c>
    </row>
    <row r="1360" spans="1:2">
      <c r="A1360">
        <v>112.614878582385</v>
      </c>
      <c r="B1360" t="s">
        <v>33</v>
      </c>
    </row>
    <row r="1361" spans="1:2">
      <c r="A1361">
        <v>112.765177921682</v>
      </c>
      <c r="B1361" t="s">
        <v>33</v>
      </c>
    </row>
    <row r="1362" spans="1:2">
      <c r="A1362">
        <v>112.77692473142299</v>
      </c>
      <c r="B1362" t="s">
        <v>38</v>
      </c>
    </row>
    <row r="1363" spans="1:2">
      <c r="A1363">
        <v>112.79538153222001</v>
      </c>
      <c r="B1363" t="s">
        <v>33</v>
      </c>
    </row>
    <row r="1364" spans="1:2">
      <c r="A1364">
        <v>112.807125196805</v>
      </c>
      <c r="B1364" t="s">
        <v>49</v>
      </c>
    </row>
    <row r="1365" spans="1:2">
      <c r="A1365">
        <v>112.845702918409</v>
      </c>
      <c r="B1365" t="s">
        <v>38</v>
      </c>
    </row>
    <row r="1366" spans="1:2">
      <c r="A1366">
        <v>113.12457974546</v>
      </c>
      <c r="B1366" t="s">
        <v>49</v>
      </c>
    </row>
    <row r="1367" spans="1:2">
      <c r="A1367">
        <v>113.18311509863</v>
      </c>
      <c r="B1367" t="s">
        <v>33</v>
      </c>
    </row>
    <row r="1368" spans="1:2">
      <c r="A1368">
        <v>113.234935427715</v>
      </c>
      <c r="B1368" t="s">
        <v>38</v>
      </c>
    </row>
    <row r="1369" spans="1:2">
      <c r="A1369">
        <v>113.884854301525</v>
      </c>
      <c r="B1369" t="s">
        <v>43</v>
      </c>
    </row>
    <row r="1370" spans="1:2">
      <c r="A1370">
        <v>114.12471786809699</v>
      </c>
      <c r="B1370" t="s">
        <v>49</v>
      </c>
    </row>
    <row r="1371" spans="1:2">
      <c r="A1371">
        <v>114.19019841973299</v>
      </c>
      <c r="B1371" t="s">
        <v>33</v>
      </c>
    </row>
    <row r="1372" spans="1:2">
      <c r="A1372">
        <v>114.60541582083501</v>
      </c>
      <c r="B1372" t="s">
        <v>38</v>
      </c>
    </row>
    <row r="1373" spans="1:2">
      <c r="A1373">
        <v>114.65989431720401</v>
      </c>
      <c r="B1373" t="s">
        <v>33</v>
      </c>
    </row>
    <row r="1374" spans="1:2">
      <c r="A1374">
        <v>114.697023910586</v>
      </c>
      <c r="B1374" t="s">
        <v>74</v>
      </c>
    </row>
    <row r="1375" spans="1:2">
      <c r="A1375">
        <v>114.7481605597</v>
      </c>
      <c r="B1375" t="s">
        <v>43</v>
      </c>
    </row>
    <row r="1376" spans="1:2">
      <c r="A1376">
        <v>114.795153187659</v>
      </c>
      <c r="B1376" t="s">
        <v>144</v>
      </c>
    </row>
    <row r="1377" spans="1:2">
      <c r="A1377">
        <v>114.95330280709901</v>
      </c>
      <c r="B1377" t="s">
        <v>33</v>
      </c>
    </row>
    <row r="1378" spans="1:2">
      <c r="A1378">
        <v>115.00432550191201</v>
      </c>
      <c r="B1378" t="s">
        <v>144</v>
      </c>
    </row>
    <row r="1379" spans="1:2">
      <c r="A1379">
        <v>115.11616704163799</v>
      </c>
      <c r="B1379" t="s">
        <v>38</v>
      </c>
    </row>
    <row r="1380" spans="1:2">
      <c r="A1380">
        <v>115.152327812347</v>
      </c>
      <c r="B1380" t="s">
        <v>41</v>
      </c>
    </row>
    <row r="1381" spans="1:2">
      <c r="A1381">
        <v>115.28372590991</v>
      </c>
      <c r="B1381" t="s">
        <v>41</v>
      </c>
    </row>
    <row r="1382" spans="1:2">
      <c r="A1382">
        <v>115.44858282532699</v>
      </c>
      <c r="B1382" t="s">
        <v>43</v>
      </c>
    </row>
    <row r="1383" spans="1:2">
      <c r="A1383">
        <v>115.622207056615</v>
      </c>
      <c r="B1383" t="s">
        <v>1038</v>
      </c>
    </row>
    <row r="1384" spans="1:2">
      <c r="A1384">
        <v>115.933585719585</v>
      </c>
      <c r="B1384" t="s">
        <v>1072</v>
      </c>
    </row>
    <row r="1385" spans="1:2">
      <c r="A1385">
        <v>116.66095929164899</v>
      </c>
      <c r="B1385" t="s">
        <v>38</v>
      </c>
    </row>
    <row r="1386" spans="1:2">
      <c r="A1386">
        <v>116.774455359607</v>
      </c>
      <c r="B1386" t="s">
        <v>38</v>
      </c>
    </row>
    <row r="1387" spans="1:2">
      <c r="A1387">
        <v>116.782558000862</v>
      </c>
      <c r="B1387" t="s">
        <v>41</v>
      </c>
    </row>
    <row r="1388" spans="1:2">
      <c r="A1388">
        <v>116.796331200945</v>
      </c>
      <c r="B1388" t="s">
        <v>61</v>
      </c>
    </row>
    <row r="1389" spans="1:2">
      <c r="A1389">
        <v>116.85672474138801</v>
      </c>
      <c r="B1389" t="s">
        <v>298</v>
      </c>
    </row>
    <row r="1390" spans="1:2">
      <c r="A1390">
        <v>117.079537008881</v>
      </c>
      <c r="B1390" t="s">
        <v>72</v>
      </c>
    </row>
    <row r="1391" spans="1:2">
      <c r="A1391">
        <v>117.087618538024</v>
      </c>
      <c r="B1391" t="s">
        <v>47</v>
      </c>
    </row>
    <row r="1392" spans="1:2">
      <c r="A1392">
        <v>117.145789089863</v>
      </c>
      <c r="B1392" t="s">
        <v>33</v>
      </c>
    </row>
    <row r="1393" spans="1:2">
      <c r="A1393">
        <v>117.232990797634</v>
      </c>
      <c r="B1393" t="s">
        <v>188</v>
      </c>
    </row>
    <row r="1394" spans="1:2">
      <c r="A1394">
        <v>117.63022938796</v>
      </c>
      <c r="B1394" t="s">
        <v>49</v>
      </c>
    </row>
    <row r="1395" spans="1:2">
      <c r="A1395">
        <v>117.78055562103999</v>
      </c>
      <c r="B1395" t="s">
        <v>38</v>
      </c>
    </row>
    <row r="1396" spans="1:2">
      <c r="A1396">
        <v>117.85524540399</v>
      </c>
      <c r="B1396" t="s">
        <v>33</v>
      </c>
    </row>
    <row r="1397" spans="1:2">
      <c r="A1397">
        <v>118.180757630513</v>
      </c>
      <c r="B1397" t="s">
        <v>49</v>
      </c>
    </row>
    <row r="1398" spans="1:2">
      <c r="A1398">
        <v>118.589184077947</v>
      </c>
      <c r="B1398" t="s">
        <v>33</v>
      </c>
    </row>
    <row r="1399" spans="1:2">
      <c r="A1399">
        <v>118.943716341211</v>
      </c>
      <c r="B1399" t="s">
        <v>47</v>
      </c>
    </row>
    <row r="1400" spans="1:2">
      <c r="A1400">
        <v>119.221821246245</v>
      </c>
      <c r="B1400" t="s">
        <v>33</v>
      </c>
    </row>
    <row r="1401" spans="1:2">
      <c r="A1401">
        <v>119.54440392184</v>
      </c>
      <c r="B1401" t="s">
        <v>33</v>
      </c>
    </row>
    <row r="1402" spans="1:2">
      <c r="A1402">
        <v>119.699440731306</v>
      </c>
      <c r="B1402" t="s">
        <v>74</v>
      </c>
    </row>
    <row r="1403" spans="1:2">
      <c r="A1403">
        <v>119.757132734704</v>
      </c>
      <c r="B1403" t="s">
        <v>41</v>
      </c>
    </row>
    <row r="1404" spans="1:2">
      <c r="A1404">
        <v>119.76661369207901</v>
      </c>
      <c r="B1404" t="s">
        <v>33</v>
      </c>
    </row>
    <row r="1405" spans="1:2">
      <c r="A1405">
        <v>119.981314443895</v>
      </c>
      <c r="B1405" t="s">
        <v>873</v>
      </c>
    </row>
    <row r="1406" spans="1:2">
      <c r="A1406">
        <v>120.014675560185</v>
      </c>
      <c r="B1406" t="s">
        <v>61</v>
      </c>
    </row>
    <row r="1407" spans="1:2">
      <c r="A1407">
        <v>120.182248054052</v>
      </c>
      <c r="B1407" t="s">
        <v>41</v>
      </c>
    </row>
    <row r="1408" spans="1:2">
      <c r="A1408">
        <v>120.32781340207301</v>
      </c>
      <c r="B1408" t="s">
        <v>33</v>
      </c>
    </row>
    <row r="1409" spans="1:2">
      <c r="A1409">
        <v>120.330172470298</v>
      </c>
      <c r="B1409" t="s">
        <v>33</v>
      </c>
    </row>
    <row r="1410" spans="1:2">
      <c r="A1410">
        <v>120.393849839331</v>
      </c>
      <c r="B1410" t="s">
        <v>38</v>
      </c>
    </row>
    <row r="1411" spans="1:2">
      <c r="A1411">
        <v>120.62233936575301</v>
      </c>
      <c r="B1411" t="s">
        <v>33</v>
      </c>
    </row>
    <row r="1412" spans="1:2">
      <c r="A1412">
        <v>120.66626021693401</v>
      </c>
      <c r="B1412" t="s">
        <v>38</v>
      </c>
    </row>
    <row r="1413" spans="1:2">
      <c r="A1413">
        <v>120.81672477609899</v>
      </c>
      <c r="B1413" t="s">
        <v>144</v>
      </c>
    </row>
    <row r="1414" spans="1:2">
      <c r="A1414">
        <v>120.938839390891</v>
      </c>
      <c r="B1414" t="s">
        <v>47</v>
      </c>
    </row>
    <row r="1415" spans="1:2">
      <c r="A1415">
        <v>120.987337895769</v>
      </c>
      <c r="B1415" t="s">
        <v>38</v>
      </c>
    </row>
    <row r="1416" spans="1:2">
      <c r="A1416">
        <v>121.14677658286099</v>
      </c>
      <c r="B1416" t="s">
        <v>33</v>
      </c>
    </row>
    <row r="1417" spans="1:2">
      <c r="A1417">
        <v>121.983513479431</v>
      </c>
      <c r="B1417" t="s">
        <v>33</v>
      </c>
    </row>
    <row r="1418" spans="1:2">
      <c r="A1418">
        <v>122.36687779391499</v>
      </c>
      <c r="B1418" t="s">
        <v>38</v>
      </c>
    </row>
    <row r="1419" spans="1:2">
      <c r="A1419">
        <v>122.398577355569</v>
      </c>
      <c r="B1419" t="s">
        <v>43</v>
      </c>
    </row>
    <row r="1420" spans="1:2">
      <c r="A1420">
        <v>122.705869462716</v>
      </c>
      <c r="B1420" t="s">
        <v>893</v>
      </c>
    </row>
    <row r="1421" spans="1:2">
      <c r="A1421">
        <v>122.870779173104</v>
      </c>
      <c r="B1421" t="s">
        <v>33</v>
      </c>
    </row>
    <row r="1422" spans="1:2">
      <c r="A1422">
        <v>123.312017993038</v>
      </c>
      <c r="B1422" t="s">
        <v>33</v>
      </c>
    </row>
    <row r="1423" spans="1:2">
      <c r="A1423">
        <v>123.337337397068</v>
      </c>
      <c r="B1423" t="s">
        <v>38</v>
      </c>
    </row>
    <row r="1424" spans="1:2">
      <c r="A1424">
        <v>123.529748467171</v>
      </c>
      <c r="B1424" t="s">
        <v>49</v>
      </c>
    </row>
    <row r="1425" spans="1:2">
      <c r="A1425">
        <v>123.875488024193</v>
      </c>
      <c r="B1425" t="s">
        <v>38</v>
      </c>
    </row>
    <row r="1426" spans="1:2">
      <c r="A1426">
        <v>124.226358930201</v>
      </c>
      <c r="B1426" t="s">
        <v>43</v>
      </c>
    </row>
    <row r="1427" spans="1:2">
      <c r="A1427">
        <v>124.28271088680999</v>
      </c>
      <c r="B1427" t="s">
        <v>33</v>
      </c>
    </row>
    <row r="1428" spans="1:2">
      <c r="A1428">
        <v>124.32229427810501</v>
      </c>
      <c r="B1428" t="s">
        <v>49</v>
      </c>
    </row>
    <row r="1429" spans="1:2">
      <c r="A1429">
        <v>124.394577563268</v>
      </c>
      <c r="B1429" t="s">
        <v>49</v>
      </c>
    </row>
    <row r="1430" spans="1:2">
      <c r="A1430">
        <v>124.898631666963</v>
      </c>
      <c r="B1430" t="s">
        <v>41</v>
      </c>
    </row>
    <row r="1431" spans="1:2">
      <c r="A1431">
        <v>125.205077989264</v>
      </c>
      <c r="B1431" t="s">
        <v>38</v>
      </c>
    </row>
    <row r="1432" spans="1:2">
      <c r="A1432">
        <v>125.321406615756</v>
      </c>
      <c r="B1432" t="s">
        <v>43</v>
      </c>
    </row>
    <row r="1433" spans="1:2">
      <c r="A1433">
        <v>125.433855651732</v>
      </c>
      <c r="B1433" t="s">
        <v>38</v>
      </c>
    </row>
    <row r="1434" spans="1:2">
      <c r="A1434">
        <v>125.611003570216</v>
      </c>
      <c r="B1434" t="s">
        <v>61</v>
      </c>
    </row>
    <row r="1435" spans="1:2">
      <c r="A1435">
        <v>126.18220476158299</v>
      </c>
      <c r="B1435" t="s">
        <v>1494</v>
      </c>
    </row>
    <row r="1436" spans="1:2">
      <c r="A1436">
        <v>126.463845099324</v>
      </c>
      <c r="B1436" t="s">
        <v>38</v>
      </c>
    </row>
    <row r="1437" spans="1:2">
      <c r="A1437">
        <v>126.764268430486</v>
      </c>
      <c r="B1437" t="s">
        <v>38</v>
      </c>
    </row>
    <row r="1438" spans="1:2">
      <c r="A1438">
        <v>127.406071691854</v>
      </c>
      <c r="B1438" t="s">
        <v>74</v>
      </c>
    </row>
    <row r="1439" spans="1:2">
      <c r="A1439">
        <v>127.68130720044999</v>
      </c>
      <c r="B1439" t="s">
        <v>43</v>
      </c>
    </row>
    <row r="1440" spans="1:2">
      <c r="A1440">
        <v>127.759096387223</v>
      </c>
      <c r="B1440" t="s">
        <v>74</v>
      </c>
    </row>
    <row r="1441" spans="1:2">
      <c r="A1441">
        <v>128.05869775887101</v>
      </c>
      <c r="B1441" t="s">
        <v>47</v>
      </c>
    </row>
    <row r="1442" spans="1:2">
      <c r="A1442">
        <v>128.17538938902501</v>
      </c>
      <c r="B1442" t="s">
        <v>38</v>
      </c>
    </row>
    <row r="1443" spans="1:2">
      <c r="A1443">
        <v>128.68742844236399</v>
      </c>
      <c r="B1443" t="s">
        <v>38</v>
      </c>
    </row>
    <row r="1444" spans="1:2">
      <c r="A1444">
        <v>129.373821017475</v>
      </c>
      <c r="B1444" t="s">
        <v>33</v>
      </c>
    </row>
    <row r="1445" spans="1:2">
      <c r="A1445">
        <v>129.396491813365</v>
      </c>
      <c r="B1445" t="s">
        <v>298</v>
      </c>
    </row>
    <row r="1446" spans="1:2">
      <c r="A1446">
        <v>129.660205033697</v>
      </c>
      <c r="B1446" t="s">
        <v>74</v>
      </c>
    </row>
    <row r="1447" spans="1:2">
      <c r="A1447">
        <v>129.670421336359</v>
      </c>
      <c r="B1447" t="s">
        <v>331</v>
      </c>
    </row>
    <row r="1448" spans="1:2">
      <c r="A1448">
        <v>129.763604215984</v>
      </c>
      <c r="B1448" t="s">
        <v>47</v>
      </c>
    </row>
    <row r="1449" spans="1:2">
      <c r="A1449">
        <v>130.09950891335501</v>
      </c>
      <c r="B1449" t="s">
        <v>298</v>
      </c>
    </row>
    <row r="1450" spans="1:2">
      <c r="A1450">
        <v>130.33131126005199</v>
      </c>
      <c r="B1450" t="s">
        <v>49</v>
      </c>
    </row>
    <row r="1451" spans="1:2">
      <c r="A1451">
        <v>130.76257186950301</v>
      </c>
      <c r="B1451" t="s">
        <v>41</v>
      </c>
    </row>
    <row r="1452" spans="1:2">
      <c r="A1452">
        <v>131.198905844949</v>
      </c>
      <c r="B1452" t="s">
        <v>38</v>
      </c>
    </row>
    <row r="1453" spans="1:2">
      <c r="A1453">
        <v>131.325776753415</v>
      </c>
      <c r="B1453" t="s">
        <v>41</v>
      </c>
    </row>
    <row r="1454" spans="1:2">
      <c r="A1454">
        <v>133.18876856264399</v>
      </c>
      <c r="B1454" t="s">
        <v>74</v>
      </c>
    </row>
    <row r="1455" spans="1:2">
      <c r="A1455">
        <v>133.55839024964499</v>
      </c>
      <c r="B1455" t="s">
        <v>33</v>
      </c>
    </row>
    <row r="1456" spans="1:2">
      <c r="A1456">
        <v>134.527595925376</v>
      </c>
      <c r="B1456" t="s">
        <v>33</v>
      </c>
    </row>
    <row r="1457" spans="1:2">
      <c r="A1457">
        <v>135.44376875840399</v>
      </c>
      <c r="B1457" t="s">
        <v>61</v>
      </c>
    </row>
    <row r="1458" spans="1:2">
      <c r="A1458">
        <v>135.88805025883599</v>
      </c>
      <c r="B1458" t="s">
        <v>41</v>
      </c>
    </row>
    <row r="1459" spans="1:2">
      <c r="A1459">
        <v>136.197559742945</v>
      </c>
      <c r="B1459" t="s">
        <v>33</v>
      </c>
    </row>
    <row r="1460" spans="1:2">
      <c r="A1460">
        <v>136.23368125808901</v>
      </c>
      <c r="B1460" t="s">
        <v>38</v>
      </c>
    </row>
    <row r="1461" spans="1:2">
      <c r="A1461">
        <v>136.28715130215801</v>
      </c>
      <c r="B1461" t="s">
        <v>288</v>
      </c>
    </row>
    <row r="1462" spans="1:2">
      <c r="A1462">
        <v>136.62761748206299</v>
      </c>
      <c r="B1462" t="s">
        <v>33</v>
      </c>
    </row>
    <row r="1463" spans="1:2">
      <c r="A1463">
        <v>136.80133705117501</v>
      </c>
      <c r="B1463" t="s">
        <v>61</v>
      </c>
    </row>
    <row r="1464" spans="1:2">
      <c r="A1464">
        <v>137.597897269154</v>
      </c>
      <c r="B1464" t="s">
        <v>38</v>
      </c>
    </row>
    <row r="1465" spans="1:2">
      <c r="A1465">
        <v>137.71887335390301</v>
      </c>
      <c r="B1465" t="s">
        <v>33</v>
      </c>
    </row>
    <row r="1466" spans="1:2">
      <c r="A1466">
        <v>137.77657449247201</v>
      </c>
      <c r="B1466" t="s">
        <v>38</v>
      </c>
    </row>
    <row r="1467" spans="1:2">
      <c r="A1467">
        <v>138.33653133933899</v>
      </c>
      <c r="B1467" t="s">
        <v>38</v>
      </c>
    </row>
    <row r="1468" spans="1:2">
      <c r="A1468">
        <v>138.77700657393299</v>
      </c>
      <c r="B1468" t="s">
        <v>43</v>
      </c>
    </row>
    <row r="1469" spans="1:2">
      <c r="A1469">
        <v>138.81109356632999</v>
      </c>
      <c r="B1469" t="s">
        <v>49</v>
      </c>
    </row>
    <row r="1470" spans="1:2">
      <c r="A1470">
        <v>139.505328452047</v>
      </c>
      <c r="B1470" t="s">
        <v>33</v>
      </c>
    </row>
    <row r="1471" spans="1:2">
      <c r="A1471">
        <v>139.84404921591701</v>
      </c>
      <c r="B1471" t="s">
        <v>33</v>
      </c>
    </row>
    <row r="1472" spans="1:2">
      <c r="A1472">
        <v>139.867728949623</v>
      </c>
      <c r="B1472" t="s">
        <v>47</v>
      </c>
    </row>
    <row r="1473" spans="1:2">
      <c r="A1473">
        <v>140.45303545706801</v>
      </c>
      <c r="B1473" t="s">
        <v>38</v>
      </c>
    </row>
    <row r="1474" spans="1:2">
      <c r="A1474">
        <v>140.62808508648399</v>
      </c>
      <c r="B1474" t="s">
        <v>33</v>
      </c>
    </row>
    <row r="1475" spans="1:2">
      <c r="A1475">
        <v>141.381005847008</v>
      </c>
      <c r="B1475" t="s">
        <v>33</v>
      </c>
    </row>
    <row r="1476" spans="1:2">
      <c r="A1476">
        <v>141.88406779763801</v>
      </c>
      <c r="B1476" t="s">
        <v>33</v>
      </c>
    </row>
    <row r="1477" spans="1:2">
      <c r="A1477">
        <v>142.798100967512</v>
      </c>
      <c r="B1477" t="s">
        <v>33</v>
      </c>
    </row>
    <row r="1478" spans="1:2">
      <c r="A1478">
        <v>142.87362012287099</v>
      </c>
      <c r="B1478" t="s">
        <v>144</v>
      </c>
    </row>
    <row r="1479" spans="1:2">
      <c r="A1479">
        <v>143.058275145186</v>
      </c>
      <c r="B1479" t="s">
        <v>38</v>
      </c>
    </row>
    <row r="1480" spans="1:2">
      <c r="A1480">
        <v>143.28638336860399</v>
      </c>
      <c r="B1480" t="s">
        <v>61</v>
      </c>
    </row>
    <row r="1481" spans="1:2">
      <c r="A1481">
        <v>144.41437046924099</v>
      </c>
      <c r="B1481" t="s">
        <v>38</v>
      </c>
    </row>
    <row r="1482" spans="1:2">
      <c r="A1482">
        <v>144.83308150941099</v>
      </c>
      <c r="B1482" t="s">
        <v>43</v>
      </c>
    </row>
    <row r="1483" spans="1:2">
      <c r="A1483">
        <v>145.27211117506801</v>
      </c>
      <c r="B1483" t="s">
        <v>33</v>
      </c>
    </row>
    <row r="1484" spans="1:2">
      <c r="A1484">
        <v>145.95571171981899</v>
      </c>
      <c r="B1484" t="s">
        <v>47</v>
      </c>
    </row>
    <row r="1485" spans="1:2">
      <c r="A1485">
        <v>146.47019445824901</v>
      </c>
      <c r="B1485" t="s">
        <v>331</v>
      </c>
    </row>
    <row r="1486" spans="1:2">
      <c r="A1486">
        <v>146.50830418075</v>
      </c>
      <c r="B1486" t="s">
        <v>33</v>
      </c>
    </row>
    <row r="1487" spans="1:2">
      <c r="A1487">
        <v>146.601921576595</v>
      </c>
      <c r="B1487" t="s">
        <v>38</v>
      </c>
    </row>
    <row r="1488" spans="1:2">
      <c r="A1488">
        <v>146.928790727429</v>
      </c>
      <c r="B1488" t="s">
        <v>43</v>
      </c>
    </row>
    <row r="1489" spans="1:2">
      <c r="A1489">
        <v>147.20287703335001</v>
      </c>
      <c r="B1489" t="s">
        <v>49</v>
      </c>
    </row>
    <row r="1490" spans="1:2">
      <c r="A1490">
        <v>147.57138074100001</v>
      </c>
      <c r="B1490" t="s">
        <v>33</v>
      </c>
    </row>
    <row r="1491" spans="1:2">
      <c r="A1491">
        <v>147.609206159666</v>
      </c>
      <c r="B1491" t="s">
        <v>61</v>
      </c>
    </row>
    <row r="1492" spans="1:2">
      <c r="A1492">
        <v>147.81803313006</v>
      </c>
      <c r="B1492" t="s">
        <v>38</v>
      </c>
    </row>
    <row r="1493" spans="1:2">
      <c r="A1493">
        <v>150.84740990812901</v>
      </c>
      <c r="B1493" t="s">
        <v>33</v>
      </c>
    </row>
    <row r="1494" spans="1:2">
      <c r="A1494">
        <v>150.86138293858099</v>
      </c>
      <c r="B1494" t="s">
        <v>33</v>
      </c>
    </row>
    <row r="1495" spans="1:2">
      <c r="A1495">
        <v>150.999131952249</v>
      </c>
      <c r="B1495" t="s">
        <v>41</v>
      </c>
    </row>
    <row r="1496" spans="1:2">
      <c r="A1496">
        <v>151.910019266663</v>
      </c>
      <c r="B1496" t="s">
        <v>43</v>
      </c>
    </row>
    <row r="1497" spans="1:2">
      <c r="A1497">
        <v>152.195651812237</v>
      </c>
      <c r="B1497" t="s">
        <v>33</v>
      </c>
    </row>
    <row r="1498" spans="1:2">
      <c r="A1498">
        <v>152.59860763666799</v>
      </c>
      <c r="B1498" t="s">
        <v>38</v>
      </c>
    </row>
    <row r="1499" spans="1:2">
      <c r="A1499">
        <v>152.80062222249299</v>
      </c>
      <c r="B1499" t="s">
        <v>38</v>
      </c>
    </row>
    <row r="1500" spans="1:2">
      <c r="A1500">
        <v>153.40011020565601</v>
      </c>
      <c r="B1500" t="s">
        <v>47</v>
      </c>
    </row>
    <row r="1501" spans="1:2">
      <c r="A1501">
        <v>154.217695431647</v>
      </c>
      <c r="B1501" t="s">
        <v>33</v>
      </c>
    </row>
    <row r="1502" spans="1:2">
      <c r="A1502">
        <v>154.375299195265</v>
      </c>
      <c r="B1502" t="s">
        <v>38</v>
      </c>
    </row>
    <row r="1503" spans="1:2">
      <c r="A1503">
        <v>155.15664790282199</v>
      </c>
      <c r="B1503" t="s">
        <v>38</v>
      </c>
    </row>
    <row r="1504" spans="1:2">
      <c r="A1504">
        <v>156.22265322603701</v>
      </c>
      <c r="B1504" t="s">
        <v>33</v>
      </c>
    </row>
    <row r="1505" spans="1:2">
      <c r="A1505">
        <v>156.36129315794599</v>
      </c>
      <c r="B1505" t="s">
        <v>43</v>
      </c>
    </row>
    <row r="1506" spans="1:2">
      <c r="A1506">
        <v>156.67927669993199</v>
      </c>
      <c r="B1506" t="s">
        <v>38</v>
      </c>
    </row>
    <row r="1507" spans="1:2">
      <c r="A1507">
        <v>156.822943315316</v>
      </c>
      <c r="B1507" t="s">
        <v>38</v>
      </c>
    </row>
    <row r="1508" spans="1:2">
      <c r="A1508">
        <v>157.372851183552</v>
      </c>
      <c r="B1508" t="s">
        <v>298</v>
      </c>
    </row>
    <row r="1509" spans="1:2">
      <c r="A1509">
        <v>160.41762085182501</v>
      </c>
      <c r="B1509" t="s">
        <v>38</v>
      </c>
    </row>
    <row r="1510" spans="1:2">
      <c r="A1510">
        <v>160.81762648395701</v>
      </c>
      <c r="B1510" t="s">
        <v>47</v>
      </c>
    </row>
    <row r="1511" spans="1:2">
      <c r="A1511">
        <v>160.82409850359599</v>
      </c>
      <c r="B1511" t="s">
        <v>38</v>
      </c>
    </row>
    <row r="1512" spans="1:2">
      <c r="A1512">
        <v>161.05515548122699</v>
      </c>
      <c r="B1512" t="s">
        <v>211</v>
      </c>
    </row>
    <row r="1513" spans="1:2">
      <c r="A1513">
        <v>162.285401740574</v>
      </c>
      <c r="B1513" t="s">
        <v>33</v>
      </c>
    </row>
    <row r="1514" spans="1:2">
      <c r="A1514">
        <v>162.747108156672</v>
      </c>
      <c r="B1514" t="s">
        <v>41</v>
      </c>
    </row>
    <row r="1515" spans="1:2">
      <c r="A1515">
        <v>163.30429990595101</v>
      </c>
      <c r="B1515" t="s">
        <v>38</v>
      </c>
    </row>
    <row r="1516" spans="1:2">
      <c r="A1516">
        <v>163.407403744405</v>
      </c>
      <c r="B1516" t="s">
        <v>38</v>
      </c>
    </row>
    <row r="1517" spans="1:2">
      <c r="A1517">
        <v>164.48811606198899</v>
      </c>
      <c r="B1517" t="s">
        <v>33</v>
      </c>
    </row>
    <row r="1518" spans="1:2">
      <c r="A1518">
        <v>164.68443554523401</v>
      </c>
      <c r="B1518" t="s">
        <v>33</v>
      </c>
    </row>
    <row r="1519" spans="1:2">
      <c r="A1519">
        <v>164.70224600714201</v>
      </c>
      <c r="B1519" t="s">
        <v>38</v>
      </c>
    </row>
    <row r="1520" spans="1:2">
      <c r="A1520">
        <v>165.80789432407701</v>
      </c>
      <c r="B1520" t="s">
        <v>33</v>
      </c>
    </row>
    <row r="1521" spans="1:2">
      <c r="A1521">
        <v>166.12485404699299</v>
      </c>
      <c r="B1521" t="s">
        <v>33</v>
      </c>
    </row>
    <row r="1522" spans="1:2">
      <c r="A1522">
        <v>167.28505396494199</v>
      </c>
      <c r="B1522" t="s">
        <v>49</v>
      </c>
    </row>
    <row r="1523" spans="1:2">
      <c r="A1523">
        <v>167.687298871769</v>
      </c>
      <c r="B1523" t="s">
        <v>47</v>
      </c>
    </row>
    <row r="1524" spans="1:2">
      <c r="A1524">
        <v>168.07563339096799</v>
      </c>
      <c r="B1524" t="s">
        <v>33</v>
      </c>
    </row>
    <row r="1525" spans="1:2">
      <c r="A1525">
        <v>168.66459339967099</v>
      </c>
      <c r="B1525" t="s">
        <v>41</v>
      </c>
    </row>
    <row r="1526" spans="1:2">
      <c r="A1526">
        <v>169.51182486958101</v>
      </c>
      <c r="B1526" t="s">
        <v>74</v>
      </c>
    </row>
    <row r="1527" spans="1:2">
      <c r="A1527">
        <v>169.679489642455</v>
      </c>
      <c r="B1527" t="s">
        <v>33</v>
      </c>
    </row>
    <row r="1528" spans="1:2">
      <c r="A1528">
        <v>170.511959130533</v>
      </c>
      <c r="B1528" t="s">
        <v>33</v>
      </c>
    </row>
    <row r="1529" spans="1:2">
      <c r="A1529">
        <v>171.997130903075</v>
      </c>
      <c r="B1529" t="s">
        <v>38</v>
      </c>
    </row>
    <row r="1530" spans="1:2">
      <c r="A1530">
        <v>174.73156501755301</v>
      </c>
      <c r="B1530" t="s">
        <v>38</v>
      </c>
    </row>
    <row r="1531" spans="1:2">
      <c r="A1531">
        <v>175.510167192594</v>
      </c>
      <c r="B1531" t="s">
        <v>47</v>
      </c>
    </row>
    <row r="1532" spans="1:2">
      <c r="A1532">
        <v>179.681914653799</v>
      </c>
      <c r="B1532" t="s">
        <v>288</v>
      </c>
    </row>
    <row r="1533" spans="1:2">
      <c r="A1533">
        <v>180.890621043153</v>
      </c>
      <c r="B1533" t="s">
        <v>33</v>
      </c>
    </row>
    <row r="1534" spans="1:2">
      <c r="A1534">
        <v>183.85730202347401</v>
      </c>
      <c r="B1534" t="s">
        <v>38</v>
      </c>
    </row>
    <row r="1535" spans="1:2">
      <c r="A1535">
        <v>186.310743351913</v>
      </c>
      <c r="B1535" t="s">
        <v>38</v>
      </c>
    </row>
    <row r="1536" spans="1:2">
      <c r="A1536">
        <v>188.89822191117301</v>
      </c>
      <c r="B1536" t="s">
        <v>49</v>
      </c>
    </row>
    <row r="1537" spans="1:2">
      <c r="A1537">
        <v>189.15441391747601</v>
      </c>
      <c r="B1537" t="s">
        <v>33</v>
      </c>
    </row>
    <row r="1538" spans="1:2">
      <c r="A1538">
        <v>191.398161250849</v>
      </c>
      <c r="B1538" t="s">
        <v>38</v>
      </c>
    </row>
    <row r="1539" spans="1:2">
      <c r="A1539">
        <v>192.364685308399</v>
      </c>
      <c r="B1539" t="s">
        <v>49</v>
      </c>
    </row>
    <row r="1540" spans="1:2">
      <c r="A1540">
        <v>193.26959410255901</v>
      </c>
      <c r="B1540" t="s">
        <v>43</v>
      </c>
    </row>
    <row r="1541" spans="1:2">
      <c r="A1541">
        <v>194.870134760887</v>
      </c>
      <c r="B1541" t="s">
        <v>144</v>
      </c>
    </row>
    <row r="1542" spans="1:2">
      <c r="A1542">
        <v>195.04547423578299</v>
      </c>
      <c r="B1542" t="s">
        <v>38</v>
      </c>
    </row>
    <row r="1543" spans="1:2">
      <c r="A1543">
        <v>196.13197022747499</v>
      </c>
      <c r="B1543" t="s">
        <v>33</v>
      </c>
    </row>
    <row r="1544" spans="1:2">
      <c r="A1544">
        <v>198.58770979087001</v>
      </c>
      <c r="B1544" t="s">
        <v>38</v>
      </c>
    </row>
    <row r="1545" spans="1:2">
      <c r="A1545">
        <v>202.51969986838699</v>
      </c>
      <c r="B1545" t="s">
        <v>33</v>
      </c>
    </row>
    <row r="1546" spans="1:2">
      <c r="A1546">
        <v>204.725583285851</v>
      </c>
      <c r="B1546" t="s">
        <v>38</v>
      </c>
    </row>
    <row r="1547" spans="1:2">
      <c r="A1547">
        <v>211.62750526824101</v>
      </c>
      <c r="B1547" t="s">
        <v>43</v>
      </c>
    </row>
    <row r="1548" spans="1:2">
      <c r="A1548">
        <v>213.46208142714599</v>
      </c>
      <c r="B1548" t="s">
        <v>33</v>
      </c>
    </row>
    <row r="1549" spans="1:2">
      <c r="A1549">
        <v>215.65219074351799</v>
      </c>
      <c r="B1549" t="s">
        <v>144</v>
      </c>
    </row>
    <row r="1550" spans="1:2">
      <c r="A1550">
        <v>216.791269877356</v>
      </c>
      <c r="B1550" t="s">
        <v>74</v>
      </c>
    </row>
    <row r="1551" spans="1:2">
      <c r="A1551">
        <v>221.89160642817299</v>
      </c>
      <c r="B1551" t="s">
        <v>47</v>
      </c>
    </row>
    <row r="1552" spans="1:2">
      <c r="A1552">
        <v>224.367351680155</v>
      </c>
      <c r="B1552" t="s">
        <v>61</v>
      </c>
    </row>
    <row r="1553" spans="1:2">
      <c r="A1553">
        <v>224.43827545359699</v>
      </c>
      <c r="B1553" t="s">
        <v>38</v>
      </c>
    </row>
    <row r="1554" spans="1:2">
      <c r="A1554">
        <v>240.02935112037099</v>
      </c>
      <c r="B1554" t="s">
        <v>61</v>
      </c>
    </row>
    <row r="1555" spans="1:2">
      <c r="A1555">
        <v>243.467358531922</v>
      </c>
      <c r="B1555" t="s">
        <v>38</v>
      </c>
    </row>
    <row r="1556" spans="1:2">
      <c r="A1556">
        <v>251.63371906513399</v>
      </c>
      <c r="B1556" t="s">
        <v>33</v>
      </c>
    </row>
    <row r="1557" spans="1:2">
      <c r="A1557">
        <v>280.44725195919398</v>
      </c>
      <c r="B1557" t="s">
        <v>47</v>
      </c>
    </row>
    <row r="1558" spans="1:2">
      <c r="A1558">
        <v>305.47101848584299</v>
      </c>
      <c r="B1558" t="s">
        <v>33</v>
      </c>
    </row>
    <row r="1559" spans="1:2">
      <c r="A1559">
        <v>307.03008450855401</v>
      </c>
      <c r="B1559" t="s">
        <v>38</v>
      </c>
    </row>
    <row r="1560" spans="1:2">
      <c r="A1560">
        <v>329.87002681651597</v>
      </c>
      <c r="B1560" t="s">
        <v>49</v>
      </c>
    </row>
    <row r="1561" spans="1:2">
      <c r="A1561">
        <v>346.18444816051101</v>
      </c>
      <c r="B1561" t="s">
        <v>47</v>
      </c>
    </row>
    <row r="1562" spans="1:2">
      <c r="A1562">
        <v>368.886806952445</v>
      </c>
      <c r="B1562" t="s">
        <v>47</v>
      </c>
    </row>
    <row r="1563" spans="1:2">
      <c r="A1563">
        <v>387.75465792033202</v>
      </c>
      <c r="B1563" t="s">
        <v>38</v>
      </c>
    </row>
    <row r="1564" spans="1:2">
      <c r="A1564">
        <v>399.699552008311</v>
      </c>
      <c r="B1564" t="s">
        <v>33</v>
      </c>
    </row>
    <row r="1565" spans="1:2">
      <c r="A1565">
        <v>408.73578723126599</v>
      </c>
      <c r="B1565" t="s">
        <v>49</v>
      </c>
    </row>
    <row r="1566" spans="1:2">
      <c r="A1566">
        <v>50.3553890278721</v>
      </c>
      <c r="B1566" t="s">
        <v>38</v>
      </c>
    </row>
    <row r="1567" spans="1:2">
      <c r="A1567">
        <v>50.453006187398998</v>
      </c>
      <c r="B1567" t="s">
        <v>74</v>
      </c>
    </row>
    <row r="1568" spans="1:2">
      <c r="A1568">
        <v>50.694360272815302</v>
      </c>
      <c r="B1568" t="s">
        <v>33</v>
      </c>
    </row>
    <row r="1569" spans="1:2">
      <c r="A1569">
        <v>50.880668729764501</v>
      </c>
      <c r="B1569" t="s">
        <v>33</v>
      </c>
    </row>
    <row r="1570" spans="1:2">
      <c r="A1570">
        <v>51.0366422426005</v>
      </c>
      <c r="B1570" t="s">
        <v>38</v>
      </c>
    </row>
    <row r="1571" spans="1:2">
      <c r="A1571">
        <v>51.168106229476599</v>
      </c>
      <c r="B1571" t="s">
        <v>38</v>
      </c>
    </row>
    <row r="1572" spans="1:2">
      <c r="A1572">
        <v>51.556816625040597</v>
      </c>
      <c r="B1572" t="s">
        <v>38</v>
      </c>
    </row>
    <row r="1573" spans="1:2">
      <c r="A1573">
        <v>51.593509261259598</v>
      </c>
      <c r="B1573" t="s">
        <v>33</v>
      </c>
    </row>
    <row r="1574" spans="1:2">
      <c r="A1574">
        <v>51.633841044547999</v>
      </c>
      <c r="B1574" t="s">
        <v>331</v>
      </c>
    </row>
    <row r="1575" spans="1:2">
      <c r="A1575">
        <v>51.864227966203998</v>
      </c>
      <c r="B1575" t="s">
        <v>331</v>
      </c>
    </row>
    <row r="1576" spans="1:2">
      <c r="A1576">
        <v>51.8806450263776</v>
      </c>
      <c r="B1576" t="s">
        <v>38</v>
      </c>
    </row>
    <row r="1577" spans="1:2">
      <c r="A1577">
        <v>51.882468823507097</v>
      </c>
      <c r="B1577" t="s">
        <v>288</v>
      </c>
    </row>
    <row r="1578" spans="1:2">
      <c r="A1578">
        <v>51.922576152807999</v>
      </c>
      <c r="B1578" t="s">
        <v>43</v>
      </c>
    </row>
    <row r="1579" spans="1:2">
      <c r="A1579">
        <v>52.017252364398601</v>
      </c>
      <c r="B1579" t="s">
        <v>38</v>
      </c>
    </row>
    <row r="1580" spans="1:2">
      <c r="A1580">
        <v>52.358114967476098</v>
      </c>
      <c r="B1580" t="s">
        <v>33</v>
      </c>
    </row>
    <row r="1581" spans="1:2">
      <c r="A1581">
        <v>52.3635362781678</v>
      </c>
      <c r="B1581" t="s">
        <v>33</v>
      </c>
    </row>
    <row r="1582" spans="1:2">
      <c r="A1582">
        <v>52.439375778708197</v>
      </c>
      <c r="B1582" t="s">
        <v>211</v>
      </c>
    </row>
    <row r="1583" spans="1:2">
      <c r="A1583">
        <v>52.732672222607597</v>
      </c>
      <c r="B1583" t="s">
        <v>298</v>
      </c>
    </row>
    <row r="1584" spans="1:2">
      <c r="A1584">
        <v>52.761374182671403</v>
      </c>
      <c r="B1584" t="s">
        <v>43</v>
      </c>
    </row>
    <row r="1585" spans="1:2">
      <c r="A1585">
        <v>53.101024008846899</v>
      </c>
      <c r="B1585" t="s">
        <v>33</v>
      </c>
    </row>
    <row r="1586" spans="1:2">
      <c r="A1586">
        <v>53.141992216883303</v>
      </c>
      <c r="B1586" t="s">
        <v>33</v>
      </c>
    </row>
    <row r="1587" spans="1:2">
      <c r="A1587">
        <v>53.174032275393003</v>
      </c>
      <c r="B1587" t="s">
        <v>47</v>
      </c>
    </row>
    <row r="1588" spans="1:2">
      <c r="A1588">
        <v>53.225538860924097</v>
      </c>
      <c r="B1588" t="s">
        <v>43</v>
      </c>
    </row>
    <row r="1589" spans="1:2">
      <c r="A1589">
        <v>53.454448661968598</v>
      </c>
      <c r="B1589" t="s">
        <v>38</v>
      </c>
    </row>
    <row r="1590" spans="1:2">
      <c r="A1590">
        <v>53.511062908232503</v>
      </c>
      <c r="B1590" t="s">
        <v>41</v>
      </c>
    </row>
    <row r="1591" spans="1:2">
      <c r="A1591">
        <v>53.606463868684301</v>
      </c>
      <c r="B1591" t="s">
        <v>38</v>
      </c>
    </row>
    <row r="1592" spans="1:2">
      <c r="A1592">
        <v>53.858283474293501</v>
      </c>
      <c r="B1592" t="s">
        <v>33</v>
      </c>
    </row>
    <row r="1593" spans="1:2">
      <c r="A1593">
        <v>53.8776054623657</v>
      </c>
      <c r="B1593" t="s">
        <v>33</v>
      </c>
    </row>
    <row r="1594" spans="1:2">
      <c r="A1594">
        <v>54.330564818305199</v>
      </c>
      <c r="B1594" t="s">
        <v>33</v>
      </c>
    </row>
    <row r="1595" spans="1:2">
      <c r="A1595">
        <v>54.5252737253494</v>
      </c>
      <c r="B1595" t="s">
        <v>33</v>
      </c>
    </row>
    <row r="1596" spans="1:2">
      <c r="A1596">
        <v>54.554536345004699</v>
      </c>
      <c r="B1596" t="s">
        <v>144</v>
      </c>
    </row>
    <row r="1597" spans="1:2">
      <c r="A1597">
        <v>54.559970053216503</v>
      </c>
      <c r="B1597" t="s">
        <v>38</v>
      </c>
    </row>
    <row r="1598" spans="1:2">
      <c r="A1598">
        <v>54.660464859168101</v>
      </c>
      <c r="B1598" t="s">
        <v>38</v>
      </c>
    </row>
    <row r="1599" spans="1:2">
      <c r="A1599">
        <v>54.810861590008201</v>
      </c>
      <c r="B1599" t="s">
        <v>144</v>
      </c>
    </row>
    <row r="1600" spans="1:2">
      <c r="A1600">
        <v>55.203060806554703</v>
      </c>
      <c r="B1600" t="s">
        <v>298</v>
      </c>
    </row>
    <row r="1601" spans="1:2">
      <c r="A1601">
        <v>55.230478979627399</v>
      </c>
      <c r="B1601" t="s">
        <v>188</v>
      </c>
    </row>
    <row r="1602" spans="1:2">
      <c r="A1602">
        <v>55.271580737114697</v>
      </c>
      <c r="B1602" t="s">
        <v>33</v>
      </c>
    </row>
    <row r="1603" spans="1:2">
      <c r="A1603">
        <v>55.312651952692697</v>
      </c>
      <c r="B1603" t="s">
        <v>33</v>
      </c>
    </row>
    <row r="1604" spans="1:2">
      <c r="A1604">
        <v>55.862464256287502</v>
      </c>
      <c r="B1604" t="s">
        <v>49</v>
      </c>
    </row>
    <row r="1605" spans="1:2">
      <c r="A1605">
        <v>55.884479688768202</v>
      </c>
      <c r="B1605" t="s">
        <v>38</v>
      </c>
    </row>
    <row r="1606" spans="1:2">
      <c r="A1606">
        <v>56.136154777643299</v>
      </c>
      <c r="B1606" t="s">
        <v>38</v>
      </c>
    </row>
    <row r="1607" spans="1:2">
      <c r="A1607">
        <v>56.166525878297598</v>
      </c>
      <c r="B1607" t="s">
        <v>33</v>
      </c>
    </row>
    <row r="1608" spans="1:2">
      <c r="A1608">
        <v>56.181685761999802</v>
      </c>
      <c r="B1608" t="s">
        <v>41</v>
      </c>
    </row>
    <row r="1609" spans="1:2">
      <c r="A1609">
        <v>56.2777342074885</v>
      </c>
      <c r="B1609" t="s">
        <v>33</v>
      </c>
    </row>
    <row r="1610" spans="1:2">
      <c r="A1610">
        <v>56.304498439381</v>
      </c>
      <c r="B1610" t="s">
        <v>38</v>
      </c>
    </row>
    <row r="1611" spans="1:2">
      <c r="A1611">
        <v>56.307859400341499</v>
      </c>
      <c r="B1611" t="s">
        <v>38</v>
      </c>
    </row>
    <row r="1612" spans="1:2">
      <c r="A1612">
        <v>56.465598907224802</v>
      </c>
      <c r="B1612" t="s">
        <v>38</v>
      </c>
    </row>
    <row r="1613" spans="1:2">
      <c r="A1613">
        <v>56.530914832944397</v>
      </c>
      <c r="B1613" t="s">
        <v>38</v>
      </c>
    </row>
    <row r="1614" spans="1:2">
      <c r="A1614">
        <v>56.5811065456043</v>
      </c>
      <c r="B1614" t="s">
        <v>38</v>
      </c>
    </row>
    <row r="1615" spans="1:2">
      <c r="A1615">
        <v>56.597827225228698</v>
      </c>
      <c r="B1615" t="s">
        <v>33</v>
      </c>
    </row>
    <row r="1616" spans="1:2">
      <c r="A1616">
        <v>56.6162142692164</v>
      </c>
      <c r="B1616" t="s">
        <v>33</v>
      </c>
    </row>
    <row r="1617" spans="1:2">
      <c r="A1617">
        <v>56.629582915038903</v>
      </c>
      <c r="B1617" t="s">
        <v>38</v>
      </c>
    </row>
    <row r="1618" spans="1:2">
      <c r="A1618">
        <v>56.971084326289997</v>
      </c>
      <c r="B1618" t="s">
        <v>38</v>
      </c>
    </row>
    <row r="1619" spans="1:2">
      <c r="A1619">
        <v>57.024207325722799</v>
      </c>
      <c r="B1619" t="s">
        <v>38</v>
      </c>
    </row>
    <row r="1620" spans="1:2">
      <c r="A1620">
        <v>57.136929706025398</v>
      </c>
      <c r="B1620" t="s">
        <v>33</v>
      </c>
    </row>
    <row r="1621" spans="1:2">
      <c r="A1621">
        <v>57.171696113409801</v>
      </c>
      <c r="B1621" t="s">
        <v>38</v>
      </c>
    </row>
    <row r="1622" spans="1:2">
      <c r="A1622">
        <v>57.457304608311397</v>
      </c>
      <c r="B1622" t="s">
        <v>33</v>
      </c>
    </row>
    <row r="1623" spans="1:2">
      <c r="A1623">
        <v>57.534652755567798</v>
      </c>
      <c r="B1623" t="s">
        <v>43</v>
      </c>
    </row>
    <row r="1624" spans="1:2">
      <c r="A1624">
        <v>57.536273917515899</v>
      </c>
      <c r="B1624" t="s">
        <v>38</v>
      </c>
    </row>
    <row r="1625" spans="1:2">
      <c r="A1625">
        <v>57.580683115440898</v>
      </c>
      <c r="B1625" t="s">
        <v>49</v>
      </c>
    </row>
    <row r="1626" spans="1:2">
      <c r="A1626">
        <v>57.690678105530203</v>
      </c>
      <c r="B1626" t="s">
        <v>38</v>
      </c>
    </row>
    <row r="1627" spans="1:2">
      <c r="A1627">
        <v>57.972097717565298</v>
      </c>
      <c r="B1627" t="s">
        <v>33</v>
      </c>
    </row>
    <row r="1628" spans="1:2">
      <c r="A1628">
        <v>58.043869616169403</v>
      </c>
      <c r="B1628" t="s">
        <v>49</v>
      </c>
    </row>
    <row r="1629" spans="1:2">
      <c r="A1629">
        <v>58.086872816051802</v>
      </c>
      <c r="B1629" t="s">
        <v>41</v>
      </c>
    </row>
    <row r="1630" spans="1:2">
      <c r="A1630">
        <v>58.122065153773903</v>
      </c>
      <c r="B1630" t="s">
        <v>38</v>
      </c>
    </row>
    <row r="1631" spans="1:2">
      <c r="A1631">
        <v>58.128576700417</v>
      </c>
      <c r="B1631" t="s">
        <v>33</v>
      </c>
    </row>
    <row r="1632" spans="1:2">
      <c r="A1632">
        <v>58.146479693763403</v>
      </c>
      <c r="B1632" t="s">
        <v>33</v>
      </c>
    </row>
    <row r="1633" spans="1:2">
      <c r="A1633">
        <v>58.3024906519315</v>
      </c>
      <c r="B1633" t="s">
        <v>49</v>
      </c>
    </row>
    <row r="1634" spans="1:2">
      <c r="A1634">
        <v>58.336562432760402</v>
      </c>
      <c r="B1634" t="s">
        <v>43</v>
      </c>
    </row>
    <row r="1635" spans="1:2">
      <c r="A1635">
        <v>58.339806326467297</v>
      </c>
      <c r="B1635" t="s">
        <v>47</v>
      </c>
    </row>
    <row r="1636" spans="1:2">
      <c r="A1636">
        <v>58.385201914070301</v>
      </c>
      <c r="B1636" t="s">
        <v>38</v>
      </c>
    </row>
    <row r="1637" spans="1:2">
      <c r="A1637">
        <v>58.479123531044998</v>
      </c>
      <c r="B1637" t="s">
        <v>38</v>
      </c>
    </row>
    <row r="1638" spans="1:2">
      <c r="A1638">
        <v>58.4964210569822</v>
      </c>
      <c r="B1638" t="s">
        <v>38</v>
      </c>
    </row>
    <row r="1639" spans="1:2">
      <c r="A1639">
        <v>58.767867624188398</v>
      </c>
      <c r="B1639" t="s">
        <v>38</v>
      </c>
    </row>
    <row r="1640" spans="1:2">
      <c r="A1640">
        <v>58.880636574218101</v>
      </c>
      <c r="B1640" t="s">
        <v>33</v>
      </c>
    </row>
    <row r="1641" spans="1:2">
      <c r="A1641">
        <v>59.265062659111798</v>
      </c>
      <c r="B1641" t="s">
        <v>38</v>
      </c>
    </row>
    <row r="1642" spans="1:2">
      <c r="A1642">
        <v>59.545397781559899</v>
      </c>
      <c r="B1642" t="s">
        <v>33</v>
      </c>
    </row>
    <row r="1643" spans="1:2">
      <c r="A1643">
        <v>59.734197059947697</v>
      </c>
      <c r="B1643" t="s">
        <v>49</v>
      </c>
    </row>
    <row r="1644" spans="1:2">
      <c r="A1644">
        <v>59.9366113961389</v>
      </c>
      <c r="B1644" t="s">
        <v>38</v>
      </c>
    </row>
    <row r="1645" spans="1:2">
      <c r="A1645">
        <v>59.9760657044231</v>
      </c>
      <c r="B1645" t="s">
        <v>33</v>
      </c>
    </row>
    <row r="1646" spans="1:2">
      <c r="A1646">
        <v>59.977643336917197</v>
      </c>
      <c r="B1646" t="s">
        <v>188</v>
      </c>
    </row>
    <row r="1647" spans="1:2">
      <c r="A1647">
        <v>60.183955636972598</v>
      </c>
      <c r="B1647" t="s">
        <v>38</v>
      </c>
    </row>
    <row r="1648" spans="1:2">
      <c r="A1648">
        <v>60.251522466140599</v>
      </c>
      <c r="B1648" t="s">
        <v>49</v>
      </c>
    </row>
    <row r="1649" spans="1:2">
      <c r="A1649">
        <v>60.259374157335401</v>
      </c>
      <c r="B1649" t="s">
        <v>38</v>
      </c>
    </row>
    <row r="1650" spans="1:2">
      <c r="A1650">
        <v>60.480372174683097</v>
      </c>
      <c r="B1650" t="s">
        <v>33</v>
      </c>
    </row>
    <row r="1651" spans="1:2">
      <c r="A1651">
        <v>60.633977153266002</v>
      </c>
      <c r="B1651" t="s">
        <v>38</v>
      </c>
    </row>
    <row r="1652" spans="1:2">
      <c r="A1652">
        <v>60.773786107121097</v>
      </c>
      <c r="B1652" t="s">
        <v>33</v>
      </c>
    </row>
    <row r="1653" spans="1:2">
      <c r="A1653">
        <v>60.985163015299399</v>
      </c>
      <c r="B1653" t="s">
        <v>38</v>
      </c>
    </row>
    <row r="1654" spans="1:2">
      <c r="A1654">
        <v>61.728479415482099</v>
      </c>
      <c r="B1654" t="s">
        <v>38</v>
      </c>
    </row>
    <row r="1655" spans="1:2">
      <c r="A1655">
        <v>61.8769886893189</v>
      </c>
      <c r="B1655" t="s">
        <v>38</v>
      </c>
    </row>
    <row r="1656" spans="1:2">
      <c r="A1656">
        <v>62.038870665021101</v>
      </c>
      <c r="B1656" t="s">
        <v>893</v>
      </c>
    </row>
    <row r="1657" spans="1:2">
      <c r="A1657">
        <v>62.095277272517997</v>
      </c>
      <c r="B1657" t="s">
        <v>38</v>
      </c>
    </row>
    <row r="1658" spans="1:2">
      <c r="A1658">
        <v>62.334056421928899</v>
      </c>
      <c r="B1658" t="s">
        <v>38</v>
      </c>
    </row>
    <row r="1659" spans="1:2">
      <c r="A1659">
        <v>62.671650288144299</v>
      </c>
      <c r="B1659" t="s">
        <v>1038</v>
      </c>
    </row>
    <row r="1660" spans="1:2">
      <c r="A1660">
        <v>62.837508428082202</v>
      </c>
      <c r="B1660" t="s">
        <v>33</v>
      </c>
    </row>
    <row r="1661" spans="1:2">
      <c r="A1661">
        <v>63.326500304391601</v>
      </c>
      <c r="B1661" t="s">
        <v>38</v>
      </c>
    </row>
    <row r="1662" spans="1:2">
      <c r="A1662">
        <v>63.348909097472401</v>
      </c>
      <c r="B1662" t="s">
        <v>33</v>
      </c>
    </row>
    <row r="1663" spans="1:2">
      <c r="A1663">
        <v>63.542787606724303</v>
      </c>
      <c r="B1663" t="s">
        <v>33</v>
      </c>
    </row>
    <row r="1664" spans="1:2">
      <c r="A1664">
        <v>63.829536506111999</v>
      </c>
      <c r="B1664" t="s">
        <v>33</v>
      </c>
    </row>
    <row r="1665" spans="1:2">
      <c r="A1665">
        <v>63.934700861870802</v>
      </c>
      <c r="B1665" t="s">
        <v>74</v>
      </c>
    </row>
    <row r="1666" spans="1:2">
      <c r="A1666">
        <v>63.937660733211501</v>
      </c>
      <c r="B1666" t="s">
        <v>38</v>
      </c>
    </row>
    <row r="1667" spans="1:2">
      <c r="A1667">
        <v>64.079618692458695</v>
      </c>
      <c r="B1667" t="s">
        <v>38</v>
      </c>
    </row>
    <row r="1668" spans="1:2">
      <c r="A1668">
        <v>64.385979003709394</v>
      </c>
      <c r="B1668" t="s">
        <v>38</v>
      </c>
    </row>
    <row r="1669" spans="1:2">
      <c r="A1669">
        <v>64.419770864675201</v>
      </c>
      <c r="B1669" t="s">
        <v>38</v>
      </c>
    </row>
    <row r="1670" spans="1:2">
      <c r="A1670">
        <v>64.475562093603401</v>
      </c>
      <c r="B1670" t="s">
        <v>33</v>
      </c>
    </row>
    <row r="1671" spans="1:2">
      <c r="A1671">
        <v>64.731874755739</v>
      </c>
      <c r="B1671" t="s">
        <v>33</v>
      </c>
    </row>
    <row r="1672" spans="1:2">
      <c r="A1672">
        <v>64.931824881720402</v>
      </c>
      <c r="B1672" t="s">
        <v>33</v>
      </c>
    </row>
    <row r="1673" spans="1:2">
      <c r="A1673">
        <v>64.944938742699705</v>
      </c>
      <c r="B1673" t="s">
        <v>38</v>
      </c>
    </row>
    <row r="1674" spans="1:2">
      <c r="A1674">
        <v>64.9609631998634</v>
      </c>
      <c r="B1674" t="s">
        <v>331</v>
      </c>
    </row>
    <row r="1675" spans="1:2">
      <c r="A1675">
        <v>65.186343543544197</v>
      </c>
      <c r="B1675" t="s">
        <v>33</v>
      </c>
    </row>
    <row r="1676" spans="1:2">
      <c r="A1676">
        <v>65.187705746970494</v>
      </c>
      <c r="B1676" t="s">
        <v>38</v>
      </c>
    </row>
    <row r="1677" spans="1:2">
      <c r="A1677">
        <v>65.187705746970494</v>
      </c>
      <c r="B1677" t="s">
        <v>331</v>
      </c>
    </row>
    <row r="1678" spans="1:2">
      <c r="A1678">
        <v>65.715464501873598</v>
      </c>
      <c r="B1678" t="s">
        <v>33</v>
      </c>
    </row>
    <row r="1679" spans="1:2">
      <c r="A1679">
        <v>65.735619529031098</v>
      </c>
      <c r="B1679" t="s">
        <v>33</v>
      </c>
    </row>
    <row r="1680" spans="1:2">
      <c r="A1680">
        <v>66.028609103769099</v>
      </c>
      <c r="B1680" t="s">
        <v>33</v>
      </c>
    </row>
    <row r="1681" spans="1:2">
      <c r="A1681">
        <v>66.040072404047095</v>
      </c>
      <c r="B1681" t="s">
        <v>33</v>
      </c>
    </row>
    <row r="1682" spans="1:2">
      <c r="A1682">
        <v>66.640546299206804</v>
      </c>
      <c r="B1682" t="s">
        <v>74</v>
      </c>
    </row>
    <row r="1683" spans="1:2">
      <c r="A1683">
        <v>66.755457330920507</v>
      </c>
      <c r="B1683" t="s">
        <v>33</v>
      </c>
    </row>
    <row r="1684" spans="1:2">
      <c r="A1684">
        <v>66.755811781245498</v>
      </c>
      <c r="B1684" t="s">
        <v>33</v>
      </c>
    </row>
    <row r="1685" spans="1:2">
      <c r="A1685">
        <v>66.755811781245498</v>
      </c>
      <c r="B1685" t="s">
        <v>38</v>
      </c>
    </row>
    <row r="1686" spans="1:2">
      <c r="A1686">
        <v>66.766795837555307</v>
      </c>
      <c r="B1686" t="s">
        <v>38</v>
      </c>
    </row>
    <row r="1687" spans="1:2">
      <c r="A1687">
        <v>66.923919377848804</v>
      </c>
      <c r="B1687" t="s">
        <v>38</v>
      </c>
    </row>
    <row r="1688" spans="1:2">
      <c r="A1688">
        <v>67.112479387224496</v>
      </c>
      <c r="B1688" t="s">
        <v>38</v>
      </c>
    </row>
    <row r="1689" spans="1:2">
      <c r="A1689">
        <v>67.194833252084607</v>
      </c>
      <c r="B1689" t="s">
        <v>830</v>
      </c>
    </row>
    <row r="1690" spans="1:2">
      <c r="A1690">
        <v>67.225805751195097</v>
      </c>
      <c r="B1690" t="s">
        <v>33</v>
      </c>
    </row>
    <row r="1691" spans="1:2">
      <c r="A1691">
        <v>67.407130846978603</v>
      </c>
      <c r="B1691" t="s">
        <v>33</v>
      </c>
    </row>
    <row r="1692" spans="1:2">
      <c r="A1692">
        <v>67.5739682899722</v>
      </c>
      <c r="B1692" t="s">
        <v>38</v>
      </c>
    </row>
    <row r="1693" spans="1:2">
      <c r="A1693">
        <v>67.606166704268304</v>
      </c>
      <c r="B1693" t="s">
        <v>61</v>
      </c>
    </row>
    <row r="1694" spans="1:2">
      <c r="A1694">
        <v>67.740394831198302</v>
      </c>
      <c r="B1694" t="s">
        <v>33</v>
      </c>
    </row>
    <row r="1695" spans="1:2">
      <c r="A1695">
        <v>67.785078473808696</v>
      </c>
      <c r="B1695" t="s">
        <v>38</v>
      </c>
    </row>
    <row r="1696" spans="1:2">
      <c r="A1696">
        <v>67.820187668243605</v>
      </c>
      <c r="B1696" t="s">
        <v>33</v>
      </c>
    </row>
    <row r="1697" spans="1:2">
      <c r="A1697">
        <v>68.049783312253695</v>
      </c>
      <c r="B1697" t="s">
        <v>38</v>
      </c>
    </row>
    <row r="1698" spans="1:2">
      <c r="A1698">
        <v>68.098432502268295</v>
      </c>
      <c r="B1698" t="s">
        <v>33</v>
      </c>
    </row>
    <row r="1699" spans="1:2">
      <c r="A1699">
        <v>68.147046962339502</v>
      </c>
      <c r="B1699" t="s">
        <v>298</v>
      </c>
    </row>
    <row r="1700" spans="1:2">
      <c r="A1700">
        <v>68.569228410325096</v>
      </c>
      <c r="B1700" t="s">
        <v>33</v>
      </c>
    </row>
    <row r="1701" spans="1:2">
      <c r="A1701">
        <v>68.667134267414596</v>
      </c>
      <c r="B1701" t="s">
        <v>38</v>
      </c>
    </row>
    <row r="1702" spans="1:2">
      <c r="A1702">
        <v>68.682290294224501</v>
      </c>
      <c r="B1702" t="s">
        <v>33</v>
      </c>
    </row>
    <row r="1703" spans="1:2">
      <c r="A1703">
        <v>68.687800747562505</v>
      </c>
      <c r="B1703" t="s">
        <v>38</v>
      </c>
    </row>
    <row r="1704" spans="1:2">
      <c r="A1704">
        <v>68.724984750851107</v>
      </c>
      <c r="B1704" t="s">
        <v>38</v>
      </c>
    </row>
    <row r="1705" spans="1:2">
      <c r="A1705">
        <v>68.808919073218505</v>
      </c>
      <c r="B1705" t="s">
        <v>38</v>
      </c>
    </row>
    <row r="1706" spans="1:2">
      <c r="A1706">
        <v>68.931197286727794</v>
      </c>
      <c r="B1706" t="s">
        <v>33</v>
      </c>
    </row>
    <row r="1707" spans="1:2">
      <c r="A1707">
        <v>69.017622823016396</v>
      </c>
      <c r="B1707" t="s">
        <v>33</v>
      </c>
    </row>
    <row r="1708" spans="1:2">
      <c r="A1708">
        <v>69.098829894267098</v>
      </c>
      <c r="B1708" t="s">
        <v>38</v>
      </c>
    </row>
    <row r="1709" spans="1:2">
      <c r="A1709">
        <v>69.138163358799403</v>
      </c>
      <c r="B1709" t="s">
        <v>33</v>
      </c>
    </row>
    <row r="1710" spans="1:2">
      <c r="A1710">
        <v>69.232531302859897</v>
      </c>
      <c r="B1710" t="s">
        <v>33</v>
      </c>
    </row>
    <row r="1711" spans="1:2">
      <c r="A1711">
        <v>69.300833574066701</v>
      </c>
      <c r="B1711" t="s">
        <v>38</v>
      </c>
    </row>
    <row r="1712" spans="1:2">
      <c r="A1712">
        <v>69.375888404152505</v>
      </c>
      <c r="B1712" t="s">
        <v>38</v>
      </c>
    </row>
    <row r="1713" spans="1:2">
      <c r="A1713">
        <v>69.488999489180998</v>
      </c>
      <c r="B1713" t="s">
        <v>33</v>
      </c>
    </row>
    <row r="1714" spans="1:2">
      <c r="A1714">
        <v>69.503976300413001</v>
      </c>
      <c r="B1714" t="s">
        <v>33</v>
      </c>
    </row>
    <row r="1715" spans="1:2">
      <c r="A1715">
        <v>69.509421613512899</v>
      </c>
      <c r="B1715" t="s">
        <v>38</v>
      </c>
    </row>
    <row r="1716" spans="1:2">
      <c r="A1716">
        <v>69.531198601433502</v>
      </c>
      <c r="B1716" t="s">
        <v>38</v>
      </c>
    </row>
    <row r="1717" spans="1:2">
      <c r="A1717">
        <v>69.8814155494902</v>
      </c>
      <c r="B1717" t="s">
        <v>38</v>
      </c>
    </row>
    <row r="1718" spans="1:2">
      <c r="A1718">
        <v>70.220454280535805</v>
      </c>
      <c r="B1718" t="s">
        <v>38</v>
      </c>
    </row>
    <row r="1719" spans="1:2">
      <c r="A1719">
        <v>70.548475954090193</v>
      </c>
      <c r="B1719" t="s">
        <v>38</v>
      </c>
    </row>
    <row r="1720" spans="1:2">
      <c r="A1720">
        <v>70.726634028814303</v>
      </c>
      <c r="B1720" t="s">
        <v>47</v>
      </c>
    </row>
    <row r="1721" spans="1:2">
      <c r="A1721">
        <v>70.911016612319997</v>
      </c>
      <c r="B1721" t="s">
        <v>298</v>
      </c>
    </row>
    <row r="1722" spans="1:2">
      <c r="A1722">
        <v>71.218588723544698</v>
      </c>
      <c r="B1722" t="s">
        <v>33</v>
      </c>
    </row>
    <row r="1723" spans="1:2">
      <c r="A1723">
        <v>71.361933897876497</v>
      </c>
      <c r="B1723" t="s">
        <v>33</v>
      </c>
    </row>
    <row r="1724" spans="1:2">
      <c r="A1724">
        <v>71.387122257164293</v>
      </c>
      <c r="B1724" t="s">
        <v>49</v>
      </c>
    </row>
    <row r="1725" spans="1:2">
      <c r="A1725">
        <v>71.498374982725807</v>
      </c>
      <c r="B1725" t="s">
        <v>38</v>
      </c>
    </row>
    <row r="1726" spans="1:2">
      <c r="A1726">
        <v>71.506314982563296</v>
      </c>
      <c r="B1726" t="s">
        <v>43</v>
      </c>
    </row>
    <row r="1727" spans="1:2">
      <c r="A1727">
        <v>71.512930975673598</v>
      </c>
      <c r="B1727" t="s">
        <v>33</v>
      </c>
    </row>
    <row r="1728" spans="1:2">
      <c r="A1728">
        <v>71.526161126005206</v>
      </c>
      <c r="B1728" t="s">
        <v>43</v>
      </c>
    </row>
    <row r="1729" spans="1:2">
      <c r="A1729">
        <v>71.642481098236203</v>
      </c>
      <c r="B1729" t="s">
        <v>33</v>
      </c>
    </row>
    <row r="1730" spans="1:2">
      <c r="A1730">
        <v>71.647763882677197</v>
      </c>
      <c r="B1730" t="s">
        <v>873</v>
      </c>
    </row>
    <row r="1731" spans="1:2">
      <c r="A1731">
        <v>72.033674278476994</v>
      </c>
      <c r="B1731" t="s">
        <v>38</v>
      </c>
    </row>
    <row r="1732" spans="1:2">
      <c r="A1732">
        <v>72.145241519715299</v>
      </c>
      <c r="B1732" t="s">
        <v>38</v>
      </c>
    </row>
    <row r="1733" spans="1:2">
      <c r="A1733">
        <v>72.425367433950001</v>
      </c>
      <c r="B1733" t="s">
        <v>38</v>
      </c>
    </row>
    <row r="1734" spans="1:2">
      <c r="A1734">
        <v>72.524591043317002</v>
      </c>
      <c r="B1734" t="s">
        <v>38</v>
      </c>
    </row>
    <row r="1735" spans="1:2">
      <c r="A1735">
        <v>72.674474445682193</v>
      </c>
      <c r="B1735" t="s">
        <v>43</v>
      </c>
    </row>
    <row r="1736" spans="1:2">
      <c r="A1736">
        <v>72.691398344339603</v>
      </c>
      <c r="B1736" t="s">
        <v>33</v>
      </c>
    </row>
    <row r="1737" spans="1:2">
      <c r="A1737">
        <v>72.731739441594996</v>
      </c>
      <c r="B1737" t="s">
        <v>1038</v>
      </c>
    </row>
    <row r="1738" spans="1:2">
      <c r="A1738">
        <v>72.8837933829886</v>
      </c>
      <c r="B1738" t="s">
        <v>873</v>
      </c>
    </row>
    <row r="1739" spans="1:2">
      <c r="A1739">
        <v>73.359993959600104</v>
      </c>
      <c r="B1739" t="s">
        <v>43</v>
      </c>
    </row>
    <row r="1740" spans="1:2">
      <c r="A1740">
        <v>73.4669712993161</v>
      </c>
      <c r="B1740" t="s">
        <v>72</v>
      </c>
    </row>
    <row r="1741" spans="1:2">
      <c r="A1741">
        <v>73.804923592460796</v>
      </c>
      <c r="B1741" t="s">
        <v>33</v>
      </c>
    </row>
    <row r="1742" spans="1:2">
      <c r="A1742">
        <v>74.1668556598366</v>
      </c>
      <c r="B1742" t="s">
        <v>33</v>
      </c>
    </row>
    <row r="1743" spans="1:2">
      <c r="A1743">
        <v>74.189816350441802</v>
      </c>
      <c r="B1743" t="s">
        <v>38</v>
      </c>
    </row>
    <row r="1744" spans="1:2">
      <c r="A1744">
        <v>74.208944832479503</v>
      </c>
      <c r="B1744" t="s">
        <v>38</v>
      </c>
    </row>
    <row r="1745" spans="1:2">
      <c r="A1745">
        <v>74.6361380109837</v>
      </c>
      <c r="B1745" t="s">
        <v>33</v>
      </c>
    </row>
    <row r="1746" spans="1:2">
      <c r="A1746">
        <v>74.874099370880799</v>
      </c>
      <c r="B1746" t="s">
        <v>38</v>
      </c>
    </row>
    <row r="1747" spans="1:2">
      <c r="A1747">
        <v>75.098708293249899</v>
      </c>
      <c r="B1747" t="s">
        <v>33</v>
      </c>
    </row>
    <row r="1748" spans="1:2">
      <c r="A1748">
        <v>75.130200712124804</v>
      </c>
      <c r="B1748" t="s">
        <v>33</v>
      </c>
    </row>
    <row r="1749" spans="1:2">
      <c r="A1749">
        <v>75.133978915346205</v>
      </c>
      <c r="B1749" t="s">
        <v>38</v>
      </c>
    </row>
    <row r="1750" spans="1:2">
      <c r="A1750">
        <v>75.186853825368104</v>
      </c>
      <c r="B1750" t="s">
        <v>33</v>
      </c>
    </row>
    <row r="1751" spans="1:2">
      <c r="A1751">
        <v>75.222083117222397</v>
      </c>
      <c r="B1751" t="s">
        <v>38</v>
      </c>
    </row>
    <row r="1752" spans="1:2">
      <c r="A1752">
        <v>75.335208546340098</v>
      </c>
      <c r="B1752" t="s">
        <v>38</v>
      </c>
    </row>
    <row r="1753" spans="1:2">
      <c r="A1753">
        <v>75.3452559201573</v>
      </c>
      <c r="B1753" t="s">
        <v>33</v>
      </c>
    </row>
    <row r="1754" spans="1:2">
      <c r="A1754">
        <v>75.495806068785399</v>
      </c>
      <c r="B1754" t="s">
        <v>38</v>
      </c>
    </row>
    <row r="1755" spans="1:2">
      <c r="A1755">
        <v>75.983033980988196</v>
      </c>
      <c r="B1755" t="s">
        <v>38</v>
      </c>
    </row>
    <row r="1756" spans="1:2">
      <c r="A1756">
        <v>76.113336075519598</v>
      </c>
      <c r="B1756" t="s">
        <v>38</v>
      </c>
    </row>
    <row r="1757" spans="1:2">
      <c r="A1757">
        <v>76.134808616007007</v>
      </c>
      <c r="B1757" t="s">
        <v>74</v>
      </c>
    </row>
    <row r="1758" spans="1:2">
      <c r="A1758">
        <v>76.437453797703398</v>
      </c>
      <c r="B1758" t="s">
        <v>33</v>
      </c>
    </row>
    <row r="1759" spans="1:2">
      <c r="A1759">
        <v>76.478293376349598</v>
      </c>
      <c r="B1759" t="s">
        <v>38</v>
      </c>
    </row>
    <row r="1760" spans="1:2">
      <c r="A1760">
        <v>76.668590437106502</v>
      </c>
      <c r="B1760" t="s">
        <v>33</v>
      </c>
    </row>
    <row r="1761" spans="1:2">
      <c r="A1761">
        <v>76.996177585739701</v>
      </c>
      <c r="B1761" t="s">
        <v>74</v>
      </c>
    </row>
    <row r="1762" spans="1:2">
      <c r="A1762">
        <v>77.114062778821904</v>
      </c>
      <c r="B1762" t="s">
        <v>43</v>
      </c>
    </row>
    <row r="1763" spans="1:2">
      <c r="A1763">
        <v>77.370087488090604</v>
      </c>
      <c r="B1763" t="s">
        <v>38</v>
      </c>
    </row>
    <row r="1764" spans="1:2">
      <c r="A1764">
        <v>77.461756067774004</v>
      </c>
      <c r="B1764" t="s">
        <v>33</v>
      </c>
    </row>
    <row r="1765" spans="1:2">
      <c r="A1765">
        <v>77.500834994966993</v>
      </c>
      <c r="B1765" t="s">
        <v>74</v>
      </c>
    </row>
    <row r="1766" spans="1:2">
      <c r="A1766">
        <v>77.5606364434108</v>
      </c>
      <c r="B1766" t="s">
        <v>49</v>
      </c>
    </row>
    <row r="1767" spans="1:2">
      <c r="A1767">
        <v>77.756803094295094</v>
      </c>
      <c r="B1767" t="s">
        <v>33</v>
      </c>
    </row>
    <row r="1768" spans="1:2">
      <c r="A1768">
        <v>77.822487382380203</v>
      </c>
      <c r="B1768" t="s">
        <v>38</v>
      </c>
    </row>
    <row r="1769" spans="1:2">
      <c r="A1769">
        <v>77.885686564208399</v>
      </c>
      <c r="B1769" t="s">
        <v>33</v>
      </c>
    </row>
    <row r="1770" spans="1:2">
      <c r="A1770">
        <v>78.315779956131195</v>
      </c>
      <c r="B1770" t="s">
        <v>33</v>
      </c>
    </row>
    <row r="1771" spans="1:2">
      <c r="A1771">
        <v>78.472689281880804</v>
      </c>
      <c r="B1771" t="s">
        <v>38</v>
      </c>
    </row>
    <row r="1772" spans="1:2">
      <c r="A1772">
        <v>78.910375537772495</v>
      </c>
      <c r="B1772" t="s">
        <v>33</v>
      </c>
    </row>
    <row r="1773" spans="1:2">
      <c r="A1773">
        <v>78.996663563047207</v>
      </c>
      <c r="B1773" t="s">
        <v>38</v>
      </c>
    </row>
    <row r="1774" spans="1:2">
      <c r="A1774">
        <v>79.017023373886602</v>
      </c>
      <c r="B1774" t="s">
        <v>38</v>
      </c>
    </row>
    <row r="1775" spans="1:2">
      <c r="A1775">
        <v>79.363533281549707</v>
      </c>
      <c r="B1775" t="s">
        <v>33</v>
      </c>
    </row>
    <row r="1776" spans="1:2">
      <c r="A1776">
        <v>79.562390449789703</v>
      </c>
      <c r="B1776" t="s">
        <v>38</v>
      </c>
    </row>
    <row r="1777" spans="1:2">
      <c r="A1777">
        <v>79.584983436570596</v>
      </c>
      <c r="B1777" t="s">
        <v>33</v>
      </c>
    </row>
    <row r="1778" spans="1:2">
      <c r="A1778">
        <v>79.598060655773494</v>
      </c>
      <c r="B1778" t="s">
        <v>33</v>
      </c>
    </row>
    <row r="1779" spans="1:2">
      <c r="A1779">
        <v>79.611135726864106</v>
      </c>
      <c r="B1779" t="s">
        <v>33</v>
      </c>
    </row>
    <row r="1780" spans="1:2">
      <c r="A1780">
        <v>79.820045581902093</v>
      </c>
      <c r="B1780" t="s">
        <v>33</v>
      </c>
    </row>
    <row r="1781" spans="1:2">
      <c r="A1781">
        <v>79.852045898428898</v>
      </c>
      <c r="B1781" t="s">
        <v>288</v>
      </c>
    </row>
    <row r="1782" spans="1:2">
      <c r="A1782">
        <v>80.166625458271596</v>
      </c>
      <c r="B1782" t="s">
        <v>38</v>
      </c>
    </row>
    <row r="1783" spans="1:2">
      <c r="A1783">
        <v>80.476448181820501</v>
      </c>
      <c r="B1783" t="s">
        <v>38</v>
      </c>
    </row>
    <row r="1784" spans="1:2">
      <c r="A1784">
        <v>80.626805711353398</v>
      </c>
      <c r="B1784" t="s">
        <v>74</v>
      </c>
    </row>
    <row r="1785" spans="1:2">
      <c r="A1785">
        <v>80.829578840821299</v>
      </c>
      <c r="B1785" t="s">
        <v>38</v>
      </c>
    </row>
    <row r="1786" spans="1:2">
      <c r="A1786">
        <v>80.892768097774294</v>
      </c>
      <c r="B1786" t="s">
        <v>38</v>
      </c>
    </row>
    <row r="1787" spans="1:2">
      <c r="A1787">
        <v>80.910311911140198</v>
      </c>
      <c r="B1787" t="s">
        <v>33</v>
      </c>
    </row>
    <row r="1788" spans="1:2">
      <c r="A1788">
        <v>81.085541275464493</v>
      </c>
      <c r="B1788" t="s">
        <v>47</v>
      </c>
    </row>
    <row r="1789" spans="1:2">
      <c r="A1789">
        <v>81.273200416084904</v>
      </c>
      <c r="B1789" t="s">
        <v>49</v>
      </c>
    </row>
    <row r="1790" spans="1:2">
      <c r="A1790">
        <v>81.280185550281502</v>
      </c>
      <c r="B1790" t="s">
        <v>33</v>
      </c>
    </row>
    <row r="1791" spans="1:2">
      <c r="A1791">
        <v>81.299973504695899</v>
      </c>
      <c r="B1791" t="s">
        <v>38</v>
      </c>
    </row>
    <row r="1792" spans="1:2">
      <c r="A1792">
        <v>81.487138824493599</v>
      </c>
      <c r="B1792" t="s">
        <v>38</v>
      </c>
    </row>
    <row r="1793" spans="1:2">
      <c r="A1793">
        <v>81.855561974747104</v>
      </c>
      <c r="B1793" t="s">
        <v>38</v>
      </c>
    </row>
    <row r="1794" spans="1:2">
      <c r="A1794">
        <v>81.863653267405098</v>
      </c>
      <c r="B1794" t="s">
        <v>288</v>
      </c>
    </row>
    <row r="1795" spans="1:2">
      <c r="A1795">
        <v>82.025311507919298</v>
      </c>
      <c r="B1795" t="s">
        <v>33</v>
      </c>
    </row>
    <row r="1796" spans="1:2">
      <c r="A1796">
        <v>82.103716377978003</v>
      </c>
      <c r="B1796" t="s">
        <v>33</v>
      </c>
    </row>
    <row r="1797" spans="1:2">
      <c r="A1797">
        <v>82.398218534053498</v>
      </c>
      <c r="B1797" t="s">
        <v>33</v>
      </c>
    </row>
    <row r="1798" spans="1:2">
      <c r="A1798">
        <v>82.742004316669593</v>
      </c>
      <c r="B1798" t="s">
        <v>33</v>
      </c>
    </row>
    <row r="1799" spans="1:2">
      <c r="A1799">
        <v>82.7763043655319</v>
      </c>
      <c r="B1799" t="s">
        <v>33</v>
      </c>
    </row>
    <row r="1800" spans="1:2">
      <c r="A1800">
        <v>83.041079653777601</v>
      </c>
      <c r="B1800" t="s">
        <v>38</v>
      </c>
    </row>
    <row r="1801" spans="1:2">
      <c r="A1801">
        <v>83.574906871499607</v>
      </c>
      <c r="B1801" t="s">
        <v>33</v>
      </c>
    </row>
    <row r="1802" spans="1:2">
      <c r="A1802">
        <v>83.588491869455297</v>
      </c>
      <c r="B1802" t="s">
        <v>38</v>
      </c>
    </row>
    <row r="1803" spans="1:2">
      <c r="A1803">
        <v>83.872811355419401</v>
      </c>
      <c r="B1803" t="s">
        <v>38</v>
      </c>
    </row>
    <row r="1804" spans="1:2">
      <c r="A1804">
        <v>84.196424386658094</v>
      </c>
      <c r="B1804" t="s">
        <v>74</v>
      </c>
    </row>
    <row r="1805" spans="1:2">
      <c r="A1805">
        <v>84.345871008649397</v>
      </c>
      <c r="B1805" t="s">
        <v>38</v>
      </c>
    </row>
    <row r="1806" spans="1:2">
      <c r="A1806">
        <v>84.610096904718205</v>
      </c>
      <c r="B1806" t="s">
        <v>144</v>
      </c>
    </row>
    <row r="1807" spans="1:2">
      <c r="A1807">
        <v>84.664877008211903</v>
      </c>
      <c r="B1807" t="s">
        <v>67</v>
      </c>
    </row>
    <row r="1808" spans="1:2">
      <c r="A1808">
        <v>84.745305978541595</v>
      </c>
      <c r="B1808" t="s">
        <v>33</v>
      </c>
    </row>
    <row r="1809" spans="1:2">
      <c r="A1809">
        <v>84.768750053598296</v>
      </c>
      <c r="B1809" t="s">
        <v>72</v>
      </c>
    </row>
    <row r="1810" spans="1:2">
      <c r="A1810">
        <v>84.861346582477694</v>
      </c>
      <c r="B1810" t="s">
        <v>41</v>
      </c>
    </row>
    <row r="1811" spans="1:2">
      <c r="A1811">
        <v>84.909278569342206</v>
      </c>
      <c r="B1811" t="s">
        <v>33</v>
      </c>
    </row>
    <row r="1812" spans="1:2">
      <c r="A1812">
        <v>85.116301381308304</v>
      </c>
      <c r="B1812" t="s">
        <v>74</v>
      </c>
    </row>
    <row r="1813" spans="1:2">
      <c r="A1813">
        <v>85.313949571847999</v>
      </c>
      <c r="B1813" t="s">
        <v>38</v>
      </c>
    </row>
    <row r="1814" spans="1:2">
      <c r="A1814">
        <v>85.326148765245506</v>
      </c>
      <c r="B1814" t="s">
        <v>38</v>
      </c>
    </row>
    <row r="1815" spans="1:2">
      <c r="A1815">
        <v>85.498968126527501</v>
      </c>
      <c r="B1815" t="s">
        <v>43</v>
      </c>
    </row>
    <row r="1816" spans="1:2">
      <c r="A1816">
        <v>85.964725565170596</v>
      </c>
      <c r="B1816" t="s">
        <v>74</v>
      </c>
    </row>
    <row r="1817" spans="1:2">
      <c r="A1817">
        <v>86.130771009792596</v>
      </c>
      <c r="B1817" t="s">
        <v>33</v>
      </c>
    </row>
    <row r="1818" spans="1:2">
      <c r="A1818">
        <v>86.311846163525601</v>
      </c>
      <c r="B1818" t="s">
        <v>33</v>
      </c>
    </row>
    <row r="1819" spans="1:2">
      <c r="A1819">
        <v>86.339248664124995</v>
      </c>
      <c r="B1819" t="s">
        <v>38</v>
      </c>
    </row>
    <row r="1820" spans="1:2">
      <c r="A1820">
        <v>86.671769868374398</v>
      </c>
      <c r="B1820" t="s">
        <v>331</v>
      </c>
    </row>
    <row r="1821" spans="1:2">
      <c r="A1821">
        <v>86.914882798883696</v>
      </c>
      <c r="B1821" t="s">
        <v>33</v>
      </c>
    </row>
    <row r="1822" spans="1:2">
      <c r="A1822">
        <v>86.975826829170103</v>
      </c>
      <c r="B1822" t="s">
        <v>33</v>
      </c>
    </row>
    <row r="1823" spans="1:2">
      <c r="A1823">
        <v>87.014982594426101</v>
      </c>
      <c r="B1823" t="s">
        <v>298</v>
      </c>
    </row>
    <row r="1824" spans="1:2">
      <c r="A1824">
        <v>87.057381466515096</v>
      </c>
      <c r="B1824" t="s">
        <v>38</v>
      </c>
    </row>
    <row r="1825" spans="1:2">
      <c r="A1825">
        <v>87.078029848640597</v>
      </c>
      <c r="B1825" t="s">
        <v>33</v>
      </c>
    </row>
    <row r="1826" spans="1:2">
      <c r="A1826">
        <v>87.335181011528803</v>
      </c>
      <c r="B1826" t="s">
        <v>33</v>
      </c>
    </row>
    <row r="1827" spans="1:2">
      <c r="A1827">
        <v>87.374175736352498</v>
      </c>
      <c r="B1827" t="s">
        <v>33</v>
      </c>
    </row>
    <row r="1828" spans="1:2">
      <c r="A1828">
        <v>87.585776568055607</v>
      </c>
      <c r="B1828" t="s">
        <v>33</v>
      </c>
    </row>
    <row r="1829" spans="1:2">
      <c r="A1829">
        <v>87.609939682026507</v>
      </c>
      <c r="B1829" t="s">
        <v>49</v>
      </c>
    </row>
    <row r="1830" spans="1:2">
      <c r="A1830">
        <v>87.634776870141494</v>
      </c>
      <c r="B1830" t="s">
        <v>38</v>
      </c>
    </row>
    <row r="1831" spans="1:2">
      <c r="A1831">
        <v>87.672559090634493</v>
      </c>
      <c r="B1831" t="s">
        <v>33</v>
      </c>
    </row>
    <row r="1832" spans="1:2">
      <c r="A1832">
        <v>87.807362881186407</v>
      </c>
      <c r="B1832" t="s">
        <v>43</v>
      </c>
    </row>
    <row r="1833" spans="1:2">
      <c r="A1833">
        <v>88.035518198137495</v>
      </c>
      <c r="B1833" t="s">
        <v>49</v>
      </c>
    </row>
    <row r="1834" spans="1:2">
      <c r="A1834">
        <v>88.253434872860396</v>
      </c>
      <c r="B1834" t="s">
        <v>49</v>
      </c>
    </row>
    <row r="1835" spans="1:2">
      <c r="A1835">
        <v>88.283450131920404</v>
      </c>
      <c r="B1835" t="s">
        <v>33</v>
      </c>
    </row>
    <row r="1836" spans="1:2">
      <c r="A1836">
        <v>88.536031559596395</v>
      </c>
      <c r="B1836" t="s">
        <v>38</v>
      </c>
    </row>
    <row r="1837" spans="1:2">
      <c r="A1837">
        <v>88.596928433581297</v>
      </c>
      <c r="B1837" t="s">
        <v>43</v>
      </c>
    </row>
    <row r="1838" spans="1:2">
      <c r="A1838">
        <v>88.602268267866805</v>
      </c>
      <c r="B1838" t="s">
        <v>41</v>
      </c>
    </row>
    <row r="1839" spans="1:2">
      <c r="A1839">
        <v>88.635368060135093</v>
      </c>
      <c r="B1839" t="s">
        <v>38</v>
      </c>
    </row>
    <row r="1840" spans="1:2">
      <c r="A1840">
        <v>88.766577854870704</v>
      </c>
      <c r="B1840" t="s">
        <v>33</v>
      </c>
    </row>
    <row r="1841" spans="1:2">
      <c r="A1841">
        <v>88.888013990365295</v>
      </c>
      <c r="B1841" t="s">
        <v>38</v>
      </c>
    </row>
    <row r="1842" spans="1:2">
      <c r="A1842">
        <v>89.178149422589101</v>
      </c>
      <c r="B1842" t="s">
        <v>38</v>
      </c>
    </row>
    <row r="1843" spans="1:2">
      <c r="A1843">
        <v>89.304323724387004</v>
      </c>
      <c r="B1843" t="s">
        <v>33</v>
      </c>
    </row>
    <row r="1844" spans="1:2">
      <c r="A1844">
        <v>89.605783594512005</v>
      </c>
      <c r="B1844" t="s">
        <v>38</v>
      </c>
    </row>
    <row r="1845" spans="1:2">
      <c r="A1845">
        <v>90.078668406279903</v>
      </c>
      <c r="B1845" t="s">
        <v>33</v>
      </c>
    </row>
    <row r="1846" spans="1:2">
      <c r="A1846">
        <v>90.107025582450504</v>
      </c>
      <c r="B1846" t="s">
        <v>38</v>
      </c>
    </row>
    <row r="1847" spans="1:2">
      <c r="A1847">
        <v>90.3398471123039</v>
      </c>
      <c r="B1847" t="s">
        <v>38</v>
      </c>
    </row>
    <row r="1848" spans="1:2">
      <c r="A1848">
        <v>90.701521536360502</v>
      </c>
      <c r="B1848" t="s">
        <v>1038</v>
      </c>
    </row>
    <row r="1849" spans="1:2">
      <c r="A1849">
        <v>90.919292609817305</v>
      </c>
      <c r="B1849" t="s">
        <v>38</v>
      </c>
    </row>
    <row r="1850" spans="1:2">
      <c r="A1850">
        <v>90.985874245935193</v>
      </c>
      <c r="B1850" t="s">
        <v>74</v>
      </c>
    </row>
    <row r="1851" spans="1:2">
      <c r="A1851">
        <v>91.647997827030593</v>
      </c>
      <c r="B1851" t="s">
        <v>38</v>
      </c>
    </row>
    <row r="1852" spans="1:2">
      <c r="A1852">
        <v>91.669956884750803</v>
      </c>
      <c r="B1852" t="s">
        <v>33</v>
      </c>
    </row>
    <row r="1853" spans="1:2">
      <c r="A1853">
        <v>91.694446041276294</v>
      </c>
      <c r="B1853" t="s">
        <v>38</v>
      </c>
    </row>
    <row r="1854" spans="1:2">
      <c r="A1854">
        <v>91.813040276271593</v>
      </c>
      <c r="B1854" t="s">
        <v>33</v>
      </c>
    </row>
    <row r="1855" spans="1:2">
      <c r="A1855">
        <v>91.982930145690901</v>
      </c>
      <c r="B1855" t="s">
        <v>74</v>
      </c>
    </row>
    <row r="1856" spans="1:2">
      <c r="A1856">
        <v>92.019955343814104</v>
      </c>
      <c r="B1856" t="s">
        <v>38</v>
      </c>
    </row>
    <row r="1857" spans="1:2">
      <c r="A1857">
        <v>92.271537780762799</v>
      </c>
      <c r="B1857" t="s">
        <v>288</v>
      </c>
    </row>
    <row r="1858" spans="1:2">
      <c r="A1858">
        <v>92.378124806804195</v>
      </c>
      <c r="B1858" t="s">
        <v>33</v>
      </c>
    </row>
    <row r="1859" spans="1:2">
      <c r="A1859">
        <v>92.443655739315304</v>
      </c>
      <c r="B1859" t="s">
        <v>288</v>
      </c>
    </row>
    <row r="1860" spans="1:2">
      <c r="A1860">
        <v>93.0232198762412</v>
      </c>
      <c r="B1860" t="s">
        <v>41</v>
      </c>
    </row>
    <row r="1861" spans="1:2">
      <c r="A1861">
        <v>93.075081640961898</v>
      </c>
      <c r="B1861" t="s">
        <v>38</v>
      </c>
    </row>
    <row r="1862" spans="1:2">
      <c r="A1862">
        <v>93.214253714490695</v>
      </c>
      <c r="B1862" t="s">
        <v>33</v>
      </c>
    </row>
    <row r="1863" spans="1:2">
      <c r="A1863">
        <v>93.233538547369704</v>
      </c>
      <c r="B1863" t="s">
        <v>33</v>
      </c>
    </row>
    <row r="1864" spans="1:2">
      <c r="A1864">
        <v>93.369434262685999</v>
      </c>
      <c r="B1864" t="s">
        <v>33</v>
      </c>
    </row>
    <row r="1865" spans="1:2">
      <c r="A1865">
        <v>93.376527856942204</v>
      </c>
      <c r="B1865" t="s">
        <v>38</v>
      </c>
    </row>
    <row r="1866" spans="1:2">
      <c r="A1866">
        <v>93.692154046123804</v>
      </c>
      <c r="B1866" t="s">
        <v>33</v>
      </c>
    </row>
    <row r="1867" spans="1:2">
      <c r="A1867">
        <v>93.8193174741712</v>
      </c>
      <c r="B1867" t="s">
        <v>33</v>
      </c>
    </row>
    <row r="1868" spans="1:2">
      <c r="A1868">
        <v>93.917095832600296</v>
      </c>
      <c r="B1868" t="s">
        <v>38</v>
      </c>
    </row>
    <row r="1869" spans="1:2">
      <c r="A1869">
        <v>94.025842827923199</v>
      </c>
      <c r="B1869" t="s">
        <v>58</v>
      </c>
    </row>
    <row r="1870" spans="1:2">
      <c r="A1870">
        <v>94.049991750991893</v>
      </c>
      <c r="B1870" t="s">
        <v>33</v>
      </c>
    </row>
    <row r="1871" spans="1:2">
      <c r="A1871">
        <v>94.212835076590594</v>
      </c>
      <c r="B1871" t="s">
        <v>38</v>
      </c>
    </row>
    <row r="1872" spans="1:2">
      <c r="A1872">
        <v>95.365789500597302</v>
      </c>
      <c r="B1872" t="s">
        <v>49</v>
      </c>
    </row>
    <row r="1873" spans="1:2">
      <c r="A1873">
        <v>95.402493642629295</v>
      </c>
      <c r="B1873" t="s">
        <v>38</v>
      </c>
    </row>
    <row r="1874" spans="1:2">
      <c r="A1874">
        <v>95.610547513126406</v>
      </c>
      <c r="B1874" t="s">
        <v>298</v>
      </c>
    </row>
    <row r="1875" spans="1:2">
      <c r="A1875">
        <v>95.849744757622901</v>
      </c>
      <c r="B1875" t="s">
        <v>38</v>
      </c>
    </row>
    <row r="1876" spans="1:2">
      <c r="A1876">
        <v>96.257571743433004</v>
      </c>
      <c r="B1876" t="s">
        <v>38</v>
      </c>
    </row>
    <row r="1877" spans="1:2">
      <c r="A1877">
        <v>96.571620241559003</v>
      </c>
      <c r="B1877" t="s">
        <v>47</v>
      </c>
    </row>
    <row r="1878" spans="1:2">
      <c r="A1878">
        <v>96.947135583498095</v>
      </c>
      <c r="B1878" t="s">
        <v>74</v>
      </c>
    </row>
    <row r="1879" spans="1:2">
      <c r="A1879">
        <v>97.255065906646607</v>
      </c>
      <c r="B1879" t="s">
        <v>1072</v>
      </c>
    </row>
    <row r="1880" spans="1:2">
      <c r="A1880">
        <v>97.532924210708302</v>
      </c>
      <c r="B1880" t="s">
        <v>43</v>
      </c>
    </row>
    <row r="1881" spans="1:2">
      <c r="A1881">
        <v>97.741283611202704</v>
      </c>
      <c r="B1881" t="s">
        <v>47</v>
      </c>
    </row>
    <row r="1882" spans="1:2">
      <c r="A1882">
        <v>97.964499021029496</v>
      </c>
      <c r="B1882" t="s">
        <v>33</v>
      </c>
    </row>
    <row r="1883" spans="1:2">
      <c r="A1883">
        <v>98.047684885956102</v>
      </c>
      <c r="B1883" t="s">
        <v>38</v>
      </c>
    </row>
    <row r="1884" spans="1:2">
      <c r="A1884">
        <v>98.138358154183095</v>
      </c>
      <c r="B1884" t="s">
        <v>33</v>
      </c>
    </row>
    <row r="1885" spans="1:2">
      <c r="A1885">
        <v>98.418529841337303</v>
      </c>
      <c r="B1885" t="s">
        <v>188</v>
      </c>
    </row>
    <row r="1886" spans="1:2">
      <c r="A1886">
        <v>98.439678784787702</v>
      </c>
      <c r="B1886" t="s">
        <v>38</v>
      </c>
    </row>
    <row r="1887" spans="1:2">
      <c r="A1887">
        <v>98.677771513187906</v>
      </c>
      <c r="B1887" t="s">
        <v>33</v>
      </c>
    </row>
    <row r="1888" spans="1:2">
      <c r="A1888">
        <v>98.885632391268402</v>
      </c>
      <c r="B1888" t="s">
        <v>38</v>
      </c>
    </row>
    <row r="1889" spans="1:2">
      <c r="A1889">
        <v>99.102605539536796</v>
      </c>
      <c r="B1889" t="s">
        <v>33</v>
      </c>
    </row>
    <row r="1890" spans="1:2">
      <c r="A1890">
        <v>99.670980820024695</v>
      </c>
      <c r="B1890" t="s">
        <v>38</v>
      </c>
    </row>
    <row r="1891" spans="1:2">
      <c r="A1891">
        <v>99.8474015249936</v>
      </c>
      <c r="B1891" t="s">
        <v>38</v>
      </c>
    </row>
    <row r="1892" spans="1:2">
      <c r="A1892">
        <v>100.340860914213</v>
      </c>
      <c r="B1892" t="s">
        <v>38</v>
      </c>
    </row>
    <row r="1893" spans="1:2">
      <c r="A1893">
        <v>100.43040596143</v>
      </c>
      <c r="B1893" t="s">
        <v>47</v>
      </c>
    </row>
    <row r="1894" spans="1:2">
      <c r="A1894">
        <v>100.475619427293</v>
      </c>
      <c r="B1894" t="s">
        <v>38</v>
      </c>
    </row>
    <row r="1895" spans="1:2">
      <c r="A1895">
        <v>100.97444262204699</v>
      </c>
      <c r="B1895" t="s">
        <v>38</v>
      </c>
    </row>
    <row r="1896" spans="1:2">
      <c r="A1896">
        <v>101.218725795621</v>
      </c>
      <c r="B1896" t="s">
        <v>58</v>
      </c>
    </row>
    <row r="1897" spans="1:2">
      <c r="A1897">
        <v>101.218725795621</v>
      </c>
      <c r="B1897" t="s">
        <v>38</v>
      </c>
    </row>
    <row r="1898" spans="1:2">
      <c r="A1898">
        <v>101.234616512659</v>
      </c>
      <c r="B1898" t="s">
        <v>38</v>
      </c>
    </row>
    <row r="1899" spans="1:2">
      <c r="A1899">
        <v>101.368186877136</v>
      </c>
      <c r="B1899" t="s">
        <v>33</v>
      </c>
    </row>
    <row r="1900" spans="1:2">
      <c r="A1900">
        <v>101.401785260658</v>
      </c>
      <c r="B1900" t="s">
        <v>33</v>
      </c>
    </row>
    <row r="1901" spans="1:2">
      <c r="A1901">
        <v>101.572405204901</v>
      </c>
      <c r="B1901" t="s">
        <v>38</v>
      </c>
    </row>
    <row r="1902" spans="1:2">
      <c r="A1902">
        <v>101.686923308839</v>
      </c>
      <c r="B1902" t="s">
        <v>33</v>
      </c>
    </row>
    <row r="1903" spans="1:2">
      <c r="A1903">
        <v>102.25203802051399</v>
      </c>
      <c r="B1903" t="s">
        <v>33</v>
      </c>
    </row>
    <row r="1904" spans="1:2">
      <c r="A1904">
        <v>102.399066868543</v>
      </c>
      <c r="B1904" t="s">
        <v>74</v>
      </c>
    </row>
    <row r="1905" spans="1:2">
      <c r="A1905">
        <v>102.516353524373</v>
      </c>
      <c r="B1905" t="s">
        <v>38</v>
      </c>
    </row>
    <row r="1906" spans="1:2">
      <c r="A1906">
        <v>102.582787184377</v>
      </c>
      <c r="B1906" t="s">
        <v>38</v>
      </c>
    </row>
    <row r="1907" spans="1:2">
      <c r="A1907">
        <v>102.622442330564</v>
      </c>
      <c r="B1907" t="s">
        <v>38</v>
      </c>
    </row>
    <row r="1908" spans="1:2">
      <c r="A1908">
        <v>102.76986196818</v>
      </c>
      <c r="B1908" t="s">
        <v>38</v>
      </c>
    </row>
    <row r="1909" spans="1:2">
      <c r="A1909">
        <v>102.778148041213</v>
      </c>
      <c r="B1909" t="s">
        <v>33</v>
      </c>
    </row>
    <row r="1910" spans="1:2">
      <c r="A1910">
        <v>102.933618219088</v>
      </c>
      <c r="B1910" t="s">
        <v>38</v>
      </c>
    </row>
    <row r="1911" spans="1:2">
      <c r="A1911">
        <v>103.13198446367601</v>
      </c>
      <c r="B1911" t="s">
        <v>38</v>
      </c>
    </row>
    <row r="1912" spans="1:2">
      <c r="A1912">
        <v>103.19893870028901</v>
      </c>
      <c r="B1912" t="s">
        <v>33</v>
      </c>
    </row>
    <row r="1913" spans="1:2">
      <c r="A1913">
        <v>103.340042339452</v>
      </c>
      <c r="B1913" t="s">
        <v>38</v>
      </c>
    </row>
    <row r="1914" spans="1:2">
      <c r="A1914">
        <v>103.49466844051101</v>
      </c>
      <c r="B1914" t="s">
        <v>38</v>
      </c>
    </row>
    <row r="1915" spans="1:2">
      <c r="A1915">
        <v>103.563215529453</v>
      </c>
      <c r="B1915" t="s">
        <v>38</v>
      </c>
    </row>
    <row r="1916" spans="1:2">
      <c r="A1916">
        <v>103.63902145882</v>
      </c>
      <c r="B1916" t="s">
        <v>33</v>
      </c>
    </row>
    <row r="1917" spans="1:2">
      <c r="A1917">
        <v>103.79229051795799</v>
      </c>
      <c r="B1917" t="s">
        <v>38</v>
      </c>
    </row>
    <row r="1918" spans="1:2">
      <c r="A1918">
        <v>103.819636182369</v>
      </c>
      <c r="B1918" t="s">
        <v>38</v>
      </c>
    </row>
    <row r="1919" spans="1:2">
      <c r="A1919">
        <v>103.990838617858</v>
      </c>
      <c r="B1919" t="s">
        <v>74</v>
      </c>
    </row>
    <row r="1920" spans="1:2">
      <c r="A1920">
        <v>104.083607206427</v>
      </c>
      <c r="B1920" t="s">
        <v>33</v>
      </c>
    </row>
    <row r="1921" spans="1:2">
      <c r="A1921">
        <v>104.82460568059101</v>
      </c>
      <c r="B1921" t="s">
        <v>33</v>
      </c>
    </row>
    <row r="1922" spans="1:2">
      <c r="A1922">
        <v>105.062638809213</v>
      </c>
      <c r="B1922" t="s">
        <v>74</v>
      </c>
    </row>
    <row r="1923" spans="1:2">
      <c r="A1923">
        <v>105.333376368454</v>
      </c>
      <c r="B1923" t="s">
        <v>33</v>
      </c>
    </row>
    <row r="1924" spans="1:2">
      <c r="A1924">
        <v>105.584602004975</v>
      </c>
      <c r="B1924" t="s">
        <v>33</v>
      </c>
    </row>
    <row r="1925" spans="1:2">
      <c r="A1925">
        <v>105.922811448239</v>
      </c>
      <c r="B1925" t="s">
        <v>38</v>
      </c>
    </row>
    <row r="1926" spans="1:2">
      <c r="A1926">
        <v>105.925491330966</v>
      </c>
      <c r="B1926" t="s">
        <v>33</v>
      </c>
    </row>
    <row r="1927" spans="1:2">
      <c r="A1927">
        <v>106.354292502853</v>
      </c>
      <c r="B1927" t="s">
        <v>38</v>
      </c>
    </row>
    <row r="1928" spans="1:2">
      <c r="A1928">
        <v>106.514314766772</v>
      </c>
      <c r="B1928" t="s">
        <v>38</v>
      </c>
    </row>
    <row r="1929" spans="1:2">
      <c r="A1929">
        <v>106.732623860061</v>
      </c>
      <c r="B1929" t="s">
        <v>33</v>
      </c>
    </row>
    <row r="1930" spans="1:2">
      <c r="A1930">
        <v>107.144066238976</v>
      </c>
      <c r="B1930" t="s">
        <v>33</v>
      </c>
    </row>
    <row r="1931" spans="1:2">
      <c r="A1931">
        <v>107.338177557856</v>
      </c>
      <c r="B1931" t="s">
        <v>38</v>
      </c>
    </row>
    <row r="1932" spans="1:2">
      <c r="A1932">
        <v>107.405152667363</v>
      </c>
      <c r="B1932" t="s">
        <v>61</v>
      </c>
    </row>
    <row r="1933" spans="1:2">
      <c r="A1933">
        <v>107.658574975817</v>
      </c>
      <c r="B1933" t="s">
        <v>33</v>
      </c>
    </row>
    <row r="1934" spans="1:2">
      <c r="A1934">
        <v>108.343697045664</v>
      </c>
      <c r="B1934" t="s">
        <v>893</v>
      </c>
    </row>
    <row r="1935" spans="1:2">
      <c r="A1935">
        <v>108.76557469257401</v>
      </c>
      <c r="B1935" t="s">
        <v>33</v>
      </c>
    </row>
    <row r="1936" spans="1:2">
      <c r="A1936">
        <v>108.872526888628</v>
      </c>
      <c r="B1936" t="s">
        <v>38</v>
      </c>
    </row>
    <row r="1937" spans="1:2">
      <c r="A1937">
        <v>108.996737755806</v>
      </c>
      <c r="B1937" t="s">
        <v>188</v>
      </c>
    </row>
    <row r="1938" spans="1:2">
      <c r="A1938">
        <v>109.191021810881</v>
      </c>
      <c r="B1938" t="s">
        <v>49</v>
      </c>
    </row>
    <row r="1939" spans="1:2">
      <c r="A1939">
        <v>109.252530807374</v>
      </c>
      <c r="B1939" t="s">
        <v>38</v>
      </c>
    </row>
    <row r="1940" spans="1:2">
      <c r="A1940">
        <v>109.556103138522</v>
      </c>
      <c r="B1940" t="s">
        <v>49</v>
      </c>
    </row>
    <row r="1941" spans="1:2">
      <c r="A1941">
        <v>109.892422185876</v>
      </c>
      <c r="B1941" t="s">
        <v>38</v>
      </c>
    </row>
    <row r="1942" spans="1:2">
      <c r="A1942">
        <v>109.966446430847</v>
      </c>
      <c r="B1942" t="s">
        <v>47</v>
      </c>
    </row>
    <row r="1943" spans="1:2">
      <c r="A1943">
        <v>110.049019332612</v>
      </c>
      <c r="B1943" t="s">
        <v>33</v>
      </c>
    </row>
    <row r="1944" spans="1:2">
      <c r="A1944">
        <v>110.304945632938</v>
      </c>
      <c r="B1944" t="s">
        <v>38</v>
      </c>
    </row>
    <row r="1945" spans="1:2">
      <c r="A1945">
        <v>110.314381214085</v>
      </c>
      <c r="B1945" t="s">
        <v>38</v>
      </c>
    </row>
    <row r="1946" spans="1:2">
      <c r="A1946">
        <v>110.60734046122801</v>
      </c>
      <c r="B1946" t="s">
        <v>38</v>
      </c>
    </row>
    <row r="1947" spans="1:2">
      <c r="A1947">
        <v>110.63471216449101</v>
      </c>
      <c r="B1947" t="s">
        <v>38</v>
      </c>
    </row>
    <row r="1948" spans="1:2">
      <c r="A1948">
        <v>110.64497480749</v>
      </c>
      <c r="B1948" t="s">
        <v>43</v>
      </c>
    </row>
    <row r="1949" spans="1:2">
      <c r="A1949">
        <v>110.979699291667</v>
      </c>
      <c r="B1949" t="s">
        <v>33</v>
      </c>
    </row>
    <row r="1950" spans="1:2">
      <c r="A1950">
        <v>111.013798104722</v>
      </c>
      <c r="B1950" t="s">
        <v>38</v>
      </c>
    </row>
    <row r="1951" spans="1:2">
      <c r="A1951">
        <v>111.37205492205401</v>
      </c>
      <c r="B1951" t="s">
        <v>38</v>
      </c>
    </row>
    <row r="1952" spans="1:2">
      <c r="A1952">
        <v>111.405184302433</v>
      </c>
      <c r="B1952" t="s">
        <v>38</v>
      </c>
    </row>
    <row r="1953" spans="1:2">
      <c r="A1953">
        <v>111.41367742854</v>
      </c>
      <c r="B1953" t="s">
        <v>38</v>
      </c>
    </row>
    <row r="1954" spans="1:2">
      <c r="A1954">
        <v>111.69443543816099</v>
      </c>
      <c r="B1954" t="s">
        <v>38</v>
      </c>
    </row>
    <row r="1955" spans="1:2">
      <c r="A1955">
        <v>111.879806471946</v>
      </c>
      <c r="B1955" t="s">
        <v>38</v>
      </c>
    </row>
    <row r="1956" spans="1:2">
      <c r="A1956">
        <v>112.087665878179</v>
      </c>
      <c r="B1956" t="s">
        <v>38</v>
      </c>
    </row>
    <row r="1957" spans="1:2">
      <c r="A1957">
        <v>112.14421123826899</v>
      </c>
      <c r="B1957" t="s">
        <v>38</v>
      </c>
    </row>
    <row r="1958" spans="1:2">
      <c r="A1958">
        <v>112.199884775428</v>
      </c>
      <c r="B1958" t="s">
        <v>47</v>
      </c>
    </row>
    <row r="1959" spans="1:2">
      <c r="A1959">
        <v>113.040905231995</v>
      </c>
      <c r="B1959" t="s">
        <v>38</v>
      </c>
    </row>
    <row r="1960" spans="1:2">
      <c r="A1960">
        <v>113.813378618377</v>
      </c>
      <c r="B1960" t="s">
        <v>38</v>
      </c>
    </row>
    <row r="1961" spans="1:2">
      <c r="A1961">
        <v>113.869897987283</v>
      </c>
      <c r="B1961" t="s">
        <v>33</v>
      </c>
    </row>
    <row r="1962" spans="1:2">
      <c r="A1962">
        <v>114.48729014687</v>
      </c>
      <c r="B1962" t="s">
        <v>211</v>
      </c>
    </row>
    <row r="1963" spans="1:2">
      <c r="A1963">
        <v>114.999388811136</v>
      </c>
      <c r="B1963" t="s">
        <v>38</v>
      </c>
    </row>
    <row r="1964" spans="1:2">
      <c r="A1964">
        <v>115.250890429983</v>
      </c>
      <c r="B1964" t="s">
        <v>38</v>
      </c>
    </row>
    <row r="1965" spans="1:2">
      <c r="A1965">
        <v>115.408415532779</v>
      </c>
      <c r="B1965" t="s">
        <v>33</v>
      </c>
    </row>
    <row r="1966" spans="1:2">
      <c r="A1966">
        <v>115.77268871617299</v>
      </c>
      <c r="B1966" t="s">
        <v>38</v>
      </c>
    </row>
    <row r="1967" spans="1:2">
      <c r="A1967">
        <v>115.83560399764301</v>
      </c>
      <c r="B1967" t="s">
        <v>33</v>
      </c>
    </row>
    <row r="1968" spans="1:2">
      <c r="A1968">
        <v>115.868273777881</v>
      </c>
      <c r="B1968" t="s">
        <v>38</v>
      </c>
    </row>
    <row r="1969" spans="1:2">
      <c r="A1969">
        <v>116.48400953507</v>
      </c>
      <c r="B1969" t="s">
        <v>33</v>
      </c>
    </row>
    <row r="1970" spans="1:2">
      <c r="A1970">
        <v>116.568459438053</v>
      </c>
      <c r="B1970" t="s">
        <v>298</v>
      </c>
    </row>
    <row r="1971" spans="1:2">
      <c r="A1971">
        <v>117.06498885050399</v>
      </c>
      <c r="B1971" t="s">
        <v>33</v>
      </c>
    </row>
    <row r="1972" spans="1:2">
      <c r="A1972">
        <v>117.700191144632</v>
      </c>
      <c r="B1972" t="s">
        <v>61</v>
      </c>
    </row>
    <row r="1973" spans="1:2">
      <c r="A1973">
        <v>118.34637615086601</v>
      </c>
      <c r="B1973" t="s">
        <v>67</v>
      </c>
    </row>
    <row r="1974" spans="1:2">
      <c r="A1974">
        <v>118.535713217739</v>
      </c>
      <c r="B1974" t="s">
        <v>33</v>
      </c>
    </row>
    <row r="1975" spans="1:2">
      <c r="A1975">
        <v>118.63545282370499</v>
      </c>
      <c r="B1975" t="s">
        <v>38</v>
      </c>
    </row>
    <row r="1976" spans="1:2">
      <c r="A1976">
        <v>118.833088398149</v>
      </c>
      <c r="B1976" t="s">
        <v>38</v>
      </c>
    </row>
    <row r="1977" spans="1:2">
      <c r="A1977">
        <v>118.962807153828</v>
      </c>
      <c r="B1977" t="s">
        <v>38</v>
      </c>
    </row>
    <row r="1978" spans="1:2">
      <c r="A1978">
        <v>119.49611162714901</v>
      </c>
      <c r="B1978" t="s">
        <v>38</v>
      </c>
    </row>
    <row r="1979" spans="1:2">
      <c r="A1979">
        <v>119.773723917604</v>
      </c>
      <c r="B1979" t="s">
        <v>38</v>
      </c>
    </row>
    <row r="1980" spans="1:2">
      <c r="A1980">
        <v>119.91268359129501</v>
      </c>
      <c r="B1980" t="s">
        <v>33</v>
      </c>
    </row>
    <row r="1981" spans="1:2">
      <c r="A1981">
        <v>120.102702790314</v>
      </c>
      <c r="B1981" t="s">
        <v>38</v>
      </c>
    </row>
    <row r="1982" spans="1:2">
      <c r="A1982">
        <v>120.960744349366</v>
      </c>
      <c r="B1982" t="s">
        <v>41</v>
      </c>
    </row>
    <row r="1983" spans="1:2">
      <c r="A1983">
        <v>121.270119360658</v>
      </c>
      <c r="B1983" t="s">
        <v>38</v>
      </c>
    </row>
    <row r="1984" spans="1:2">
      <c r="A1984">
        <v>121.34500057764799</v>
      </c>
      <c r="B1984" t="s">
        <v>38</v>
      </c>
    </row>
    <row r="1985" spans="1:2">
      <c r="A1985">
        <v>121.423732008931</v>
      </c>
      <c r="B1985" t="s">
        <v>33</v>
      </c>
    </row>
    <row r="1986" spans="1:2">
      <c r="A1986">
        <v>122.396258153833</v>
      </c>
      <c r="B1986" t="s">
        <v>38</v>
      </c>
    </row>
    <row r="1987" spans="1:2">
      <c r="A1987">
        <v>123.661427008836</v>
      </c>
      <c r="B1987" t="s">
        <v>298</v>
      </c>
    </row>
    <row r="1988" spans="1:2">
      <c r="A1988">
        <v>124.21569487342001</v>
      </c>
      <c r="B1988" t="s">
        <v>38</v>
      </c>
    </row>
    <row r="1989" spans="1:2">
      <c r="A1989">
        <v>124.554212813826</v>
      </c>
      <c r="B1989" t="s">
        <v>33</v>
      </c>
    </row>
    <row r="1990" spans="1:2">
      <c r="A1990">
        <v>124.847105201424</v>
      </c>
      <c r="B1990" t="s">
        <v>33</v>
      </c>
    </row>
    <row r="1991" spans="1:2">
      <c r="A1991">
        <v>126.079429430087</v>
      </c>
      <c r="B1991" t="s">
        <v>38</v>
      </c>
    </row>
    <row r="1992" spans="1:2">
      <c r="A1992">
        <v>126.82993780336</v>
      </c>
      <c r="B1992" t="s">
        <v>33</v>
      </c>
    </row>
    <row r="1993" spans="1:2">
      <c r="A1993">
        <v>128.604314837766</v>
      </c>
      <c r="B1993" t="s">
        <v>38</v>
      </c>
    </row>
    <row r="1994" spans="1:2">
      <c r="A1994">
        <v>128.68154605908001</v>
      </c>
      <c r="B1994" t="s">
        <v>188</v>
      </c>
    </row>
    <row r="1995" spans="1:2">
      <c r="A1995">
        <v>128.845416899409</v>
      </c>
      <c r="B1995" t="s">
        <v>33</v>
      </c>
    </row>
    <row r="1996" spans="1:2">
      <c r="A1996">
        <v>129.09999508748299</v>
      </c>
      <c r="B1996" t="s">
        <v>38</v>
      </c>
    </row>
    <row r="1997" spans="1:2">
      <c r="A1997">
        <v>129.73899567690401</v>
      </c>
      <c r="B1997" t="s">
        <v>38</v>
      </c>
    </row>
    <row r="1998" spans="1:2">
      <c r="A1998">
        <v>129.85199129768799</v>
      </c>
      <c r="B1998" t="s">
        <v>38</v>
      </c>
    </row>
    <row r="1999" spans="1:2">
      <c r="A1999">
        <v>129.85344866314901</v>
      </c>
      <c r="B1999" t="s">
        <v>38</v>
      </c>
    </row>
    <row r="2000" spans="1:2">
      <c r="A2000">
        <v>130.448871361817</v>
      </c>
      <c r="B2000" t="s">
        <v>38</v>
      </c>
    </row>
    <row r="2001" spans="1:2">
      <c r="A2001">
        <v>130.68657046790599</v>
      </c>
      <c r="B2001" t="s">
        <v>49</v>
      </c>
    </row>
    <row r="2002" spans="1:2">
      <c r="A2002">
        <v>131.520889813883</v>
      </c>
      <c r="B2002" t="s">
        <v>47</v>
      </c>
    </row>
    <row r="2003" spans="1:2">
      <c r="A2003">
        <v>131.78106986998901</v>
      </c>
      <c r="B2003" t="s">
        <v>38</v>
      </c>
    </row>
    <row r="2004" spans="1:2">
      <c r="A2004">
        <v>132.00920274161999</v>
      </c>
      <c r="B2004" t="s">
        <v>33</v>
      </c>
    </row>
    <row r="2005" spans="1:2">
      <c r="A2005">
        <v>132.039304030973</v>
      </c>
      <c r="B2005" t="s">
        <v>33</v>
      </c>
    </row>
    <row r="2006" spans="1:2">
      <c r="A2006">
        <v>132.06151724832</v>
      </c>
      <c r="B2006" t="s">
        <v>38</v>
      </c>
    </row>
    <row r="2007" spans="1:2">
      <c r="A2007">
        <v>132.147468693994</v>
      </c>
      <c r="B2007" t="s">
        <v>38</v>
      </c>
    </row>
    <row r="2008" spans="1:2">
      <c r="A2008">
        <v>132.99894821073701</v>
      </c>
      <c r="B2008" t="s">
        <v>38</v>
      </c>
    </row>
    <row r="2009" spans="1:2">
      <c r="A2009">
        <v>133.00890806758301</v>
      </c>
      <c r="B2009" t="s">
        <v>41</v>
      </c>
    </row>
    <row r="2010" spans="1:2">
      <c r="A2010">
        <v>133.19942460187701</v>
      </c>
      <c r="B2010" t="s">
        <v>33</v>
      </c>
    </row>
    <row r="2011" spans="1:2">
      <c r="A2011">
        <v>133.430096480347</v>
      </c>
      <c r="B2011" t="s">
        <v>38</v>
      </c>
    </row>
    <row r="2012" spans="1:2">
      <c r="A2012">
        <v>133.56476628175199</v>
      </c>
      <c r="B2012" t="s">
        <v>49</v>
      </c>
    </row>
    <row r="2013" spans="1:2">
      <c r="A2013">
        <v>134.08092364837299</v>
      </c>
      <c r="B2013" t="s">
        <v>38</v>
      </c>
    </row>
    <row r="2014" spans="1:2">
      <c r="A2014">
        <v>134.292467946475</v>
      </c>
      <c r="B2014" t="s">
        <v>33</v>
      </c>
    </row>
    <row r="2015" spans="1:2">
      <c r="A2015">
        <v>134.534629349298</v>
      </c>
      <c r="B2015" t="s">
        <v>33</v>
      </c>
    </row>
    <row r="2016" spans="1:2">
      <c r="A2016">
        <v>135.161938500453</v>
      </c>
      <c r="B2016" t="s">
        <v>38</v>
      </c>
    </row>
    <row r="2017" spans="1:2">
      <c r="A2017">
        <v>135.52757520070099</v>
      </c>
      <c r="B2017" t="s">
        <v>38</v>
      </c>
    </row>
    <row r="2018" spans="1:2">
      <c r="A2018">
        <v>136.30173040101201</v>
      </c>
      <c r="B2018" t="s">
        <v>830</v>
      </c>
    </row>
    <row r="2019" spans="1:2">
      <c r="A2019">
        <v>136.736304576679</v>
      </c>
      <c r="B2019" t="s">
        <v>49</v>
      </c>
    </row>
    <row r="2020" spans="1:2">
      <c r="A2020">
        <v>136.89606309922499</v>
      </c>
      <c r="B2020" t="s">
        <v>33</v>
      </c>
    </row>
    <row r="2021" spans="1:2">
      <c r="A2021">
        <v>137.425184637782</v>
      </c>
      <c r="B2021" t="s">
        <v>38</v>
      </c>
    </row>
    <row r="2022" spans="1:2">
      <c r="A2022">
        <v>137.91386098835599</v>
      </c>
      <c r="B2022" t="s">
        <v>38</v>
      </c>
    </row>
    <row r="2023" spans="1:2">
      <c r="A2023">
        <v>138.266061951132</v>
      </c>
      <c r="B2023" t="s">
        <v>33</v>
      </c>
    </row>
    <row r="2024" spans="1:2">
      <c r="A2024">
        <v>138.34405507487801</v>
      </c>
      <c r="B2024" t="s">
        <v>38</v>
      </c>
    </row>
    <row r="2025" spans="1:2">
      <c r="A2025">
        <v>138.93441854487301</v>
      </c>
      <c r="B2025" t="s">
        <v>33</v>
      </c>
    </row>
    <row r="2026" spans="1:2">
      <c r="A2026">
        <v>139.296945787319</v>
      </c>
      <c r="B2026" t="s">
        <v>188</v>
      </c>
    </row>
    <row r="2027" spans="1:2">
      <c r="A2027">
        <v>139.83931278799801</v>
      </c>
      <c r="B2027" t="s">
        <v>38</v>
      </c>
    </row>
    <row r="2028" spans="1:2">
      <c r="A2028">
        <v>139.95632324903301</v>
      </c>
      <c r="B2028" t="s">
        <v>38</v>
      </c>
    </row>
    <row r="2029" spans="1:2">
      <c r="A2029">
        <v>140.644232529997</v>
      </c>
      <c r="B2029" t="s">
        <v>101</v>
      </c>
    </row>
    <row r="2030" spans="1:2">
      <c r="A2030">
        <v>141.28995641624101</v>
      </c>
      <c r="B2030" t="s">
        <v>38</v>
      </c>
    </row>
    <row r="2031" spans="1:2">
      <c r="A2031">
        <v>141.28995641624101</v>
      </c>
      <c r="B2031" t="s">
        <v>33</v>
      </c>
    </row>
    <row r="2032" spans="1:2">
      <c r="A2032">
        <v>141.35624085321501</v>
      </c>
      <c r="B2032" t="s">
        <v>38</v>
      </c>
    </row>
    <row r="2033" spans="1:2">
      <c r="A2033">
        <v>141.92140886941201</v>
      </c>
      <c r="B2033" t="s">
        <v>38</v>
      </c>
    </row>
    <row r="2034" spans="1:2">
      <c r="A2034">
        <v>142.32819006981001</v>
      </c>
      <c r="B2034" t="s">
        <v>38</v>
      </c>
    </row>
    <row r="2035" spans="1:2">
      <c r="A2035">
        <v>142.407945118416</v>
      </c>
      <c r="B2035" t="s">
        <v>38</v>
      </c>
    </row>
    <row r="2036" spans="1:2">
      <c r="A2036">
        <v>144.98915435313401</v>
      </c>
      <c r="B2036" t="s">
        <v>830</v>
      </c>
    </row>
    <row r="2037" spans="1:2">
      <c r="A2037">
        <v>146.15848521961499</v>
      </c>
      <c r="B2037" t="s">
        <v>288</v>
      </c>
    </row>
    <row r="2038" spans="1:2">
      <c r="A2038">
        <v>146.27302823670999</v>
      </c>
      <c r="B2038" t="s">
        <v>43</v>
      </c>
    </row>
    <row r="2039" spans="1:2">
      <c r="A2039">
        <v>146.56448179398001</v>
      </c>
      <c r="B2039" t="s">
        <v>38</v>
      </c>
    </row>
    <row r="2040" spans="1:2">
      <c r="A2040">
        <v>146.685803617609</v>
      </c>
      <c r="B2040" t="s">
        <v>74</v>
      </c>
    </row>
    <row r="2041" spans="1:2">
      <c r="A2041">
        <v>146.723857338285</v>
      </c>
      <c r="B2041" t="s">
        <v>33</v>
      </c>
    </row>
    <row r="2042" spans="1:2">
      <c r="A2042">
        <v>146.89916396168601</v>
      </c>
      <c r="B2042" t="s">
        <v>38</v>
      </c>
    </row>
    <row r="2043" spans="1:2">
      <c r="A2043">
        <v>148.575913943535</v>
      </c>
      <c r="B2043" t="s">
        <v>38</v>
      </c>
    </row>
    <row r="2044" spans="1:2">
      <c r="A2044">
        <v>149.00453650135699</v>
      </c>
      <c r="B2044" t="s">
        <v>49</v>
      </c>
    </row>
    <row r="2045" spans="1:2">
      <c r="A2045">
        <v>149.40659917501901</v>
      </c>
      <c r="B2045" t="s">
        <v>38</v>
      </c>
    </row>
    <row r="2046" spans="1:2">
      <c r="A2046">
        <v>149.81516201818599</v>
      </c>
      <c r="B2046" t="s">
        <v>38</v>
      </c>
    </row>
    <row r="2047" spans="1:2">
      <c r="A2047">
        <v>149.895352212539</v>
      </c>
      <c r="B2047" t="s">
        <v>49</v>
      </c>
    </row>
    <row r="2048" spans="1:2">
      <c r="A2048">
        <v>151.20890916711301</v>
      </c>
      <c r="B2048" t="s">
        <v>49</v>
      </c>
    </row>
    <row r="2049" spans="1:2">
      <c r="A2049">
        <v>151.25082969604901</v>
      </c>
      <c r="B2049" t="s">
        <v>38</v>
      </c>
    </row>
    <row r="2050" spans="1:2">
      <c r="A2050">
        <v>151.30211961177599</v>
      </c>
      <c r="B2050" t="s">
        <v>38</v>
      </c>
    </row>
    <row r="2051" spans="1:2">
      <c r="A2051">
        <v>152.116052220982</v>
      </c>
      <c r="B2051" t="s">
        <v>33</v>
      </c>
    </row>
    <row r="2052" spans="1:2">
      <c r="A2052">
        <v>152.570702048383</v>
      </c>
      <c r="B2052" t="s">
        <v>38</v>
      </c>
    </row>
    <row r="2053" spans="1:2">
      <c r="A2053">
        <v>153.01348886618001</v>
      </c>
      <c r="B2053" t="s">
        <v>38</v>
      </c>
    </row>
    <row r="2054" spans="1:2">
      <c r="A2054">
        <v>153.79560375095701</v>
      </c>
      <c r="B2054" t="s">
        <v>38</v>
      </c>
    </row>
    <row r="2055" spans="1:2">
      <c r="A2055">
        <v>154.19621942131701</v>
      </c>
      <c r="B2055" t="s">
        <v>38</v>
      </c>
    </row>
    <row r="2056" spans="1:2">
      <c r="A2056">
        <v>154.21524118183501</v>
      </c>
      <c r="B2056" t="s">
        <v>38</v>
      </c>
    </row>
    <row r="2057" spans="1:2">
      <c r="A2057">
        <v>154.282718826126</v>
      </c>
      <c r="B2057" t="s">
        <v>38</v>
      </c>
    </row>
    <row r="2058" spans="1:2">
      <c r="A2058">
        <v>155.315126547375</v>
      </c>
      <c r="B2058" t="s">
        <v>74</v>
      </c>
    </row>
    <row r="2059" spans="1:2">
      <c r="A2059">
        <v>156.38307690193199</v>
      </c>
      <c r="B2059" t="s">
        <v>49</v>
      </c>
    </row>
    <row r="2060" spans="1:2">
      <c r="A2060">
        <v>156.397597712292</v>
      </c>
      <c r="B2060" t="s">
        <v>33</v>
      </c>
    </row>
    <row r="2061" spans="1:2">
      <c r="A2061">
        <v>156.520970210028</v>
      </c>
      <c r="B2061" t="s">
        <v>38</v>
      </c>
    </row>
    <row r="2062" spans="1:2">
      <c r="A2062">
        <v>157.00264305130199</v>
      </c>
      <c r="B2062" t="s">
        <v>38</v>
      </c>
    </row>
    <row r="2063" spans="1:2">
      <c r="A2063">
        <v>157.215656542761</v>
      </c>
      <c r="B2063" t="s">
        <v>43</v>
      </c>
    </row>
    <row r="2064" spans="1:2">
      <c r="A2064">
        <v>157.64978671832301</v>
      </c>
      <c r="B2064" t="s">
        <v>38</v>
      </c>
    </row>
    <row r="2065" spans="1:2">
      <c r="A2065">
        <v>157.95259700704099</v>
      </c>
      <c r="B2065" t="s">
        <v>49</v>
      </c>
    </row>
    <row r="2066" spans="1:2">
      <c r="A2066">
        <v>158.24466316886901</v>
      </c>
      <c r="B2066" t="s">
        <v>47</v>
      </c>
    </row>
    <row r="2067" spans="1:2">
      <c r="A2067">
        <v>159.520910510448</v>
      </c>
      <c r="B2067" t="s">
        <v>38</v>
      </c>
    </row>
    <row r="2068" spans="1:2">
      <c r="A2068">
        <v>160.81877456451701</v>
      </c>
      <c r="B2068" t="s">
        <v>298</v>
      </c>
    </row>
    <row r="2069" spans="1:2">
      <c r="A2069">
        <v>163.35470148542299</v>
      </c>
      <c r="B2069" t="s">
        <v>38</v>
      </c>
    </row>
    <row r="2070" spans="1:2">
      <c r="A2070">
        <v>164.316880196303</v>
      </c>
      <c r="B2070" t="s">
        <v>38</v>
      </c>
    </row>
    <row r="2071" spans="1:2">
      <c r="A2071">
        <v>165.73939988995599</v>
      </c>
      <c r="B2071" t="s">
        <v>38</v>
      </c>
    </row>
    <row r="2072" spans="1:2">
      <c r="A2072">
        <v>165.96361385397299</v>
      </c>
      <c r="B2072" t="s">
        <v>38</v>
      </c>
    </row>
    <row r="2073" spans="1:2">
      <c r="A2073">
        <v>166.37587854240499</v>
      </c>
      <c r="B2073" t="s">
        <v>38</v>
      </c>
    </row>
    <row r="2074" spans="1:2">
      <c r="A2074">
        <v>167.558030502473</v>
      </c>
      <c r="B2074" t="s">
        <v>33</v>
      </c>
    </row>
    <row r="2075" spans="1:2">
      <c r="A2075">
        <v>168.12629300023701</v>
      </c>
      <c r="B2075" t="s">
        <v>38</v>
      </c>
    </row>
    <row r="2076" spans="1:2">
      <c r="A2076">
        <v>168.46700441547799</v>
      </c>
      <c r="B2076" t="s">
        <v>33</v>
      </c>
    </row>
    <row r="2077" spans="1:2">
      <c r="A2077">
        <v>170.71992936524799</v>
      </c>
      <c r="B2077" t="s">
        <v>38</v>
      </c>
    </row>
    <row r="2078" spans="1:2">
      <c r="A2078">
        <v>171.41630918548401</v>
      </c>
      <c r="B2078" t="s">
        <v>188</v>
      </c>
    </row>
    <row r="2079" spans="1:2">
      <c r="A2079">
        <v>172.203307502592</v>
      </c>
      <c r="B2079" t="s">
        <v>38</v>
      </c>
    </row>
    <row r="2080" spans="1:2">
      <c r="A2080">
        <v>174.18756906190399</v>
      </c>
      <c r="B2080" t="s">
        <v>38</v>
      </c>
    </row>
    <row r="2081" spans="1:2">
      <c r="A2081">
        <v>174.25600080689401</v>
      </c>
      <c r="B2081" t="s">
        <v>33</v>
      </c>
    </row>
    <row r="2082" spans="1:2">
      <c r="A2082">
        <v>180.78911378940001</v>
      </c>
      <c r="B2082" t="s">
        <v>211</v>
      </c>
    </row>
    <row r="2083" spans="1:2">
      <c r="A2083">
        <v>181.555288972379</v>
      </c>
      <c r="B2083" t="s">
        <v>38</v>
      </c>
    </row>
    <row r="2084" spans="1:2">
      <c r="A2084">
        <v>185.44737294019001</v>
      </c>
      <c r="B2084" t="s">
        <v>38</v>
      </c>
    </row>
    <row r="2085" spans="1:2">
      <c r="A2085">
        <v>186.52897488137199</v>
      </c>
      <c r="B2085" t="s">
        <v>38</v>
      </c>
    </row>
    <row r="2086" spans="1:2">
      <c r="A2086">
        <v>186.84018195230999</v>
      </c>
      <c r="B2086" t="s">
        <v>331</v>
      </c>
    </row>
    <row r="2087" spans="1:2">
      <c r="A2087">
        <v>189.78083049058401</v>
      </c>
      <c r="B2087" t="s">
        <v>38</v>
      </c>
    </row>
    <row r="2088" spans="1:2">
      <c r="A2088">
        <v>190.09003836123799</v>
      </c>
      <c r="B2088" t="s">
        <v>38</v>
      </c>
    </row>
    <row r="2089" spans="1:2">
      <c r="A2089">
        <v>190.58020923797099</v>
      </c>
      <c r="B2089" t="s">
        <v>38</v>
      </c>
    </row>
    <row r="2090" spans="1:2">
      <c r="A2090">
        <v>192.593767632386</v>
      </c>
      <c r="B2090" t="s">
        <v>33</v>
      </c>
    </row>
    <row r="2091" spans="1:2">
      <c r="A2091">
        <v>194.40843504942401</v>
      </c>
      <c r="B2091" t="s">
        <v>38</v>
      </c>
    </row>
    <row r="2092" spans="1:2">
      <c r="A2092">
        <v>196.12335437778799</v>
      </c>
      <c r="B2092" t="s">
        <v>38</v>
      </c>
    </row>
    <row r="2093" spans="1:2">
      <c r="A2093">
        <v>200.56569928630199</v>
      </c>
      <c r="B2093" t="s">
        <v>38</v>
      </c>
    </row>
    <row r="2094" spans="1:2">
      <c r="A2094">
        <v>200.58506827187099</v>
      </c>
      <c r="B2094" t="s">
        <v>38</v>
      </c>
    </row>
    <row r="2095" spans="1:2">
      <c r="A2095">
        <v>201.73324101770899</v>
      </c>
      <c r="B2095" t="s">
        <v>38</v>
      </c>
    </row>
    <row r="2096" spans="1:2">
      <c r="A2096">
        <v>206.95070714068399</v>
      </c>
      <c r="B2096" t="s">
        <v>38</v>
      </c>
    </row>
    <row r="2097" spans="1:2">
      <c r="A2097">
        <v>207.65749960674501</v>
      </c>
      <c r="B2097" t="s">
        <v>298</v>
      </c>
    </row>
    <row r="2098" spans="1:2">
      <c r="A2098">
        <v>213.597742502345</v>
      </c>
      <c r="B2098" t="s">
        <v>38</v>
      </c>
    </row>
    <row r="2099" spans="1:2">
      <c r="A2099">
        <v>222.55541924726899</v>
      </c>
      <c r="B2099" t="s">
        <v>33</v>
      </c>
    </row>
    <row r="2100" spans="1:2">
      <c r="A2100">
        <v>227.96778063076599</v>
      </c>
      <c r="B2100" t="s">
        <v>38</v>
      </c>
    </row>
    <row r="2101" spans="1:2">
      <c r="A2101">
        <v>232.07333483685099</v>
      </c>
      <c r="B2101" t="s">
        <v>43</v>
      </c>
    </row>
    <row r="2102" spans="1:2">
      <c r="A2102">
        <v>234.223630071298</v>
      </c>
      <c r="B2102" t="s">
        <v>38</v>
      </c>
    </row>
    <row r="2103" spans="1:2">
      <c r="A2103">
        <v>234.3844480034</v>
      </c>
      <c r="B2103" t="s">
        <v>74</v>
      </c>
    </row>
    <row r="2104" spans="1:2">
      <c r="A2104">
        <v>241.343106337081</v>
      </c>
      <c r="B2104" t="s">
        <v>38</v>
      </c>
    </row>
    <row r="2105" spans="1:2">
      <c r="A2105">
        <v>246.53858271433899</v>
      </c>
      <c r="B2105" t="s">
        <v>1038</v>
      </c>
    </row>
    <row r="2106" spans="1:2">
      <c r="A2106">
        <v>253.571680219077</v>
      </c>
      <c r="B2106" t="s">
        <v>38</v>
      </c>
    </row>
    <row r="2107" spans="1:2">
      <c r="A2107">
        <v>255.38538658086699</v>
      </c>
      <c r="B2107" t="s">
        <v>38</v>
      </c>
    </row>
    <row r="2108" spans="1:2">
      <c r="A2108">
        <v>257.866118797708</v>
      </c>
      <c r="B2108" t="s">
        <v>38</v>
      </c>
    </row>
    <row r="2109" spans="1:2">
      <c r="A2109">
        <v>260.99485750361299</v>
      </c>
      <c r="B2109" t="s">
        <v>38</v>
      </c>
    </row>
    <row r="2110" spans="1:2">
      <c r="A2110">
        <v>262.51493359195899</v>
      </c>
      <c r="B2110" t="s">
        <v>33</v>
      </c>
    </row>
    <row r="2111" spans="1:2">
      <c r="A2111">
        <v>265.588913131418</v>
      </c>
      <c r="B2111" t="s">
        <v>38</v>
      </c>
    </row>
    <row r="2112" spans="1:2">
      <c r="A2112">
        <v>273.093402214082</v>
      </c>
      <c r="B2112" t="s">
        <v>47</v>
      </c>
    </row>
    <row r="2113" spans="1:2">
      <c r="A2113">
        <v>273.26818200938999</v>
      </c>
      <c r="B2113" t="s">
        <v>33</v>
      </c>
    </row>
    <row r="2114" spans="1:2">
      <c r="A2114">
        <v>273.58832163694098</v>
      </c>
      <c r="B2114" t="s">
        <v>38</v>
      </c>
    </row>
    <row r="2115" spans="1:2">
      <c r="A2115">
        <v>275.09666562900401</v>
      </c>
      <c r="B2115" t="s">
        <v>38</v>
      </c>
    </row>
    <row r="2116" spans="1:2">
      <c r="A2116">
        <v>277.02800139861699</v>
      </c>
      <c r="B2116" t="s">
        <v>38</v>
      </c>
    </row>
    <row r="2117" spans="1:2">
      <c r="A2117">
        <v>278.14603688884398</v>
      </c>
      <c r="B2117" t="s">
        <v>38</v>
      </c>
    </row>
    <row r="2118" spans="1:2">
      <c r="A2118">
        <v>280.11316810229499</v>
      </c>
      <c r="B2118" t="s">
        <v>38</v>
      </c>
    </row>
    <row r="2119" spans="1:2">
      <c r="A2119">
        <v>281.67133175264701</v>
      </c>
      <c r="B2119" t="s">
        <v>38</v>
      </c>
    </row>
    <row r="2120" spans="1:2">
      <c r="A2120">
        <v>291.55557807282901</v>
      </c>
      <c r="B2120" t="s">
        <v>38</v>
      </c>
    </row>
    <row r="2121" spans="1:2">
      <c r="A2121">
        <v>292.53651549936802</v>
      </c>
      <c r="B2121" t="s">
        <v>38</v>
      </c>
    </row>
    <row r="2122" spans="1:2">
      <c r="A2122">
        <v>294.299371441071</v>
      </c>
      <c r="B2122" t="s">
        <v>38</v>
      </c>
    </row>
    <row r="2123" spans="1:2">
      <c r="A2123">
        <v>302.69704448177902</v>
      </c>
      <c r="B2123" t="s">
        <v>33</v>
      </c>
    </row>
    <row r="2124" spans="1:2">
      <c r="A2124">
        <v>304.479481001642</v>
      </c>
      <c r="B2124" t="s">
        <v>38</v>
      </c>
    </row>
    <row r="2125" spans="1:2">
      <c r="A2125">
        <v>305.96558225828699</v>
      </c>
      <c r="B2125" t="s">
        <v>38</v>
      </c>
    </row>
    <row r="2126" spans="1:2">
      <c r="A2126">
        <v>307.15964947381298</v>
      </c>
      <c r="B2126" t="s">
        <v>38</v>
      </c>
    </row>
    <row r="2127" spans="1:2">
      <c r="A2127">
        <v>307.26326210940402</v>
      </c>
      <c r="B2127" t="s">
        <v>211</v>
      </c>
    </row>
    <row r="2128" spans="1:2">
      <c r="A2128">
        <v>309.99637842866201</v>
      </c>
      <c r="B2128" t="s">
        <v>38</v>
      </c>
    </row>
    <row r="2129" spans="1:2">
      <c r="A2129">
        <v>319.427979388491</v>
      </c>
      <c r="B2129" t="s">
        <v>38</v>
      </c>
    </row>
    <row r="2130" spans="1:2">
      <c r="A2130">
        <v>319.776564082709</v>
      </c>
      <c r="B2130" t="s">
        <v>33</v>
      </c>
    </row>
    <row r="2131" spans="1:2">
      <c r="A2131">
        <v>320.72081273327399</v>
      </c>
      <c r="B2131" t="s">
        <v>211</v>
      </c>
    </row>
    <row r="2132" spans="1:2">
      <c r="A2132">
        <v>321.04320760033397</v>
      </c>
      <c r="B2132" t="s">
        <v>38</v>
      </c>
    </row>
    <row r="2133" spans="1:2">
      <c r="A2133">
        <v>325.42541255001498</v>
      </c>
      <c r="B2133" t="s">
        <v>33</v>
      </c>
    </row>
    <row r="2134" spans="1:2">
      <c r="A2134">
        <v>328.97623212397701</v>
      </c>
      <c r="B2134" t="s">
        <v>38</v>
      </c>
    </row>
    <row r="2135" spans="1:2">
      <c r="A2135">
        <v>330.64109002031603</v>
      </c>
      <c r="B2135" t="s">
        <v>38</v>
      </c>
    </row>
    <row r="2136" spans="1:2">
      <c r="A2136">
        <v>338.23153769933202</v>
      </c>
      <c r="B2136" t="s">
        <v>38</v>
      </c>
    </row>
    <row r="2137" spans="1:2">
      <c r="A2137">
        <v>339.85105885047398</v>
      </c>
      <c r="B2137" t="s">
        <v>38</v>
      </c>
    </row>
    <row r="2138" spans="1:2">
      <c r="A2138">
        <v>341.81229311386699</v>
      </c>
      <c r="B2138" t="s">
        <v>38</v>
      </c>
    </row>
    <row r="2139" spans="1:2">
      <c r="A2139">
        <v>348.22428281456098</v>
      </c>
      <c r="B2139" t="s">
        <v>74</v>
      </c>
    </row>
    <row r="2140" spans="1:2">
      <c r="A2140">
        <v>349.04599831089001</v>
      </c>
      <c r="B2140" t="s">
        <v>38</v>
      </c>
    </row>
    <row r="2141" spans="1:2">
      <c r="A2141">
        <v>349.50167213195101</v>
      </c>
      <c r="B2141" t="s">
        <v>38</v>
      </c>
    </row>
    <row r="2142" spans="1:2">
      <c r="A2142">
        <v>352.40403246076198</v>
      </c>
      <c r="B2142" t="s">
        <v>33</v>
      </c>
    </row>
    <row r="2143" spans="1:2">
      <c r="A2143">
        <v>354.16099538306401</v>
      </c>
      <c r="B2143" t="s">
        <v>38</v>
      </c>
    </row>
    <row r="2144" spans="1:2">
      <c r="A2144">
        <v>358.49353766379897</v>
      </c>
      <c r="B2144" t="s">
        <v>38</v>
      </c>
    </row>
    <row r="2145" spans="1:2">
      <c r="A2145">
        <v>358.71544640536098</v>
      </c>
      <c r="B2145" t="s">
        <v>38</v>
      </c>
    </row>
    <row r="2146" spans="1:2">
      <c r="A2146">
        <v>375.40871341495699</v>
      </c>
      <c r="B2146" t="s">
        <v>288</v>
      </c>
    </row>
    <row r="2147" spans="1:2">
      <c r="A2147">
        <v>398.50320226705003</v>
      </c>
      <c r="B2147" t="s">
        <v>38</v>
      </c>
    </row>
    <row r="2148" spans="1:2">
      <c r="A2148">
        <v>403.30677137870703</v>
      </c>
      <c r="B2148" t="s">
        <v>38</v>
      </c>
    </row>
    <row r="2149" spans="1:2">
      <c r="A2149">
        <v>416.832641924097</v>
      </c>
      <c r="B2149" t="s">
        <v>33</v>
      </c>
    </row>
    <row r="2150" spans="1:2">
      <c r="A2150">
        <v>418.47124618546098</v>
      </c>
      <c r="B2150" t="s">
        <v>38</v>
      </c>
    </row>
    <row r="2151" spans="1:2">
      <c r="A2151">
        <v>423.10457335009301</v>
      </c>
      <c r="B2151" t="s">
        <v>49</v>
      </c>
    </row>
    <row r="2152" spans="1:2">
      <c r="A2152">
        <v>423.16099356236901</v>
      </c>
      <c r="B2152" t="s">
        <v>38</v>
      </c>
    </row>
    <row r="2153" spans="1:2">
      <c r="A2153">
        <v>427.18503923846299</v>
      </c>
      <c r="B2153" t="s">
        <v>38</v>
      </c>
    </row>
    <row r="2154" spans="1:2">
      <c r="A2154">
        <v>431.22689562290799</v>
      </c>
      <c r="B2154" t="s">
        <v>38</v>
      </c>
    </row>
    <row r="2155" spans="1:2">
      <c r="A2155">
        <v>442.34046506867998</v>
      </c>
      <c r="B2155" t="s">
        <v>38</v>
      </c>
    </row>
    <row r="2156" spans="1:2">
      <c r="A2156">
        <v>443.418557004246</v>
      </c>
      <c r="B2156" t="s">
        <v>33</v>
      </c>
    </row>
    <row r="2157" spans="1:2">
      <c r="A2157">
        <v>444.20749480994999</v>
      </c>
      <c r="B2157" t="s">
        <v>38</v>
      </c>
    </row>
    <row r="2158" spans="1:2">
      <c r="A2158">
        <v>453.40979256275602</v>
      </c>
      <c r="B2158" t="s">
        <v>38</v>
      </c>
    </row>
    <row r="2159" spans="1:2">
      <c r="A2159">
        <v>453.88341932499497</v>
      </c>
      <c r="B2159" t="s">
        <v>33</v>
      </c>
    </row>
    <row r="2160" spans="1:2">
      <c r="A2160">
        <v>456.47086598808198</v>
      </c>
      <c r="B2160" t="s">
        <v>33</v>
      </c>
    </row>
    <row r="2161" spans="1:2">
      <c r="A2161">
        <v>458.17613418663598</v>
      </c>
      <c r="B2161" t="s">
        <v>38</v>
      </c>
    </row>
    <row r="2162" spans="1:2">
      <c r="A2162">
        <v>459.77124248331899</v>
      </c>
      <c r="B2162" t="s">
        <v>38</v>
      </c>
    </row>
    <row r="2163" spans="1:2">
      <c r="A2163">
        <v>462.06748009114199</v>
      </c>
      <c r="B2163" t="s">
        <v>43</v>
      </c>
    </row>
    <row r="2164" spans="1:2">
      <c r="A2164">
        <v>463.37450698681698</v>
      </c>
      <c r="B2164" t="s">
        <v>38</v>
      </c>
    </row>
    <row r="2165" spans="1:2">
      <c r="A2165">
        <v>478.13194858448702</v>
      </c>
      <c r="B2165" t="s">
        <v>331</v>
      </c>
    </row>
    <row r="2166" spans="1:2">
      <c r="A2166">
        <v>482.93441957150202</v>
      </c>
      <c r="B2166" t="s">
        <v>38</v>
      </c>
    </row>
    <row r="2167" spans="1:2">
      <c r="A2167">
        <v>486.85671069295103</v>
      </c>
      <c r="B2167" t="s">
        <v>33</v>
      </c>
    </row>
    <row r="2168" spans="1:2">
      <c r="A2168">
        <v>488.96068912811899</v>
      </c>
      <c r="B2168" t="s">
        <v>38</v>
      </c>
    </row>
    <row r="2169" spans="1:2">
      <c r="A2169">
        <v>490.60169224929598</v>
      </c>
      <c r="B2169" t="s">
        <v>38</v>
      </c>
    </row>
    <row r="2170" spans="1:2">
      <c r="A2170">
        <v>50.048162968004497</v>
      </c>
      <c r="B2170" t="s">
        <v>331</v>
      </c>
    </row>
    <row r="2171" spans="1:2">
      <c r="A2171">
        <v>50.135055484702796</v>
      </c>
      <c r="B2171" t="s">
        <v>38</v>
      </c>
    </row>
    <row r="2172" spans="1:2">
      <c r="A2172">
        <v>50.146267067967699</v>
      </c>
      <c r="B2172" t="s">
        <v>33</v>
      </c>
    </row>
    <row r="2173" spans="1:2">
      <c r="A2173">
        <v>50.212376423453897</v>
      </c>
      <c r="B2173" t="s">
        <v>33</v>
      </c>
    </row>
    <row r="2174" spans="1:2">
      <c r="A2174">
        <v>50.392956467466298</v>
      </c>
      <c r="B2174" t="s">
        <v>43</v>
      </c>
    </row>
    <row r="2175" spans="1:2">
      <c r="A2175">
        <v>50.514857695817298</v>
      </c>
      <c r="B2175" t="s">
        <v>33</v>
      </c>
    </row>
    <row r="2176" spans="1:2">
      <c r="A2176">
        <v>50.556049995531097</v>
      </c>
      <c r="B2176" t="s">
        <v>298</v>
      </c>
    </row>
    <row r="2177" spans="1:2">
      <c r="A2177">
        <v>50.604688574768801</v>
      </c>
      <c r="B2177" t="s">
        <v>38</v>
      </c>
    </row>
    <row r="2178" spans="1:2">
      <c r="A2178">
        <v>50.620100590373298</v>
      </c>
      <c r="B2178" t="s">
        <v>38</v>
      </c>
    </row>
    <row r="2179" spans="1:2">
      <c r="A2179">
        <v>50.671957225272301</v>
      </c>
      <c r="B2179" t="s">
        <v>47</v>
      </c>
    </row>
    <row r="2180" spans="1:2">
      <c r="A2180">
        <v>50.675691754313398</v>
      </c>
      <c r="B2180" t="s">
        <v>38</v>
      </c>
    </row>
    <row r="2181" spans="1:2">
      <c r="A2181">
        <v>50.685026873072601</v>
      </c>
      <c r="B2181" t="s">
        <v>49</v>
      </c>
    </row>
    <row r="2182" spans="1:2">
      <c r="A2182">
        <v>50.860208206682103</v>
      </c>
      <c r="B2182" t="s">
        <v>33</v>
      </c>
    </row>
    <row r="2183" spans="1:2">
      <c r="A2183">
        <v>50.888106880338498</v>
      </c>
      <c r="B2183" t="s">
        <v>298</v>
      </c>
    </row>
    <row r="2184" spans="1:2">
      <c r="A2184">
        <v>50.973567599757601</v>
      </c>
      <c r="B2184" t="s">
        <v>33</v>
      </c>
    </row>
    <row r="2185" spans="1:2">
      <c r="A2185">
        <v>51.0895396995029</v>
      </c>
      <c r="B2185" t="s">
        <v>38</v>
      </c>
    </row>
    <row r="2186" spans="1:2">
      <c r="A2186">
        <v>51.160708787450098</v>
      </c>
      <c r="B2186" t="s">
        <v>43</v>
      </c>
    </row>
    <row r="2187" spans="1:2">
      <c r="A2187">
        <v>51.299233316130703</v>
      </c>
      <c r="B2187" t="s">
        <v>33</v>
      </c>
    </row>
    <row r="2188" spans="1:2">
      <c r="A2188">
        <v>51.313987194294803</v>
      </c>
      <c r="B2188" t="s">
        <v>38</v>
      </c>
    </row>
    <row r="2189" spans="1:2">
      <c r="A2189">
        <v>51.323206214364198</v>
      </c>
      <c r="B2189" t="s">
        <v>38</v>
      </c>
    </row>
    <row r="2190" spans="1:2">
      <c r="A2190">
        <v>51.384010263944099</v>
      </c>
      <c r="B2190" t="s">
        <v>33</v>
      </c>
    </row>
    <row r="2191" spans="1:2">
      <c r="A2191">
        <v>51.417145802255099</v>
      </c>
      <c r="B2191" t="s">
        <v>33</v>
      </c>
    </row>
    <row r="2192" spans="1:2">
      <c r="A2192">
        <v>51.553145925052</v>
      </c>
      <c r="B2192" t="s">
        <v>38</v>
      </c>
    </row>
    <row r="2193" spans="1:2">
      <c r="A2193">
        <v>51.554981307715401</v>
      </c>
      <c r="B2193" t="s">
        <v>43</v>
      </c>
    </row>
    <row r="2194" spans="1:2">
      <c r="A2194">
        <v>51.650331333267097</v>
      </c>
      <c r="B2194" t="s">
        <v>33</v>
      </c>
    </row>
    <row r="2195" spans="1:2">
      <c r="A2195">
        <v>51.668647703690397</v>
      </c>
      <c r="B2195" t="s">
        <v>33</v>
      </c>
    </row>
    <row r="2196" spans="1:2">
      <c r="A2196">
        <v>51.7253872336657</v>
      </c>
      <c r="B2196" t="s">
        <v>33</v>
      </c>
    </row>
    <row r="2197" spans="1:2">
      <c r="A2197">
        <v>51.730874853226702</v>
      </c>
      <c r="B2197" t="s">
        <v>33</v>
      </c>
    </row>
    <row r="2198" spans="1:2">
      <c r="A2198">
        <v>51.8240754804985</v>
      </c>
      <c r="B2198" t="s">
        <v>33</v>
      </c>
    </row>
    <row r="2199" spans="1:2">
      <c r="A2199">
        <v>51.876997239765501</v>
      </c>
      <c r="B2199" t="s">
        <v>33</v>
      </c>
    </row>
    <row r="2200" spans="1:2">
      <c r="A2200">
        <v>52.1135722783239</v>
      </c>
      <c r="B2200" t="s">
        <v>33</v>
      </c>
    </row>
    <row r="2201" spans="1:2">
      <c r="A2201">
        <v>52.175268788576702</v>
      </c>
      <c r="B2201" t="s">
        <v>298</v>
      </c>
    </row>
    <row r="2202" spans="1:2">
      <c r="A2202">
        <v>52.236892429702998</v>
      </c>
      <c r="B2202" t="s">
        <v>298</v>
      </c>
    </row>
    <row r="2203" spans="1:2">
      <c r="A2203">
        <v>52.432157695290798</v>
      </c>
      <c r="B2203" t="s">
        <v>38</v>
      </c>
    </row>
    <row r="2204" spans="1:2">
      <c r="A2204">
        <v>52.534921758075598</v>
      </c>
      <c r="B2204" t="s">
        <v>38</v>
      </c>
    </row>
    <row r="2205" spans="1:2">
      <c r="A2205">
        <v>52.5853287948662</v>
      </c>
      <c r="B2205" t="s">
        <v>74</v>
      </c>
    </row>
    <row r="2206" spans="1:2">
      <c r="A2206">
        <v>52.624101035542402</v>
      </c>
      <c r="B2206" t="s">
        <v>188</v>
      </c>
    </row>
    <row r="2207" spans="1:2">
      <c r="A2207">
        <v>52.764960829912702</v>
      </c>
      <c r="B2207" t="s">
        <v>288</v>
      </c>
    </row>
    <row r="2208" spans="1:2">
      <c r="A2208">
        <v>52.806189763827597</v>
      </c>
      <c r="B2208" t="s">
        <v>33</v>
      </c>
    </row>
    <row r="2209" spans="1:2">
      <c r="A2209">
        <v>52.886762110063898</v>
      </c>
      <c r="B2209" t="s">
        <v>33</v>
      </c>
    </row>
    <row r="2210" spans="1:2">
      <c r="A2210">
        <v>52.911804038938399</v>
      </c>
      <c r="B2210" t="s">
        <v>49</v>
      </c>
    </row>
    <row r="2211" spans="1:2">
      <c r="A2211">
        <v>52.926108392819302</v>
      </c>
      <c r="B2211" t="s">
        <v>38</v>
      </c>
    </row>
    <row r="2212" spans="1:2">
      <c r="A2212">
        <v>53.1277459885684</v>
      </c>
      <c r="B2212" t="s">
        <v>38</v>
      </c>
    </row>
    <row r="2213" spans="1:2">
      <c r="A2213">
        <v>53.134869580178403</v>
      </c>
      <c r="B2213" t="s">
        <v>47</v>
      </c>
    </row>
    <row r="2214" spans="1:2">
      <c r="A2214">
        <v>53.141992216883303</v>
      </c>
      <c r="B2214" t="s">
        <v>33</v>
      </c>
    </row>
    <row r="2215" spans="1:2">
      <c r="A2215">
        <v>53.339265979748099</v>
      </c>
      <c r="B2215" t="s">
        <v>38</v>
      </c>
    </row>
    <row r="2216" spans="1:2">
      <c r="A2216">
        <v>53.374839403457898</v>
      </c>
      <c r="B2216" t="s">
        <v>38</v>
      </c>
    </row>
    <row r="2217" spans="1:2">
      <c r="A2217">
        <v>53.390685877450103</v>
      </c>
      <c r="B2217" t="s">
        <v>33</v>
      </c>
    </row>
    <row r="2218" spans="1:2">
      <c r="A2218">
        <v>53.466838150757603</v>
      </c>
      <c r="B2218" t="s">
        <v>49</v>
      </c>
    </row>
    <row r="2219" spans="1:2">
      <c r="A2219">
        <v>53.672194570031401</v>
      </c>
      <c r="B2219" t="s">
        <v>33</v>
      </c>
    </row>
    <row r="2220" spans="1:2">
      <c r="A2220">
        <v>53.703457303133497</v>
      </c>
      <c r="B2220" t="s">
        <v>38</v>
      </c>
    </row>
    <row r="2221" spans="1:2">
      <c r="A2221">
        <v>53.708742816388998</v>
      </c>
      <c r="B2221" t="s">
        <v>38</v>
      </c>
    </row>
    <row r="2222" spans="1:2">
      <c r="A2222">
        <v>54.271318538652899</v>
      </c>
      <c r="B2222" t="s">
        <v>43</v>
      </c>
    </row>
    <row r="2223" spans="1:2">
      <c r="A2223">
        <v>54.273061999422097</v>
      </c>
      <c r="B2223" t="s">
        <v>331</v>
      </c>
    </row>
    <row r="2224" spans="1:2">
      <c r="A2224">
        <v>54.408473067246199</v>
      </c>
      <c r="B2224" t="s">
        <v>33</v>
      </c>
    </row>
    <row r="2225" spans="1:2">
      <c r="A2225">
        <v>54.421052017334702</v>
      </c>
      <c r="B2225" t="s">
        <v>298</v>
      </c>
    </row>
    <row r="2226" spans="1:2">
      <c r="A2226">
        <v>54.497500758451203</v>
      </c>
      <c r="B2226" t="s">
        <v>49</v>
      </c>
    </row>
    <row r="2227" spans="1:2">
      <c r="A2227">
        <v>54.549563472064499</v>
      </c>
      <c r="B2227" t="s">
        <v>38</v>
      </c>
    </row>
    <row r="2228" spans="1:2">
      <c r="A2228">
        <v>54.6570025969407</v>
      </c>
      <c r="B2228" t="s">
        <v>211</v>
      </c>
    </row>
    <row r="2229" spans="1:2">
      <c r="A2229">
        <v>54.700209598571298</v>
      </c>
      <c r="B2229" t="s">
        <v>38</v>
      </c>
    </row>
    <row r="2230" spans="1:2">
      <c r="A2230">
        <v>54.759047308765602</v>
      </c>
      <c r="B2230" t="s">
        <v>33</v>
      </c>
    </row>
    <row r="2231" spans="1:2">
      <c r="A2231">
        <v>55.096686511286599</v>
      </c>
      <c r="B2231" t="s">
        <v>33</v>
      </c>
    </row>
    <row r="2232" spans="1:2">
      <c r="A2232">
        <v>55.119007808761701</v>
      </c>
      <c r="B2232" t="s">
        <v>47</v>
      </c>
    </row>
    <row r="2233" spans="1:2">
      <c r="A2233">
        <v>55.428855131095702</v>
      </c>
      <c r="B2233" t="s">
        <v>38</v>
      </c>
    </row>
    <row r="2234" spans="1:2">
      <c r="A2234">
        <v>55.566229816164103</v>
      </c>
      <c r="B2234" t="s">
        <v>38</v>
      </c>
    </row>
    <row r="2235" spans="1:2">
      <c r="A2235">
        <v>55.743770162614297</v>
      </c>
      <c r="B2235" t="s">
        <v>33</v>
      </c>
    </row>
    <row r="2236" spans="1:2">
      <c r="A2236">
        <v>55.760741930449299</v>
      </c>
      <c r="B2236" t="s">
        <v>74</v>
      </c>
    </row>
    <row r="2237" spans="1:2">
      <c r="A2237">
        <v>55.851919256200603</v>
      </c>
      <c r="B2237" t="s">
        <v>101</v>
      </c>
    </row>
    <row r="2238" spans="1:2">
      <c r="A2238">
        <v>56.041722465660499</v>
      </c>
      <c r="B2238" t="s">
        <v>47</v>
      </c>
    </row>
    <row r="2239" spans="1:2">
      <c r="A2239">
        <v>56.063667505947798</v>
      </c>
      <c r="B2239" t="s">
        <v>38</v>
      </c>
    </row>
    <row r="2240" spans="1:2">
      <c r="A2240">
        <v>56.094038772963302</v>
      </c>
      <c r="B2240" t="s">
        <v>38</v>
      </c>
    </row>
    <row r="2241" spans="1:2">
      <c r="A2241">
        <v>56.178317252492803</v>
      </c>
      <c r="B2241" t="s">
        <v>298</v>
      </c>
    </row>
    <row r="2242" spans="1:2">
      <c r="A2242">
        <v>56.193473955116502</v>
      </c>
      <c r="B2242" t="s">
        <v>49</v>
      </c>
    </row>
    <row r="2243" spans="1:2">
      <c r="A2243">
        <v>56.311220160701403</v>
      </c>
      <c r="B2243" t="s">
        <v>33</v>
      </c>
    </row>
    <row r="2244" spans="1:2">
      <c r="A2244">
        <v>56.331380512261099</v>
      </c>
      <c r="B2244" t="s">
        <v>38</v>
      </c>
    </row>
    <row r="2245" spans="1:2">
      <c r="A2245">
        <v>56.351533651244303</v>
      </c>
      <c r="B2245" t="s">
        <v>38</v>
      </c>
    </row>
    <row r="2246" spans="1:2">
      <c r="A2246">
        <v>56.550996863713898</v>
      </c>
      <c r="B2246" t="s">
        <v>47</v>
      </c>
    </row>
    <row r="2247" spans="1:2">
      <c r="A2247">
        <v>56.6780178229399</v>
      </c>
      <c r="B2247" t="s">
        <v>33</v>
      </c>
    </row>
    <row r="2248" spans="1:2">
      <c r="A2248">
        <v>56.699716592209199</v>
      </c>
      <c r="B2248" t="s">
        <v>33</v>
      </c>
    </row>
    <row r="2249" spans="1:2">
      <c r="A2249">
        <v>56.700351413869399</v>
      </c>
      <c r="B2249" t="s">
        <v>331</v>
      </c>
    </row>
    <row r="2250" spans="1:2">
      <c r="A2250">
        <v>56.700351413869399</v>
      </c>
      <c r="B2250" t="s">
        <v>33</v>
      </c>
    </row>
    <row r="2251" spans="1:2">
      <c r="A2251">
        <v>56.761429226161297</v>
      </c>
      <c r="B2251" t="s">
        <v>38</v>
      </c>
    </row>
    <row r="2252" spans="1:2">
      <c r="A2252">
        <v>56.809751724530102</v>
      </c>
      <c r="B2252" t="s">
        <v>38</v>
      </c>
    </row>
    <row r="2253" spans="1:2">
      <c r="A2253">
        <v>56.834729998834803</v>
      </c>
      <c r="B2253" t="s">
        <v>47</v>
      </c>
    </row>
    <row r="2254" spans="1:2">
      <c r="A2254">
        <v>56.887980328486101</v>
      </c>
      <c r="B2254" t="s">
        <v>33</v>
      </c>
    </row>
    <row r="2255" spans="1:2">
      <c r="A2255">
        <v>56.9029480051504</v>
      </c>
      <c r="B2255" t="s">
        <v>33</v>
      </c>
    </row>
    <row r="2256" spans="1:2">
      <c r="A2256">
        <v>56.957795834809197</v>
      </c>
      <c r="B2256" t="s">
        <v>38</v>
      </c>
    </row>
    <row r="2257" spans="1:2">
      <c r="A2257">
        <v>56.957795834809197</v>
      </c>
      <c r="B2257" t="s">
        <v>61</v>
      </c>
    </row>
    <row r="2258" spans="1:2">
      <c r="A2258">
        <v>57.112083600527001</v>
      </c>
      <c r="B2258" t="s">
        <v>47</v>
      </c>
    </row>
    <row r="2259" spans="1:2">
      <c r="A2259">
        <v>57.122023339590001</v>
      </c>
      <c r="B2259" t="s">
        <v>298</v>
      </c>
    </row>
    <row r="2260" spans="1:2">
      <c r="A2260">
        <v>57.128648871519701</v>
      </c>
      <c r="B2260" t="s">
        <v>38</v>
      </c>
    </row>
    <row r="2261" spans="1:2">
      <c r="A2261">
        <v>57.252735629609099</v>
      </c>
      <c r="B2261" t="s">
        <v>298</v>
      </c>
    </row>
    <row r="2262" spans="1:2">
      <c r="A2262">
        <v>57.258989055807199</v>
      </c>
      <c r="B2262" t="s">
        <v>33</v>
      </c>
    </row>
    <row r="2263" spans="1:2">
      <c r="A2263">
        <v>57.605327106774801</v>
      </c>
      <c r="B2263" t="s">
        <v>33</v>
      </c>
    </row>
    <row r="2264" spans="1:2">
      <c r="A2264">
        <v>57.621750578842402</v>
      </c>
      <c r="B2264" t="s">
        <v>288</v>
      </c>
    </row>
    <row r="2265" spans="1:2">
      <c r="A2265">
        <v>57.644735578705301</v>
      </c>
      <c r="B2265" t="s">
        <v>331</v>
      </c>
    </row>
    <row r="2266" spans="1:2">
      <c r="A2266">
        <v>57.674274261442598</v>
      </c>
      <c r="B2266" t="s">
        <v>33</v>
      </c>
    </row>
    <row r="2267" spans="1:2">
      <c r="A2267">
        <v>57.761161550393602</v>
      </c>
      <c r="B2267" t="s">
        <v>38</v>
      </c>
    </row>
    <row r="2268" spans="1:2">
      <c r="A2268">
        <v>57.8021007869106</v>
      </c>
      <c r="B2268" t="s">
        <v>188</v>
      </c>
    </row>
    <row r="2269" spans="1:2">
      <c r="A2269">
        <v>57.812228852811103</v>
      </c>
      <c r="B2269" t="s">
        <v>38</v>
      </c>
    </row>
    <row r="2270" spans="1:2">
      <c r="A2270">
        <v>57.875718436087602</v>
      </c>
      <c r="B2270" t="s">
        <v>33</v>
      </c>
    </row>
    <row r="2271" spans="1:2">
      <c r="A2271">
        <v>57.981890026024701</v>
      </c>
      <c r="B2271" t="s">
        <v>38</v>
      </c>
    </row>
    <row r="2272" spans="1:2">
      <c r="A2272">
        <v>57.986785560139097</v>
      </c>
      <c r="B2272" t="s">
        <v>38</v>
      </c>
    </row>
    <row r="2273" spans="1:2">
      <c r="A2273">
        <v>58.022673522680201</v>
      </c>
      <c r="B2273" t="s">
        <v>38</v>
      </c>
    </row>
    <row r="2274" spans="1:2">
      <c r="A2274">
        <v>58.109039871487198</v>
      </c>
      <c r="B2274" t="s">
        <v>38</v>
      </c>
    </row>
    <row r="2275" spans="1:2">
      <c r="A2275">
        <v>58.1334598817566</v>
      </c>
      <c r="B2275" t="s">
        <v>298</v>
      </c>
    </row>
    <row r="2276" spans="1:2">
      <c r="A2276">
        <v>58.156242639912101</v>
      </c>
      <c r="B2276" t="s">
        <v>33</v>
      </c>
    </row>
    <row r="2277" spans="1:2">
      <c r="A2277">
        <v>58.2212871101244</v>
      </c>
      <c r="B2277" t="s">
        <v>33</v>
      </c>
    </row>
    <row r="2278" spans="1:2">
      <c r="A2278">
        <v>58.325207384004102</v>
      </c>
      <c r="B2278" t="s">
        <v>298</v>
      </c>
    </row>
    <row r="2279" spans="1:2">
      <c r="A2279">
        <v>58.349536925538601</v>
      </c>
      <c r="B2279" t="s">
        <v>43</v>
      </c>
    </row>
    <row r="2280" spans="1:2">
      <c r="A2280">
        <v>58.354401616607603</v>
      </c>
      <c r="B2280" t="s">
        <v>47</v>
      </c>
    </row>
    <row r="2281" spans="1:2">
      <c r="A2281">
        <v>58.360224315594898</v>
      </c>
      <c r="B2281" t="s">
        <v>38</v>
      </c>
    </row>
    <row r="2282" spans="1:2">
      <c r="A2282">
        <v>58.393304555339803</v>
      </c>
      <c r="B2282" t="s">
        <v>38</v>
      </c>
    </row>
    <row r="2283" spans="1:2">
      <c r="A2283">
        <v>58.668128525233598</v>
      </c>
      <c r="B2283" t="s">
        <v>49</v>
      </c>
    </row>
    <row r="2284" spans="1:2">
      <c r="A2284">
        <v>58.788965970170501</v>
      </c>
      <c r="B2284" t="s">
        <v>47</v>
      </c>
    </row>
    <row r="2285" spans="1:2">
      <c r="A2285">
        <v>58.9721646790113</v>
      </c>
      <c r="B2285" t="s">
        <v>33</v>
      </c>
    </row>
    <row r="2286" spans="1:2">
      <c r="A2286">
        <v>59.002642495424404</v>
      </c>
      <c r="B2286" t="s">
        <v>43</v>
      </c>
    </row>
    <row r="2287" spans="1:2">
      <c r="A2287">
        <v>59.1163942164495</v>
      </c>
      <c r="B2287" t="s">
        <v>38</v>
      </c>
    </row>
    <row r="2288" spans="1:2">
      <c r="A2288">
        <v>59.215547983986902</v>
      </c>
      <c r="B2288" t="s">
        <v>38</v>
      </c>
    </row>
    <row r="2289" spans="1:2">
      <c r="A2289">
        <v>59.217145877803297</v>
      </c>
      <c r="B2289" t="s">
        <v>38</v>
      </c>
    </row>
    <row r="2290" spans="1:2">
      <c r="A2290">
        <v>59.610513792456103</v>
      </c>
      <c r="B2290" t="s">
        <v>33</v>
      </c>
    </row>
    <row r="2291" spans="1:2">
      <c r="A2291">
        <v>59.7199389866906</v>
      </c>
      <c r="B2291" t="s">
        <v>298</v>
      </c>
    </row>
    <row r="2292" spans="1:2">
      <c r="A2292">
        <v>59.8418149248578</v>
      </c>
      <c r="B2292" t="s">
        <v>298</v>
      </c>
    </row>
    <row r="2293" spans="1:2">
      <c r="A2293">
        <v>59.9949945563081</v>
      </c>
      <c r="B2293" t="s">
        <v>33</v>
      </c>
    </row>
    <row r="2294" spans="1:2">
      <c r="A2294">
        <v>60.053320957055398</v>
      </c>
      <c r="B2294" t="s">
        <v>33</v>
      </c>
    </row>
    <row r="2295" spans="1:2">
      <c r="A2295">
        <v>60.1067151671594</v>
      </c>
      <c r="B2295" t="s">
        <v>49</v>
      </c>
    </row>
    <row r="2296" spans="1:2">
      <c r="A2296">
        <v>60.1273296664885</v>
      </c>
      <c r="B2296" t="s">
        <v>47</v>
      </c>
    </row>
    <row r="2297" spans="1:2">
      <c r="A2297">
        <v>60.2153914999869</v>
      </c>
      <c r="B2297" t="s">
        <v>101</v>
      </c>
    </row>
    <row r="2298" spans="1:2">
      <c r="A2298">
        <v>60.287631778657499</v>
      </c>
      <c r="B2298" t="s">
        <v>288</v>
      </c>
    </row>
    <row r="2299" spans="1:2">
      <c r="A2299">
        <v>60.419325935417</v>
      </c>
      <c r="B2299" t="s">
        <v>38</v>
      </c>
    </row>
    <row r="2300" spans="1:2">
      <c r="A2300">
        <v>60.477243097299201</v>
      </c>
      <c r="B2300" t="s">
        <v>72</v>
      </c>
    </row>
    <row r="2301" spans="1:2">
      <c r="A2301">
        <v>60.494451019996902</v>
      </c>
      <c r="B2301" t="s">
        <v>33</v>
      </c>
    </row>
    <row r="2302" spans="1:2">
      <c r="A2302">
        <v>60.751984968604702</v>
      </c>
      <c r="B2302" t="s">
        <v>288</v>
      </c>
    </row>
    <row r="2303" spans="1:2">
      <c r="A2303">
        <v>60.781570332955397</v>
      </c>
      <c r="B2303" t="s">
        <v>38</v>
      </c>
    </row>
    <row r="2304" spans="1:2">
      <c r="A2304">
        <v>60.836032025119103</v>
      </c>
      <c r="B2304" t="s">
        <v>298</v>
      </c>
    </row>
    <row r="2305" spans="1:2">
      <c r="A2305">
        <v>60.954124147747599</v>
      </c>
      <c r="B2305" t="s">
        <v>74</v>
      </c>
    </row>
    <row r="2306" spans="1:2">
      <c r="A2306">
        <v>61.023939398666698</v>
      </c>
      <c r="B2306" t="s">
        <v>38</v>
      </c>
    </row>
    <row r="2307" spans="1:2">
      <c r="A2307">
        <v>61.068889157560299</v>
      </c>
      <c r="B2307" t="s">
        <v>33</v>
      </c>
    </row>
    <row r="2308" spans="1:2">
      <c r="A2308">
        <v>61.118450526433897</v>
      </c>
      <c r="B2308" t="s">
        <v>33</v>
      </c>
    </row>
    <row r="2309" spans="1:2">
      <c r="A2309">
        <v>61.350235738171499</v>
      </c>
      <c r="B2309" t="s">
        <v>33</v>
      </c>
    </row>
    <row r="2310" spans="1:2">
      <c r="A2310">
        <v>61.545817449986899</v>
      </c>
      <c r="B2310" t="s">
        <v>43</v>
      </c>
    </row>
    <row r="2311" spans="1:2">
      <c r="A2311">
        <v>61.641044178406901</v>
      </c>
      <c r="B2311" t="s">
        <v>38</v>
      </c>
    </row>
    <row r="2312" spans="1:2">
      <c r="A2312">
        <v>61.6625309857845</v>
      </c>
      <c r="B2312" t="s">
        <v>38</v>
      </c>
    </row>
    <row r="2313" spans="1:2">
      <c r="A2313">
        <v>61.711615595336802</v>
      </c>
      <c r="B2313" t="s">
        <v>33</v>
      </c>
    </row>
    <row r="2314" spans="1:2">
      <c r="A2314">
        <v>61.748403446947002</v>
      </c>
      <c r="B2314" t="s">
        <v>33</v>
      </c>
    </row>
    <row r="2315" spans="1:2">
      <c r="A2315">
        <v>61.749935798477701</v>
      </c>
      <c r="B2315" t="s">
        <v>38</v>
      </c>
    </row>
    <row r="2316" spans="1:2">
      <c r="A2316">
        <v>61.795888675473698</v>
      </c>
      <c r="B2316" t="s">
        <v>33</v>
      </c>
    </row>
    <row r="2317" spans="1:2">
      <c r="A2317">
        <v>61.881576077744199</v>
      </c>
      <c r="B2317" t="s">
        <v>38</v>
      </c>
    </row>
    <row r="2318" spans="1:2">
      <c r="A2318">
        <v>61.881576077744199</v>
      </c>
      <c r="B2318" t="s">
        <v>38</v>
      </c>
    </row>
    <row r="2319" spans="1:2">
      <c r="A2319">
        <v>62.020565613037199</v>
      </c>
      <c r="B2319" t="s">
        <v>38</v>
      </c>
    </row>
    <row r="2320" spans="1:2">
      <c r="A2320">
        <v>62.927792251120003</v>
      </c>
      <c r="B2320" t="s">
        <v>38</v>
      </c>
    </row>
    <row r="2321" spans="1:2">
      <c r="A2321">
        <v>63.203858470265203</v>
      </c>
      <c r="B2321" t="s">
        <v>38</v>
      </c>
    </row>
    <row r="2322" spans="1:2">
      <c r="A2322">
        <v>63.204343771663098</v>
      </c>
      <c r="B2322" t="s">
        <v>38</v>
      </c>
    </row>
    <row r="2323" spans="1:2">
      <c r="A2323">
        <v>63.2532429224959</v>
      </c>
      <c r="B2323" t="s">
        <v>38</v>
      </c>
    </row>
    <row r="2324" spans="1:2">
      <c r="A2324">
        <v>63.3593638219646</v>
      </c>
      <c r="B2324" t="s">
        <v>43</v>
      </c>
    </row>
    <row r="2325" spans="1:2">
      <c r="A2325">
        <v>63.419072042180602</v>
      </c>
      <c r="B2325" t="s">
        <v>33</v>
      </c>
    </row>
    <row r="2326" spans="1:2">
      <c r="A2326">
        <v>63.422055977630201</v>
      </c>
      <c r="B2326" t="s">
        <v>41</v>
      </c>
    </row>
    <row r="2327" spans="1:2">
      <c r="A2327">
        <v>63.453378827942998</v>
      </c>
      <c r="B2327" t="s">
        <v>38</v>
      </c>
    </row>
    <row r="2328" spans="1:2">
      <c r="A2328">
        <v>63.580937037245199</v>
      </c>
      <c r="B2328" t="s">
        <v>43</v>
      </c>
    </row>
    <row r="2329" spans="1:2">
      <c r="A2329">
        <v>63.698950996835201</v>
      </c>
      <c r="B2329" t="s">
        <v>74</v>
      </c>
    </row>
    <row r="2330" spans="1:2">
      <c r="A2330">
        <v>63.7598252486126</v>
      </c>
      <c r="B2330" t="s">
        <v>38</v>
      </c>
    </row>
    <row r="2331" spans="1:2">
      <c r="A2331">
        <v>63.8562142804468</v>
      </c>
      <c r="B2331" t="s">
        <v>33</v>
      </c>
    </row>
    <row r="2332" spans="1:2">
      <c r="A2332">
        <v>63.863622795580902</v>
      </c>
      <c r="B2332" t="s">
        <v>38</v>
      </c>
    </row>
    <row r="2333" spans="1:2">
      <c r="A2333">
        <v>63.882880914025698</v>
      </c>
      <c r="B2333" t="s">
        <v>38</v>
      </c>
    </row>
    <row r="2334" spans="1:2">
      <c r="A2334">
        <v>63.939140617500001</v>
      </c>
      <c r="B2334" t="s">
        <v>33</v>
      </c>
    </row>
    <row r="2335" spans="1:2">
      <c r="A2335">
        <v>63.962814109538101</v>
      </c>
      <c r="B2335" t="s">
        <v>43</v>
      </c>
    </row>
    <row r="2336" spans="1:2">
      <c r="A2336">
        <v>64.079618692458695</v>
      </c>
      <c r="B2336" t="s">
        <v>38</v>
      </c>
    </row>
    <row r="2337" spans="1:2">
      <c r="A2337">
        <v>64.190225039838495</v>
      </c>
      <c r="B2337" t="s">
        <v>38</v>
      </c>
    </row>
    <row r="2338" spans="1:2">
      <c r="A2338">
        <v>64.271248225548206</v>
      </c>
      <c r="B2338" t="s">
        <v>33</v>
      </c>
    </row>
    <row r="2339" spans="1:2">
      <c r="A2339">
        <v>64.400673295843006</v>
      </c>
      <c r="B2339" t="s">
        <v>33</v>
      </c>
    </row>
    <row r="2340" spans="1:2">
      <c r="A2340">
        <v>64.594324670900605</v>
      </c>
      <c r="B2340" t="s">
        <v>33</v>
      </c>
    </row>
    <row r="2341" spans="1:2">
      <c r="A2341">
        <v>64.638255435656205</v>
      </c>
      <c r="B2341" t="s">
        <v>33</v>
      </c>
    </row>
    <row r="2342" spans="1:2">
      <c r="A2342">
        <v>64.651428844131203</v>
      </c>
      <c r="B2342" t="s">
        <v>38</v>
      </c>
    </row>
    <row r="2343" spans="1:2">
      <c r="A2343">
        <v>64.905589210985198</v>
      </c>
      <c r="B2343" t="s">
        <v>38</v>
      </c>
    </row>
    <row r="2344" spans="1:2">
      <c r="A2344">
        <v>65.039571452998899</v>
      </c>
      <c r="B2344" t="s">
        <v>144</v>
      </c>
    </row>
    <row r="2345" spans="1:2">
      <c r="A2345">
        <v>65.134066672413994</v>
      </c>
      <c r="B2345" t="s">
        <v>49</v>
      </c>
    </row>
    <row r="2346" spans="1:2">
      <c r="A2346">
        <v>65.229875598933802</v>
      </c>
      <c r="B2346" t="s">
        <v>298</v>
      </c>
    </row>
    <row r="2347" spans="1:2">
      <c r="A2347">
        <v>65.377667772021297</v>
      </c>
      <c r="B2347" t="s">
        <v>47</v>
      </c>
    </row>
    <row r="2348" spans="1:2">
      <c r="A2348">
        <v>65.402267331376606</v>
      </c>
      <c r="B2348" t="s">
        <v>893</v>
      </c>
    </row>
    <row r="2349" spans="1:2">
      <c r="A2349">
        <v>65.571319856923395</v>
      </c>
      <c r="B2349" t="s">
        <v>33</v>
      </c>
    </row>
    <row r="2350" spans="1:2">
      <c r="A2350">
        <v>65.695303291243604</v>
      </c>
      <c r="B2350" t="s">
        <v>38</v>
      </c>
    </row>
    <row r="2351" spans="1:2">
      <c r="A2351">
        <v>65.849235846217496</v>
      </c>
      <c r="B2351" t="s">
        <v>38</v>
      </c>
    </row>
    <row r="2352" spans="1:2">
      <c r="A2352">
        <v>65.991339625587599</v>
      </c>
      <c r="B2352" t="s">
        <v>74</v>
      </c>
    </row>
    <row r="2353" spans="1:2">
      <c r="A2353">
        <v>66.036697681803702</v>
      </c>
      <c r="B2353" t="s">
        <v>38</v>
      </c>
    </row>
    <row r="2354" spans="1:2">
      <c r="A2354">
        <v>66.094495929393602</v>
      </c>
      <c r="B2354" t="s">
        <v>298</v>
      </c>
    </row>
    <row r="2355" spans="1:2">
      <c r="A2355">
        <v>66.157092855015307</v>
      </c>
      <c r="B2355" t="s">
        <v>38</v>
      </c>
    </row>
    <row r="2356" spans="1:2">
      <c r="A2356">
        <v>66.2074963944861</v>
      </c>
      <c r="B2356" t="s">
        <v>49</v>
      </c>
    </row>
    <row r="2357" spans="1:2">
      <c r="A2357">
        <v>66.343128139981602</v>
      </c>
      <c r="B2357" t="s">
        <v>47</v>
      </c>
    </row>
    <row r="2358" spans="1:2">
      <c r="A2358">
        <v>66.345980565037905</v>
      </c>
      <c r="B2358" t="s">
        <v>38</v>
      </c>
    </row>
    <row r="2359" spans="1:2">
      <c r="A2359">
        <v>66.411552527543606</v>
      </c>
      <c r="B2359" t="s">
        <v>33</v>
      </c>
    </row>
    <row r="2360" spans="1:2">
      <c r="A2360">
        <v>66.495561042827006</v>
      </c>
      <c r="B2360" t="s">
        <v>2422</v>
      </c>
    </row>
    <row r="2361" spans="1:2">
      <c r="A2361">
        <v>66.524014429256596</v>
      </c>
      <c r="B2361" t="s">
        <v>38</v>
      </c>
    </row>
    <row r="2362" spans="1:2">
      <c r="A2362">
        <v>66.7923004399387</v>
      </c>
      <c r="B2362" t="s">
        <v>33</v>
      </c>
    </row>
    <row r="2363" spans="1:2">
      <c r="A2363">
        <v>66.871585884687505</v>
      </c>
      <c r="B2363" t="s">
        <v>33</v>
      </c>
    </row>
    <row r="2364" spans="1:2">
      <c r="A2364">
        <v>67.083495951762998</v>
      </c>
      <c r="B2364" t="s">
        <v>33</v>
      </c>
    </row>
    <row r="2365" spans="1:2">
      <c r="A2365">
        <v>67.099009684727704</v>
      </c>
      <c r="B2365" t="s">
        <v>38</v>
      </c>
    </row>
    <row r="2366" spans="1:2">
      <c r="A2366">
        <v>67.293332631235302</v>
      </c>
      <c r="B2366" t="s">
        <v>298</v>
      </c>
    </row>
    <row r="2367" spans="1:2">
      <c r="A2367">
        <v>67.524941244201401</v>
      </c>
      <c r="B2367" t="s">
        <v>38</v>
      </c>
    </row>
    <row r="2368" spans="1:2">
      <c r="A2368">
        <v>67.582369355248602</v>
      </c>
      <c r="B2368" t="s">
        <v>49</v>
      </c>
    </row>
    <row r="2369" spans="1:2">
      <c r="A2369">
        <v>67.797640442149799</v>
      </c>
      <c r="B2369" t="s">
        <v>33</v>
      </c>
    </row>
    <row r="2370" spans="1:2">
      <c r="A2370">
        <v>67.937422306597398</v>
      </c>
      <c r="B2370" t="s">
        <v>38</v>
      </c>
    </row>
    <row r="2371" spans="1:2">
      <c r="A2371">
        <v>67.957950082965098</v>
      </c>
      <c r="B2371" t="s">
        <v>38</v>
      </c>
    </row>
    <row r="2372" spans="1:2">
      <c r="A2372">
        <v>67.976048258030701</v>
      </c>
      <c r="B2372" t="s">
        <v>33</v>
      </c>
    </row>
    <row r="2373" spans="1:2">
      <c r="A2373">
        <v>68.009447620447901</v>
      </c>
      <c r="B2373" t="s">
        <v>38</v>
      </c>
    </row>
    <row r="2374" spans="1:2">
      <c r="A2374">
        <v>68.131771869857701</v>
      </c>
      <c r="B2374" t="s">
        <v>38</v>
      </c>
    </row>
    <row r="2375" spans="1:2">
      <c r="A2375">
        <v>68.361924010448107</v>
      </c>
      <c r="B2375" t="s">
        <v>33</v>
      </c>
    </row>
    <row r="2376" spans="1:2">
      <c r="A2376">
        <v>68.444921115895099</v>
      </c>
      <c r="B2376" t="s">
        <v>49</v>
      </c>
    </row>
    <row r="2377" spans="1:2">
      <c r="A2377">
        <v>68.4476859528462</v>
      </c>
      <c r="B2377" t="s">
        <v>38</v>
      </c>
    </row>
    <row r="2378" spans="1:2">
      <c r="A2378">
        <v>68.479473554420693</v>
      </c>
      <c r="B2378" t="s">
        <v>33</v>
      </c>
    </row>
    <row r="2379" spans="1:2">
      <c r="A2379">
        <v>68.806168751692397</v>
      </c>
      <c r="B2379" t="s">
        <v>33</v>
      </c>
    </row>
    <row r="2380" spans="1:2">
      <c r="A2380">
        <v>69.058739824989303</v>
      </c>
      <c r="B2380" t="s">
        <v>33</v>
      </c>
    </row>
    <row r="2381" spans="1:2">
      <c r="A2381">
        <v>69.083398279621505</v>
      </c>
      <c r="B2381" t="s">
        <v>33</v>
      </c>
    </row>
    <row r="2382" spans="1:2">
      <c r="A2382">
        <v>69.469933423308206</v>
      </c>
      <c r="B2382" t="s">
        <v>72</v>
      </c>
    </row>
    <row r="2383" spans="1:2">
      <c r="A2383">
        <v>69.831298520368804</v>
      </c>
      <c r="B2383" t="s">
        <v>47</v>
      </c>
    </row>
    <row r="2384" spans="1:2">
      <c r="A2384">
        <v>70.024795489409698</v>
      </c>
      <c r="B2384" t="s">
        <v>49</v>
      </c>
    </row>
    <row r="2385" spans="1:2">
      <c r="A2385">
        <v>70.036955738783206</v>
      </c>
      <c r="B2385" t="s">
        <v>47</v>
      </c>
    </row>
    <row r="2386" spans="1:2">
      <c r="A2386">
        <v>70.103124536258207</v>
      </c>
      <c r="B2386" t="s">
        <v>38</v>
      </c>
    </row>
    <row r="2387" spans="1:2">
      <c r="A2387">
        <v>70.117970173894093</v>
      </c>
      <c r="B2387" t="s">
        <v>33</v>
      </c>
    </row>
    <row r="2388" spans="1:2">
      <c r="A2388">
        <v>70.1341618310027</v>
      </c>
      <c r="B2388" t="s">
        <v>47</v>
      </c>
    </row>
    <row r="2389" spans="1:2">
      <c r="A2389">
        <v>70.295873278869806</v>
      </c>
      <c r="B2389" t="s">
        <v>49</v>
      </c>
    </row>
    <row r="2390" spans="1:2">
      <c r="A2390">
        <v>70.504201610697507</v>
      </c>
      <c r="B2390" t="s">
        <v>38</v>
      </c>
    </row>
    <row r="2391" spans="1:2">
      <c r="A2391">
        <v>70.618185254523596</v>
      </c>
      <c r="B2391" t="s">
        <v>38</v>
      </c>
    </row>
    <row r="2392" spans="1:2">
      <c r="A2392">
        <v>70.744023905522795</v>
      </c>
      <c r="B2392" t="s">
        <v>38</v>
      </c>
    </row>
    <row r="2393" spans="1:2">
      <c r="A2393">
        <v>70.818885327427196</v>
      </c>
      <c r="B2393" t="s">
        <v>298</v>
      </c>
    </row>
    <row r="2394" spans="1:2">
      <c r="A2394">
        <v>70.846937966803296</v>
      </c>
      <c r="B2394" t="s">
        <v>38</v>
      </c>
    </row>
    <row r="2395" spans="1:2">
      <c r="A2395">
        <v>70.908347824881403</v>
      </c>
      <c r="B2395" t="s">
        <v>38</v>
      </c>
    </row>
    <row r="2396" spans="1:2">
      <c r="A2396">
        <v>71.008358708273903</v>
      </c>
      <c r="B2396" t="s">
        <v>38</v>
      </c>
    </row>
    <row r="2397" spans="1:2">
      <c r="A2397">
        <v>71.1055675449755</v>
      </c>
      <c r="B2397" t="s">
        <v>38</v>
      </c>
    </row>
    <row r="2398" spans="1:2">
      <c r="A2398">
        <v>71.184036589496003</v>
      </c>
      <c r="B2398" t="s">
        <v>38</v>
      </c>
    </row>
    <row r="2399" spans="1:2">
      <c r="A2399">
        <v>71.340715750109993</v>
      </c>
      <c r="B2399" t="s">
        <v>33</v>
      </c>
    </row>
    <row r="2400" spans="1:2">
      <c r="A2400">
        <v>71.440121352966202</v>
      </c>
      <c r="B2400" t="s">
        <v>101</v>
      </c>
    </row>
    <row r="2401" spans="1:2">
      <c r="A2401">
        <v>71.497051563692395</v>
      </c>
      <c r="B2401" t="s">
        <v>298</v>
      </c>
    </row>
    <row r="2402" spans="1:2">
      <c r="A2402">
        <v>71.5817010550101</v>
      </c>
      <c r="B2402" t="s">
        <v>38</v>
      </c>
    </row>
    <row r="2403" spans="1:2">
      <c r="A2403">
        <v>71.798159840447298</v>
      </c>
      <c r="B2403" t="s">
        <v>33</v>
      </c>
    </row>
    <row r="2404" spans="1:2">
      <c r="A2404">
        <v>71.809610472257901</v>
      </c>
      <c r="B2404" t="s">
        <v>38</v>
      </c>
    </row>
    <row r="2405" spans="1:2">
      <c r="A2405">
        <v>71.965336106075</v>
      </c>
      <c r="B2405" t="s">
        <v>33</v>
      </c>
    </row>
    <row r="2406" spans="1:2">
      <c r="A2406">
        <v>72.040241840263306</v>
      </c>
      <c r="B2406" t="s">
        <v>74</v>
      </c>
    </row>
    <row r="2407" spans="1:2">
      <c r="A2407">
        <v>72.100635339682796</v>
      </c>
      <c r="B2407" t="s">
        <v>38</v>
      </c>
    </row>
    <row r="2408" spans="1:2">
      <c r="A2408">
        <v>72.622376174213002</v>
      </c>
      <c r="B2408" t="s">
        <v>38</v>
      </c>
    </row>
    <row r="2409" spans="1:2">
      <c r="A2409">
        <v>72.683587803852802</v>
      </c>
      <c r="B2409" t="s">
        <v>38</v>
      </c>
    </row>
    <row r="2410" spans="1:2">
      <c r="A2410">
        <v>73.032939608439094</v>
      </c>
      <c r="B2410" t="s">
        <v>74</v>
      </c>
    </row>
    <row r="2411" spans="1:2">
      <c r="A2411">
        <v>73.285146021141898</v>
      </c>
      <c r="B2411" t="s">
        <v>38</v>
      </c>
    </row>
    <row r="2412" spans="1:2">
      <c r="A2412">
        <v>73.321289048114394</v>
      </c>
      <c r="B2412" t="s">
        <v>33</v>
      </c>
    </row>
    <row r="2413" spans="1:2">
      <c r="A2413">
        <v>73.384496511640606</v>
      </c>
      <c r="B2413" t="s">
        <v>38</v>
      </c>
    </row>
    <row r="2414" spans="1:2">
      <c r="A2414">
        <v>73.437342584705405</v>
      </c>
      <c r="B2414" t="s">
        <v>38</v>
      </c>
    </row>
    <row r="2415" spans="1:2">
      <c r="A2415">
        <v>73.443784626401794</v>
      </c>
      <c r="B2415" t="s">
        <v>38</v>
      </c>
    </row>
    <row r="2416" spans="1:2">
      <c r="A2416">
        <v>73.479849622779795</v>
      </c>
      <c r="B2416" t="s">
        <v>298</v>
      </c>
    </row>
    <row r="2417" spans="1:2">
      <c r="A2417">
        <v>73.537774168786598</v>
      </c>
      <c r="B2417" t="s">
        <v>38</v>
      </c>
    </row>
    <row r="2418" spans="1:2">
      <c r="A2418">
        <v>73.627788439841694</v>
      </c>
      <c r="B2418" t="s">
        <v>38</v>
      </c>
    </row>
    <row r="2419" spans="1:2">
      <c r="A2419">
        <v>73.941975450290002</v>
      </c>
      <c r="B2419" t="s">
        <v>38</v>
      </c>
    </row>
    <row r="2420" spans="1:2">
      <c r="A2420">
        <v>73.949653080365195</v>
      </c>
      <c r="B2420" t="s">
        <v>67</v>
      </c>
    </row>
    <row r="2421" spans="1:2">
      <c r="A2421">
        <v>74.003374188018896</v>
      </c>
      <c r="B2421" t="s">
        <v>72</v>
      </c>
    </row>
    <row r="2422" spans="1:2">
      <c r="A2422">
        <v>74.345251900523493</v>
      </c>
      <c r="B2422" t="s">
        <v>49</v>
      </c>
    </row>
    <row r="2423" spans="1:2">
      <c r="A2423">
        <v>74.361795550212705</v>
      </c>
      <c r="B2423" t="s">
        <v>38</v>
      </c>
    </row>
    <row r="2424" spans="1:2">
      <c r="A2424">
        <v>74.486390962586697</v>
      </c>
      <c r="B2424" t="s">
        <v>38</v>
      </c>
    </row>
    <row r="2425" spans="1:2">
      <c r="A2425">
        <v>74.710898980511899</v>
      </c>
      <c r="B2425" t="s">
        <v>38</v>
      </c>
    </row>
    <row r="2426" spans="1:2">
      <c r="A2426">
        <v>74.9460979647627</v>
      </c>
      <c r="B2426" t="s">
        <v>33</v>
      </c>
    </row>
    <row r="2427" spans="1:2">
      <c r="A2427">
        <v>75.2572959176143</v>
      </c>
      <c r="B2427" t="s">
        <v>38</v>
      </c>
    </row>
    <row r="2428" spans="1:2">
      <c r="A2428">
        <v>75.512097648489402</v>
      </c>
      <c r="B2428" t="s">
        <v>38</v>
      </c>
    </row>
    <row r="2429" spans="1:2">
      <c r="A2429">
        <v>75.631044973920197</v>
      </c>
      <c r="B2429" t="s">
        <v>33</v>
      </c>
    </row>
    <row r="2430" spans="1:2">
      <c r="A2430">
        <v>76.008712883693804</v>
      </c>
      <c r="B2430" t="s">
        <v>33</v>
      </c>
    </row>
    <row r="2431" spans="1:2">
      <c r="A2431">
        <v>76.304884221612795</v>
      </c>
      <c r="B2431" t="s">
        <v>38</v>
      </c>
    </row>
    <row r="2432" spans="1:2">
      <c r="A2432">
        <v>76.323482619122203</v>
      </c>
      <c r="B2432" t="s">
        <v>33</v>
      </c>
    </row>
    <row r="2433" spans="1:2">
      <c r="A2433">
        <v>76.337118564119393</v>
      </c>
      <c r="B2433" t="s">
        <v>33</v>
      </c>
    </row>
    <row r="2434" spans="1:2">
      <c r="A2434">
        <v>76.4523070777214</v>
      </c>
      <c r="B2434" t="s">
        <v>33</v>
      </c>
    </row>
    <row r="2435" spans="1:2">
      <c r="A2435">
        <v>76.945200519710795</v>
      </c>
      <c r="B2435" t="s">
        <v>41</v>
      </c>
    </row>
    <row r="2436" spans="1:2">
      <c r="A2436">
        <v>77.040405671993099</v>
      </c>
      <c r="B2436" t="s">
        <v>33</v>
      </c>
    </row>
    <row r="2437" spans="1:2">
      <c r="A2437">
        <v>77.232993186633607</v>
      </c>
      <c r="B2437" t="s">
        <v>43</v>
      </c>
    </row>
    <row r="2438" spans="1:2">
      <c r="A2438">
        <v>77.268514155332497</v>
      </c>
      <c r="B2438" t="s">
        <v>38</v>
      </c>
    </row>
    <row r="2439" spans="1:2">
      <c r="A2439">
        <v>77.448318132431694</v>
      </c>
      <c r="B2439" t="s">
        <v>38</v>
      </c>
    </row>
    <row r="2440" spans="1:2">
      <c r="A2440">
        <v>77.7129827258901</v>
      </c>
      <c r="B2440" t="s">
        <v>33</v>
      </c>
    </row>
    <row r="2441" spans="1:2">
      <c r="A2441">
        <v>77.979175890137498</v>
      </c>
      <c r="B2441" t="s">
        <v>33</v>
      </c>
    </row>
    <row r="2442" spans="1:2">
      <c r="A2442">
        <v>78.096788863662596</v>
      </c>
      <c r="B2442" t="s">
        <v>38</v>
      </c>
    </row>
    <row r="2443" spans="1:2">
      <c r="A2443">
        <v>78.196076283201705</v>
      </c>
      <c r="B2443" t="s">
        <v>49</v>
      </c>
    </row>
    <row r="2444" spans="1:2">
      <c r="A2444">
        <v>78.238416692246602</v>
      </c>
      <c r="B2444" t="s">
        <v>38</v>
      </c>
    </row>
    <row r="2445" spans="1:2">
      <c r="A2445">
        <v>78.255346441493302</v>
      </c>
      <c r="B2445" t="s">
        <v>331</v>
      </c>
    </row>
    <row r="2446" spans="1:2">
      <c r="A2446">
        <v>78.272272528952797</v>
      </c>
      <c r="B2446" t="s">
        <v>43</v>
      </c>
    </row>
    <row r="2447" spans="1:2">
      <c r="A2447">
        <v>78.303696984531697</v>
      </c>
      <c r="B2447" t="s">
        <v>38</v>
      </c>
    </row>
    <row r="2448" spans="1:2">
      <c r="A2448">
        <v>78.481129344670293</v>
      </c>
      <c r="B2448" t="s">
        <v>33</v>
      </c>
    </row>
    <row r="2449" spans="1:2">
      <c r="A2449">
        <v>79.078071354816998</v>
      </c>
      <c r="B2449" t="s">
        <v>47</v>
      </c>
    </row>
    <row r="2450" spans="1:2">
      <c r="A2450">
        <v>79.100802674258404</v>
      </c>
      <c r="B2450" t="s">
        <v>38</v>
      </c>
    </row>
    <row r="2451" spans="1:2">
      <c r="A2451">
        <v>79.5433597994069</v>
      </c>
      <c r="B2451" t="s">
        <v>38</v>
      </c>
    </row>
    <row r="2452" spans="1:2">
      <c r="A2452">
        <v>79.685978895157902</v>
      </c>
      <c r="B2452" t="s">
        <v>33</v>
      </c>
    </row>
    <row r="2453" spans="1:2">
      <c r="A2453">
        <v>79.821231007584103</v>
      </c>
      <c r="B2453" t="s">
        <v>38</v>
      </c>
    </row>
    <row r="2454" spans="1:2">
      <c r="A2454">
        <v>79.855600697586297</v>
      </c>
      <c r="B2454" t="s">
        <v>38</v>
      </c>
    </row>
    <row r="2455" spans="1:2">
      <c r="A2455">
        <v>79.897061668084305</v>
      </c>
      <c r="B2455" t="s">
        <v>33</v>
      </c>
    </row>
    <row r="2456" spans="1:2">
      <c r="A2456">
        <v>79.936133743611904</v>
      </c>
      <c r="B2456" t="s">
        <v>38</v>
      </c>
    </row>
    <row r="2457" spans="1:2">
      <c r="A2457">
        <v>80.282212466688307</v>
      </c>
      <c r="B2457" t="s">
        <v>49</v>
      </c>
    </row>
    <row r="2458" spans="1:2">
      <c r="A2458">
        <v>80.314028637681602</v>
      </c>
      <c r="B2458" t="s">
        <v>298</v>
      </c>
    </row>
    <row r="2459" spans="1:2">
      <c r="A2459">
        <v>80.652620182721293</v>
      </c>
      <c r="B2459" t="s">
        <v>72</v>
      </c>
    </row>
    <row r="2460" spans="1:2">
      <c r="A2460">
        <v>80.8635199505363</v>
      </c>
      <c r="B2460" t="s">
        <v>38</v>
      </c>
    </row>
    <row r="2461" spans="1:2">
      <c r="A2461">
        <v>80.912650798848205</v>
      </c>
      <c r="B2461" t="s">
        <v>38</v>
      </c>
    </row>
    <row r="2462" spans="1:2">
      <c r="A2462">
        <v>81.187001013424293</v>
      </c>
      <c r="B2462" t="s">
        <v>33</v>
      </c>
    </row>
    <row r="2463" spans="1:2">
      <c r="A2463">
        <v>81.702833289120704</v>
      </c>
      <c r="B2463" t="s">
        <v>49</v>
      </c>
    </row>
    <row r="2464" spans="1:2">
      <c r="A2464">
        <v>81.938748542937006</v>
      </c>
      <c r="B2464" t="s">
        <v>38</v>
      </c>
    </row>
    <row r="2465" spans="1:2">
      <c r="A2465">
        <v>82.476268906212695</v>
      </c>
      <c r="B2465" t="s">
        <v>38</v>
      </c>
    </row>
    <row r="2466" spans="1:2">
      <c r="A2466">
        <v>82.748865463852994</v>
      </c>
      <c r="B2466" t="s">
        <v>38</v>
      </c>
    </row>
    <row r="2467" spans="1:2">
      <c r="A2467">
        <v>82.839150902336598</v>
      </c>
      <c r="B2467" t="s">
        <v>33</v>
      </c>
    </row>
    <row r="2468" spans="1:2">
      <c r="A2468">
        <v>83.092339232796604</v>
      </c>
      <c r="B2468" t="s">
        <v>33</v>
      </c>
    </row>
    <row r="2469" spans="1:2">
      <c r="A2469">
        <v>83.243655258398803</v>
      </c>
      <c r="B2469" t="s">
        <v>38</v>
      </c>
    </row>
    <row r="2470" spans="1:2">
      <c r="A2470">
        <v>83.358380925773602</v>
      </c>
      <c r="B2470" t="s">
        <v>49</v>
      </c>
    </row>
    <row r="2471" spans="1:2">
      <c r="A2471">
        <v>83.542067339596002</v>
      </c>
      <c r="B2471" t="s">
        <v>33</v>
      </c>
    </row>
    <row r="2472" spans="1:2">
      <c r="A2472">
        <v>83.712918289949997</v>
      </c>
      <c r="B2472" t="s">
        <v>288</v>
      </c>
    </row>
    <row r="2473" spans="1:2">
      <c r="A2473">
        <v>83.741171238222805</v>
      </c>
      <c r="B2473" t="s">
        <v>38</v>
      </c>
    </row>
    <row r="2474" spans="1:2">
      <c r="A2474">
        <v>84.036690749187699</v>
      </c>
      <c r="B2474" t="s">
        <v>38</v>
      </c>
    </row>
    <row r="2475" spans="1:2">
      <c r="A2475">
        <v>84.215527121038093</v>
      </c>
      <c r="B2475" t="s">
        <v>38</v>
      </c>
    </row>
    <row r="2476" spans="1:2">
      <c r="A2476">
        <v>84.2514715711158</v>
      </c>
      <c r="B2476" t="s">
        <v>38</v>
      </c>
    </row>
    <row r="2477" spans="1:2">
      <c r="A2477">
        <v>84.331174685283997</v>
      </c>
      <c r="B2477" t="s">
        <v>33</v>
      </c>
    </row>
    <row r="2478" spans="1:2">
      <c r="A2478">
        <v>84.354733856806604</v>
      </c>
      <c r="B2478" t="s">
        <v>33</v>
      </c>
    </row>
    <row r="2479" spans="1:2">
      <c r="A2479">
        <v>84.385014555432406</v>
      </c>
      <c r="B2479" t="s">
        <v>47</v>
      </c>
    </row>
    <row r="2480" spans="1:2">
      <c r="A2480">
        <v>84.507148539405904</v>
      </c>
      <c r="B2480" t="s">
        <v>33</v>
      </c>
    </row>
    <row r="2481" spans="1:2">
      <c r="A2481">
        <v>84.693929613723398</v>
      </c>
      <c r="B2481" t="s">
        <v>41</v>
      </c>
    </row>
    <row r="2482" spans="1:2">
      <c r="A2482">
        <v>84.718504805835096</v>
      </c>
      <c r="B2482" t="s">
        <v>33</v>
      </c>
    </row>
    <row r="2483" spans="1:2">
      <c r="A2483">
        <v>84.782143757276998</v>
      </c>
      <c r="B2483" t="s">
        <v>49</v>
      </c>
    </row>
    <row r="2484" spans="1:2">
      <c r="A2484">
        <v>85.748716836671804</v>
      </c>
      <c r="B2484" t="s">
        <v>2547</v>
      </c>
    </row>
    <row r="2485" spans="1:2">
      <c r="A2485">
        <v>85.777402348954496</v>
      </c>
      <c r="B2485" t="s">
        <v>38</v>
      </c>
    </row>
    <row r="2486" spans="1:2">
      <c r="A2486">
        <v>85.850176371981505</v>
      </c>
      <c r="B2486" t="s">
        <v>38</v>
      </c>
    </row>
    <row r="2487" spans="1:2">
      <c r="A2487">
        <v>86.444393544792305</v>
      </c>
      <c r="B2487" t="s">
        <v>38</v>
      </c>
    </row>
    <row r="2488" spans="1:2">
      <c r="A2488">
        <v>86.750338205089705</v>
      </c>
      <c r="B2488" t="s">
        <v>33</v>
      </c>
    </row>
    <row r="2489" spans="1:2">
      <c r="A2489">
        <v>86.869146717566593</v>
      </c>
      <c r="B2489" t="s">
        <v>38</v>
      </c>
    </row>
    <row r="2490" spans="1:2">
      <c r="A2490">
        <v>87.099759699463903</v>
      </c>
      <c r="B2490" t="s">
        <v>33</v>
      </c>
    </row>
    <row r="2491" spans="1:2">
      <c r="A2491">
        <v>88.020469575241805</v>
      </c>
      <c r="B2491" t="s">
        <v>74</v>
      </c>
    </row>
    <row r="2492" spans="1:2">
      <c r="A2492">
        <v>88.227699380624699</v>
      </c>
      <c r="B2492" t="s">
        <v>33</v>
      </c>
    </row>
    <row r="2493" spans="1:2">
      <c r="A2493">
        <v>88.275947273937604</v>
      </c>
      <c r="B2493" t="s">
        <v>38</v>
      </c>
    </row>
    <row r="2494" spans="1:2">
      <c r="A2494">
        <v>88.897593988667694</v>
      </c>
      <c r="B2494" t="s">
        <v>38</v>
      </c>
    </row>
    <row r="2495" spans="1:2">
      <c r="A2495">
        <v>88.940159274318901</v>
      </c>
      <c r="B2495" t="s">
        <v>211</v>
      </c>
    </row>
    <row r="2496" spans="1:2">
      <c r="A2496">
        <v>88.964625091844098</v>
      </c>
      <c r="B2496" t="s">
        <v>38</v>
      </c>
    </row>
    <row r="2497" spans="1:2">
      <c r="A2497">
        <v>89.223762405607999</v>
      </c>
      <c r="B2497" t="s">
        <v>38</v>
      </c>
    </row>
    <row r="2498" spans="1:2">
      <c r="A2498">
        <v>89.272531888564103</v>
      </c>
      <c r="B2498" t="s">
        <v>38</v>
      </c>
    </row>
    <row r="2499" spans="1:2">
      <c r="A2499">
        <v>89.639568413732903</v>
      </c>
      <c r="B2499" t="s">
        <v>47</v>
      </c>
    </row>
    <row r="2500" spans="1:2">
      <c r="A2500">
        <v>89.888339302308097</v>
      </c>
      <c r="B2500" t="s">
        <v>38</v>
      </c>
    </row>
    <row r="2501" spans="1:2">
      <c r="A2501">
        <v>90.160564803269693</v>
      </c>
      <c r="B2501" t="s">
        <v>38</v>
      </c>
    </row>
    <row r="2502" spans="1:2">
      <c r="A2502">
        <v>90.6483018190781</v>
      </c>
      <c r="B2502" t="s">
        <v>33</v>
      </c>
    </row>
    <row r="2503" spans="1:2">
      <c r="A2503">
        <v>90.673350282996594</v>
      </c>
      <c r="B2503" t="s">
        <v>38</v>
      </c>
    </row>
    <row r="2504" spans="1:2">
      <c r="A2504">
        <v>90.685871920455</v>
      </c>
      <c r="B2504" t="s">
        <v>33</v>
      </c>
    </row>
    <row r="2505" spans="1:2">
      <c r="A2505">
        <v>90.780771461078601</v>
      </c>
      <c r="B2505" t="s">
        <v>38</v>
      </c>
    </row>
    <row r="2506" spans="1:2">
      <c r="A2506">
        <v>90.814119160416695</v>
      </c>
      <c r="B2506" t="s">
        <v>41</v>
      </c>
    </row>
    <row r="2507" spans="1:2">
      <c r="A2507">
        <v>90.960911843696906</v>
      </c>
      <c r="B2507" t="s">
        <v>38</v>
      </c>
    </row>
    <row r="2508" spans="1:2">
      <c r="A2508">
        <v>91.217489946415199</v>
      </c>
      <c r="B2508" t="s">
        <v>49</v>
      </c>
    </row>
    <row r="2509" spans="1:2">
      <c r="A2509">
        <v>91.260010024987196</v>
      </c>
      <c r="B2509" t="s">
        <v>288</v>
      </c>
    </row>
    <row r="2510" spans="1:2">
      <c r="A2510">
        <v>91.261046852586205</v>
      </c>
      <c r="B2510" t="s">
        <v>298</v>
      </c>
    </row>
    <row r="2511" spans="1:2">
      <c r="A2511">
        <v>91.330487488379404</v>
      </c>
      <c r="B2511" t="s">
        <v>49</v>
      </c>
    </row>
    <row r="2512" spans="1:2">
      <c r="A2512">
        <v>91.491965944869506</v>
      </c>
      <c r="B2512" t="s">
        <v>38</v>
      </c>
    </row>
    <row r="2513" spans="1:2">
      <c r="A2513">
        <v>91.649030265314806</v>
      </c>
      <c r="B2513" t="s">
        <v>33</v>
      </c>
    </row>
    <row r="2514" spans="1:2">
      <c r="A2514">
        <v>92.312547355134498</v>
      </c>
      <c r="B2514" t="s">
        <v>33</v>
      </c>
    </row>
    <row r="2515" spans="1:2">
      <c r="A2515">
        <v>92.887836311018305</v>
      </c>
      <c r="B2515" t="s">
        <v>49</v>
      </c>
    </row>
    <row r="2516" spans="1:2">
      <c r="A2516">
        <v>93.037459317804107</v>
      </c>
      <c r="B2516" t="s">
        <v>33</v>
      </c>
    </row>
    <row r="2517" spans="1:2">
      <c r="A2517">
        <v>93.046612093803105</v>
      </c>
      <c r="B2517" t="s">
        <v>41</v>
      </c>
    </row>
    <row r="2518" spans="1:2">
      <c r="A2518">
        <v>93.138090383907397</v>
      </c>
      <c r="B2518" t="s">
        <v>38</v>
      </c>
    </row>
    <row r="2519" spans="1:2">
      <c r="A2519">
        <v>93.777957824229304</v>
      </c>
      <c r="B2519" t="s">
        <v>38</v>
      </c>
    </row>
    <row r="2520" spans="1:2">
      <c r="A2520">
        <v>93.970478139128303</v>
      </c>
      <c r="B2520" t="s">
        <v>1038</v>
      </c>
    </row>
    <row r="2521" spans="1:2">
      <c r="A2521">
        <v>94.153560548113205</v>
      </c>
      <c r="B2521" t="s">
        <v>38</v>
      </c>
    </row>
    <row r="2522" spans="1:2">
      <c r="A2522">
        <v>94.289133791898706</v>
      </c>
      <c r="B2522" t="s">
        <v>298</v>
      </c>
    </row>
    <row r="2523" spans="1:2">
      <c r="A2523">
        <v>94.304185454646102</v>
      </c>
      <c r="B2523" t="s">
        <v>38</v>
      </c>
    </row>
    <row r="2524" spans="1:2">
      <c r="A2524">
        <v>94.376400020583901</v>
      </c>
      <c r="B2524" t="s">
        <v>298</v>
      </c>
    </row>
    <row r="2525" spans="1:2">
      <c r="A2525">
        <v>94.4455538329821</v>
      </c>
      <c r="B2525" t="s">
        <v>47</v>
      </c>
    </row>
    <row r="2526" spans="1:2">
      <c r="A2526">
        <v>94.890335206510898</v>
      </c>
      <c r="B2526" t="s">
        <v>298</v>
      </c>
    </row>
    <row r="2527" spans="1:2">
      <c r="A2527">
        <v>94.965093222681205</v>
      </c>
      <c r="B2527" t="s">
        <v>38</v>
      </c>
    </row>
    <row r="2528" spans="1:2">
      <c r="A2528">
        <v>95.201936606654598</v>
      </c>
      <c r="B2528" t="s">
        <v>101</v>
      </c>
    </row>
    <row r="2529" spans="1:2">
      <c r="A2529">
        <v>95.215850223720594</v>
      </c>
      <c r="B2529" t="s">
        <v>38</v>
      </c>
    </row>
    <row r="2530" spans="1:2">
      <c r="A2530">
        <v>95.251618763758998</v>
      </c>
      <c r="B2530" t="s">
        <v>38</v>
      </c>
    </row>
    <row r="2531" spans="1:2">
      <c r="A2531">
        <v>95.712427674181299</v>
      </c>
      <c r="B2531" t="s">
        <v>144</v>
      </c>
    </row>
    <row r="2532" spans="1:2">
      <c r="A2532">
        <v>95.746034219896103</v>
      </c>
      <c r="B2532" t="s">
        <v>188</v>
      </c>
    </row>
    <row r="2533" spans="1:2">
      <c r="A2533">
        <v>96.222177145664602</v>
      </c>
      <c r="B2533" t="s">
        <v>33</v>
      </c>
    </row>
    <row r="2534" spans="1:2">
      <c r="A2534">
        <v>96.606886811295098</v>
      </c>
      <c r="B2534" t="s">
        <v>33</v>
      </c>
    </row>
    <row r="2535" spans="1:2">
      <c r="A2535">
        <v>96.882697466984595</v>
      </c>
      <c r="B2535" t="s">
        <v>38</v>
      </c>
    </row>
    <row r="2536" spans="1:2">
      <c r="A2536">
        <v>96.957871105991998</v>
      </c>
      <c r="B2536" t="s">
        <v>49</v>
      </c>
    </row>
    <row r="2537" spans="1:2">
      <c r="A2537">
        <v>97.331896268240001</v>
      </c>
      <c r="B2537" t="s">
        <v>33</v>
      </c>
    </row>
    <row r="2538" spans="1:2">
      <c r="A2538">
        <v>98.005213255478495</v>
      </c>
      <c r="B2538" t="s">
        <v>49</v>
      </c>
    </row>
    <row r="2539" spans="1:2">
      <c r="A2539">
        <v>98.232800745873007</v>
      </c>
      <c r="B2539" t="s">
        <v>61</v>
      </c>
    </row>
    <row r="2540" spans="1:2">
      <c r="A2540">
        <v>98.598151263940807</v>
      </c>
      <c r="B2540" t="s">
        <v>33</v>
      </c>
    </row>
    <row r="2541" spans="1:2">
      <c r="A2541">
        <v>98.773468155842295</v>
      </c>
      <c r="B2541" t="s">
        <v>38</v>
      </c>
    </row>
    <row r="2542" spans="1:2">
      <c r="A2542">
        <v>99.516118442940297</v>
      </c>
      <c r="B2542" t="s">
        <v>47</v>
      </c>
    </row>
    <row r="2543" spans="1:2">
      <c r="A2543">
        <v>99.642496614397999</v>
      </c>
      <c r="B2543" t="s">
        <v>38</v>
      </c>
    </row>
    <row r="2544" spans="1:2">
      <c r="A2544">
        <v>100.386114710781</v>
      </c>
      <c r="B2544" t="s">
        <v>38</v>
      </c>
    </row>
    <row r="2545" spans="1:2">
      <c r="A2545">
        <v>100.55563506427001</v>
      </c>
      <c r="B2545" t="s">
        <v>33</v>
      </c>
    </row>
    <row r="2546" spans="1:2">
      <c r="A2546">
        <v>100.671309796226</v>
      </c>
      <c r="B2546" t="s">
        <v>38</v>
      </c>
    </row>
    <row r="2547" spans="1:2">
      <c r="A2547">
        <v>100.922889896337</v>
      </c>
      <c r="B2547" t="s">
        <v>38</v>
      </c>
    </row>
    <row r="2548" spans="1:2">
      <c r="A2548">
        <v>100.95663647486801</v>
      </c>
      <c r="B2548" t="s">
        <v>47</v>
      </c>
    </row>
    <row r="2549" spans="1:2">
      <c r="A2549">
        <v>100.962259807978</v>
      </c>
      <c r="B2549" t="s">
        <v>298</v>
      </c>
    </row>
    <row r="2550" spans="1:2">
      <c r="A2550">
        <v>101.72878796648899</v>
      </c>
      <c r="B2550" t="s">
        <v>38</v>
      </c>
    </row>
    <row r="2551" spans="1:2">
      <c r="A2551">
        <v>102.25944074901901</v>
      </c>
      <c r="B2551" t="s">
        <v>41</v>
      </c>
    </row>
    <row r="2552" spans="1:2">
      <c r="A2552">
        <v>102.469270289224</v>
      </c>
      <c r="B2552" t="s">
        <v>33</v>
      </c>
    </row>
    <row r="2553" spans="1:2">
      <c r="A2553">
        <v>102.872010223568</v>
      </c>
      <c r="B2553" t="s">
        <v>49</v>
      </c>
    </row>
    <row r="2554" spans="1:2">
      <c r="A2554">
        <v>103.130149489262</v>
      </c>
      <c r="B2554" t="s">
        <v>38</v>
      </c>
    </row>
    <row r="2555" spans="1:2">
      <c r="A2555">
        <v>103.199855580012</v>
      </c>
      <c r="B2555" t="s">
        <v>33</v>
      </c>
    </row>
    <row r="2556" spans="1:2">
      <c r="A2556">
        <v>103.577833037319</v>
      </c>
      <c r="B2556" t="s">
        <v>33</v>
      </c>
    </row>
    <row r="2557" spans="1:2">
      <c r="A2557">
        <v>104.183559186235</v>
      </c>
      <c r="B2557" t="s">
        <v>33</v>
      </c>
    </row>
    <row r="2558" spans="1:2">
      <c r="A2558">
        <v>104.26889677374901</v>
      </c>
      <c r="B2558" t="s">
        <v>298</v>
      </c>
    </row>
    <row r="2559" spans="1:2">
      <c r="A2559">
        <v>104.332400697278</v>
      </c>
      <c r="B2559" t="s">
        <v>74</v>
      </c>
    </row>
    <row r="2560" spans="1:2">
      <c r="A2560">
        <v>104.41318691523</v>
      </c>
      <c r="B2560" t="s">
        <v>33</v>
      </c>
    </row>
    <row r="2561" spans="1:2">
      <c r="A2561">
        <v>104.548930558813</v>
      </c>
      <c r="B2561" t="s">
        <v>38</v>
      </c>
    </row>
    <row r="2562" spans="1:2">
      <c r="A2562">
        <v>105.445604630188</v>
      </c>
      <c r="B2562" t="s">
        <v>38</v>
      </c>
    </row>
    <row r="2563" spans="1:2">
      <c r="A2563">
        <v>105.48508056625801</v>
      </c>
      <c r="B2563" t="s">
        <v>38</v>
      </c>
    </row>
    <row r="2564" spans="1:2">
      <c r="A2564">
        <v>106.00159896099601</v>
      </c>
      <c r="B2564" t="s">
        <v>38</v>
      </c>
    </row>
    <row r="2565" spans="1:2">
      <c r="A2565">
        <v>106.709571648726</v>
      </c>
      <c r="B2565" t="s">
        <v>38</v>
      </c>
    </row>
    <row r="2566" spans="1:2">
      <c r="A2566">
        <v>107.24822417544</v>
      </c>
      <c r="B2566" t="s">
        <v>38</v>
      </c>
    </row>
    <row r="2567" spans="1:2">
      <c r="A2567">
        <v>107.41220024956699</v>
      </c>
      <c r="B2567" t="s">
        <v>74</v>
      </c>
    </row>
    <row r="2568" spans="1:2">
      <c r="A2568">
        <v>107.491453709954</v>
      </c>
      <c r="B2568" t="s">
        <v>38</v>
      </c>
    </row>
    <row r="2569" spans="1:2">
      <c r="A2569">
        <v>107.680545306722</v>
      </c>
      <c r="B2569" t="s">
        <v>74</v>
      </c>
    </row>
    <row r="2570" spans="1:2">
      <c r="A2570">
        <v>107.83245733043999</v>
      </c>
      <c r="B2570" t="s">
        <v>38</v>
      </c>
    </row>
    <row r="2571" spans="1:2">
      <c r="A2571">
        <v>108.033214665507</v>
      </c>
      <c r="B2571" t="s">
        <v>33</v>
      </c>
    </row>
    <row r="2572" spans="1:2">
      <c r="A2572">
        <v>109.50513415186001</v>
      </c>
      <c r="B2572" t="s">
        <v>38</v>
      </c>
    </row>
    <row r="2573" spans="1:2">
      <c r="A2573">
        <v>109.607048423813</v>
      </c>
      <c r="B2573" t="s">
        <v>38</v>
      </c>
    </row>
    <row r="2574" spans="1:2">
      <c r="A2574">
        <v>110.538881550211</v>
      </c>
      <c r="B2574" t="s">
        <v>38</v>
      </c>
    </row>
    <row r="2575" spans="1:2">
      <c r="A2575">
        <v>110.786843832803</v>
      </c>
      <c r="B2575" t="s">
        <v>38</v>
      </c>
    </row>
    <row r="2576" spans="1:2">
      <c r="A2576">
        <v>110.91573576224501</v>
      </c>
      <c r="B2576" t="s">
        <v>298</v>
      </c>
    </row>
    <row r="2577" spans="1:2">
      <c r="A2577">
        <v>111.04788644725799</v>
      </c>
      <c r="B2577" t="s">
        <v>33</v>
      </c>
    </row>
    <row r="2578" spans="1:2">
      <c r="A2578">
        <v>111.484145403249</v>
      </c>
      <c r="B2578" t="s">
        <v>38</v>
      </c>
    </row>
    <row r="2579" spans="1:2">
      <c r="A2579">
        <v>112.349897081989</v>
      </c>
      <c r="B2579" t="s">
        <v>33</v>
      </c>
    </row>
    <row r="2580" spans="1:2">
      <c r="A2580">
        <v>112.711462629499</v>
      </c>
      <c r="B2580" t="s">
        <v>33</v>
      </c>
    </row>
    <row r="2581" spans="1:2">
      <c r="A2581">
        <v>112.747555412327</v>
      </c>
      <c r="B2581" t="s">
        <v>38</v>
      </c>
    </row>
    <row r="2582" spans="1:2">
      <c r="A2582">
        <v>112.79622040595299</v>
      </c>
      <c r="B2582" t="s">
        <v>38</v>
      </c>
    </row>
    <row r="2583" spans="1:2">
      <c r="A2583">
        <v>112.94879167153201</v>
      </c>
      <c r="B2583" t="s">
        <v>38</v>
      </c>
    </row>
    <row r="2584" spans="1:2">
      <c r="A2584">
        <v>113.600347613992</v>
      </c>
      <c r="B2584" t="s">
        <v>38</v>
      </c>
    </row>
    <row r="2585" spans="1:2">
      <c r="A2585">
        <v>113.72438685492099</v>
      </c>
      <c r="B2585" t="s">
        <v>33</v>
      </c>
    </row>
    <row r="2586" spans="1:2">
      <c r="A2586">
        <v>113.807558854611</v>
      </c>
      <c r="B2586" t="s">
        <v>38</v>
      </c>
    </row>
    <row r="2587" spans="1:2">
      <c r="A2587">
        <v>113.96541842853</v>
      </c>
      <c r="B2587" t="s">
        <v>33</v>
      </c>
    </row>
    <row r="2588" spans="1:2">
      <c r="A2588">
        <v>116.87003073113399</v>
      </c>
      <c r="B2588" t="s">
        <v>47</v>
      </c>
    </row>
    <row r="2589" spans="1:2">
      <c r="A2589">
        <v>117.718679832361</v>
      </c>
      <c r="B2589" t="s">
        <v>43</v>
      </c>
    </row>
    <row r="2590" spans="1:2">
      <c r="A2590">
        <v>118.235189301774</v>
      </c>
      <c r="B2590" t="s">
        <v>33</v>
      </c>
    </row>
    <row r="2591" spans="1:2">
      <c r="A2591">
        <v>118.247993112497</v>
      </c>
      <c r="B2591" t="s">
        <v>33</v>
      </c>
    </row>
    <row r="2592" spans="1:2">
      <c r="A2592">
        <v>118.36636270398699</v>
      </c>
      <c r="B2592" t="s">
        <v>38</v>
      </c>
    </row>
    <row r="2593" spans="1:2">
      <c r="A2593">
        <v>118.779727335969</v>
      </c>
      <c r="B2593" t="s">
        <v>38</v>
      </c>
    </row>
    <row r="2594" spans="1:2">
      <c r="A2594">
        <v>119.22975756900399</v>
      </c>
      <c r="B2594" t="s">
        <v>38</v>
      </c>
    </row>
    <row r="2595" spans="1:2">
      <c r="A2595">
        <v>120.311298629311</v>
      </c>
      <c r="B2595" t="s">
        <v>957</v>
      </c>
    </row>
    <row r="2596" spans="1:2">
      <c r="A2596">
        <v>120.32781340207301</v>
      </c>
      <c r="B2596" t="s">
        <v>38</v>
      </c>
    </row>
    <row r="2597" spans="1:2">
      <c r="A2597">
        <v>120.67880609555201</v>
      </c>
      <c r="B2597" t="s">
        <v>38</v>
      </c>
    </row>
    <row r="2598" spans="1:2">
      <c r="A2598">
        <v>121.059267613304</v>
      </c>
      <c r="B2598" t="s">
        <v>38</v>
      </c>
    </row>
    <row r="2599" spans="1:2">
      <c r="A2599">
        <v>121.78943650206899</v>
      </c>
      <c r="B2599" t="s">
        <v>33</v>
      </c>
    </row>
    <row r="2600" spans="1:2">
      <c r="A2600">
        <v>122.309643155033</v>
      </c>
      <c r="B2600" t="s">
        <v>331</v>
      </c>
    </row>
    <row r="2601" spans="1:2">
      <c r="A2601">
        <v>122.911587113145</v>
      </c>
      <c r="B2601" t="s">
        <v>49</v>
      </c>
    </row>
    <row r="2602" spans="1:2">
      <c r="A2602">
        <v>123.031622497082</v>
      </c>
      <c r="B2602" t="s">
        <v>38</v>
      </c>
    </row>
    <row r="2603" spans="1:2">
      <c r="A2603">
        <v>123.297437795766</v>
      </c>
      <c r="B2603" t="s">
        <v>74</v>
      </c>
    </row>
    <row r="2604" spans="1:2">
      <c r="A2604">
        <v>123.355748244898</v>
      </c>
      <c r="B2604" t="s">
        <v>38</v>
      </c>
    </row>
    <row r="2605" spans="1:2">
      <c r="A2605">
        <v>123.796022855491</v>
      </c>
      <c r="B2605" t="s">
        <v>38</v>
      </c>
    </row>
    <row r="2606" spans="1:2">
      <c r="A2606">
        <v>123.892291432333</v>
      </c>
      <c r="B2606" t="s">
        <v>331</v>
      </c>
    </row>
    <row r="2607" spans="1:2">
      <c r="A2607">
        <v>124.012140562186</v>
      </c>
      <c r="B2607" t="s">
        <v>33</v>
      </c>
    </row>
    <row r="2608" spans="1:2">
      <c r="A2608">
        <v>124.081554261344</v>
      </c>
      <c r="B2608" t="s">
        <v>298</v>
      </c>
    </row>
    <row r="2609" spans="1:2">
      <c r="A2609">
        <v>124.165409126377</v>
      </c>
      <c r="B2609" t="s">
        <v>38</v>
      </c>
    </row>
    <row r="2610" spans="1:2">
      <c r="A2610">
        <v>125.888660476806</v>
      </c>
      <c r="B2610" t="s">
        <v>38</v>
      </c>
    </row>
    <row r="2611" spans="1:2">
      <c r="A2611">
        <v>125.94501995645901</v>
      </c>
      <c r="B2611" t="s">
        <v>33</v>
      </c>
    </row>
    <row r="2612" spans="1:2">
      <c r="A2612">
        <v>126.038145684596</v>
      </c>
      <c r="B2612" t="s">
        <v>38</v>
      </c>
    </row>
    <row r="2613" spans="1:2">
      <c r="A2613">
        <v>126.562570201611</v>
      </c>
      <c r="B2613" t="s">
        <v>43</v>
      </c>
    </row>
    <row r="2614" spans="1:2">
      <c r="A2614">
        <v>126.57378409084301</v>
      </c>
      <c r="B2614" t="s">
        <v>38</v>
      </c>
    </row>
    <row r="2615" spans="1:2">
      <c r="A2615">
        <v>126.73291423387499</v>
      </c>
      <c r="B2615" t="s">
        <v>38</v>
      </c>
    </row>
    <row r="2616" spans="1:2">
      <c r="A2616">
        <v>126.73366085251401</v>
      </c>
      <c r="B2616" t="s">
        <v>33</v>
      </c>
    </row>
    <row r="2617" spans="1:2">
      <c r="A2617">
        <v>127.14884612615801</v>
      </c>
      <c r="B2617" t="s">
        <v>49</v>
      </c>
    </row>
    <row r="2618" spans="1:2">
      <c r="A2618">
        <v>127.39047454067</v>
      </c>
      <c r="B2618" t="s">
        <v>38</v>
      </c>
    </row>
    <row r="2619" spans="1:2">
      <c r="A2619">
        <v>127.42092434656701</v>
      </c>
      <c r="B2619" t="s">
        <v>38</v>
      </c>
    </row>
    <row r="2620" spans="1:2">
      <c r="A2620">
        <v>127.878281235</v>
      </c>
      <c r="B2620" t="s">
        <v>38</v>
      </c>
    </row>
    <row r="2621" spans="1:2">
      <c r="A2621">
        <v>128.09785300216501</v>
      </c>
      <c r="B2621" t="s">
        <v>33</v>
      </c>
    </row>
    <row r="2622" spans="1:2">
      <c r="A2622">
        <v>128.210080960429</v>
      </c>
      <c r="B2622" t="s">
        <v>38</v>
      </c>
    </row>
    <row r="2623" spans="1:2">
      <c r="A2623">
        <v>128.28386159918099</v>
      </c>
      <c r="B2623" t="s">
        <v>33</v>
      </c>
    </row>
    <row r="2624" spans="1:2">
      <c r="A2624">
        <v>128.43350594467699</v>
      </c>
      <c r="B2624" t="s">
        <v>38</v>
      </c>
    </row>
    <row r="2625" spans="1:2">
      <c r="A2625">
        <v>130.74520401554599</v>
      </c>
      <c r="B2625" t="s">
        <v>38</v>
      </c>
    </row>
    <row r="2626" spans="1:2">
      <c r="A2626">
        <v>130.78861932606199</v>
      </c>
      <c r="B2626" t="s">
        <v>33</v>
      </c>
    </row>
    <row r="2627" spans="1:2">
      <c r="A2627">
        <v>131.93822253020301</v>
      </c>
      <c r="B2627" t="s">
        <v>298</v>
      </c>
    </row>
    <row r="2628" spans="1:2">
      <c r="A2628">
        <v>132.31562854208701</v>
      </c>
      <c r="B2628" t="s">
        <v>38</v>
      </c>
    </row>
    <row r="2629" spans="1:2">
      <c r="A2629">
        <v>132.494491293171</v>
      </c>
      <c r="B2629" t="s">
        <v>33</v>
      </c>
    </row>
    <row r="2630" spans="1:2">
      <c r="A2630">
        <v>133.08927105348599</v>
      </c>
      <c r="B2630" t="s">
        <v>298</v>
      </c>
    </row>
    <row r="2631" spans="1:2">
      <c r="A2631">
        <v>133.122682080852</v>
      </c>
      <c r="B2631" t="s">
        <v>43</v>
      </c>
    </row>
    <row r="2632" spans="1:2">
      <c r="A2632">
        <v>133.146135877398</v>
      </c>
      <c r="B2632" t="s">
        <v>38</v>
      </c>
    </row>
    <row r="2633" spans="1:2">
      <c r="A2633">
        <v>134.30515000847899</v>
      </c>
      <c r="B2633" t="s">
        <v>38</v>
      </c>
    </row>
    <row r="2634" spans="1:2">
      <c r="A2634">
        <v>135.04707989680699</v>
      </c>
      <c r="B2634" t="s">
        <v>38</v>
      </c>
    </row>
    <row r="2635" spans="1:2">
      <c r="A2635">
        <v>135.811433567053</v>
      </c>
      <c r="B2635" t="s">
        <v>38</v>
      </c>
    </row>
    <row r="2636" spans="1:2">
      <c r="A2636">
        <v>136.57566636716999</v>
      </c>
      <c r="B2636" t="s">
        <v>38</v>
      </c>
    </row>
    <row r="2637" spans="1:2">
      <c r="A2637">
        <v>137.86033551721701</v>
      </c>
      <c r="B2637" t="s">
        <v>188</v>
      </c>
    </row>
    <row r="2638" spans="1:2">
      <c r="A2638">
        <v>138.991615061532</v>
      </c>
      <c r="B2638" t="s">
        <v>38</v>
      </c>
    </row>
    <row r="2639" spans="1:2">
      <c r="A2639">
        <v>139.0290524143</v>
      </c>
      <c r="B2639" t="s">
        <v>38</v>
      </c>
    </row>
    <row r="2640" spans="1:2">
      <c r="A2640">
        <v>139.13314333473099</v>
      </c>
      <c r="B2640" t="s">
        <v>47</v>
      </c>
    </row>
    <row r="2641" spans="1:2">
      <c r="A2641">
        <v>139.60431986659299</v>
      </c>
      <c r="B2641" t="s">
        <v>33</v>
      </c>
    </row>
    <row r="2642" spans="1:2">
      <c r="A2642">
        <v>140.91644157432401</v>
      </c>
      <c r="B2642" t="s">
        <v>298</v>
      </c>
    </row>
    <row r="2643" spans="1:2">
      <c r="A2643">
        <v>143.34834392864801</v>
      </c>
      <c r="B2643" t="s">
        <v>33</v>
      </c>
    </row>
    <row r="2644" spans="1:2">
      <c r="A2644">
        <v>143.35362447472099</v>
      </c>
      <c r="B2644" t="s">
        <v>33</v>
      </c>
    </row>
    <row r="2645" spans="1:2">
      <c r="A2645">
        <v>143.434128714471</v>
      </c>
      <c r="B2645" t="s">
        <v>38</v>
      </c>
    </row>
    <row r="2646" spans="1:2">
      <c r="A2646">
        <v>143.73989693671999</v>
      </c>
      <c r="B2646" t="s">
        <v>47</v>
      </c>
    </row>
    <row r="2647" spans="1:2">
      <c r="A2647">
        <v>144.80761500143799</v>
      </c>
      <c r="B2647" t="s">
        <v>38</v>
      </c>
    </row>
    <row r="2648" spans="1:2">
      <c r="A2648">
        <v>145.421191379742</v>
      </c>
      <c r="B2648" t="s">
        <v>38</v>
      </c>
    </row>
    <row r="2649" spans="1:2">
      <c r="A2649">
        <v>146.43013626555199</v>
      </c>
      <c r="B2649" t="s">
        <v>38</v>
      </c>
    </row>
    <row r="2650" spans="1:2">
      <c r="A2650">
        <v>146.73288558599901</v>
      </c>
      <c r="B2650" t="s">
        <v>38</v>
      </c>
    </row>
    <row r="2651" spans="1:2">
      <c r="A2651">
        <v>148.45868622693499</v>
      </c>
      <c r="B2651" t="s">
        <v>38</v>
      </c>
    </row>
    <row r="2652" spans="1:2">
      <c r="A2652">
        <v>148.89908522788301</v>
      </c>
      <c r="B2652" t="s">
        <v>47</v>
      </c>
    </row>
    <row r="2653" spans="1:2">
      <c r="A2653">
        <v>150.12936328176099</v>
      </c>
      <c r="B2653" t="s">
        <v>33</v>
      </c>
    </row>
    <row r="2654" spans="1:2">
      <c r="A2654">
        <v>150.28747678882399</v>
      </c>
      <c r="B2654" t="s">
        <v>38</v>
      </c>
    </row>
    <row r="2655" spans="1:2">
      <c r="A2655">
        <v>150.442279381063</v>
      </c>
      <c r="B2655" t="s">
        <v>38</v>
      </c>
    </row>
    <row r="2656" spans="1:2">
      <c r="A2656">
        <v>153.297065372937</v>
      </c>
      <c r="B2656" t="s">
        <v>38</v>
      </c>
    </row>
    <row r="2657" spans="1:2">
      <c r="A2657">
        <v>154.38387999333401</v>
      </c>
      <c r="B2657" t="s">
        <v>38</v>
      </c>
    </row>
    <row r="2658" spans="1:2">
      <c r="A2658">
        <v>154.90885314775599</v>
      </c>
      <c r="B2658" t="s">
        <v>33</v>
      </c>
    </row>
    <row r="2659" spans="1:2">
      <c r="A2659">
        <v>155.43753198996799</v>
      </c>
      <c r="B2659" t="s">
        <v>38</v>
      </c>
    </row>
    <row r="2660" spans="1:2">
      <c r="A2660">
        <v>156.61585247333699</v>
      </c>
      <c r="B2660" t="s">
        <v>38</v>
      </c>
    </row>
    <row r="2661" spans="1:2">
      <c r="A2661">
        <v>157.472628116522</v>
      </c>
      <c r="B2661" t="s">
        <v>38</v>
      </c>
    </row>
    <row r="2662" spans="1:2">
      <c r="A2662">
        <v>157.93762005785501</v>
      </c>
      <c r="B2662" t="s">
        <v>38</v>
      </c>
    </row>
    <row r="2663" spans="1:2">
      <c r="A2663">
        <v>158.09151541723801</v>
      </c>
      <c r="B2663" t="s">
        <v>38</v>
      </c>
    </row>
    <row r="2664" spans="1:2">
      <c r="A2664">
        <v>158.63523649515199</v>
      </c>
      <c r="B2664" t="s">
        <v>38</v>
      </c>
    </row>
    <row r="2665" spans="1:2">
      <c r="A2665">
        <v>158.64835833060101</v>
      </c>
      <c r="B2665" t="s">
        <v>38</v>
      </c>
    </row>
    <row r="2666" spans="1:2">
      <c r="A2666">
        <v>159.890022195201</v>
      </c>
      <c r="B2666" t="s">
        <v>38</v>
      </c>
    </row>
    <row r="2667" spans="1:2">
      <c r="A2667">
        <v>160.669286999414</v>
      </c>
      <c r="B2667" t="s">
        <v>38</v>
      </c>
    </row>
    <row r="2668" spans="1:2">
      <c r="A2668">
        <v>161.06690524271599</v>
      </c>
      <c r="B2668" t="s">
        <v>74</v>
      </c>
    </row>
    <row r="2669" spans="1:2">
      <c r="A2669">
        <v>163.36570665811701</v>
      </c>
      <c r="B2669" t="s">
        <v>38</v>
      </c>
    </row>
    <row r="2670" spans="1:2">
      <c r="A2670">
        <v>166.77974889279699</v>
      </c>
      <c r="B2670" t="s">
        <v>38</v>
      </c>
    </row>
    <row r="2671" spans="1:2">
      <c r="A2671">
        <v>166.938529537417</v>
      </c>
      <c r="B2671" t="s">
        <v>38</v>
      </c>
    </row>
    <row r="2672" spans="1:2">
      <c r="A2672">
        <v>168.34845212037899</v>
      </c>
      <c r="B2672" t="s">
        <v>38</v>
      </c>
    </row>
    <row r="2673" spans="1:2">
      <c r="A2673">
        <v>168.489469378629</v>
      </c>
      <c r="B2673" t="s">
        <v>33</v>
      </c>
    </row>
    <row r="2674" spans="1:2">
      <c r="A2674">
        <v>168.76330113994601</v>
      </c>
      <c r="B2674" t="s">
        <v>74</v>
      </c>
    </row>
    <row r="2675" spans="1:2">
      <c r="A2675">
        <v>169.90378603094501</v>
      </c>
      <c r="B2675" t="s">
        <v>38</v>
      </c>
    </row>
    <row r="2676" spans="1:2">
      <c r="A2676">
        <v>170.08079180215699</v>
      </c>
      <c r="B2676" t="s">
        <v>38</v>
      </c>
    </row>
    <row r="2677" spans="1:2">
      <c r="A2677">
        <v>171.45237819602599</v>
      </c>
      <c r="B2677" t="s">
        <v>38</v>
      </c>
    </row>
    <row r="2678" spans="1:2">
      <c r="A2678">
        <v>171.61987552000201</v>
      </c>
      <c r="B2678" t="s">
        <v>47</v>
      </c>
    </row>
    <row r="2679" spans="1:2">
      <c r="A2679">
        <v>172.47124292180499</v>
      </c>
      <c r="B2679" t="s">
        <v>74</v>
      </c>
    </row>
    <row r="2680" spans="1:2">
      <c r="A2680">
        <v>173.758443224817</v>
      </c>
      <c r="B2680" t="s">
        <v>38</v>
      </c>
    </row>
    <row r="2681" spans="1:2">
      <c r="A2681">
        <v>173.82541087200499</v>
      </c>
      <c r="B2681" t="s">
        <v>38</v>
      </c>
    </row>
    <row r="2682" spans="1:2">
      <c r="A2682">
        <v>175.526340114661</v>
      </c>
      <c r="B2682" t="s">
        <v>38</v>
      </c>
    </row>
    <row r="2683" spans="1:2">
      <c r="A2683">
        <v>177.33870630789701</v>
      </c>
      <c r="B2683" t="s">
        <v>38</v>
      </c>
    </row>
    <row r="2684" spans="1:2">
      <c r="A2684">
        <v>181.350874685306</v>
      </c>
      <c r="B2684" t="s">
        <v>33</v>
      </c>
    </row>
    <row r="2685" spans="1:2">
      <c r="A2685">
        <v>181.59541474049101</v>
      </c>
      <c r="B2685" t="s">
        <v>38</v>
      </c>
    </row>
    <row r="2686" spans="1:2">
      <c r="A2686">
        <v>182.594656800808</v>
      </c>
      <c r="B2686" t="s">
        <v>298</v>
      </c>
    </row>
    <row r="2687" spans="1:2">
      <c r="A2687">
        <v>184.53384612601999</v>
      </c>
      <c r="B2687" t="s">
        <v>47</v>
      </c>
    </row>
    <row r="2688" spans="1:2">
      <c r="A2688">
        <v>184.99373087373999</v>
      </c>
      <c r="B2688" t="s">
        <v>38</v>
      </c>
    </row>
    <row r="2689" spans="1:2">
      <c r="A2689">
        <v>185.463699688731</v>
      </c>
      <c r="B2689" t="s">
        <v>33</v>
      </c>
    </row>
    <row r="2690" spans="1:2">
      <c r="A2690">
        <v>186.49904327104201</v>
      </c>
      <c r="B2690" t="s">
        <v>38</v>
      </c>
    </row>
    <row r="2691" spans="1:2">
      <c r="A2691">
        <v>187.43277790891199</v>
      </c>
      <c r="B2691" t="s">
        <v>38</v>
      </c>
    </row>
    <row r="2692" spans="1:2">
      <c r="A2692">
        <v>187.928369266207</v>
      </c>
      <c r="B2692" t="s">
        <v>47</v>
      </c>
    </row>
    <row r="2693" spans="1:2">
      <c r="A2693">
        <v>192.77840815207799</v>
      </c>
      <c r="B2693" t="s">
        <v>38</v>
      </c>
    </row>
    <row r="2694" spans="1:2">
      <c r="A2694">
        <v>193.227485409862</v>
      </c>
      <c r="B2694" t="s">
        <v>38</v>
      </c>
    </row>
    <row r="2695" spans="1:2">
      <c r="A2695">
        <v>194.21565722870801</v>
      </c>
      <c r="B2695" t="s">
        <v>298</v>
      </c>
    </row>
    <row r="2696" spans="1:2">
      <c r="A2696">
        <v>194.287692319429</v>
      </c>
      <c r="B2696" t="s">
        <v>38</v>
      </c>
    </row>
    <row r="2697" spans="1:2">
      <c r="A2697">
        <v>194.910966638708</v>
      </c>
      <c r="B2697" t="s">
        <v>38</v>
      </c>
    </row>
    <row r="2698" spans="1:2">
      <c r="A2698">
        <v>198.32500008587999</v>
      </c>
      <c r="B2698" t="s">
        <v>38</v>
      </c>
    </row>
    <row r="2699" spans="1:2">
      <c r="A2699">
        <v>201.05480304736</v>
      </c>
      <c r="B2699" t="s">
        <v>38</v>
      </c>
    </row>
    <row r="2700" spans="1:2">
      <c r="A2700">
        <v>205.64419818497001</v>
      </c>
      <c r="B2700" t="s">
        <v>38</v>
      </c>
    </row>
    <row r="2701" spans="1:2">
      <c r="A2701">
        <v>207.06603214664801</v>
      </c>
      <c r="B2701" t="s">
        <v>38</v>
      </c>
    </row>
    <row r="2702" spans="1:2">
      <c r="A2702">
        <v>208.127210580259</v>
      </c>
      <c r="B2702" t="s">
        <v>38</v>
      </c>
    </row>
    <row r="2703" spans="1:2">
      <c r="A2703">
        <v>209.85274063859001</v>
      </c>
      <c r="B2703" t="s">
        <v>188</v>
      </c>
    </row>
    <row r="2704" spans="1:2">
      <c r="A2704">
        <v>213.05971933188599</v>
      </c>
      <c r="B2704" t="s">
        <v>74</v>
      </c>
    </row>
    <row r="2705" spans="1:2">
      <c r="A2705">
        <v>217.34117674677901</v>
      </c>
      <c r="B2705" t="s">
        <v>33</v>
      </c>
    </row>
    <row r="2706" spans="1:2">
      <c r="A2706">
        <v>218.374677670377</v>
      </c>
      <c r="B2706" t="s">
        <v>33</v>
      </c>
    </row>
    <row r="2707" spans="1:2">
      <c r="A2707">
        <v>219.70820248632501</v>
      </c>
      <c r="B2707" t="s">
        <v>38</v>
      </c>
    </row>
    <row r="2708" spans="1:2">
      <c r="A2708">
        <v>222.03015321293401</v>
      </c>
      <c r="B2708" t="s">
        <v>49</v>
      </c>
    </row>
    <row r="2709" spans="1:2">
      <c r="A2709">
        <v>222.36188776598101</v>
      </c>
      <c r="B2709" t="s">
        <v>33</v>
      </c>
    </row>
    <row r="2710" spans="1:2">
      <c r="A2710">
        <v>223.83470706154699</v>
      </c>
      <c r="B2710" t="s">
        <v>33</v>
      </c>
    </row>
    <row r="2711" spans="1:2">
      <c r="A2711">
        <v>227.04688077017201</v>
      </c>
      <c r="B2711" t="s">
        <v>38</v>
      </c>
    </row>
    <row r="2712" spans="1:2">
      <c r="A2712">
        <v>231.04669387973601</v>
      </c>
      <c r="B2712" t="s">
        <v>38</v>
      </c>
    </row>
    <row r="2713" spans="1:2">
      <c r="A2713">
        <v>238.31503510158899</v>
      </c>
      <c r="B2713" t="s">
        <v>38</v>
      </c>
    </row>
    <row r="2714" spans="1:2">
      <c r="A2714">
        <v>238.632853224949</v>
      </c>
      <c r="B2714" t="s">
        <v>38</v>
      </c>
    </row>
    <row r="2715" spans="1:2">
      <c r="A2715">
        <v>251.27030450205399</v>
      </c>
      <c r="B2715" t="s">
        <v>38</v>
      </c>
    </row>
    <row r="2716" spans="1:2">
      <c r="A2716">
        <v>255.3542249205</v>
      </c>
      <c r="B2716" t="s">
        <v>38</v>
      </c>
    </row>
    <row r="2717" spans="1:2">
      <c r="A2717">
        <v>255.79014270506599</v>
      </c>
      <c r="B2717" t="s">
        <v>38</v>
      </c>
    </row>
    <row r="2718" spans="1:2">
      <c r="A2718">
        <v>259.588526143026</v>
      </c>
      <c r="B2718" t="s">
        <v>38</v>
      </c>
    </row>
    <row r="2719" spans="1:2">
      <c r="A2719">
        <v>272.45158369526899</v>
      </c>
      <c r="B2719" t="s">
        <v>38</v>
      </c>
    </row>
    <row r="2720" spans="1:2">
      <c r="A2720">
        <v>273.50104799285702</v>
      </c>
      <c r="B2720" t="s">
        <v>38</v>
      </c>
    </row>
    <row r="2721" spans="1:2">
      <c r="A2721">
        <v>274.05331168417803</v>
      </c>
      <c r="B2721" t="s">
        <v>38</v>
      </c>
    </row>
    <row r="2722" spans="1:2">
      <c r="A2722">
        <v>275.93427618757801</v>
      </c>
      <c r="B2722" t="s">
        <v>38</v>
      </c>
    </row>
    <row r="2723" spans="1:2">
      <c r="A2723">
        <v>277.42986587467601</v>
      </c>
      <c r="B2723" t="s">
        <v>144</v>
      </c>
    </row>
    <row r="2724" spans="1:2">
      <c r="A2724">
        <v>280.680773888217</v>
      </c>
      <c r="B2724" t="s">
        <v>38</v>
      </c>
    </row>
    <row r="2725" spans="1:2">
      <c r="A2725">
        <v>290.76297180076898</v>
      </c>
      <c r="B2725" t="s">
        <v>49</v>
      </c>
    </row>
    <row r="2726" spans="1:2">
      <c r="A2726">
        <v>291.66473403998998</v>
      </c>
      <c r="B2726" t="s">
        <v>38</v>
      </c>
    </row>
    <row r="2727" spans="1:2">
      <c r="A2727">
        <v>291.69201664928602</v>
      </c>
      <c r="B2727" t="s">
        <v>38</v>
      </c>
    </row>
    <row r="2728" spans="1:2">
      <c r="A2728">
        <v>291.82839143659999</v>
      </c>
      <c r="B2728" t="s">
        <v>38</v>
      </c>
    </row>
    <row r="2729" spans="1:2">
      <c r="A2729">
        <v>292.12819187109301</v>
      </c>
      <c r="B2729" t="s">
        <v>33</v>
      </c>
    </row>
    <row r="2730" spans="1:2">
      <c r="A2730">
        <v>296.53516833298602</v>
      </c>
      <c r="B2730" t="s">
        <v>38</v>
      </c>
    </row>
    <row r="2731" spans="1:2">
      <c r="A2731">
        <v>296.85702280724701</v>
      </c>
      <c r="B2731" t="s">
        <v>38</v>
      </c>
    </row>
    <row r="2732" spans="1:2">
      <c r="A2732">
        <v>302.90728728850002</v>
      </c>
      <c r="B2732" t="s">
        <v>38</v>
      </c>
    </row>
    <row r="2733" spans="1:2">
      <c r="A2733">
        <v>303.37980089327499</v>
      </c>
      <c r="B2733" t="s">
        <v>38</v>
      </c>
    </row>
    <row r="2734" spans="1:2">
      <c r="A2734">
        <v>311.66049119030703</v>
      </c>
      <c r="B2734" t="s">
        <v>38</v>
      </c>
    </row>
    <row r="2735" spans="1:2">
      <c r="A2735">
        <v>313.89938717396802</v>
      </c>
      <c r="B2735" t="s">
        <v>74</v>
      </c>
    </row>
    <row r="2736" spans="1:2">
      <c r="A2736">
        <v>314.96234065230499</v>
      </c>
      <c r="B2736" t="s">
        <v>38</v>
      </c>
    </row>
    <row r="2737" spans="1:2">
      <c r="A2737">
        <v>315.61856548881502</v>
      </c>
      <c r="B2737" t="s">
        <v>38</v>
      </c>
    </row>
    <row r="2738" spans="1:2">
      <c r="A2738">
        <v>317.05245947136399</v>
      </c>
      <c r="B2738" t="s">
        <v>38</v>
      </c>
    </row>
    <row r="2739" spans="1:2">
      <c r="A2739">
        <v>317.25318912709901</v>
      </c>
      <c r="B2739" t="s">
        <v>43</v>
      </c>
    </row>
    <row r="2740" spans="1:2">
      <c r="A2740">
        <v>320.099909969625</v>
      </c>
      <c r="B2740" t="s">
        <v>38</v>
      </c>
    </row>
    <row r="2741" spans="1:2">
      <c r="A2741">
        <v>320.39809346229299</v>
      </c>
      <c r="B2741" t="s">
        <v>38</v>
      </c>
    </row>
    <row r="2742" spans="1:2">
      <c r="A2742">
        <v>323.95488802423699</v>
      </c>
      <c r="B2742" t="s">
        <v>38</v>
      </c>
    </row>
    <row r="2743" spans="1:2">
      <c r="A2743">
        <v>324.76450050305499</v>
      </c>
      <c r="B2743" t="s">
        <v>38</v>
      </c>
    </row>
    <row r="2744" spans="1:2">
      <c r="A2744">
        <v>327.30290587642901</v>
      </c>
      <c r="B2744" t="s">
        <v>38</v>
      </c>
    </row>
    <row r="2745" spans="1:2">
      <c r="A2745">
        <v>331.86626918021</v>
      </c>
      <c r="B2745" t="s">
        <v>38</v>
      </c>
    </row>
    <row r="2746" spans="1:2">
      <c r="A2746">
        <v>340.66961194478398</v>
      </c>
      <c r="B2746" t="s">
        <v>38</v>
      </c>
    </row>
    <row r="2747" spans="1:2">
      <c r="A2747">
        <v>343.15993704640601</v>
      </c>
      <c r="B2747" t="s">
        <v>38</v>
      </c>
    </row>
    <row r="2748" spans="1:2">
      <c r="A2748">
        <v>344.98705257461398</v>
      </c>
      <c r="B2748" t="s">
        <v>38</v>
      </c>
    </row>
    <row r="2749" spans="1:2">
      <c r="A2749">
        <v>357.24830141708298</v>
      </c>
      <c r="B2749" t="s">
        <v>38</v>
      </c>
    </row>
    <row r="2750" spans="1:2">
      <c r="A2750">
        <v>372.89901284314101</v>
      </c>
      <c r="B2750" t="s">
        <v>38</v>
      </c>
    </row>
    <row r="2751" spans="1:2">
      <c r="A2751">
        <v>380.984655989987</v>
      </c>
      <c r="B2751" t="s">
        <v>38</v>
      </c>
    </row>
    <row r="2752" spans="1:2">
      <c r="A2752">
        <v>384.85008775017599</v>
      </c>
      <c r="B2752" t="s">
        <v>288</v>
      </c>
    </row>
    <row r="2753" spans="1:2">
      <c r="A2753">
        <v>387.59044207054399</v>
      </c>
      <c r="B2753" t="s">
        <v>38</v>
      </c>
    </row>
    <row r="2754" spans="1:2">
      <c r="A2754">
        <v>389.10679429087298</v>
      </c>
      <c r="B2754" t="s">
        <v>33</v>
      </c>
    </row>
    <row r="2755" spans="1:2">
      <c r="A2755">
        <v>396.09966283751203</v>
      </c>
      <c r="B2755" t="s">
        <v>38</v>
      </c>
    </row>
    <row r="2756" spans="1:2">
      <c r="A2756">
        <v>404.764250420905</v>
      </c>
      <c r="B2756" t="s">
        <v>38</v>
      </c>
    </row>
    <row r="2757" spans="1:2">
      <c r="A2757">
        <v>406.882012141345</v>
      </c>
      <c r="B2757" t="s">
        <v>38</v>
      </c>
    </row>
    <row r="2758" spans="1:2">
      <c r="A2758">
        <v>408.910972232765</v>
      </c>
      <c r="B2758" t="s">
        <v>38</v>
      </c>
    </row>
    <row r="2759" spans="1:2">
      <c r="A2759">
        <v>416.03004772784902</v>
      </c>
      <c r="B2759" t="s">
        <v>38</v>
      </c>
    </row>
    <row r="2760" spans="1:2">
      <c r="A2760">
        <v>421.72935504324698</v>
      </c>
      <c r="B2760" t="s">
        <v>74</v>
      </c>
    </row>
    <row r="2761" spans="1:2">
      <c r="A2761">
        <v>427.073254586742</v>
      </c>
      <c r="B2761" t="s">
        <v>33</v>
      </c>
    </row>
    <row r="2762" spans="1:2">
      <c r="A2762">
        <v>432.57192071740099</v>
      </c>
      <c r="B2762" t="s">
        <v>38</v>
      </c>
    </row>
    <row r="2763" spans="1:2">
      <c r="A2763">
        <v>442.82593124559003</v>
      </c>
      <c r="B2763" t="s">
        <v>38</v>
      </c>
    </row>
    <row r="2764" spans="1:2">
      <c r="A2764">
        <v>443.20314841392701</v>
      </c>
      <c r="B2764" t="s">
        <v>38</v>
      </c>
    </row>
    <row r="2765" spans="1:2">
      <c r="A2765">
        <v>444.76249703512201</v>
      </c>
      <c r="B2765" t="s">
        <v>38</v>
      </c>
    </row>
    <row r="2766" spans="1:2">
      <c r="A2766">
        <v>453.497538541663</v>
      </c>
      <c r="B2766" t="s">
        <v>47</v>
      </c>
    </row>
    <row r="2767" spans="1:2">
      <c r="A2767">
        <v>463.95803746867898</v>
      </c>
      <c r="B2767" t="s">
        <v>38</v>
      </c>
    </row>
    <row r="2768" spans="1:2">
      <c r="A2768">
        <v>468.24336578684699</v>
      </c>
      <c r="B2768" t="s">
        <v>38</v>
      </c>
    </row>
    <row r="2769" spans="1:2">
      <c r="A2769">
        <v>469.24499333251998</v>
      </c>
      <c r="B2769" t="s">
        <v>38</v>
      </c>
    </row>
    <row r="2770" spans="1:2">
      <c r="A2770">
        <v>476.38118492939401</v>
      </c>
      <c r="B2770" t="s">
        <v>74</v>
      </c>
    </row>
    <row r="2771" spans="1:2">
      <c r="A2771">
        <v>483.13211395908399</v>
      </c>
      <c r="B2771" t="s">
        <v>38</v>
      </c>
    </row>
    <row r="2772" spans="1:2">
      <c r="A2772">
        <v>486.38247029656901</v>
      </c>
      <c r="B2772" t="s">
        <v>298</v>
      </c>
    </row>
    <row r="2773" spans="1:2">
      <c r="A2773">
        <v>486.67688080425501</v>
      </c>
      <c r="B2773" t="s">
        <v>38</v>
      </c>
    </row>
    <row r="2774" spans="1:2">
      <c r="A2774">
        <v>487.78749463509598</v>
      </c>
      <c r="B2774" t="s">
        <v>38</v>
      </c>
    </row>
    <row r="2775" spans="1:2">
      <c r="A2775">
        <v>492.447344179173</v>
      </c>
      <c r="B2775" t="s">
        <v>38</v>
      </c>
    </row>
    <row r="2776" spans="1:2">
      <c r="A2776">
        <v>495.57238894545299</v>
      </c>
      <c r="B2776" t="s">
        <v>33</v>
      </c>
    </row>
    <row r="2777" spans="1:2">
      <c r="A2777">
        <v>496.16616770447399</v>
      </c>
      <c r="B2777" t="s">
        <v>298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421A9D669F9444897CC5E4556E4C4E" ma:contentTypeVersion="14" ma:contentTypeDescription="Create a new document." ma:contentTypeScope="" ma:versionID="b85ac27567fb010439f5ff5df83ec7ae">
  <xsd:schema xmlns:xsd="http://www.w3.org/2001/XMLSchema" xmlns:xs="http://www.w3.org/2001/XMLSchema" xmlns:p="http://schemas.microsoft.com/office/2006/metadata/properties" xmlns:ns2="397680dc-95c9-4de1-9227-14187644d916" xmlns:ns3="3abd812f-7777-4e58-9325-0eb5962f5266" targetNamespace="http://schemas.microsoft.com/office/2006/metadata/properties" ma:root="true" ma:fieldsID="7b9f74df1cd7eed042ead513114c39fc" ns2:_="" ns3:_="">
    <xsd:import namespace="397680dc-95c9-4de1-9227-14187644d916"/>
    <xsd:import namespace="3abd812f-7777-4e58-9325-0eb5962f52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7680dc-95c9-4de1-9227-14187644d9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28b28469-8996-4088-bd89-44d87d6385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bd812f-7777-4e58-9325-0eb5962f526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da95d23f-d615-4b93-ac1a-21bd5a7f5dcf}" ma:internalName="TaxCatchAll" ma:showField="CatchAllData" ma:web="3abd812f-7777-4e58-9325-0eb5962f52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abd812f-7777-4e58-9325-0eb5962f5266" xsi:nil="true"/>
    <lcf76f155ced4ddcb4097134ff3c332f xmlns="397680dc-95c9-4de1-9227-14187644d916">
      <Terms xmlns="http://schemas.microsoft.com/office/infopath/2007/PartnerControls"/>
    </lcf76f155ced4ddcb4097134ff3c332f>
    <SharedWithUsers xmlns="3abd812f-7777-4e58-9325-0eb5962f5266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686ACD81-336E-4D3D-A706-65FE033AFC43}"/>
</file>

<file path=customXml/itemProps2.xml><?xml version="1.0" encoding="utf-8"?>
<ds:datastoreItem xmlns:ds="http://schemas.openxmlformats.org/officeDocument/2006/customXml" ds:itemID="{FD5BD1E8-0019-4CAB-930B-3D6D02F0C817}"/>
</file>

<file path=customXml/itemProps3.xml><?xml version="1.0" encoding="utf-8"?>
<ds:datastoreItem xmlns:ds="http://schemas.openxmlformats.org/officeDocument/2006/customXml" ds:itemID="{518F02AC-A4F5-46AB-8918-F0E6D9F10F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Roush, Emily Dawn</cp:lastModifiedBy>
  <cp:revision/>
  <dcterms:created xsi:type="dcterms:W3CDTF">2026-01-06T18:32:37Z</dcterms:created>
  <dcterms:modified xsi:type="dcterms:W3CDTF">2026-06-08T17:09:47Z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0x010100E6421A9D669F9444897CC5E4556E4C4E</vt:lpwstr>
  </property>
  <property fmtid="{D5CDD505-2E9C-101B-9397-08002B2CF9AE}" pid="3" name="Order">
    <vt:r8>8518200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MediaServiceImageTags">
    <vt:lpwstr/>
  </property>
</Properties>
</file>