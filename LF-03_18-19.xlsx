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MP_LDIR_DATA\26\Jon Sweetman\Copied from LDIR 1-28-26\Particle data_LF-03_18-19\"/>
    </mc:Choice>
  </mc:AlternateContent>
  <xr:revisionPtr revIDLastSave="13" documentId="8_{98BE3361-91EA-41C1-95C0-91E646132D5D}" xr6:coauthVersionLast="47" xr6:coauthVersionMax="47" xr10:uidLastSave="{4D6CB3B2-1291-4E96-A0C2-A5496BF9F0BC}"/>
  <bookViews>
    <workbookView xWindow="2115" yWindow="675" windowWidth="20595" windowHeight="13620" firstSheet="2" activeTab="3" xr2:uid="{00000000-000D-0000-FFFF-FFFF00000000}"/>
  </bookViews>
  <sheets>
    <sheet name="Info" sheetId="1" r:id="rId1"/>
    <sheet name="Particles" sheetId="2" r:id="rId2"/>
    <sheet name="Particles (2)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4" l="1" a="1"/>
  <c r="F30" i="4" s="1"/>
  <c r="E30" i="4"/>
  <c r="F29" i="4" a="1"/>
  <c r="F29" i="4" s="1"/>
  <c r="E29" i="4"/>
  <c r="F28" i="4" a="1"/>
  <c r="F28" i="4" s="1"/>
  <c r="E28" i="4"/>
  <c r="F27" i="4" a="1"/>
  <c r="F27" i="4" s="1"/>
  <c r="E27" i="4"/>
  <c r="F26" i="4" a="1"/>
  <c r="F26" i="4" s="1"/>
  <c r="E26" i="4"/>
  <c r="F25" i="4" a="1"/>
  <c r="F25" i="4" s="1"/>
  <c r="E25" i="4"/>
  <c r="F24" i="4" a="1"/>
  <c r="F24" i="4" s="1"/>
  <c r="E24" i="4"/>
  <c r="F23" i="4" a="1"/>
  <c r="F23" i="4" s="1"/>
  <c r="E23" i="4"/>
  <c r="F22" i="4" a="1"/>
  <c r="F22" i="4" s="1"/>
  <c r="E22" i="4"/>
  <c r="F21" i="4" a="1"/>
  <c r="F21" i="4" s="1"/>
  <c r="E21" i="4"/>
  <c r="F20" i="4" a="1"/>
  <c r="F20" i="4" s="1"/>
  <c r="E20" i="4"/>
  <c r="F19" i="4" a="1"/>
  <c r="F19" i="4" s="1"/>
  <c r="E19" i="4"/>
  <c r="F18" i="4" a="1"/>
  <c r="F18" i="4" s="1"/>
  <c r="E18" i="4"/>
  <c r="F17" i="4" a="1"/>
  <c r="F17" i="4" s="1"/>
  <c r="E17" i="4"/>
  <c r="F16" i="4" a="1"/>
  <c r="F16" i="4" s="1"/>
  <c r="E16" i="4"/>
  <c r="F15" i="4" a="1"/>
  <c r="F15" i="4" s="1"/>
  <c r="E15" i="4"/>
  <c r="F14" i="4" a="1"/>
  <c r="F14" i="4" s="1"/>
  <c r="E14" i="4"/>
  <c r="F13" i="4" a="1"/>
  <c r="F13" i="4" s="1"/>
  <c r="E13" i="4"/>
  <c r="F12" i="4" a="1"/>
  <c r="F12" i="4" s="1"/>
  <c r="E12" i="4"/>
  <c r="F11" i="4" a="1"/>
  <c r="F11" i="4" s="1"/>
  <c r="E11" i="4"/>
  <c r="F10" i="4" a="1"/>
  <c r="F10" i="4" s="1"/>
  <c r="E10" i="4"/>
  <c r="F9" i="4" a="1"/>
  <c r="F9" i="4" s="1"/>
  <c r="E9" i="4"/>
  <c r="F8" i="4" a="1"/>
  <c r="F8" i="4" s="1"/>
  <c r="E8" i="4"/>
  <c r="F7" i="4" a="1"/>
  <c r="F7" i="4" s="1"/>
  <c r="E7" i="4"/>
  <c r="F6" i="4" a="1"/>
  <c r="F6" i="4" s="1"/>
  <c r="E6" i="4"/>
  <c r="F5" i="4" a="1"/>
  <c r="F5" i="4" s="1"/>
  <c r="E5" i="4"/>
  <c r="F4" i="4" a="1"/>
  <c r="F4" i="4" s="1"/>
  <c r="E4" i="4"/>
  <c r="F3" i="4" a="1"/>
  <c r="F3" i="4" s="1"/>
  <c r="E3" i="4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<sst xmlns="http://schemas.openxmlformats.org/spreadsheetml/2006/main" count="8027" uniqueCount="817">
  <si>
    <t>Sample Name</t>
  </si>
  <si>
    <t>LF-03_18-19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</si>
  <si>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</si>
  <si>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</si>
  <si>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</si>
  <si>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</si>
  <si>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</si>
  <si>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</si>
  <si>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</si>
  <si>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</si>
  <si>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</si>
  <si>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</si>
  <si>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</si>
  <si>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</si>
  <si>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</si>
  <si>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</si>
  <si>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</si>
  <si>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</si>
  <si>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</si>
  <si>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</si>
  <si>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</si>
  <si>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</si>
  <si>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</si>
  <si>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</si>
  <si>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</si>
  <si>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</si>
  <si>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</si>
  <si>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</si>
  <si>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</si>
  <si>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</si>
  <si>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</si>
  <si>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</si>
  <si>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</si>
  <si>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Polypropylene (PP)</t>
  </si>
  <si>
    <t/>
  </si>
  <si>
    <t>Auto</t>
  </si>
  <si>
    <t>true</t>
  </si>
  <si>
    <t>A2</t>
  </si>
  <si>
    <t>A3</t>
  </si>
  <si>
    <t>A4</t>
  </si>
  <si>
    <t>A5</t>
  </si>
  <si>
    <t>A6</t>
  </si>
  <si>
    <t>A7</t>
  </si>
  <si>
    <t>A8</t>
  </si>
  <si>
    <t>A9</t>
  </si>
  <si>
    <t>Cellulosic</t>
  </si>
  <si>
    <t>A10</t>
  </si>
  <si>
    <t>A11</t>
  </si>
  <si>
    <t>A12</t>
  </si>
  <si>
    <t>A13</t>
  </si>
  <si>
    <t>A14</t>
  </si>
  <si>
    <t>A15</t>
  </si>
  <si>
    <t>Polyethylene (PE)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</si>
  <si>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</si>
  <si>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</si>
  <si>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</si>
  <si>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</si>
  <si>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</si>
  <si>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</si>
  <si>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</si>
  <si>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</si>
  <si>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</si>
  <si>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</si>
  <si>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</si>
  <si>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</si>
  <si>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</si>
  <si>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</si>
  <si>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</si>
  <si>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</si>
  <si>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</si>
  <si>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Acrylates</t>
  </si>
  <si>
    <t>A33</t>
  </si>
  <si>
    <t>A34</t>
  </si>
  <si>
    <t>A35</t>
  </si>
  <si>
    <t>A36</t>
  </si>
  <si>
    <t>Polyurethane (PU)</t>
  </si>
  <si>
    <t>A37</t>
  </si>
  <si>
    <t>A38</t>
  </si>
  <si>
    <t>A39</t>
  </si>
  <si>
    <t>A40</t>
  </si>
  <si>
    <t>A41</t>
  </si>
  <si>
    <t>A42</t>
  </si>
  <si>
    <t>A43</t>
  </si>
  <si>
    <t>Coal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</si>
  <si>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</si>
  <si>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</si>
  <si>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</si>
  <si>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</si>
  <si>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</si>
  <si>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</si>
  <si>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</si>
  <si>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</si>
  <si>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</si>
  <si>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</si>
  <si>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</si>
  <si>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</si>
  <si>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Chitin</t>
  </si>
  <si>
    <t>A56</t>
  </si>
  <si>
    <t>A57</t>
  </si>
  <si>
    <t>Polyvinyl alcohol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</si>
  <si>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</si>
  <si>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</si>
  <si>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</si>
  <si>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</si>
  <si>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</si>
  <si>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</si>
  <si>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</si>
  <si>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</si>
  <si>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</si>
  <si>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</si>
  <si>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</si>
  <si>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</si>
  <si>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</si>
  <si>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</si>
  <si>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</si>
  <si>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</si>
  <si>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</si>
  <si>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</si>
  <si>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</si>
  <si>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</si>
  <si>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</si>
  <si>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</si>
  <si>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</si>
  <si>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</si>
  <si>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</si>
  <si>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</si>
  <si>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</si>
  <si>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</si>
  <si>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</si>
  <si>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</si>
  <si>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</si>
  <si>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</si>
  <si>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Silica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</si>
  <si>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</si>
  <si>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</si>
  <si>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</si>
  <si>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</si>
  <si>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</si>
  <si>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</si>
  <si>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</si>
  <si>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</si>
  <si>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</si>
  <si>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</si>
  <si>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</si>
  <si>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Rubber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</si>
  <si>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</si>
  <si>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</si>
  <si>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</si>
  <si>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</si>
  <si>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</si>
  <si>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</si>
  <si>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</si>
  <si>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</si>
  <si>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</si>
  <si>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</si>
  <si>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</si>
  <si>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</si>
  <si>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</si>
  <si>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</si>
  <si>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</si>
  <si>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</si>
  <si>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</si>
  <si>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</si>
  <si>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</si>
  <si>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</si>
  <si>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</si>
  <si>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</si>
  <si>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</si>
  <si>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</si>
  <si>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Polyethylene Terephthalate (PET)</t>
  </si>
  <si>
    <t>A125</t>
  </si>
  <si>
    <t>A126</t>
  </si>
  <si>
    <t>A127</t>
  </si>
  <si>
    <t>A128</t>
  </si>
  <si>
    <t>A129</t>
  </si>
  <si>
    <t>A130</t>
  </si>
  <si>
    <t>A131</t>
  </si>
  <si>
    <t>A132</t>
  </si>
  <si>
    <t>Silicone</t>
  </si>
  <si>
    <t>A133</t>
  </si>
  <si>
    <t>A134</t>
  </si>
  <si>
    <t>A135</t>
  </si>
  <si>
    <t>A136</t>
  </si>
  <si>
    <t>A137</t>
  </si>
  <si>
    <t>A138</t>
  </si>
  <si>
    <t>Polycaprolactone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</si>
  <si>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</si>
  <si>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</si>
  <si>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</si>
  <si>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</si>
  <si>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</si>
  <si>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</si>
  <si>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</si>
  <si>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</si>
  <si>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</si>
  <si>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</si>
  <si>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</si>
  <si>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</si>
  <si>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</si>
  <si>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</si>
  <si>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</si>
  <si>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Alkyd Varnish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</si>
  <si>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</si>
  <si>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</si>
  <si>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</si>
  <si>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</si>
  <si>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</si>
  <si>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</si>
  <si>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</si>
  <si>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</si>
  <si>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</si>
  <si>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</si>
  <si>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</si>
  <si>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</si>
  <si>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</si>
  <si>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</si>
  <si>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</si>
  <si>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</si>
  <si>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</si>
  <si>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</si>
  <si>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</si>
  <si>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</si>
  <si>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</si>
  <si>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</si>
  <si>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</si>
  <si>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</si>
  <si>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</si>
  <si>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</si>
  <si>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</si>
  <si>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</si>
  <si>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</si>
  <si>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</si>
  <si>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</si>
  <si>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</si>
  <si>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</si>
  <si>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</si>
  <si>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</si>
  <si>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</si>
  <si>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</si>
  <si>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</si>
  <si>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</si>
  <si>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Polyvinylchloride (PVC)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</si>
  <si>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</si>
  <si>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</si>
  <si>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</si>
  <si>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</si>
  <si>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</si>
  <si>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</si>
  <si>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</si>
  <si>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</si>
  <si>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</si>
  <si>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</si>
  <si>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</si>
  <si>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</si>
  <si>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</si>
  <si>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</si>
  <si>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</si>
  <si>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</si>
  <si>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</si>
  <si>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</si>
  <si>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</si>
  <si>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</si>
  <si>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</si>
  <si>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</si>
  <si>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</si>
  <si>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</si>
  <si>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</si>
  <si>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</si>
  <si>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</si>
  <si>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</si>
  <si>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</si>
  <si>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</si>
  <si>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</si>
  <si>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</si>
  <si>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</si>
  <si>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</si>
  <si>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</si>
  <si>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</si>
  <si>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</si>
  <si>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Calcium Stearate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</si>
  <si>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</si>
  <si>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</si>
  <si>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</si>
  <si>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</si>
  <si>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</si>
  <si>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</si>
  <si>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</si>
  <si>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</si>
  <si>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</si>
  <si>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</si>
  <si>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</si>
  <si>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</si>
  <si>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</si>
  <si>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</si>
  <si>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</si>
  <si>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</si>
  <si>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</si>
  <si>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</si>
  <si>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</si>
  <si>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</si>
  <si>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</si>
  <si>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</si>
  <si>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</si>
  <si>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</si>
  <si>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</si>
  <si>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</si>
  <si>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</si>
  <si>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</si>
  <si>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</si>
  <si>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</si>
  <si>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</si>
  <si>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</si>
  <si>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</si>
  <si>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</si>
  <si>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</si>
  <si>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</si>
  <si>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</si>
  <si>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</si>
  <si>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</si>
  <si>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</si>
  <si>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</si>
  <si>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Polyethylene Chlorinated</t>
  </si>
  <si>
    <t>A271</t>
  </si>
  <si>
    <t>A272</t>
  </si>
  <si>
    <t>A273</t>
  </si>
  <si>
    <t>Acrylonitrile Butadiene</t>
  </si>
  <si>
    <t>A274</t>
  </si>
  <si>
    <t>A275</t>
  </si>
  <si>
    <t>A276</t>
  </si>
  <si>
    <t>A277</t>
  </si>
  <si>
    <t>A278</t>
  </si>
  <si>
    <t>Polyamide (PA)</t>
  </si>
  <si>
    <t>A279</t>
  </si>
  <si>
    <t>A280</t>
  </si>
  <si>
    <t>A281</t>
  </si>
  <si>
    <t>A282</t>
  </si>
  <si>
    <t>A283</t>
  </si>
  <si>
    <t>A284</t>
  </si>
  <si>
    <t>A285</t>
  </si>
  <si>
    <t>A286</t>
  </si>
  <si>
    <t>Polytetrafluoroethylene (PTFE)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</si>
  <si>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</si>
  <si>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</si>
  <si>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</si>
  <si>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</si>
  <si>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</si>
  <si>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</si>
  <si>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</si>
  <si>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</si>
  <si>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</si>
  <si>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</si>
  <si>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</si>
  <si>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</si>
  <si>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</si>
  <si>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</si>
  <si>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</si>
  <si>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</si>
  <si>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</si>
  <si>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</si>
  <si>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</si>
  <si>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</si>
  <si>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</si>
  <si>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</si>
  <si>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</si>
  <si>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</si>
  <si>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</si>
  <si>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</si>
  <si>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</si>
  <si>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</si>
  <si>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</si>
  <si>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</si>
  <si>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</si>
  <si>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</si>
  <si>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</si>
  <si>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</si>
  <si>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</si>
  <si>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</si>
  <si>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</si>
  <si>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</si>
  <si>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</si>
  <si>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</si>
  <si>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</si>
  <si>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</si>
  <si>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</si>
  <si>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</si>
  <si>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</si>
  <si>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</si>
  <si>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</si>
  <si>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</si>
  <si>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</si>
  <si>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</si>
  <si>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</si>
  <si>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</si>
  <si>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</si>
  <si>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</si>
  <si>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</si>
  <si>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</si>
  <si>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</si>
  <si>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</si>
  <si>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</si>
  <si>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</si>
  <si>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</si>
  <si>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</si>
  <si>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</si>
  <si>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</si>
  <si>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</si>
  <si>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</si>
  <si>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</si>
  <si>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</si>
  <si>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</si>
  <si>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</si>
  <si>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</si>
  <si>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</si>
  <si>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</si>
  <si>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</si>
  <si>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</si>
  <si>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</si>
  <si>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</si>
  <si>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</si>
  <si>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</si>
  <si>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</si>
  <si>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</si>
  <si>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</si>
  <si>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</si>
  <si>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</si>
  <si>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</si>
  <si>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</si>
  <si>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</si>
  <si>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</si>
  <si>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</si>
  <si>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</si>
  <si>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</si>
  <si>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</si>
  <si>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</si>
  <si>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</si>
  <si>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</si>
  <si>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</si>
  <si>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</si>
  <si>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</si>
  <si>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</si>
  <si>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</si>
  <si>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</si>
  <si>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</si>
  <si>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</si>
  <si>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</si>
  <si>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</si>
  <si>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</si>
  <si>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</si>
  <si>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</si>
  <si>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</si>
  <si>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</si>
  <si>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</si>
  <si>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</si>
  <si>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</si>
  <si>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</si>
  <si>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</si>
  <si>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</si>
  <si>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</si>
  <si>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</si>
  <si>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</si>
  <si>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</si>
  <si>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</si>
  <si>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</si>
  <si>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</si>
  <si>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</si>
  <si>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</si>
  <si>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</si>
  <si>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</si>
  <si>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</si>
  <si>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</si>
  <si>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</si>
  <si>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</si>
  <si>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</si>
  <si>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</si>
  <si>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</si>
  <si>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</si>
  <si>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</si>
  <si>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</si>
  <si>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</si>
  <si>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</si>
  <si>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</si>
  <si>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</si>
  <si>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</si>
  <si>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</si>
  <si>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</si>
  <si>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</si>
  <si>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</si>
  <si>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</si>
  <si>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</si>
  <si>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</si>
  <si>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</si>
  <si>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</si>
  <si>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</si>
  <si>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</si>
  <si>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</si>
  <si>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</si>
  <si>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</si>
  <si>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</si>
  <si>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</si>
  <si>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</si>
  <si>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</si>
  <si>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</si>
  <si>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</si>
  <si>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</si>
  <si>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</si>
  <si>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</si>
  <si>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</si>
  <si>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</si>
  <si>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</si>
  <si>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</si>
  <si>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</si>
  <si>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</si>
  <si>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Polysulfones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</si>
  <si>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</si>
  <si>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</si>
  <si>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</si>
  <si>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</si>
  <si>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</si>
  <si>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</si>
  <si>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</si>
  <si>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</si>
  <si>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</si>
  <si>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</si>
  <si>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</si>
  <si>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</si>
  <si>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</si>
  <si>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</si>
  <si>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</si>
  <si>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</si>
  <si>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</si>
  <si>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</si>
  <si>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</si>
  <si>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</si>
  <si>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</si>
  <si>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</si>
  <si>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</si>
  <si>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</si>
  <si>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</si>
  <si>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</si>
  <si>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</si>
  <si>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</si>
  <si>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</si>
  <si>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</si>
  <si>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</si>
  <si>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</si>
  <si>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</si>
  <si>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</si>
  <si>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</si>
  <si>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</si>
  <si>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</si>
  <si>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</si>
  <si>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</si>
  <si>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</si>
  <si>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</si>
  <si>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</si>
  <si>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</si>
  <si>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</si>
  <si>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</si>
  <si>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</si>
  <si>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</si>
  <si>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</si>
  <si>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</si>
  <si>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</si>
  <si>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</si>
  <si>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</si>
  <si>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</si>
  <si>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</si>
  <si>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</si>
  <si>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</si>
  <si>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</si>
  <si>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Natural Polyamide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</si>
  <si>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</si>
  <si>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</si>
  <si>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</si>
  <si>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</si>
  <si>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</si>
  <si>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</si>
  <si>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</si>
  <si>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</si>
  <si>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</si>
  <si>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</si>
  <si>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</si>
  <si>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</si>
  <si>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</si>
  <si>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</si>
  <si>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</si>
  <si>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</si>
  <si>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</si>
  <si>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</si>
  <si>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</si>
  <si>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</si>
  <si>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</si>
  <si>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</si>
  <si>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</si>
  <si>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</si>
  <si>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</si>
  <si>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</si>
  <si>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</si>
  <si>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</si>
  <si>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</si>
  <si>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</si>
  <si>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</si>
  <si>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</si>
  <si>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</si>
  <si>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</si>
  <si>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</si>
  <si>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</si>
  <si>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</si>
  <si>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</si>
  <si>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</si>
  <si>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</si>
  <si>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</si>
  <si>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</si>
  <si>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</si>
  <si>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</si>
  <si>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</si>
  <si>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</si>
  <si>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</si>
  <si>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</si>
  <si>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</si>
  <si>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</si>
  <si>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</si>
  <si>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</si>
  <si>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</si>
  <si>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</si>
  <si>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</si>
  <si>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</si>
  <si>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</si>
  <si>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</si>
  <si>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</si>
  <si>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</si>
  <si>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</si>
  <si>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</si>
  <si>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</si>
  <si>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</si>
  <si>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</si>
  <si>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</si>
  <si>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</si>
  <si>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</si>
  <si>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</si>
  <si>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</si>
  <si>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</si>
  <si>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</si>
  <si>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Polymethylmethacrylate (PMMA)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</si>
  <si>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</si>
  <si>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</si>
  <si>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</si>
  <si>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</si>
  <si>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</si>
  <si>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</si>
  <si>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</si>
  <si>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</si>
  <si>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</si>
  <si>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</si>
  <si>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</si>
  <si>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</si>
  <si>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</si>
  <si>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</si>
  <si>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</si>
  <si>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</si>
  <si>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</si>
  <si>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</si>
  <si>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</si>
  <si>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</si>
  <si>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</si>
  <si>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</si>
  <si>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</si>
  <si>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</si>
  <si>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</si>
  <si>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</si>
  <si>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</si>
  <si>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</si>
  <si>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</si>
  <si>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</si>
  <si>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</si>
  <si>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</si>
  <si>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</si>
  <si>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</si>
  <si>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</si>
  <si>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</si>
  <si>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</si>
  <si>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</si>
  <si>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</si>
  <si>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</si>
  <si>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</si>
  <si>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</si>
  <si>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</si>
  <si>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</si>
  <si>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</si>
  <si>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</si>
  <si>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</si>
  <si>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</si>
  <si>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</si>
  <si>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</si>
  <si>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</si>
  <si>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</si>
  <si>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</si>
  <si>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</si>
  <si>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</si>
  <si>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</si>
  <si>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</si>
  <si>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</si>
  <si>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</si>
  <si>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</si>
  <si>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</si>
  <si>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</si>
  <si>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</si>
  <si>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</si>
  <si>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</si>
  <si>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</si>
  <si>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</si>
  <si>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</si>
  <si>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</si>
  <si>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</si>
  <si>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</si>
  <si>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</si>
  <si>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</si>
  <si>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</si>
  <si>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</si>
  <si>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</si>
  <si>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</si>
  <si>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</si>
  <si>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</si>
  <si>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</si>
  <si>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</si>
  <si>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</si>
  <si>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</si>
  <si>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</si>
  <si>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</si>
  <si>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</si>
  <si>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</si>
  <si>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</si>
  <si>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</si>
  <si>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</si>
  <si>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</si>
  <si>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</si>
  <si>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</si>
  <si>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</si>
  <si>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</si>
  <si>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</si>
  <si>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</si>
  <si>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</si>
  <si>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</si>
  <si>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</si>
  <si>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</si>
  <si>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</si>
  <si>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</si>
  <si>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</si>
  <si>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</si>
  <si>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</si>
  <si>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</si>
  <si>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</si>
  <si>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</si>
  <si>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</si>
  <si>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</si>
  <si>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</si>
  <si>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</si>
  <si>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</si>
  <si>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</si>
  <si>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</si>
  <si>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</si>
  <si>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</si>
  <si>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</si>
  <si>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</si>
  <si>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</si>
  <si>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</si>
  <si>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</si>
  <si>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</si>
  <si>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</si>
  <si>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</si>
  <si>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</si>
  <si>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</si>
  <si>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</si>
  <si>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</si>
  <si>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</si>
  <si>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Polysulfone</t>
  </si>
  <si>
    <t>Polystyrene (PS)</t>
  </si>
  <si>
    <t>Polylactic acid (PLA)</t>
  </si>
  <si>
    <t>Polyisoprene Chlorinated</t>
  </si>
  <si>
    <t>Polyimide</t>
  </si>
  <si>
    <t>Polyether</t>
  </si>
  <si>
    <t>Polycarbonate (PC)</t>
  </si>
  <si>
    <t>Polybutadiene</t>
  </si>
  <si>
    <t>Polyacetal</t>
  </si>
  <si>
    <t>Ethylene Vinyl Acetate (EVA)</t>
  </si>
  <si>
    <t>Cellulose chemically modified</t>
  </si>
  <si>
    <t>Cellulose Acetate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</si>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</sst>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46050.424096724499</v>
      </c>
    </row>
    <row r="8" spans="1:2">
      <c r="A8" t="s">
        <v>13</v>
      </c>
      <c r="B8" s="1">
        <v>46050.694109004602</v>
      </c>
    </row>
    <row r="9" spans="1:2">
      <c r="A9" t="s">
        <v>14</v>
      </c>
      <c r="B9">
        <v>902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8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953</v>
      </c>
      <c r="D2">
        <v>477</v>
      </c>
      <c r="E2">
        <v>498.64593409800102</v>
      </c>
      <c r="F2">
        <v>1.9981132386237399</v>
      </c>
      <c r="G2">
        <v>195287.5</v>
      </c>
      <c r="H2">
        <v>4639.5183533430099</v>
      </c>
      <c r="I2">
        <v>0.74150155862212297</v>
      </c>
      <c r="J2">
        <v>0.114008837044517</v>
      </c>
      <c r="K2">
        <v>0.61334013819095501</v>
      </c>
      <c r="L2" t="s">
        <v>33</v>
      </c>
      <c r="M2" t="s">
        <v>34</v>
      </c>
      <c r="N2" t="s">
        <v>35</v>
      </c>
      <c r="O2">
        <v>0.89063731401171298</v>
      </c>
      <c r="P2" t="s">
        <v>36</v>
      </c>
    </row>
    <row r="3" spans="1:16">
      <c r="A3">
        <v>2</v>
      </c>
      <c r="B3" t="s">
        <v>37</v>
      </c>
      <c r="C3">
        <v>1000</v>
      </c>
      <c r="D3">
        <v>547</v>
      </c>
      <c r="E3">
        <v>479.67728863054703</v>
      </c>
      <c r="F3">
        <v>1.82881655270081</v>
      </c>
      <c r="G3">
        <v>180712.5</v>
      </c>
      <c r="H3">
        <v>7037.4577254056903</v>
      </c>
      <c r="I3">
        <v>0.60949591436177297</v>
      </c>
      <c r="J3">
        <v>4.5852863243089799E-2</v>
      </c>
      <c r="K3">
        <v>0.46636988289944797</v>
      </c>
      <c r="L3" t="s">
        <v>33</v>
      </c>
      <c r="M3" t="s">
        <v>34</v>
      </c>
      <c r="N3" t="s">
        <v>35</v>
      </c>
      <c r="O3">
        <v>0.90414445421604095</v>
      </c>
      <c r="P3" t="s">
        <v>36</v>
      </c>
    </row>
    <row r="4" spans="1:16">
      <c r="A4">
        <v>3</v>
      </c>
      <c r="B4" t="s">
        <v>38</v>
      </c>
      <c r="C4">
        <v>430</v>
      </c>
      <c r="D4">
        <v>1179</v>
      </c>
      <c r="E4">
        <v>455.73808348098697</v>
      </c>
      <c r="F4">
        <v>0.36463916144442399</v>
      </c>
      <c r="G4">
        <v>163125</v>
      </c>
      <c r="H4">
        <v>6429.9703562259701</v>
      </c>
      <c r="I4">
        <v>0.79572097917999496</v>
      </c>
      <c r="J4">
        <v>4.9580676395791903E-2</v>
      </c>
      <c r="K4">
        <v>0.44489141922067299</v>
      </c>
      <c r="L4" t="s">
        <v>33</v>
      </c>
      <c r="M4" t="s">
        <v>34</v>
      </c>
      <c r="N4" t="s">
        <v>35</v>
      </c>
      <c r="O4">
        <v>0.87093358073418004</v>
      </c>
      <c r="P4" t="s">
        <v>36</v>
      </c>
    </row>
    <row r="5" spans="1:16">
      <c r="A5">
        <v>4</v>
      </c>
      <c r="B5" t="s">
        <v>39</v>
      </c>
      <c r="C5">
        <v>506</v>
      </c>
      <c r="D5">
        <v>603</v>
      </c>
      <c r="E5">
        <v>443.615922993222</v>
      </c>
      <c r="F5">
        <v>0.83914307152140699</v>
      </c>
      <c r="G5">
        <v>154562.5</v>
      </c>
      <c r="H5">
        <v>3756.2593442201601</v>
      </c>
      <c r="I5">
        <v>0.80069018403329195</v>
      </c>
      <c r="J5">
        <v>0.13765844464243701</v>
      </c>
      <c r="K5">
        <v>0.64897916338634298</v>
      </c>
      <c r="L5" t="s">
        <v>33</v>
      </c>
      <c r="M5" t="s">
        <v>34</v>
      </c>
      <c r="N5" t="s">
        <v>35</v>
      </c>
      <c r="O5">
        <v>0.84601803440938195</v>
      </c>
      <c r="P5" t="s">
        <v>36</v>
      </c>
    </row>
    <row r="6" spans="1:16">
      <c r="A6">
        <v>5</v>
      </c>
      <c r="B6" t="s">
        <v>40</v>
      </c>
      <c r="C6">
        <v>378</v>
      </c>
      <c r="D6">
        <v>704</v>
      </c>
      <c r="E6">
        <v>430.91306792126198</v>
      </c>
      <c r="F6">
        <v>0.53719004590531105</v>
      </c>
      <c r="G6">
        <v>145837.5</v>
      </c>
      <c r="H6">
        <v>3249.2745012044902</v>
      </c>
      <c r="I6">
        <v>0.87452114666792902</v>
      </c>
      <c r="J6">
        <v>0.17358263233572299</v>
      </c>
      <c r="K6">
        <v>0.76938802426800301</v>
      </c>
      <c r="L6" t="s">
        <v>33</v>
      </c>
      <c r="M6" t="s">
        <v>34</v>
      </c>
      <c r="N6" t="s">
        <v>35</v>
      </c>
      <c r="O6">
        <v>0.93548111920196597</v>
      </c>
      <c r="P6" t="s">
        <v>36</v>
      </c>
    </row>
    <row r="7" spans="1:16">
      <c r="A7">
        <v>6</v>
      </c>
      <c r="B7" t="s">
        <v>41</v>
      </c>
      <c r="C7">
        <v>700</v>
      </c>
      <c r="D7">
        <v>449</v>
      </c>
      <c r="E7">
        <v>429.84063725453098</v>
      </c>
      <c r="F7">
        <v>1.5601611355076801</v>
      </c>
      <c r="G7">
        <v>145112.5</v>
      </c>
      <c r="H7">
        <v>4398.0969995260202</v>
      </c>
      <c r="I7">
        <v>0.63449423039522501</v>
      </c>
      <c r="J7">
        <v>9.42725123952214E-2</v>
      </c>
      <c r="K7">
        <v>0.60215778826702604</v>
      </c>
      <c r="L7" t="s">
        <v>33</v>
      </c>
      <c r="M7" t="s">
        <v>34</v>
      </c>
      <c r="N7" t="s">
        <v>35</v>
      </c>
      <c r="O7">
        <v>0.86459004686364704</v>
      </c>
      <c r="P7" t="s">
        <v>36</v>
      </c>
    </row>
    <row r="8" spans="1:16">
      <c r="A8">
        <v>7</v>
      </c>
      <c r="B8" t="s">
        <v>42</v>
      </c>
      <c r="C8">
        <v>508</v>
      </c>
      <c r="D8">
        <v>453</v>
      </c>
      <c r="E8">
        <v>426.924162854293</v>
      </c>
      <c r="F8">
        <v>1.1217747701217999</v>
      </c>
      <c r="G8">
        <v>143150</v>
      </c>
      <c r="H8">
        <v>2631.78713202477</v>
      </c>
      <c r="I8">
        <v>0.70946207178717902</v>
      </c>
      <c r="J8">
        <v>0.25971659360468002</v>
      </c>
      <c r="K8">
        <v>0.81975662133142402</v>
      </c>
      <c r="L8" t="s">
        <v>33</v>
      </c>
      <c r="M8" t="s">
        <v>34</v>
      </c>
      <c r="N8" t="s">
        <v>35</v>
      </c>
      <c r="O8">
        <v>0.74820019724389097</v>
      </c>
      <c r="P8" t="s">
        <v>36</v>
      </c>
    </row>
    <row r="9" spans="1:16">
      <c r="A9">
        <v>8</v>
      </c>
      <c r="B9" t="s">
        <v>43</v>
      </c>
      <c r="C9">
        <v>457</v>
      </c>
      <c r="D9">
        <v>616</v>
      </c>
      <c r="E9">
        <v>423.085764940697</v>
      </c>
      <c r="F9">
        <v>0.74276117601823999</v>
      </c>
      <c r="G9">
        <v>140587.5</v>
      </c>
      <c r="H9">
        <v>3648.9801257848699</v>
      </c>
      <c r="I9">
        <v>0.76918191960632398</v>
      </c>
      <c r="J9">
        <v>0.13268247871202299</v>
      </c>
      <c r="K9">
        <v>0.62407058040173102</v>
      </c>
      <c r="L9" t="s">
        <v>33</v>
      </c>
      <c r="M9" t="s">
        <v>34</v>
      </c>
      <c r="N9" t="s">
        <v>35</v>
      </c>
      <c r="O9">
        <v>0.93471601796302295</v>
      </c>
      <c r="P9" t="s">
        <v>36</v>
      </c>
    </row>
    <row r="10" spans="1:16">
      <c r="A10">
        <v>9</v>
      </c>
      <c r="B10" t="s">
        <v>44</v>
      </c>
      <c r="C10">
        <v>480</v>
      </c>
      <c r="D10">
        <v>597</v>
      </c>
      <c r="E10">
        <v>390.67837209798</v>
      </c>
      <c r="F10">
        <v>0.80437641641675395</v>
      </c>
      <c r="G10">
        <v>119875</v>
      </c>
      <c r="H10">
        <v>4311.7366087436703</v>
      </c>
      <c r="I10">
        <v>0.65191965427187204</v>
      </c>
      <c r="J10">
        <v>8.1027798189501204E-2</v>
      </c>
      <c r="K10">
        <v>0.54960169637228495</v>
      </c>
      <c r="L10" t="s">
        <v>45</v>
      </c>
      <c r="M10" t="s">
        <v>34</v>
      </c>
      <c r="N10" t="s">
        <v>35</v>
      </c>
      <c r="O10">
        <v>0.78016659905215902</v>
      </c>
      <c r="P10" t="s">
        <v>36</v>
      </c>
    </row>
    <row r="11" spans="1:16">
      <c r="A11">
        <v>10</v>
      </c>
      <c r="B11" t="s">
        <v>46</v>
      </c>
      <c r="C11">
        <v>357</v>
      </c>
      <c r="D11">
        <v>692</v>
      </c>
      <c r="E11">
        <v>342.114812818416</v>
      </c>
      <c r="F11">
        <v>0.51531393028004102</v>
      </c>
      <c r="G11">
        <v>91925</v>
      </c>
      <c r="H11">
        <v>3327.7669227123301</v>
      </c>
      <c r="I11">
        <v>0.89514033880227395</v>
      </c>
      <c r="J11">
        <v>0.10431282359949</v>
      </c>
      <c r="K11">
        <v>0.53942639184332097</v>
      </c>
      <c r="L11" t="s">
        <v>33</v>
      </c>
      <c r="M11" t="s">
        <v>34</v>
      </c>
      <c r="N11" t="s">
        <v>35</v>
      </c>
      <c r="O11">
        <v>0.87303672348531203</v>
      </c>
      <c r="P11" t="s">
        <v>36</v>
      </c>
    </row>
    <row r="12" spans="1:16">
      <c r="A12">
        <v>11</v>
      </c>
      <c r="B12" t="s">
        <v>47</v>
      </c>
      <c r="C12">
        <v>290</v>
      </c>
      <c r="D12">
        <v>454</v>
      </c>
      <c r="E12">
        <v>340.97314546548898</v>
      </c>
      <c r="F12">
        <v>0.63947607489212999</v>
      </c>
      <c r="G12">
        <v>91312.5</v>
      </c>
      <c r="H12">
        <v>1675.5991905927699</v>
      </c>
      <c r="I12">
        <v>0.81854444790090797</v>
      </c>
      <c r="J12">
        <v>0.40869546011983698</v>
      </c>
      <c r="K12">
        <v>0.84217200830066896</v>
      </c>
      <c r="L12" t="s">
        <v>33</v>
      </c>
      <c r="M12" t="s">
        <v>34</v>
      </c>
      <c r="N12" t="s">
        <v>35</v>
      </c>
      <c r="O12">
        <v>0.85381691627904499</v>
      </c>
      <c r="P12" t="s">
        <v>36</v>
      </c>
    </row>
    <row r="13" spans="1:16">
      <c r="A13">
        <v>12</v>
      </c>
      <c r="B13" t="s">
        <v>48</v>
      </c>
      <c r="C13">
        <v>412</v>
      </c>
      <c r="D13">
        <v>465</v>
      </c>
      <c r="E13">
        <v>337.73709851593401</v>
      </c>
      <c r="F13">
        <v>0.88667785814615097</v>
      </c>
      <c r="G13">
        <v>89587.5</v>
      </c>
      <c r="H13">
        <v>2697.1424704790102</v>
      </c>
      <c r="I13">
        <v>0.61635761539072298</v>
      </c>
      <c r="J13">
        <v>0.154756716314566</v>
      </c>
      <c r="K13">
        <v>0.63797400747730104</v>
      </c>
      <c r="L13" t="s">
        <v>45</v>
      </c>
      <c r="M13" t="s">
        <v>34</v>
      </c>
      <c r="N13" t="s">
        <v>35</v>
      </c>
      <c r="O13">
        <v>0.81750249983534395</v>
      </c>
      <c r="P13" t="s">
        <v>36</v>
      </c>
    </row>
    <row r="14" spans="1:16">
      <c r="A14">
        <v>13</v>
      </c>
      <c r="B14" t="s">
        <v>49</v>
      </c>
      <c r="C14">
        <v>480</v>
      </c>
      <c r="D14">
        <v>338</v>
      </c>
      <c r="E14">
        <v>331.314298288619</v>
      </c>
      <c r="F14">
        <v>1.4203296483133501</v>
      </c>
      <c r="G14">
        <v>86212.5</v>
      </c>
      <c r="H14">
        <v>2481.57898128033</v>
      </c>
      <c r="I14">
        <v>0.58198078783446705</v>
      </c>
      <c r="J14">
        <v>0.17592351708466</v>
      </c>
      <c r="K14">
        <v>0.68654190722675701</v>
      </c>
      <c r="L14" t="s">
        <v>33</v>
      </c>
      <c r="M14" t="s">
        <v>34</v>
      </c>
      <c r="N14" t="s">
        <v>35</v>
      </c>
      <c r="O14">
        <v>0.87540578749404296</v>
      </c>
      <c r="P14" t="s">
        <v>36</v>
      </c>
    </row>
    <row r="15" spans="1:16">
      <c r="A15">
        <v>14</v>
      </c>
      <c r="B15" t="s">
        <v>50</v>
      </c>
      <c r="C15">
        <v>344</v>
      </c>
      <c r="D15">
        <v>557</v>
      </c>
      <c r="E15">
        <v>329.36303558753502</v>
      </c>
      <c r="F15">
        <v>0.61737864303038903</v>
      </c>
      <c r="G15">
        <v>85200</v>
      </c>
      <c r="H15">
        <v>2547.64499664307</v>
      </c>
      <c r="I15">
        <v>0.61083030800781601</v>
      </c>
      <c r="J15">
        <v>0.16495733708642599</v>
      </c>
      <c r="K15">
        <v>0.59228362877997898</v>
      </c>
      <c r="L15" t="s">
        <v>33</v>
      </c>
      <c r="M15" t="s">
        <v>34</v>
      </c>
      <c r="N15" t="s">
        <v>35</v>
      </c>
      <c r="O15">
        <v>0.90834402906783196</v>
      </c>
      <c r="P15" t="s">
        <v>36</v>
      </c>
    </row>
    <row r="16" spans="1:16">
      <c r="A16">
        <v>15</v>
      </c>
      <c r="B16" t="s">
        <v>51</v>
      </c>
      <c r="C16">
        <v>328</v>
      </c>
      <c r="D16">
        <v>377</v>
      </c>
      <c r="E16">
        <v>276.19830512232801</v>
      </c>
      <c r="F16">
        <v>0.86994219653179194</v>
      </c>
      <c r="G16">
        <v>59914.494541020802</v>
      </c>
      <c r="H16">
        <v>4651.82203363802</v>
      </c>
      <c r="I16">
        <v>0.52013511225767195</v>
      </c>
      <c r="J16">
        <v>3.4793296736596403E-2</v>
      </c>
      <c r="K16">
        <v>0.60936966189884501</v>
      </c>
      <c r="L16" t="s">
        <v>52</v>
      </c>
      <c r="M16" t="s">
        <v>34</v>
      </c>
      <c r="N16" t="s">
        <v>35</v>
      </c>
      <c r="O16">
        <v>0.80555390072541599</v>
      </c>
      <c r="P16" t="s">
        <v>36</v>
      </c>
    </row>
    <row r="17" spans="1:16">
      <c r="A17">
        <v>16</v>
      </c>
      <c r="B17" t="s">
        <v>53</v>
      </c>
      <c r="C17">
        <v>341</v>
      </c>
      <c r="D17">
        <v>631</v>
      </c>
      <c r="E17">
        <v>321.21667081033598</v>
      </c>
      <c r="F17">
        <v>0.540377680025667</v>
      </c>
      <c r="G17">
        <v>81037.5</v>
      </c>
      <c r="H17">
        <v>3403.1222611665698</v>
      </c>
      <c r="I17">
        <v>0.64624429880358303</v>
      </c>
      <c r="J17">
        <v>8.7930753510644499E-2</v>
      </c>
      <c r="K17">
        <v>0.490207939508507</v>
      </c>
      <c r="L17" t="s">
        <v>33</v>
      </c>
      <c r="M17" t="s">
        <v>34</v>
      </c>
      <c r="N17" t="s">
        <v>35</v>
      </c>
      <c r="O17">
        <v>0.88790335531127096</v>
      </c>
      <c r="P17" t="s">
        <v>36</v>
      </c>
    </row>
    <row r="18" spans="1:16">
      <c r="A18">
        <v>17</v>
      </c>
      <c r="B18" t="s">
        <v>54</v>
      </c>
      <c r="C18">
        <v>351</v>
      </c>
      <c r="D18">
        <v>627</v>
      </c>
      <c r="E18">
        <v>305.86153002529801</v>
      </c>
      <c r="F18">
        <v>0.56089329763191398</v>
      </c>
      <c r="G18">
        <v>73475</v>
      </c>
      <c r="H18">
        <v>3079.7770273685501</v>
      </c>
      <c r="I18">
        <v>0.79255133262676902</v>
      </c>
      <c r="J18">
        <v>9.7344385612530004E-2</v>
      </c>
      <c r="K18">
        <v>0.50192127060029001</v>
      </c>
      <c r="L18" t="s">
        <v>33</v>
      </c>
      <c r="M18" t="s">
        <v>34</v>
      </c>
      <c r="N18" t="s">
        <v>35</v>
      </c>
      <c r="O18">
        <v>0.80354426174166305</v>
      </c>
      <c r="P18" t="s">
        <v>36</v>
      </c>
    </row>
    <row r="19" spans="1:16">
      <c r="A19">
        <v>18</v>
      </c>
      <c r="B19" t="s">
        <v>55</v>
      </c>
      <c r="C19">
        <v>274</v>
      </c>
      <c r="D19">
        <v>244</v>
      </c>
      <c r="E19">
        <v>211.31970643136901</v>
      </c>
      <c r="F19">
        <v>1.1244749656520501</v>
      </c>
      <c r="G19">
        <v>35072.754778071801</v>
      </c>
      <c r="H19">
        <v>1674.66432357228</v>
      </c>
      <c r="I19">
        <v>0.68855298023483202</v>
      </c>
      <c r="J19">
        <v>0.157153553661179</v>
      </c>
      <c r="K19">
        <v>0.681826587457525</v>
      </c>
      <c r="L19" t="s">
        <v>33</v>
      </c>
      <c r="M19" t="s">
        <v>34</v>
      </c>
      <c r="N19" t="s">
        <v>35</v>
      </c>
      <c r="O19">
        <v>0.88994403223002405</v>
      </c>
      <c r="P19" t="s">
        <v>36</v>
      </c>
    </row>
    <row r="20" spans="1:16">
      <c r="A20">
        <v>19</v>
      </c>
      <c r="B20" t="s">
        <v>56</v>
      </c>
      <c r="C20">
        <v>338</v>
      </c>
      <c r="D20">
        <v>742</v>
      </c>
      <c r="E20">
        <v>289.693633848513</v>
      </c>
      <c r="F20">
        <v>0.45521767551958803</v>
      </c>
      <c r="G20">
        <v>65912.5</v>
      </c>
      <c r="H20">
        <v>3218.5638242959999</v>
      </c>
      <c r="I20">
        <v>0.67056864408054495</v>
      </c>
      <c r="J20">
        <v>7.9956430399045805E-2</v>
      </c>
      <c r="K20">
        <v>0.36910261794764099</v>
      </c>
      <c r="L20" t="s">
        <v>33</v>
      </c>
      <c r="M20" t="s">
        <v>34</v>
      </c>
      <c r="N20" t="s">
        <v>35</v>
      </c>
      <c r="O20">
        <v>0.83500443517012102</v>
      </c>
      <c r="P20" t="s">
        <v>36</v>
      </c>
    </row>
    <row r="21" spans="1:16">
      <c r="A21">
        <v>20</v>
      </c>
      <c r="B21" t="s">
        <v>57</v>
      </c>
      <c r="C21">
        <v>443</v>
      </c>
      <c r="D21">
        <v>344</v>
      </c>
      <c r="E21">
        <v>275.58798748031899</v>
      </c>
      <c r="F21">
        <v>1.2871354057492199</v>
      </c>
      <c r="G21">
        <v>59650</v>
      </c>
      <c r="H21">
        <v>2843.5028612613701</v>
      </c>
      <c r="I21">
        <v>0.65366245142337998</v>
      </c>
      <c r="J21">
        <v>9.2707095058625094E-2</v>
      </c>
      <c r="K21">
        <v>0.50438642849593096</v>
      </c>
      <c r="L21" t="s">
        <v>33</v>
      </c>
      <c r="M21" t="s">
        <v>34</v>
      </c>
      <c r="N21" t="s">
        <v>35</v>
      </c>
      <c r="O21">
        <v>0.843018194028884</v>
      </c>
      <c r="P21" t="s">
        <v>36</v>
      </c>
    </row>
    <row r="22" spans="1:16">
      <c r="A22">
        <v>21</v>
      </c>
      <c r="B22" t="s">
        <v>58</v>
      </c>
      <c r="C22">
        <v>287</v>
      </c>
      <c r="D22">
        <v>211</v>
      </c>
      <c r="E22">
        <v>196.34564190500299</v>
      </c>
      <c r="F22">
        <v>1.36022261284019</v>
      </c>
      <c r="G22">
        <v>30278.364550094499</v>
      </c>
      <c r="H22">
        <v>1324.1149930619199</v>
      </c>
      <c r="I22">
        <v>0.52743569955806902</v>
      </c>
      <c r="J22">
        <v>0.217015558725593</v>
      </c>
      <c r="K22">
        <v>0.68036082852963398</v>
      </c>
      <c r="L22" t="s">
        <v>33</v>
      </c>
      <c r="M22" t="s">
        <v>34</v>
      </c>
      <c r="N22" t="s">
        <v>35</v>
      </c>
      <c r="O22">
        <v>0.88137991871674604</v>
      </c>
      <c r="P22" t="s">
        <v>36</v>
      </c>
    </row>
    <row r="23" spans="1:16">
      <c r="A23">
        <v>22</v>
      </c>
      <c r="B23" t="s">
        <v>59</v>
      </c>
      <c r="C23">
        <v>156</v>
      </c>
      <c r="D23">
        <v>258</v>
      </c>
      <c r="E23">
        <v>151.372771142083</v>
      </c>
      <c r="F23">
        <v>0.60579158646144204</v>
      </c>
      <c r="G23">
        <v>17996.390339886599</v>
      </c>
      <c r="H23">
        <v>1231.2730471761299</v>
      </c>
      <c r="I23">
        <v>0.74479944375790497</v>
      </c>
      <c r="J23">
        <v>0.14917172877413801</v>
      </c>
      <c r="K23">
        <v>0.60702880204547205</v>
      </c>
      <c r="L23" t="s">
        <v>52</v>
      </c>
      <c r="M23" t="s">
        <v>34</v>
      </c>
      <c r="N23" t="s">
        <v>35</v>
      </c>
      <c r="O23">
        <v>0.75019749874563002</v>
      </c>
      <c r="P23" t="s">
        <v>36</v>
      </c>
    </row>
    <row r="24" spans="1:16">
      <c r="A24">
        <v>23</v>
      </c>
      <c r="B24" t="s">
        <v>60</v>
      </c>
      <c r="C24">
        <v>358</v>
      </c>
      <c r="D24">
        <v>187</v>
      </c>
      <c r="E24">
        <v>180.92775637002001</v>
      </c>
      <c r="F24">
        <v>1.9173426032529199</v>
      </c>
      <c r="G24">
        <v>25709.893444990601</v>
      </c>
      <c r="H24">
        <v>1809.87823661576</v>
      </c>
      <c r="I24">
        <v>0.52144213154979002</v>
      </c>
      <c r="J24">
        <v>9.8630543247864202E-2</v>
      </c>
      <c r="K24">
        <v>0.56982570339600003</v>
      </c>
      <c r="L24" t="s">
        <v>33</v>
      </c>
      <c r="M24" t="s">
        <v>34</v>
      </c>
      <c r="N24" t="s">
        <v>35</v>
      </c>
      <c r="O24">
        <v>0.94315060980097398</v>
      </c>
      <c r="P24" t="s">
        <v>36</v>
      </c>
    </row>
    <row r="25" spans="1:16">
      <c r="A25">
        <v>24</v>
      </c>
      <c r="B25" t="s">
        <v>61</v>
      </c>
      <c r="C25">
        <v>354</v>
      </c>
      <c r="D25">
        <v>149</v>
      </c>
      <c r="E25">
        <v>157.048439607505</v>
      </c>
      <c r="F25">
        <v>2.36690964333284</v>
      </c>
      <c r="G25">
        <v>19371.2271073724</v>
      </c>
      <c r="H25">
        <v>1925.90659418324</v>
      </c>
      <c r="I25">
        <v>0.61189886307695396</v>
      </c>
      <c r="J25">
        <v>6.5629116300393406E-2</v>
      </c>
      <c r="K25">
        <v>0.50446283422873905</v>
      </c>
      <c r="L25" t="s">
        <v>45</v>
      </c>
      <c r="M25" t="s">
        <v>34</v>
      </c>
      <c r="N25" t="s">
        <v>35</v>
      </c>
      <c r="O25">
        <v>0.72421484018641902</v>
      </c>
      <c r="P25" t="s">
        <v>36</v>
      </c>
    </row>
    <row r="26" spans="1:16">
      <c r="A26">
        <v>25</v>
      </c>
      <c r="B26" t="s">
        <v>62</v>
      </c>
      <c r="C26">
        <v>147</v>
      </c>
      <c r="D26">
        <v>196</v>
      </c>
      <c r="E26">
        <v>148.55871784142701</v>
      </c>
      <c r="F26">
        <v>0.74870873482715705</v>
      </c>
      <c r="G26">
        <v>17333.4960714556</v>
      </c>
      <c r="H26">
        <v>888.00527945777696</v>
      </c>
      <c r="I26">
        <v>0.65518289457512002</v>
      </c>
      <c r="J26">
        <v>0.27622624188877198</v>
      </c>
      <c r="K26">
        <v>0.84798004769937796</v>
      </c>
      <c r="L26" t="s">
        <v>33</v>
      </c>
      <c r="M26" t="s">
        <v>34</v>
      </c>
      <c r="N26" t="s">
        <v>35</v>
      </c>
      <c r="O26">
        <v>0.79038415934638995</v>
      </c>
      <c r="P26" t="s">
        <v>36</v>
      </c>
    </row>
    <row r="27" spans="1:16">
      <c r="A27">
        <v>26</v>
      </c>
      <c r="B27" t="s">
        <v>63</v>
      </c>
      <c r="C27">
        <v>258</v>
      </c>
      <c r="D27">
        <v>493</v>
      </c>
      <c r="E27">
        <v>255.94564770010101</v>
      </c>
      <c r="F27">
        <v>0.52443284333879003</v>
      </c>
      <c r="G27">
        <v>51450</v>
      </c>
      <c r="H27">
        <v>2243.7972366809799</v>
      </c>
      <c r="I27">
        <v>0.80448820817835698</v>
      </c>
      <c r="J27">
        <v>0.12841862792929401</v>
      </c>
      <c r="K27">
        <v>0.58275520317145701</v>
      </c>
      <c r="L27" t="s">
        <v>33</v>
      </c>
      <c r="M27" t="s">
        <v>34</v>
      </c>
      <c r="N27" t="s">
        <v>35</v>
      </c>
      <c r="O27">
        <v>0.94181822401792004</v>
      </c>
      <c r="P27" t="s">
        <v>36</v>
      </c>
    </row>
    <row r="28" spans="1:16">
      <c r="A28">
        <v>27</v>
      </c>
      <c r="B28" t="s">
        <v>64</v>
      </c>
      <c r="C28">
        <v>123</v>
      </c>
      <c r="D28">
        <v>178</v>
      </c>
      <c r="E28">
        <v>134.19096830261299</v>
      </c>
      <c r="F28">
        <v>0.69160663216366702</v>
      </c>
      <c r="G28">
        <v>14142.8343538752</v>
      </c>
      <c r="H28">
        <v>692.93645001100504</v>
      </c>
      <c r="I28">
        <v>0.78645718431830203</v>
      </c>
      <c r="J28">
        <v>0.37013444709089799</v>
      </c>
      <c r="K28">
        <v>0.81276799289338397</v>
      </c>
      <c r="L28" t="s">
        <v>33</v>
      </c>
      <c r="M28" t="s">
        <v>34</v>
      </c>
      <c r="N28" t="s">
        <v>35</v>
      </c>
      <c r="O28">
        <v>0.83755450213008298</v>
      </c>
      <c r="P28" t="s">
        <v>36</v>
      </c>
    </row>
    <row r="29" spans="1:16">
      <c r="A29">
        <v>28</v>
      </c>
      <c r="B29" t="s">
        <v>65</v>
      </c>
      <c r="C29">
        <v>286</v>
      </c>
      <c r="D29">
        <v>449</v>
      </c>
      <c r="E29">
        <v>250.79480359432699</v>
      </c>
      <c r="F29">
        <v>0.63780773474009</v>
      </c>
      <c r="G29">
        <v>49400</v>
      </c>
      <c r="H29">
        <v>2733.2084858417502</v>
      </c>
      <c r="I29">
        <v>0.73271273042191798</v>
      </c>
      <c r="J29">
        <v>8.3098137916647094E-2</v>
      </c>
      <c r="K29">
        <v>0.54752008866722102</v>
      </c>
      <c r="L29" t="s">
        <v>33</v>
      </c>
      <c r="M29" t="s">
        <v>34</v>
      </c>
      <c r="N29" t="s">
        <v>35</v>
      </c>
      <c r="O29">
        <v>0.92340924698652105</v>
      </c>
      <c r="P29" t="s">
        <v>36</v>
      </c>
    </row>
    <row r="30" spans="1:16">
      <c r="A30">
        <v>29</v>
      </c>
      <c r="B30" t="s">
        <v>66</v>
      </c>
      <c r="C30">
        <v>364</v>
      </c>
      <c r="D30">
        <v>609</v>
      </c>
      <c r="E30">
        <v>247.11890187591899</v>
      </c>
      <c r="F30">
        <v>0.59678520818730596</v>
      </c>
      <c r="G30">
        <v>47962.5</v>
      </c>
      <c r="H30">
        <v>2601.2846058607101</v>
      </c>
      <c r="I30">
        <v>0.615140817335738</v>
      </c>
      <c r="J30">
        <v>8.9070919271556803E-2</v>
      </c>
      <c r="K30">
        <v>0.31616677653262998</v>
      </c>
      <c r="L30" t="s">
        <v>52</v>
      </c>
      <c r="M30" t="s">
        <v>34</v>
      </c>
      <c r="N30" t="s">
        <v>35</v>
      </c>
      <c r="O30">
        <v>0.71024792543956194</v>
      </c>
      <c r="P30" t="s">
        <v>36</v>
      </c>
    </row>
    <row r="31" spans="1:16">
      <c r="A31">
        <v>30</v>
      </c>
      <c r="B31" t="s">
        <v>67</v>
      </c>
      <c r="C31">
        <v>222</v>
      </c>
      <c r="D31">
        <v>418</v>
      </c>
      <c r="E31">
        <v>244.07313493970699</v>
      </c>
      <c r="F31">
        <v>0.52975235544933297</v>
      </c>
      <c r="G31">
        <v>46787.5</v>
      </c>
      <c r="H31">
        <v>1467.31491982937</v>
      </c>
      <c r="I31">
        <v>0.66500157717782005</v>
      </c>
      <c r="J31">
        <v>0.27308197624624703</v>
      </c>
      <c r="K31">
        <v>0.67673115169047204</v>
      </c>
      <c r="L31" t="s">
        <v>33</v>
      </c>
      <c r="M31" t="s">
        <v>34</v>
      </c>
      <c r="N31" t="s">
        <v>35</v>
      </c>
      <c r="O31">
        <v>0.852886436577448</v>
      </c>
      <c r="P31" t="s">
        <v>36</v>
      </c>
    </row>
    <row r="32" spans="1:16">
      <c r="A32">
        <v>31</v>
      </c>
      <c r="B32" t="s">
        <v>68</v>
      </c>
      <c r="C32">
        <v>212</v>
      </c>
      <c r="D32">
        <v>487</v>
      </c>
      <c r="E32">
        <v>243.28938188066499</v>
      </c>
      <c r="F32">
        <v>0.43471700909002498</v>
      </c>
      <c r="G32">
        <v>46487.5</v>
      </c>
      <c r="H32">
        <v>2386.7261689901402</v>
      </c>
      <c r="I32">
        <v>0.77581224469103904</v>
      </c>
      <c r="J32">
        <v>0.102551228087958</v>
      </c>
      <c r="K32">
        <v>0.53742774566474005</v>
      </c>
      <c r="L32" t="s">
        <v>33</v>
      </c>
      <c r="M32" t="s">
        <v>34</v>
      </c>
      <c r="N32" t="s">
        <v>35</v>
      </c>
      <c r="O32">
        <v>0.89073071934702996</v>
      </c>
      <c r="P32" t="s">
        <v>36</v>
      </c>
    </row>
    <row r="33" spans="1:16">
      <c r="A33">
        <v>32</v>
      </c>
      <c r="B33" t="s">
        <v>69</v>
      </c>
      <c r="C33">
        <v>140</v>
      </c>
      <c r="D33">
        <v>290</v>
      </c>
      <c r="E33">
        <v>184.72807965623701</v>
      </c>
      <c r="F33">
        <v>0.48123686315678499</v>
      </c>
      <c r="G33">
        <v>26801.2908918715</v>
      </c>
      <c r="H33">
        <v>998.66836003272397</v>
      </c>
      <c r="I33">
        <v>0.795043508874549</v>
      </c>
      <c r="J33">
        <v>0.337693728400909</v>
      </c>
      <c r="K33">
        <v>0.88018138508698296</v>
      </c>
      <c r="L33" t="s">
        <v>70</v>
      </c>
      <c r="M33" t="s">
        <v>34</v>
      </c>
      <c r="N33" t="s">
        <v>35</v>
      </c>
      <c r="O33">
        <v>0.878788951549755</v>
      </c>
      <c r="P33" t="s">
        <v>36</v>
      </c>
    </row>
    <row r="34" spans="1:16">
      <c r="A34">
        <v>33</v>
      </c>
      <c r="B34" t="s">
        <v>71</v>
      </c>
      <c r="C34">
        <v>145</v>
      </c>
      <c r="D34">
        <v>225</v>
      </c>
      <c r="E34">
        <v>171.59065184745501</v>
      </c>
      <c r="F34">
        <v>0.64357805673270896</v>
      </c>
      <c r="G34">
        <v>23124.754429111501</v>
      </c>
      <c r="H34">
        <v>879.31390091657602</v>
      </c>
      <c r="I34">
        <v>0.75749791747495598</v>
      </c>
      <c r="J34">
        <v>0.37583663903591102</v>
      </c>
      <c r="K34">
        <v>0.86454842993759795</v>
      </c>
      <c r="L34" t="s">
        <v>33</v>
      </c>
      <c r="M34" t="s">
        <v>34</v>
      </c>
      <c r="N34" t="s">
        <v>35</v>
      </c>
      <c r="O34">
        <v>0.82325422767719003</v>
      </c>
      <c r="P34" t="s">
        <v>36</v>
      </c>
    </row>
    <row r="35" spans="1:16">
      <c r="A35">
        <v>34</v>
      </c>
      <c r="B35" t="s">
        <v>72</v>
      </c>
      <c r="C35">
        <v>298</v>
      </c>
      <c r="D35">
        <v>364</v>
      </c>
      <c r="E35">
        <v>233.64534123435899</v>
      </c>
      <c r="F35">
        <v>0.81851092407796699</v>
      </c>
      <c r="G35">
        <v>42875</v>
      </c>
      <c r="H35">
        <v>2107.2286951541901</v>
      </c>
      <c r="I35">
        <v>0.75363837795538502</v>
      </c>
      <c r="J35">
        <v>0.121336273799605</v>
      </c>
      <c r="K35">
        <v>0.56423753906892604</v>
      </c>
      <c r="L35" t="s">
        <v>33</v>
      </c>
      <c r="M35" t="s">
        <v>34</v>
      </c>
      <c r="N35" t="s">
        <v>35</v>
      </c>
      <c r="O35">
        <v>0.92747560343019297</v>
      </c>
      <c r="P35" t="s">
        <v>36</v>
      </c>
    </row>
    <row r="36" spans="1:16">
      <c r="A36">
        <v>35</v>
      </c>
      <c r="B36" t="s">
        <v>73</v>
      </c>
      <c r="C36">
        <v>178</v>
      </c>
      <c r="D36">
        <v>156</v>
      </c>
      <c r="E36">
        <v>150.36049299059999</v>
      </c>
      <c r="F36">
        <v>1.14214954771351</v>
      </c>
      <c r="G36">
        <v>17756.499902835501</v>
      </c>
      <c r="H36">
        <v>890.37323810670705</v>
      </c>
      <c r="I36">
        <v>0.72028880182745203</v>
      </c>
      <c r="J36">
        <v>0.28146411413479999</v>
      </c>
      <c r="K36">
        <v>0.84666520201554896</v>
      </c>
      <c r="L36" t="s">
        <v>33</v>
      </c>
      <c r="M36" t="s">
        <v>34</v>
      </c>
      <c r="N36" t="s">
        <v>35</v>
      </c>
      <c r="O36">
        <v>0.78112653165593604</v>
      </c>
      <c r="P36" t="s">
        <v>36</v>
      </c>
    </row>
    <row r="37" spans="1:16">
      <c r="A37">
        <v>36</v>
      </c>
      <c r="B37" t="s">
        <v>74</v>
      </c>
      <c r="C37">
        <v>469</v>
      </c>
      <c r="D37">
        <v>291</v>
      </c>
      <c r="E37">
        <v>225.67583341910299</v>
      </c>
      <c r="F37">
        <v>1.6125341587259301</v>
      </c>
      <c r="G37">
        <v>40000</v>
      </c>
      <c r="H37">
        <v>2027.2286951541901</v>
      </c>
      <c r="I37">
        <v>0.84662283446125897</v>
      </c>
      <c r="J37">
        <v>0.122310675700833</v>
      </c>
      <c r="K37">
        <v>0.431674086065021</v>
      </c>
      <c r="L37" t="s">
        <v>75</v>
      </c>
      <c r="M37" t="s">
        <v>34</v>
      </c>
      <c r="N37" t="s">
        <v>35</v>
      </c>
      <c r="O37">
        <v>0.77888221820369097</v>
      </c>
      <c r="P37" t="s">
        <v>36</v>
      </c>
    </row>
    <row r="38" spans="1:16">
      <c r="A38">
        <v>37</v>
      </c>
      <c r="B38" t="s">
        <v>76</v>
      </c>
      <c r="C38">
        <v>129</v>
      </c>
      <c r="D38">
        <v>249</v>
      </c>
      <c r="E38">
        <v>162.14249015958299</v>
      </c>
      <c r="F38">
        <v>0.51571883183120104</v>
      </c>
      <c r="G38">
        <v>20648.264675614399</v>
      </c>
      <c r="H38">
        <v>911.35608274200695</v>
      </c>
      <c r="I38">
        <v>0.81608479026514102</v>
      </c>
      <c r="J38">
        <v>0.31240446285546902</v>
      </c>
      <c r="K38">
        <v>0.82658312954798296</v>
      </c>
      <c r="L38" t="s">
        <v>33</v>
      </c>
      <c r="M38" t="s">
        <v>34</v>
      </c>
      <c r="N38" t="s">
        <v>35</v>
      </c>
      <c r="O38">
        <v>0.79760921209120506</v>
      </c>
      <c r="P38" t="s">
        <v>36</v>
      </c>
    </row>
    <row r="39" spans="1:16">
      <c r="A39">
        <v>38</v>
      </c>
      <c r="B39" t="s">
        <v>77</v>
      </c>
      <c r="C39">
        <v>294</v>
      </c>
      <c r="D39">
        <v>181</v>
      </c>
      <c r="E39">
        <v>175.287368292758</v>
      </c>
      <c r="F39">
        <v>1.6274863443061101</v>
      </c>
      <c r="G39">
        <v>24131.878097920599</v>
      </c>
      <c r="H39">
        <v>2375.1735106264</v>
      </c>
      <c r="I39">
        <v>0.68627039231855902</v>
      </c>
      <c r="J39">
        <v>5.3753940299416103E-2</v>
      </c>
      <c r="K39">
        <v>0.59482480692858897</v>
      </c>
      <c r="L39" t="s">
        <v>33</v>
      </c>
      <c r="M39" t="s">
        <v>34</v>
      </c>
      <c r="N39" t="s">
        <v>35</v>
      </c>
      <c r="O39">
        <v>0.92058278632101398</v>
      </c>
      <c r="P39" t="s">
        <v>36</v>
      </c>
    </row>
    <row r="40" spans="1:16">
      <c r="A40">
        <v>39</v>
      </c>
      <c r="B40" t="s">
        <v>78</v>
      </c>
      <c r="C40">
        <v>359</v>
      </c>
      <c r="D40">
        <v>168</v>
      </c>
      <c r="E40">
        <v>212.75259296971001</v>
      </c>
      <c r="F40">
        <v>2.1381216686089601</v>
      </c>
      <c r="G40">
        <v>35550</v>
      </c>
      <c r="H40">
        <v>1413.6753106117201</v>
      </c>
      <c r="I40">
        <v>0.60862038834667698</v>
      </c>
      <c r="J40">
        <v>0.22353736258697801</v>
      </c>
      <c r="K40">
        <v>0.69963099630996295</v>
      </c>
      <c r="L40" t="s">
        <v>75</v>
      </c>
      <c r="M40" t="s">
        <v>34</v>
      </c>
      <c r="N40" t="s">
        <v>35</v>
      </c>
      <c r="O40">
        <v>0.83472550729949901</v>
      </c>
      <c r="P40" t="s">
        <v>36</v>
      </c>
    </row>
    <row r="41" spans="1:16">
      <c r="A41">
        <v>40</v>
      </c>
      <c r="B41" t="s">
        <v>79</v>
      </c>
      <c r="C41">
        <v>347</v>
      </c>
      <c r="D41">
        <v>236</v>
      </c>
      <c r="E41">
        <v>212.30327337001799</v>
      </c>
      <c r="F41">
        <v>1.46838717198323</v>
      </c>
      <c r="G41">
        <v>35400</v>
      </c>
      <c r="H41">
        <v>1537.8174459934201</v>
      </c>
      <c r="I41">
        <v>0.63505196613191495</v>
      </c>
      <c r="J41">
        <v>0.18810639440846899</v>
      </c>
      <c r="K41">
        <v>0.56391875746714504</v>
      </c>
      <c r="L41" t="s">
        <v>33</v>
      </c>
      <c r="M41" t="s">
        <v>34</v>
      </c>
      <c r="N41" t="s">
        <v>35</v>
      </c>
      <c r="O41">
        <v>0.894958580112441</v>
      </c>
      <c r="P41" t="s">
        <v>36</v>
      </c>
    </row>
    <row r="42" spans="1:16">
      <c r="A42">
        <v>41</v>
      </c>
      <c r="B42" t="s">
        <v>80</v>
      </c>
      <c r="C42">
        <v>241</v>
      </c>
      <c r="D42">
        <v>318</v>
      </c>
      <c r="E42">
        <v>207.411622426853</v>
      </c>
      <c r="F42">
        <v>0.758241713391692</v>
      </c>
      <c r="G42">
        <v>33787.5</v>
      </c>
      <c r="H42">
        <v>2221.8733566999399</v>
      </c>
      <c r="I42">
        <v>0.61558541089587204</v>
      </c>
      <c r="J42">
        <v>8.6005716911107005E-2</v>
      </c>
      <c r="K42">
        <v>0.54463026395325398</v>
      </c>
      <c r="L42" t="s">
        <v>33</v>
      </c>
      <c r="M42" t="s">
        <v>34</v>
      </c>
      <c r="N42" t="s">
        <v>35</v>
      </c>
      <c r="O42">
        <v>0.82463556165305396</v>
      </c>
      <c r="P42" t="s">
        <v>36</v>
      </c>
    </row>
    <row r="43" spans="1:16">
      <c r="A43">
        <v>42</v>
      </c>
      <c r="B43" t="s">
        <v>81</v>
      </c>
      <c r="C43">
        <v>101</v>
      </c>
      <c r="D43">
        <v>134</v>
      </c>
      <c r="E43">
        <v>106.125398074179</v>
      </c>
      <c r="F43">
        <v>0.75064925577572805</v>
      </c>
      <c r="G43">
        <v>8845.6254465028396</v>
      </c>
      <c r="H43">
        <v>521.28651629199203</v>
      </c>
      <c r="I43">
        <v>0.82673921951788198</v>
      </c>
      <c r="J43">
        <v>0.40905850512379499</v>
      </c>
      <c r="K43">
        <v>0.86076278908317805</v>
      </c>
      <c r="L43" t="s">
        <v>33</v>
      </c>
      <c r="M43" t="s">
        <v>34</v>
      </c>
      <c r="N43" t="s">
        <v>35</v>
      </c>
      <c r="O43">
        <v>0.84016638575560298</v>
      </c>
      <c r="P43" t="s">
        <v>36</v>
      </c>
    </row>
    <row r="44" spans="1:16">
      <c r="A44">
        <v>43</v>
      </c>
      <c r="B44" t="s">
        <v>82</v>
      </c>
      <c r="C44">
        <v>251</v>
      </c>
      <c r="D44">
        <v>409</v>
      </c>
      <c r="E44">
        <v>206.18022528808399</v>
      </c>
      <c r="F44">
        <v>0.612947081283027</v>
      </c>
      <c r="G44">
        <v>33387.5</v>
      </c>
      <c r="H44">
        <v>1947.7312213182399</v>
      </c>
      <c r="I44">
        <v>0.69521266693425499</v>
      </c>
      <c r="J44">
        <v>0.110595056112192</v>
      </c>
      <c r="K44">
        <v>0.43815616797900298</v>
      </c>
      <c r="L44" t="s">
        <v>83</v>
      </c>
      <c r="M44" t="s">
        <v>34</v>
      </c>
      <c r="N44" t="s">
        <v>35</v>
      </c>
      <c r="O44">
        <v>0.76625933081646402</v>
      </c>
      <c r="P44" t="s">
        <v>36</v>
      </c>
    </row>
    <row r="45" spans="1:16">
      <c r="A45">
        <v>44</v>
      </c>
      <c r="B45" t="s">
        <v>84</v>
      </c>
      <c r="C45">
        <v>258</v>
      </c>
      <c r="D45">
        <v>549</v>
      </c>
      <c r="E45">
        <v>205.17427335756901</v>
      </c>
      <c r="F45">
        <v>0.469582577306428</v>
      </c>
      <c r="G45">
        <v>33062.5</v>
      </c>
      <c r="H45">
        <v>3059.2745012044902</v>
      </c>
      <c r="I45">
        <v>0.71905675785419298</v>
      </c>
      <c r="J45">
        <v>4.4392403528487799E-2</v>
      </c>
      <c r="K45">
        <v>0.32307316477342102</v>
      </c>
      <c r="L45" t="s">
        <v>45</v>
      </c>
      <c r="M45" t="s">
        <v>34</v>
      </c>
      <c r="N45" t="s">
        <v>35</v>
      </c>
      <c r="O45">
        <v>0.769453163054023</v>
      </c>
      <c r="P45" t="s">
        <v>36</v>
      </c>
    </row>
    <row r="46" spans="1:16">
      <c r="A46">
        <v>45</v>
      </c>
      <c r="B46" t="s">
        <v>85</v>
      </c>
      <c r="C46">
        <v>68</v>
      </c>
      <c r="D46">
        <v>152</v>
      </c>
      <c r="E46">
        <v>98.314641769467499</v>
      </c>
      <c r="F46">
        <v>0.44964033160100297</v>
      </c>
      <c r="G46">
        <v>7591.4770525519898</v>
      </c>
      <c r="H46">
        <v>617.883539094718</v>
      </c>
      <c r="I46">
        <v>0.81690045641196596</v>
      </c>
      <c r="J46">
        <v>0.249875051574729</v>
      </c>
      <c r="K46">
        <v>0.82090679695912805</v>
      </c>
      <c r="L46" t="s">
        <v>33</v>
      </c>
      <c r="M46" t="s">
        <v>34</v>
      </c>
      <c r="N46" t="s">
        <v>35</v>
      </c>
      <c r="O46">
        <v>0.84177383644780401</v>
      </c>
      <c r="P46" t="s">
        <v>36</v>
      </c>
    </row>
    <row r="47" spans="1:16">
      <c r="A47">
        <v>46</v>
      </c>
      <c r="B47" t="s">
        <v>86</v>
      </c>
      <c r="C47">
        <v>185</v>
      </c>
      <c r="D47">
        <v>238</v>
      </c>
      <c r="E47">
        <v>197.506649386352</v>
      </c>
      <c r="F47">
        <v>0.77448077083159905</v>
      </c>
      <c r="G47">
        <v>30637.5</v>
      </c>
      <c r="H47">
        <v>867.19299376010895</v>
      </c>
      <c r="I47">
        <v>0.75077860864247803</v>
      </c>
      <c r="J47">
        <v>0.51195485677177099</v>
      </c>
      <c r="K47">
        <v>0.88007181328545803</v>
      </c>
      <c r="L47" t="s">
        <v>33</v>
      </c>
      <c r="M47" t="s">
        <v>34</v>
      </c>
      <c r="N47" t="s">
        <v>35</v>
      </c>
      <c r="O47">
        <v>0.90291399808974504</v>
      </c>
      <c r="P47" t="s">
        <v>36</v>
      </c>
    </row>
    <row r="48" spans="1:16">
      <c r="A48">
        <v>47</v>
      </c>
      <c r="B48" t="s">
        <v>87</v>
      </c>
      <c r="C48">
        <v>150</v>
      </c>
      <c r="D48">
        <v>103</v>
      </c>
      <c r="E48">
        <v>104.459292726605</v>
      </c>
      <c r="F48">
        <v>1.46144084637828</v>
      </c>
      <c r="G48">
        <v>8570.06356899811</v>
      </c>
      <c r="H48">
        <v>691.65892614468305</v>
      </c>
      <c r="I48">
        <v>0.80130874870133495</v>
      </c>
      <c r="J48">
        <v>0.22511785149494801</v>
      </c>
      <c r="K48">
        <v>0.74203719194388995</v>
      </c>
      <c r="L48" t="s">
        <v>83</v>
      </c>
      <c r="M48" t="s">
        <v>34</v>
      </c>
      <c r="N48" t="s">
        <v>35</v>
      </c>
      <c r="O48">
        <v>0.73957582952595402</v>
      </c>
      <c r="P48" t="s">
        <v>36</v>
      </c>
    </row>
    <row r="49" spans="1:16">
      <c r="A49">
        <v>48</v>
      </c>
      <c r="B49" t="s">
        <v>88</v>
      </c>
      <c r="C49">
        <v>169</v>
      </c>
      <c r="D49">
        <v>164</v>
      </c>
      <c r="E49">
        <v>128.005486543026</v>
      </c>
      <c r="F49">
        <v>1.0306894038935099</v>
      </c>
      <c r="G49">
        <v>12869.066667674901</v>
      </c>
      <c r="H49">
        <v>972.739811534674</v>
      </c>
      <c r="I49">
        <v>0.73933273858327098</v>
      </c>
      <c r="J49">
        <v>0.170908449151701</v>
      </c>
      <c r="K49">
        <v>0.69669051086667899</v>
      </c>
      <c r="L49" t="s">
        <v>33</v>
      </c>
      <c r="M49" t="s">
        <v>34</v>
      </c>
      <c r="N49" t="s">
        <v>35</v>
      </c>
      <c r="O49">
        <v>0.88817168364925303</v>
      </c>
      <c r="P49" t="s">
        <v>36</v>
      </c>
    </row>
    <row r="50" spans="1:16">
      <c r="A50">
        <v>49</v>
      </c>
      <c r="B50" t="s">
        <v>89</v>
      </c>
      <c r="C50">
        <v>118</v>
      </c>
      <c r="D50">
        <v>242</v>
      </c>
      <c r="E50">
        <v>129.22087217242699</v>
      </c>
      <c r="F50">
        <v>0.48959659789191801</v>
      </c>
      <c r="G50">
        <v>13114.6050827977</v>
      </c>
      <c r="H50">
        <v>1246.5530899193</v>
      </c>
      <c r="I50">
        <v>0.71593116519135402</v>
      </c>
      <c r="J50">
        <v>0.106058021757968</v>
      </c>
      <c r="K50">
        <v>0.631086570921783</v>
      </c>
      <c r="L50" t="s">
        <v>33</v>
      </c>
      <c r="M50" t="s">
        <v>34</v>
      </c>
      <c r="N50" t="s">
        <v>35</v>
      </c>
      <c r="O50">
        <v>0.86160852699703905</v>
      </c>
      <c r="P50" t="s">
        <v>36</v>
      </c>
    </row>
    <row r="51" spans="1:16">
      <c r="A51">
        <v>50</v>
      </c>
      <c r="B51" t="s">
        <v>90</v>
      </c>
      <c r="C51">
        <v>155</v>
      </c>
      <c r="D51">
        <v>218</v>
      </c>
      <c r="E51">
        <v>171.154462211132</v>
      </c>
      <c r="F51">
        <v>0.711117713888892</v>
      </c>
      <c r="G51">
        <v>23007.335937618202</v>
      </c>
      <c r="H51">
        <v>810.94206035707305</v>
      </c>
      <c r="I51">
        <v>0.67815169321882496</v>
      </c>
      <c r="J51">
        <v>0.43963933831422097</v>
      </c>
      <c r="K51">
        <v>0.84476642654442302</v>
      </c>
      <c r="L51" t="s">
        <v>33</v>
      </c>
      <c r="M51" t="s">
        <v>34</v>
      </c>
      <c r="N51" t="s">
        <v>35</v>
      </c>
      <c r="O51">
        <v>0.85237855167207899</v>
      </c>
      <c r="P51" t="s">
        <v>36</v>
      </c>
    </row>
    <row r="52" spans="1:16">
      <c r="A52">
        <v>51</v>
      </c>
      <c r="B52" t="s">
        <v>91</v>
      </c>
      <c r="C52">
        <v>217</v>
      </c>
      <c r="D52">
        <v>101</v>
      </c>
      <c r="E52">
        <v>115.046278820647</v>
      </c>
      <c r="F52">
        <v>2.1476800423885898</v>
      </c>
      <c r="G52">
        <v>10395.252272211699</v>
      </c>
      <c r="H52">
        <v>895.27354700710498</v>
      </c>
      <c r="I52">
        <v>0.798199066284349</v>
      </c>
      <c r="J52">
        <v>0.162979654366462</v>
      </c>
      <c r="K52">
        <v>0.64476280030237698</v>
      </c>
      <c r="L52" t="s">
        <v>33</v>
      </c>
      <c r="M52" t="s">
        <v>34</v>
      </c>
      <c r="N52" t="s">
        <v>35</v>
      </c>
      <c r="O52">
        <v>0.93645859082745997</v>
      </c>
      <c r="P52" t="s">
        <v>36</v>
      </c>
    </row>
    <row r="53" spans="1:16">
      <c r="A53">
        <v>52</v>
      </c>
      <c r="B53" t="s">
        <v>92</v>
      </c>
      <c r="C53">
        <v>98</v>
      </c>
      <c r="D53">
        <v>158</v>
      </c>
      <c r="E53">
        <v>115.153149516075</v>
      </c>
      <c r="F53">
        <v>0.61965803410703102</v>
      </c>
      <c r="G53">
        <v>10414.5743024575</v>
      </c>
      <c r="H53">
        <v>597.35236730886504</v>
      </c>
      <c r="I53">
        <v>0.74856788635329796</v>
      </c>
      <c r="J53">
        <v>0.36676696248338803</v>
      </c>
      <c r="K53">
        <v>0.86609890856952199</v>
      </c>
      <c r="L53" t="s">
        <v>33</v>
      </c>
      <c r="M53" t="s">
        <v>34</v>
      </c>
      <c r="N53" t="s">
        <v>35</v>
      </c>
      <c r="O53">
        <v>0.90599511103015296</v>
      </c>
      <c r="P53" t="s">
        <v>36</v>
      </c>
    </row>
    <row r="54" spans="1:16">
      <c r="A54">
        <v>53</v>
      </c>
      <c r="B54" t="s">
        <v>93</v>
      </c>
      <c r="C54">
        <v>219</v>
      </c>
      <c r="D54">
        <v>123</v>
      </c>
      <c r="E54">
        <v>135.20533523899701</v>
      </c>
      <c r="F54">
        <v>1.7860370881907399</v>
      </c>
      <c r="G54">
        <v>14357.457520604899</v>
      </c>
      <c r="H54">
        <v>893.24766680593098</v>
      </c>
      <c r="I54">
        <v>0.80874280356697703</v>
      </c>
      <c r="J54">
        <v>0.22612241914511799</v>
      </c>
      <c r="K54">
        <v>0.70665779058794298</v>
      </c>
      <c r="L54" t="s">
        <v>33</v>
      </c>
      <c r="M54" t="s">
        <v>34</v>
      </c>
      <c r="N54" t="s">
        <v>35</v>
      </c>
      <c r="O54">
        <v>0.88603098559930904</v>
      </c>
      <c r="P54" t="s">
        <v>36</v>
      </c>
    </row>
    <row r="55" spans="1:16">
      <c r="A55">
        <v>54</v>
      </c>
      <c r="B55" t="s">
        <v>94</v>
      </c>
      <c r="C55">
        <v>387</v>
      </c>
      <c r="D55">
        <v>178</v>
      </c>
      <c r="E55">
        <v>176.664326733839</v>
      </c>
      <c r="F55">
        <v>2.17728319081957</v>
      </c>
      <c r="G55">
        <v>24512.5</v>
      </c>
      <c r="H55">
        <v>1336.89861834049</v>
      </c>
      <c r="I55">
        <v>0.93996412153478803</v>
      </c>
      <c r="J55">
        <v>0.172345727578531</v>
      </c>
      <c r="K55">
        <v>0.55678591709256098</v>
      </c>
      <c r="L55" t="s">
        <v>33</v>
      </c>
      <c r="M55" t="s">
        <v>34</v>
      </c>
      <c r="N55" t="s">
        <v>35</v>
      </c>
      <c r="O55">
        <v>0.86755067585927703</v>
      </c>
      <c r="P55" t="s">
        <v>36</v>
      </c>
    </row>
    <row r="56" spans="1:16">
      <c r="A56">
        <v>55</v>
      </c>
      <c r="B56" t="s">
        <v>95</v>
      </c>
      <c r="C56">
        <v>147</v>
      </c>
      <c r="D56">
        <v>264</v>
      </c>
      <c r="E56">
        <v>146.43078245238399</v>
      </c>
      <c r="F56">
        <v>0.55554443100876805</v>
      </c>
      <c r="G56">
        <v>16840.4870381853</v>
      </c>
      <c r="H56">
        <v>1995.98170151711</v>
      </c>
      <c r="I56">
        <v>0.69027691918526202</v>
      </c>
      <c r="J56">
        <v>5.31191846760471E-2</v>
      </c>
      <c r="K56">
        <v>0.58005856695267499</v>
      </c>
      <c r="L56" t="s">
        <v>96</v>
      </c>
      <c r="M56" t="s">
        <v>34</v>
      </c>
      <c r="N56" t="s">
        <v>35</v>
      </c>
      <c r="O56">
        <v>0.84939698433409105</v>
      </c>
      <c r="P56" t="s">
        <v>36</v>
      </c>
    </row>
    <row r="57" spans="1:16">
      <c r="A57">
        <v>56</v>
      </c>
      <c r="B57" t="s">
        <v>97</v>
      </c>
      <c r="C57">
        <v>172</v>
      </c>
      <c r="D57">
        <v>103</v>
      </c>
      <c r="E57">
        <v>119.01847119990001</v>
      </c>
      <c r="F57">
        <v>1.67996615099433</v>
      </c>
      <c r="G57">
        <v>11125.476384499099</v>
      </c>
      <c r="H57">
        <v>683.62900701781996</v>
      </c>
      <c r="I57">
        <v>0.63655121336851705</v>
      </c>
      <c r="J57">
        <v>0.29914897306728899</v>
      </c>
      <c r="K57">
        <v>0.84944394008170698</v>
      </c>
      <c r="L57" t="s">
        <v>33</v>
      </c>
      <c r="M57" t="s">
        <v>34</v>
      </c>
      <c r="N57" t="s">
        <v>35</v>
      </c>
      <c r="O57">
        <v>0.94328640388125296</v>
      </c>
      <c r="P57" t="s">
        <v>36</v>
      </c>
    </row>
    <row r="58" spans="1:16">
      <c r="A58">
        <v>57</v>
      </c>
      <c r="B58" t="s">
        <v>98</v>
      </c>
      <c r="C58">
        <v>117</v>
      </c>
      <c r="D58">
        <v>83</v>
      </c>
      <c r="E58">
        <v>76.988803767818595</v>
      </c>
      <c r="F58">
        <v>1.4052287581699301</v>
      </c>
      <c r="G58">
        <v>4655.2716102079403</v>
      </c>
      <c r="H58">
        <v>527.35475465701995</v>
      </c>
      <c r="I58">
        <v>0.79678220010490697</v>
      </c>
      <c r="J58">
        <v>0.21035321635059701</v>
      </c>
      <c r="K58">
        <v>0.65046104003987404</v>
      </c>
      <c r="L58" t="s">
        <v>99</v>
      </c>
      <c r="M58" t="s">
        <v>34</v>
      </c>
      <c r="N58" t="s">
        <v>35</v>
      </c>
      <c r="O58">
        <v>0.61344570686172095</v>
      </c>
      <c r="P58" t="s">
        <v>36</v>
      </c>
    </row>
    <row r="59" spans="1:16">
      <c r="A59">
        <v>58</v>
      </c>
      <c r="B59" t="s">
        <v>100</v>
      </c>
      <c r="C59">
        <v>133</v>
      </c>
      <c r="D59">
        <v>132</v>
      </c>
      <c r="E59">
        <v>120.344325908524</v>
      </c>
      <c r="F59">
        <v>1.0084174622311299</v>
      </c>
      <c r="G59">
        <v>11374.7305746692</v>
      </c>
      <c r="H59">
        <v>659.47505019789196</v>
      </c>
      <c r="I59">
        <v>0.63081606102965504</v>
      </c>
      <c r="J59">
        <v>0.32866559446240601</v>
      </c>
      <c r="K59">
        <v>0.81890555781454</v>
      </c>
      <c r="L59" t="s">
        <v>33</v>
      </c>
      <c r="M59" t="s">
        <v>34</v>
      </c>
      <c r="N59" t="s">
        <v>35</v>
      </c>
      <c r="O59">
        <v>0.88058627225060704</v>
      </c>
      <c r="P59" t="s">
        <v>36</v>
      </c>
    </row>
    <row r="60" spans="1:16">
      <c r="A60">
        <v>59</v>
      </c>
      <c r="B60" t="s">
        <v>101</v>
      </c>
      <c r="C60">
        <v>98</v>
      </c>
      <c r="D60">
        <v>138</v>
      </c>
      <c r="E60">
        <v>85.148533775044797</v>
      </c>
      <c r="F60">
        <v>0.71171497319906696</v>
      </c>
      <c r="G60">
        <v>5694.3509444234396</v>
      </c>
      <c r="H60">
        <v>656.50042933547002</v>
      </c>
      <c r="I60">
        <v>0.60552368683853097</v>
      </c>
      <c r="J60">
        <v>0.166029042940675</v>
      </c>
      <c r="K60">
        <v>0.60684586507848504</v>
      </c>
      <c r="L60" t="s">
        <v>33</v>
      </c>
      <c r="M60" t="s">
        <v>34</v>
      </c>
      <c r="N60" t="s">
        <v>35</v>
      </c>
      <c r="O60">
        <v>0.93335561415786195</v>
      </c>
      <c r="P60" t="s">
        <v>36</v>
      </c>
    </row>
    <row r="61" spans="1:16">
      <c r="A61">
        <v>60</v>
      </c>
      <c r="B61" t="s">
        <v>102</v>
      </c>
      <c r="C61">
        <v>209</v>
      </c>
      <c r="D61">
        <v>282</v>
      </c>
      <c r="E61">
        <v>172.633558511286</v>
      </c>
      <c r="F61">
        <v>0.74052185427396</v>
      </c>
      <c r="G61">
        <v>23406.7074396975</v>
      </c>
      <c r="H61">
        <v>1721.6937576596599</v>
      </c>
      <c r="I61">
        <v>0.55414211515064205</v>
      </c>
      <c r="J61">
        <v>9.92289466628202E-2</v>
      </c>
      <c r="K61">
        <v>0.50531037625058595</v>
      </c>
      <c r="L61" t="s">
        <v>33</v>
      </c>
      <c r="M61" t="s">
        <v>34</v>
      </c>
      <c r="N61" t="s">
        <v>35</v>
      </c>
      <c r="O61">
        <v>0.903808146222709</v>
      </c>
      <c r="P61" t="s">
        <v>36</v>
      </c>
    </row>
    <row r="62" spans="1:16">
      <c r="A62">
        <v>61</v>
      </c>
      <c r="B62" t="s">
        <v>103</v>
      </c>
      <c r="C62">
        <v>141</v>
      </c>
      <c r="D62">
        <v>186</v>
      </c>
      <c r="E62">
        <v>140.54866650569201</v>
      </c>
      <c r="F62">
        <v>0.75953079178885596</v>
      </c>
      <c r="G62">
        <v>15514.698501323301</v>
      </c>
      <c r="H62">
        <v>1538.0444877838099</v>
      </c>
      <c r="I62">
        <v>0.671980979090532</v>
      </c>
      <c r="J62">
        <v>8.2416735675804098E-2</v>
      </c>
      <c r="K62">
        <v>0.69978413311344401</v>
      </c>
      <c r="L62" t="s">
        <v>33</v>
      </c>
      <c r="M62" t="s">
        <v>34</v>
      </c>
      <c r="N62" t="s">
        <v>35</v>
      </c>
      <c r="O62">
        <v>0.88490690784799797</v>
      </c>
      <c r="P62" t="s">
        <v>36</v>
      </c>
    </row>
    <row r="63" spans="1:16">
      <c r="A63">
        <v>62</v>
      </c>
      <c r="B63" t="s">
        <v>104</v>
      </c>
      <c r="C63">
        <v>96</v>
      </c>
      <c r="D63">
        <v>138</v>
      </c>
      <c r="E63">
        <v>106.455667866342</v>
      </c>
      <c r="F63">
        <v>0.69531995531031299</v>
      </c>
      <c r="G63">
        <v>8900.7675482041595</v>
      </c>
      <c r="H63">
        <v>518.97335484390703</v>
      </c>
      <c r="I63">
        <v>0.78531114804558899</v>
      </c>
      <c r="J63">
        <v>0.41528591484953498</v>
      </c>
      <c r="K63">
        <v>0.86992838361975</v>
      </c>
      <c r="L63" t="s">
        <v>33</v>
      </c>
      <c r="M63" t="s">
        <v>34</v>
      </c>
      <c r="N63" t="s">
        <v>35</v>
      </c>
      <c r="O63">
        <v>0.87178901028395805</v>
      </c>
      <c r="P63" t="s">
        <v>36</v>
      </c>
    </row>
    <row r="64" spans="1:16">
      <c r="A64">
        <v>63</v>
      </c>
      <c r="B64" t="s">
        <v>105</v>
      </c>
      <c r="C64">
        <v>166</v>
      </c>
      <c r="D64">
        <v>89</v>
      </c>
      <c r="E64">
        <v>91.689286290550996</v>
      </c>
      <c r="F64">
        <v>1.86972846109251</v>
      </c>
      <c r="G64">
        <v>6602.7836279773201</v>
      </c>
      <c r="H64">
        <v>798.94110797011297</v>
      </c>
      <c r="I64">
        <v>0.67874100401862603</v>
      </c>
      <c r="J64">
        <v>0.129989237050289</v>
      </c>
      <c r="K64">
        <v>0.62968107725017697</v>
      </c>
      <c r="L64" t="s">
        <v>33</v>
      </c>
      <c r="M64" t="s">
        <v>34</v>
      </c>
      <c r="N64" t="s">
        <v>35</v>
      </c>
      <c r="O64">
        <v>0.77776854583173705</v>
      </c>
      <c r="P64" t="s">
        <v>36</v>
      </c>
    </row>
    <row r="65" spans="1:16">
      <c r="A65">
        <v>64</v>
      </c>
      <c r="B65" t="s">
        <v>106</v>
      </c>
      <c r="C65">
        <v>380</v>
      </c>
      <c r="D65">
        <v>205</v>
      </c>
      <c r="E65">
        <v>158.62659456354899</v>
      </c>
      <c r="F65">
        <v>1.8499475054602099</v>
      </c>
      <c r="G65">
        <v>19762.5</v>
      </c>
      <c r="H65">
        <v>1886.30986750126</v>
      </c>
      <c r="I65">
        <v>0.658388093085577</v>
      </c>
      <c r="J65">
        <v>6.9795218915602794E-2</v>
      </c>
      <c r="K65">
        <v>0.333967046894804</v>
      </c>
      <c r="L65" t="s">
        <v>45</v>
      </c>
      <c r="M65" t="s">
        <v>34</v>
      </c>
      <c r="N65" t="s">
        <v>35</v>
      </c>
      <c r="O65">
        <v>0.76245683650069795</v>
      </c>
      <c r="P65" t="s">
        <v>36</v>
      </c>
    </row>
    <row r="66" spans="1:16">
      <c r="A66">
        <v>65</v>
      </c>
      <c r="B66" t="s">
        <v>107</v>
      </c>
      <c r="C66">
        <v>178</v>
      </c>
      <c r="D66">
        <v>91</v>
      </c>
      <c r="E66">
        <v>104.38498896713899</v>
      </c>
      <c r="F66">
        <v>1.96789281584392</v>
      </c>
      <c r="G66">
        <v>8557.8758268430993</v>
      </c>
      <c r="H66">
        <v>596.52651629199204</v>
      </c>
      <c r="I66">
        <v>0.650300077414799</v>
      </c>
      <c r="J66">
        <v>0.30221522401807399</v>
      </c>
      <c r="K66">
        <v>0.76013571494580601</v>
      </c>
      <c r="L66" t="s">
        <v>33</v>
      </c>
      <c r="M66" t="s">
        <v>34</v>
      </c>
      <c r="N66" t="s">
        <v>35</v>
      </c>
      <c r="O66">
        <v>0.86266716037119595</v>
      </c>
      <c r="P66" t="s">
        <v>36</v>
      </c>
    </row>
    <row r="67" spans="1:16">
      <c r="A67">
        <v>66</v>
      </c>
      <c r="B67" t="s">
        <v>108</v>
      </c>
      <c r="C67">
        <v>123</v>
      </c>
      <c r="D67">
        <v>77</v>
      </c>
      <c r="E67">
        <v>82.3005514787435</v>
      </c>
      <c r="F67">
        <v>1.5845070422535199</v>
      </c>
      <c r="G67">
        <v>5319.8008196597402</v>
      </c>
      <c r="H67">
        <v>581.492913381535</v>
      </c>
      <c r="I67">
        <v>0.78762171342951903</v>
      </c>
      <c r="J67">
        <v>0.19770442206613301</v>
      </c>
      <c r="K67">
        <v>0.74700505071586598</v>
      </c>
      <c r="L67" t="s">
        <v>83</v>
      </c>
      <c r="M67" t="s">
        <v>34</v>
      </c>
      <c r="N67" t="s">
        <v>35</v>
      </c>
      <c r="O67">
        <v>0.82599113510466005</v>
      </c>
      <c r="P67" t="s">
        <v>36</v>
      </c>
    </row>
    <row r="68" spans="1:16">
      <c r="A68">
        <v>67</v>
      </c>
      <c r="B68" t="s">
        <v>109</v>
      </c>
      <c r="C68">
        <v>224</v>
      </c>
      <c r="D68">
        <v>113</v>
      </c>
      <c r="E68">
        <v>134.05128080662001</v>
      </c>
      <c r="F68">
        <v>1.98636576857509</v>
      </c>
      <c r="G68">
        <v>14113.4054155009</v>
      </c>
      <c r="H68">
        <v>874.25860265213498</v>
      </c>
      <c r="I68">
        <v>0.71589892941691602</v>
      </c>
      <c r="J68">
        <v>0.232039463263885</v>
      </c>
      <c r="K68">
        <v>0.73097618992632996</v>
      </c>
      <c r="L68" t="s">
        <v>33</v>
      </c>
      <c r="M68" t="s">
        <v>34</v>
      </c>
      <c r="N68" t="s">
        <v>35</v>
      </c>
      <c r="O68">
        <v>0.89720287055992298</v>
      </c>
      <c r="P68" t="s">
        <v>36</v>
      </c>
    </row>
    <row r="69" spans="1:16">
      <c r="A69">
        <v>68</v>
      </c>
      <c r="B69" t="s">
        <v>110</v>
      </c>
      <c r="C69">
        <v>96</v>
      </c>
      <c r="D69">
        <v>146</v>
      </c>
      <c r="E69">
        <v>92.844023454220107</v>
      </c>
      <c r="F69">
        <v>0.65550242672109704</v>
      </c>
      <c r="G69">
        <v>6770.1421361058601</v>
      </c>
      <c r="H69">
        <v>692.93645001100504</v>
      </c>
      <c r="I69">
        <v>0.69072156305174803</v>
      </c>
      <c r="J69">
        <v>0.177182504834168</v>
      </c>
      <c r="K69">
        <v>0.68753679189748096</v>
      </c>
      <c r="L69" t="s">
        <v>33</v>
      </c>
      <c r="M69" t="s">
        <v>34</v>
      </c>
      <c r="N69" t="s">
        <v>35</v>
      </c>
      <c r="O69">
        <v>0.903165987710559</v>
      </c>
      <c r="P69" t="s">
        <v>36</v>
      </c>
    </row>
    <row r="70" spans="1:16">
      <c r="A70">
        <v>69</v>
      </c>
      <c r="B70" t="s">
        <v>111</v>
      </c>
      <c r="C70">
        <v>121</v>
      </c>
      <c r="D70">
        <v>114</v>
      </c>
      <c r="E70">
        <v>104.35960483507399</v>
      </c>
      <c r="F70">
        <v>1.06207972304924</v>
      </c>
      <c r="G70">
        <v>8553.7141587901697</v>
      </c>
      <c r="H70">
        <v>512.85972151652595</v>
      </c>
      <c r="I70">
        <v>0.68865385936681101</v>
      </c>
      <c r="J70">
        <v>0.40866497045123701</v>
      </c>
      <c r="K70">
        <v>0.87343866199213804</v>
      </c>
      <c r="L70" t="s">
        <v>33</v>
      </c>
      <c r="M70" t="s">
        <v>34</v>
      </c>
      <c r="N70" t="s">
        <v>35</v>
      </c>
      <c r="O70">
        <v>0.840981035133749</v>
      </c>
      <c r="P70" t="s">
        <v>36</v>
      </c>
    </row>
    <row r="71" spans="1:16">
      <c r="A71">
        <v>70</v>
      </c>
      <c r="B71" t="s">
        <v>112</v>
      </c>
      <c r="C71">
        <v>299</v>
      </c>
      <c r="D71">
        <v>123</v>
      </c>
      <c r="E71">
        <v>153.06079714651599</v>
      </c>
      <c r="F71">
        <v>2.4343675721081599</v>
      </c>
      <c r="G71">
        <v>18400</v>
      </c>
      <c r="H71">
        <v>996.69046759605396</v>
      </c>
      <c r="I71">
        <v>0.87182055872138797</v>
      </c>
      <c r="J71">
        <v>0.23275931890677201</v>
      </c>
      <c r="K71">
        <v>0.68337975858867195</v>
      </c>
      <c r="L71" t="s">
        <v>33</v>
      </c>
      <c r="M71" t="s">
        <v>34</v>
      </c>
      <c r="N71" t="s">
        <v>35</v>
      </c>
      <c r="O71">
        <v>0.80401883431010202</v>
      </c>
      <c r="P71" t="s">
        <v>36</v>
      </c>
    </row>
    <row r="72" spans="1:16">
      <c r="A72">
        <v>71</v>
      </c>
      <c r="B72" t="s">
        <v>113</v>
      </c>
      <c r="C72">
        <v>152</v>
      </c>
      <c r="D72">
        <v>191</v>
      </c>
      <c r="E72">
        <v>155.983224891834</v>
      </c>
      <c r="F72">
        <v>0.79428567841198305</v>
      </c>
      <c r="G72">
        <v>19109.339282041601</v>
      </c>
      <c r="H72">
        <v>1512.32183284645</v>
      </c>
      <c r="I72">
        <v>0.66586927014144603</v>
      </c>
      <c r="J72">
        <v>0.104994630958753</v>
      </c>
      <c r="K72">
        <v>0.73810480630123798</v>
      </c>
      <c r="L72" t="s">
        <v>33</v>
      </c>
      <c r="M72" t="s">
        <v>34</v>
      </c>
      <c r="N72" t="s">
        <v>35</v>
      </c>
      <c r="O72">
        <v>0.90908002128857801</v>
      </c>
      <c r="P72" t="s">
        <v>36</v>
      </c>
    </row>
    <row r="73" spans="1:16">
      <c r="A73">
        <v>72</v>
      </c>
      <c r="B73" t="s">
        <v>114</v>
      </c>
      <c r="C73">
        <v>197</v>
      </c>
      <c r="D73">
        <v>141</v>
      </c>
      <c r="E73">
        <v>144.69648950352601</v>
      </c>
      <c r="F73">
        <v>1.39074253121634</v>
      </c>
      <c r="G73">
        <v>16443.939525141799</v>
      </c>
      <c r="H73">
        <v>766.43072559232303</v>
      </c>
      <c r="I73">
        <v>0.66843675494487398</v>
      </c>
      <c r="J73">
        <v>0.35177900897355802</v>
      </c>
      <c r="K73">
        <v>0.75149094564671004</v>
      </c>
      <c r="L73" t="s">
        <v>33</v>
      </c>
      <c r="M73" t="s">
        <v>34</v>
      </c>
      <c r="N73" t="s">
        <v>35</v>
      </c>
      <c r="O73">
        <v>0.84723673442816205</v>
      </c>
      <c r="P73" t="s">
        <v>36</v>
      </c>
    </row>
    <row r="74" spans="1:16">
      <c r="A74">
        <v>73</v>
      </c>
      <c r="B74" t="s">
        <v>115</v>
      </c>
      <c r="C74">
        <v>127</v>
      </c>
      <c r="D74">
        <v>186</v>
      </c>
      <c r="E74">
        <v>129.32334594607499</v>
      </c>
      <c r="F74">
        <v>0.68328445747800604</v>
      </c>
      <c r="G74">
        <v>13135.4134230624</v>
      </c>
      <c r="H74">
        <v>1541.3213013659399</v>
      </c>
      <c r="I74">
        <v>0.71340562358715198</v>
      </c>
      <c r="J74">
        <v>6.9481190218513095E-2</v>
      </c>
      <c r="K74">
        <v>0.65822068297769298</v>
      </c>
      <c r="L74" t="s">
        <v>33</v>
      </c>
      <c r="M74" t="s">
        <v>34</v>
      </c>
      <c r="N74" t="s">
        <v>35</v>
      </c>
      <c r="O74">
        <v>0.80903147437241196</v>
      </c>
      <c r="P74" t="s">
        <v>36</v>
      </c>
    </row>
    <row r="75" spans="1:16">
      <c r="A75">
        <v>74</v>
      </c>
      <c r="B75" t="s">
        <v>116</v>
      </c>
      <c r="C75">
        <v>229</v>
      </c>
      <c r="D75">
        <v>179</v>
      </c>
      <c r="E75">
        <v>166.93342822302699</v>
      </c>
      <c r="F75">
        <v>1.2794114792023801</v>
      </c>
      <c r="G75">
        <v>21886.509552363001</v>
      </c>
      <c r="H75">
        <v>1126.35948454359</v>
      </c>
      <c r="I75">
        <v>0.63617471553671101</v>
      </c>
      <c r="J75">
        <v>0.21678654768459199</v>
      </c>
      <c r="K75">
        <v>0.66906873614190698</v>
      </c>
      <c r="L75" t="s">
        <v>33</v>
      </c>
      <c r="M75" t="s">
        <v>34</v>
      </c>
      <c r="N75" t="s">
        <v>35</v>
      </c>
      <c r="O75">
        <v>0.882573964879524</v>
      </c>
      <c r="P75" t="s">
        <v>36</v>
      </c>
    </row>
    <row r="76" spans="1:16">
      <c r="A76">
        <v>75</v>
      </c>
      <c r="B76" t="s">
        <v>117</v>
      </c>
      <c r="C76">
        <v>133</v>
      </c>
      <c r="D76">
        <v>187</v>
      </c>
      <c r="E76">
        <v>139.91237125748</v>
      </c>
      <c r="F76">
        <v>0.707170002960958</v>
      </c>
      <c r="G76">
        <v>15374.5394665406</v>
      </c>
      <c r="H76">
        <v>675.54656746418596</v>
      </c>
      <c r="I76">
        <v>0.71732712933373599</v>
      </c>
      <c r="J76">
        <v>0.42335178616126801</v>
      </c>
      <c r="K76">
        <v>0.82806458585163201</v>
      </c>
      <c r="L76" t="s">
        <v>33</v>
      </c>
      <c r="M76" t="s">
        <v>34</v>
      </c>
      <c r="N76" t="s">
        <v>35</v>
      </c>
      <c r="O76">
        <v>0.83662379594090897</v>
      </c>
      <c r="P76" t="s">
        <v>36</v>
      </c>
    </row>
    <row r="77" spans="1:16">
      <c r="A77">
        <v>76</v>
      </c>
      <c r="B77" t="s">
        <v>118</v>
      </c>
      <c r="C77">
        <v>226</v>
      </c>
      <c r="D77">
        <v>136</v>
      </c>
      <c r="E77">
        <v>137.867885239749</v>
      </c>
      <c r="F77">
        <v>1.66026219045266</v>
      </c>
      <c r="G77">
        <v>14928.4978298677</v>
      </c>
      <c r="H77">
        <v>1022.11612301992</v>
      </c>
      <c r="I77">
        <v>0.66185494533044997</v>
      </c>
      <c r="J77">
        <v>0.17956657346504101</v>
      </c>
      <c r="K77">
        <v>0.65799300341967704</v>
      </c>
      <c r="L77" t="s">
        <v>33</v>
      </c>
      <c r="M77" t="s">
        <v>34</v>
      </c>
      <c r="N77" t="s">
        <v>35</v>
      </c>
      <c r="O77">
        <v>0.86838653117912601</v>
      </c>
      <c r="P77" t="s">
        <v>36</v>
      </c>
    </row>
    <row r="78" spans="1:16">
      <c r="A78">
        <v>77</v>
      </c>
      <c r="B78" t="s">
        <v>119</v>
      </c>
      <c r="C78">
        <v>86</v>
      </c>
      <c r="D78">
        <v>153</v>
      </c>
      <c r="E78">
        <v>83.758118432705103</v>
      </c>
      <c r="F78">
        <v>0.56191825922887295</v>
      </c>
      <c r="G78">
        <v>5509.8998710775104</v>
      </c>
      <c r="H78">
        <v>736.84112256226297</v>
      </c>
      <c r="I78">
        <v>0.64513635191227003</v>
      </c>
      <c r="J78">
        <v>0.127528091291532</v>
      </c>
      <c r="K78">
        <v>0.49045445524905701</v>
      </c>
      <c r="L78" t="s">
        <v>33</v>
      </c>
      <c r="M78" t="s">
        <v>34</v>
      </c>
      <c r="N78" t="s">
        <v>35</v>
      </c>
      <c r="O78">
        <v>0.95050829627314304</v>
      </c>
      <c r="P78" t="s">
        <v>36</v>
      </c>
    </row>
    <row r="79" spans="1:16">
      <c r="A79">
        <v>78</v>
      </c>
      <c r="B79" t="s">
        <v>120</v>
      </c>
      <c r="C79">
        <v>274</v>
      </c>
      <c r="D79">
        <v>131</v>
      </c>
      <c r="E79">
        <v>149.21721260818501</v>
      </c>
      <c r="F79">
        <v>2.0913402862673101</v>
      </c>
      <c r="G79">
        <v>17487.5</v>
      </c>
      <c r="H79">
        <v>1233.4671598672901</v>
      </c>
      <c r="I79">
        <v>0.78627951439888599</v>
      </c>
      <c r="J79">
        <v>0.144438313580349</v>
      </c>
      <c r="K79">
        <v>0.58291666666666697</v>
      </c>
      <c r="L79" t="s">
        <v>33</v>
      </c>
      <c r="M79" t="s">
        <v>34</v>
      </c>
      <c r="N79" t="s">
        <v>35</v>
      </c>
      <c r="O79">
        <v>0.92280031027922105</v>
      </c>
      <c r="P79" t="s">
        <v>36</v>
      </c>
    </row>
    <row r="80" spans="1:16">
      <c r="A80">
        <v>79</v>
      </c>
      <c r="B80" t="s">
        <v>121</v>
      </c>
      <c r="C80">
        <v>182</v>
      </c>
      <c r="D80">
        <v>264</v>
      </c>
      <c r="E80">
        <v>161.32049120912001</v>
      </c>
      <c r="F80">
        <v>0.68846996769328395</v>
      </c>
      <c r="G80">
        <v>20439.438117958402</v>
      </c>
      <c r="H80">
        <v>1388.18672201405</v>
      </c>
      <c r="I80">
        <v>0.63661240552516496</v>
      </c>
      <c r="J80">
        <v>0.13328554272460999</v>
      </c>
      <c r="K80">
        <v>0.52271517842210102</v>
      </c>
      <c r="L80" t="s">
        <v>33</v>
      </c>
      <c r="M80" t="s">
        <v>34</v>
      </c>
      <c r="N80" t="s">
        <v>35</v>
      </c>
      <c r="O80">
        <v>0.92758516495457999</v>
      </c>
      <c r="P80" t="s">
        <v>36</v>
      </c>
    </row>
    <row r="81" spans="1:16">
      <c r="A81">
        <v>80</v>
      </c>
      <c r="B81" t="s">
        <v>122</v>
      </c>
      <c r="C81">
        <v>79</v>
      </c>
      <c r="D81">
        <v>76</v>
      </c>
      <c r="E81">
        <v>71.5631925347124</v>
      </c>
      <c r="F81">
        <v>1.04193540966686</v>
      </c>
      <c r="G81">
        <v>4022.2521731569</v>
      </c>
      <c r="H81">
        <v>350.339543945478</v>
      </c>
      <c r="I81">
        <v>0.72146926776487896</v>
      </c>
      <c r="J81">
        <v>0.41181374554678701</v>
      </c>
      <c r="K81">
        <v>0.83993916633042598</v>
      </c>
      <c r="L81" t="s">
        <v>33</v>
      </c>
      <c r="M81" t="s">
        <v>34</v>
      </c>
      <c r="N81" t="s">
        <v>35</v>
      </c>
      <c r="O81">
        <v>0.91587830579907603</v>
      </c>
      <c r="P81" t="s">
        <v>36</v>
      </c>
    </row>
    <row r="82" spans="1:16">
      <c r="A82">
        <v>81</v>
      </c>
      <c r="B82" t="s">
        <v>123</v>
      </c>
      <c r="C82">
        <v>120</v>
      </c>
      <c r="D82">
        <v>260</v>
      </c>
      <c r="E82">
        <v>131.44676657076801</v>
      </c>
      <c r="F82">
        <v>0.46106792170653199</v>
      </c>
      <c r="G82">
        <v>13570.3077345936</v>
      </c>
      <c r="H82">
        <v>1009.30878463704</v>
      </c>
      <c r="I82">
        <v>0.69813398061213905</v>
      </c>
      <c r="J82">
        <v>0.16739845829264999</v>
      </c>
      <c r="K82">
        <v>0.58880204302739503</v>
      </c>
      <c r="L82" t="s">
        <v>33</v>
      </c>
      <c r="M82" t="s">
        <v>34</v>
      </c>
      <c r="N82" t="s">
        <v>35</v>
      </c>
      <c r="O82">
        <v>0.93442694555276296</v>
      </c>
      <c r="P82" t="s">
        <v>36</v>
      </c>
    </row>
    <row r="83" spans="1:16">
      <c r="A83">
        <v>82</v>
      </c>
      <c r="B83" t="s">
        <v>124</v>
      </c>
      <c r="C83">
        <v>86</v>
      </c>
      <c r="D83">
        <v>124</v>
      </c>
      <c r="E83">
        <v>77.0477745513804</v>
      </c>
      <c r="F83">
        <v>0.69266455665482196</v>
      </c>
      <c r="G83">
        <v>4662.4058982986799</v>
      </c>
      <c r="H83">
        <v>562.96492431568095</v>
      </c>
      <c r="I83">
        <v>0.82142169416246003</v>
      </c>
      <c r="J83">
        <v>0.18486609596643599</v>
      </c>
      <c r="K83">
        <v>0.64691689008042896</v>
      </c>
      <c r="L83" t="s">
        <v>45</v>
      </c>
      <c r="M83" t="s">
        <v>34</v>
      </c>
      <c r="N83" t="s">
        <v>35</v>
      </c>
      <c r="O83">
        <v>0.74960257367857897</v>
      </c>
      <c r="P83" t="s">
        <v>36</v>
      </c>
    </row>
    <row r="84" spans="1:16">
      <c r="A84">
        <v>83</v>
      </c>
      <c r="B84" t="s">
        <v>125</v>
      </c>
      <c r="C84">
        <v>143</v>
      </c>
      <c r="D84">
        <v>126</v>
      </c>
      <c r="E84">
        <v>118.36636270398699</v>
      </c>
      <c r="F84">
        <v>1.1344101739366801</v>
      </c>
      <c r="G84">
        <v>11003.896224952699</v>
      </c>
      <c r="H84">
        <v>593.12292006129803</v>
      </c>
      <c r="I84">
        <v>0.78787980371635902</v>
      </c>
      <c r="J84">
        <v>0.39306731888054097</v>
      </c>
      <c r="K84">
        <v>0.85635135447752597</v>
      </c>
      <c r="L84" t="s">
        <v>33</v>
      </c>
      <c r="M84" t="s">
        <v>34</v>
      </c>
      <c r="N84" t="s">
        <v>35</v>
      </c>
      <c r="O84">
        <v>0.87583539271955602</v>
      </c>
      <c r="P84" t="s">
        <v>36</v>
      </c>
    </row>
    <row r="85" spans="1:16">
      <c r="A85">
        <v>84</v>
      </c>
      <c r="B85" t="s">
        <v>126</v>
      </c>
      <c r="C85">
        <v>268</v>
      </c>
      <c r="D85">
        <v>142</v>
      </c>
      <c r="E85">
        <v>143.45289868727701</v>
      </c>
      <c r="F85">
        <v>1.8823528860461201</v>
      </c>
      <c r="G85">
        <v>16162.5</v>
      </c>
      <c r="H85">
        <v>1289.3250244855899</v>
      </c>
      <c r="I85">
        <v>0.56568410517176604</v>
      </c>
      <c r="J85">
        <v>0.12217815932775999</v>
      </c>
      <c r="K85">
        <v>0.53964941569282099</v>
      </c>
      <c r="L85" t="s">
        <v>75</v>
      </c>
      <c r="M85" t="s">
        <v>34</v>
      </c>
      <c r="N85" t="s">
        <v>35</v>
      </c>
      <c r="O85">
        <v>0.694095193860641</v>
      </c>
      <c r="P85" t="s">
        <v>36</v>
      </c>
    </row>
    <row r="86" spans="1:16">
      <c r="A86">
        <v>85</v>
      </c>
      <c r="B86" t="s">
        <v>127</v>
      </c>
      <c r="C86">
        <v>164</v>
      </c>
      <c r="D86">
        <v>79</v>
      </c>
      <c r="E86">
        <v>88.121461029360105</v>
      </c>
      <c r="F86">
        <v>2.0856276116885102</v>
      </c>
      <c r="G86">
        <v>6098.9245315689996</v>
      </c>
      <c r="H86">
        <v>632.69795320179196</v>
      </c>
      <c r="I86">
        <v>0.70488314362003701</v>
      </c>
      <c r="J86">
        <v>0.19145656571682099</v>
      </c>
      <c r="K86">
        <v>0.70197587888119095</v>
      </c>
      <c r="L86" t="s">
        <v>75</v>
      </c>
      <c r="M86" t="s">
        <v>34</v>
      </c>
      <c r="N86" t="s">
        <v>35</v>
      </c>
      <c r="O86">
        <v>0.79730489599046395</v>
      </c>
      <c r="P86" t="s">
        <v>36</v>
      </c>
    </row>
    <row r="87" spans="1:16">
      <c r="A87">
        <v>86</v>
      </c>
      <c r="B87" t="s">
        <v>128</v>
      </c>
      <c r="C87">
        <v>111</v>
      </c>
      <c r="D87">
        <v>96</v>
      </c>
      <c r="E87">
        <v>103.92803644095299</v>
      </c>
      <c r="F87">
        <v>1.15182246703512</v>
      </c>
      <c r="G87">
        <v>8483.1144328922492</v>
      </c>
      <c r="H87">
        <v>451.02431987441099</v>
      </c>
      <c r="I87">
        <v>0.707814397744847</v>
      </c>
      <c r="J87">
        <v>0.524041002641776</v>
      </c>
      <c r="K87">
        <v>0.91062112098536896</v>
      </c>
      <c r="L87" t="s">
        <v>33</v>
      </c>
      <c r="M87" t="s">
        <v>34</v>
      </c>
      <c r="N87" t="s">
        <v>35</v>
      </c>
      <c r="O87">
        <v>0.90568587514218901</v>
      </c>
      <c r="P87" t="s">
        <v>36</v>
      </c>
    </row>
    <row r="88" spans="1:16">
      <c r="A88">
        <v>87</v>
      </c>
      <c r="B88" t="s">
        <v>129</v>
      </c>
      <c r="C88">
        <v>124</v>
      </c>
      <c r="D88">
        <v>79</v>
      </c>
      <c r="E88">
        <v>69.095724206953903</v>
      </c>
      <c r="F88">
        <v>1.57590328456808</v>
      </c>
      <c r="G88">
        <v>3749.6629156899799</v>
      </c>
      <c r="H88">
        <v>742.083509910418</v>
      </c>
      <c r="I88">
        <v>0.58074636771256405</v>
      </c>
      <c r="J88">
        <v>8.5565073836622402E-2</v>
      </c>
      <c r="K88">
        <v>0.49747594257769401</v>
      </c>
      <c r="L88" t="s">
        <v>52</v>
      </c>
      <c r="M88" t="s">
        <v>34</v>
      </c>
      <c r="N88" t="s">
        <v>35</v>
      </c>
      <c r="O88">
        <v>0.74487606173855103</v>
      </c>
      <c r="P88" t="s">
        <v>36</v>
      </c>
    </row>
    <row r="89" spans="1:16">
      <c r="A89">
        <v>88</v>
      </c>
      <c r="B89" t="s">
        <v>130</v>
      </c>
      <c r="C89">
        <v>360</v>
      </c>
      <c r="D89">
        <v>120</v>
      </c>
      <c r="E89">
        <v>141.498027692828</v>
      </c>
      <c r="F89">
        <v>3</v>
      </c>
      <c r="G89">
        <v>15725</v>
      </c>
      <c r="H89">
        <v>1109.1168737411499</v>
      </c>
      <c r="I89">
        <v>0.88185358660500601</v>
      </c>
      <c r="J89">
        <v>0.16063711400276401</v>
      </c>
      <c r="K89">
        <v>0.47778199772123098</v>
      </c>
      <c r="L89" t="s">
        <v>45</v>
      </c>
      <c r="M89" t="s">
        <v>34</v>
      </c>
      <c r="N89" t="s">
        <v>35</v>
      </c>
      <c r="O89">
        <v>0.72211892612806805</v>
      </c>
      <c r="P89" t="s">
        <v>36</v>
      </c>
    </row>
    <row r="90" spans="1:16">
      <c r="A90">
        <v>89</v>
      </c>
      <c r="B90" t="s">
        <v>131</v>
      </c>
      <c r="C90">
        <v>59</v>
      </c>
      <c r="D90">
        <v>78</v>
      </c>
      <c r="E90">
        <v>62.987909572927897</v>
      </c>
      <c r="F90">
        <v>0.75750879452529796</v>
      </c>
      <c r="G90">
        <v>3116.0489546313802</v>
      </c>
      <c r="H90">
        <v>302.49270539356303</v>
      </c>
      <c r="I90">
        <v>0.63276797375480898</v>
      </c>
      <c r="J90">
        <v>0.42794142040000799</v>
      </c>
      <c r="K90">
        <v>0.83392999204455098</v>
      </c>
      <c r="L90" t="s">
        <v>132</v>
      </c>
      <c r="M90" t="s">
        <v>34</v>
      </c>
      <c r="N90" t="s">
        <v>35</v>
      </c>
      <c r="O90">
        <v>0.864677256183084</v>
      </c>
      <c r="P90" t="s">
        <v>36</v>
      </c>
    </row>
    <row r="91" spans="1:16">
      <c r="A91">
        <v>90</v>
      </c>
      <c r="B91" t="s">
        <v>133</v>
      </c>
      <c r="C91">
        <v>154</v>
      </c>
      <c r="D91">
        <v>177</v>
      </c>
      <c r="E91">
        <v>139.62979814050101</v>
      </c>
      <c r="F91">
        <v>0.87005655988281805</v>
      </c>
      <c r="G91">
        <v>15312.5</v>
      </c>
      <c r="H91">
        <v>912.04580605030105</v>
      </c>
      <c r="I91">
        <v>0.55337428830981805</v>
      </c>
      <c r="J91">
        <v>0.231325049876595</v>
      </c>
      <c r="K91">
        <v>0.68627450980392202</v>
      </c>
      <c r="L91" t="s">
        <v>33</v>
      </c>
      <c r="M91" t="s">
        <v>34</v>
      </c>
      <c r="N91" t="s">
        <v>35</v>
      </c>
      <c r="O91">
        <v>0.80922313664094203</v>
      </c>
      <c r="P91" t="s">
        <v>36</v>
      </c>
    </row>
    <row r="92" spans="1:16">
      <c r="A92">
        <v>91</v>
      </c>
      <c r="B92" t="s">
        <v>134</v>
      </c>
      <c r="C92">
        <v>114</v>
      </c>
      <c r="D92">
        <v>91</v>
      </c>
      <c r="E92">
        <v>90.278029702651395</v>
      </c>
      <c r="F92">
        <v>1.2565632487712</v>
      </c>
      <c r="G92">
        <v>6401.0913584120999</v>
      </c>
      <c r="H92">
        <v>457.30234480432802</v>
      </c>
      <c r="I92">
        <v>0.67895840424890697</v>
      </c>
      <c r="J92">
        <v>0.38464229142696299</v>
      </c>
      <c r="K92">
        <v>0.81304511987917705</v>
      </c>
      <c r="L92" t="s">
        <v>33</v>
      </c>
      <c r="M92" t="s">
        <v>34</v>
      </c>
      <c r="N92" t="s">
        <v>35</v>
      </c>
      <c r="O92">
        <v>0.93048991865632302</v>
      </c>
      <c r="P92" t="s">
        <v>36</v>
      </c>
    </row>
    <row r="93" spans="1:16">
      <c r="A93">
        <v>92</v>
      </c>
      <c r="B93" t="s">
        <v>135</v>
      </c>
      <c r="C93">
        <v>140</v>
      </c>
      <c r="D93">
        <v>224</v>
      </c>
      <c r="E93">
        <v>138.48527229483099</v>
      </c>
      <c r="F93">
        <v>0.62285711731965299</v>
      </c>
      <c r="G93">
        <v>15062.5</v>
      </c>
      <c r="H93">
        <v>946.18794143199898</v>
      </c>
      <c r="I93">
        <v>0.72839049093318797</v>
      </c>
      <c r="J93">
        <v>0.211422939186522</v>
      </c>
      <c r="K93">
        <v>0.63857975622681495</v>
      </c>
      <c r="L93" t="s">
        <v>33</v>
      </c>
      <c r="M93" t="s">
        <v>34</v>
      </c>
      <c r="N93" t="s">
        <v>35</v>
      </c>
      <c r="O93">
        <v>0.86570164437790498</v>
      </c>
      <c r="P93" t="s">
        <v>36</v>
      </c>
    </row>
    <row r="94" spans="1:16">
      <c r="A94">
        <v>93</v>
      </c>
      <c r="B94" t="s">
        <v>136</v>
      </c>
      <c r="C94">
        <v>84</v>
      </c>
      <c r="D94">
        <v>114</v>
      </c>
      <c r="E94">
        <v>87.726505464197203</v>
      </c>
      <c r="F94">
        <v>0.73391304030453797</v>
      </c>
      <c r="G94">
        <v>6044.3769538752404</v>
      </c>
      <c r="H94">
        <v>463.01910248310702</v>
      </c>
      <c r="I94">
        <v>0.76777288311606295</v>
      </c>
      <c r="J94">
        <v>0.354293828576555</v>
      </c>
      <c r="K94">
        <v>0.82535720084429298</v>
      </c>
      <c r="L94" t="s">
        <v>33</v>
      </c>
      <c r="M94" t="s">
        <v>34</v>
      </c>
      <c r="N94" t="s">
        <v>35</v>
      </c>
      <c r="O94">
        <v>0.85456958614777101</v>
      </c>
      <c r="P94" t="s">
        <v>36</v>
      </c>
    </row>
    <row r="95" spans="1:16">
      <c r="A95">
        <v>94</v>
      </c>
      <c r="B95" t="s">
        <v>137</v>
      </c>
      <c r="C95">
        <v>98</v>
      </c>
      <c r="D95">
        <v>147</v>
      </c>
      <c r="E95">
        <v>110.377835977001</v>
      </c>
      <c r="F95">
        <v>0.66914498141263901</v>
      </c>
      <c r="G95">
        <v>9568.7152706994293</v>
      </c>
      <c r="H95">
        <v>613.544497445459</v>
      </c>
      <c r="I95">
        <v>0.69338883086094205</v>
      </c>
      <c r="J95">
        <v>0.31942681032553799</v>
      </c>
      <c r="K95">
        <v>0.85552351463767895</v>
      </c>
      <c r="L95" t="s">
        <v>33</v>
      </c>
      <c r="M95" t="s">
        <v>34</v>
      </c>
      <c r="N95" t="s">
        <v>35</v>
      </c>
      <c r="O95">
        <v>0.92090691402340796</v>
      </c>
      <c r="P95" t="s">
        <v>36</v>
      </c>
    </row>
    <row r="96" spans="1:16">
      <c r="A96">
        <v>95</v>
      </c>
      <c r="B96" t="s">
        <v>138</v>
      </c>
      <c r="C96">
        <v>59</v>
      </c>
      <c r="D96">
        <v>64</v>
      </c>
      <c r="E96">
        <v>60.761329271508401</v>
      </c>
      <c r="F96">
        <v>0.92307692307692302</v>
      </c>
      <c r="G96">
        <v>2899.6422158790201</v>
      </c>
      <c r="H96">
        <v>239.621666169685</v>
      </c>
      <c r="I96">
        <v>0.55854757221807405</v>
      </c>
      <c r="J96">
        <v>0.63460298528556502</v>
      </c>
      <c r="K96">
        <v>0.92053980087764797</v>
      </c>
      <c r="L96" t="s">
        <v>33</v>
      </c>
      <c r="M96" t="s">
        <v>34</v>
      </c>
      <c r="N96" t="s">
        <v>35</v>
      </c>
      <c r="O96">
        <v>0.90472032300208405</v>
      </c>
      <c r="P96" t="s">
        <v>36</v>
      </c>
    </row>
    <row r="97" spans="1:16">
      <c r="A97">
        <v>96</v>
      </c>
      <c r="B97" t="s">
        <v>139</v>
      </c>
      <c r="C97">
        <v>149</v>
      </c>
      <c r="D97">
        <v>119</v>
      </c>
      <c r="E97">
        <v>127.576031138267</v>
      </c>
      <c r="F97">
        <v>1.24489533131554</v>
      </c>
      <c r="G97">
        <v>12782.8606865785</v>
      </c>
      <c r="H97">
        <v>482.80030170399198</v>
      </c>
      <c r="I97">
        <v>0.66149177995247199</v>
      </c>
      <c r="J97">
        <v>0.68913269381969</v>
      </c>
      <c r="K97">
        <v>0.934379209943071</v>
      </c>
      <c r="L97" t="s">
        <v>33</v>
      </c>
      <c r="M97" t="s">
        <v>34</v>
      </c>
      <c r="N97" t="s">
        <v>35</v>
      </c>
      <c r="O97">
        <v>0.83509800628810604</v>
      </c>
      <c r="P97" t="s">
        <v>36</v>
      </c>
    </row>
    <row r="98" spans="1:16">
      <c r="A98">
        <v>97</v>
      </c>
      <c r="B98" t="s">
        <v>140</v>
      </c>
      <c r="C98">
        <v>117</v>
      </c>
      <c r="D98">
        <v>98</v>
      </c>
      <c r="E98">
        <v>98.785109162044904</v>
      </c>
      <c r="F98">
        <v>1.20111731843575</v>
      </c>
      <c r="G98">
        <v>7664.3062434782596</v>
      </c>
      <c r="H98">
        <v>470.06818122905202</v>
      </c>
      <c r="I98">
        <v>0.71684822303116003</v>
      </c>
      <c r="J98">
        <v>0.43587403987854201</v>
      </c>
      <c r="K98">
        <v>0.88952906675866805</v>
      </c>
      <c r="L98" t="s">
        <v>33</v>
      </c>
      <c r="M98" t="s">
        <v>34</v>
      </c>
      <c r="N98" t="s">
        <v>35</v>
      </c>
      <c r="O98">
        <v>0.87998555960194702</v>
      </c>
      <c r="P98" t="s">
        <v>36</v>
      </c>
    </row>
    <row r="99" spans="1:16">
      <c r="A99">
        <v>98</v>
      </c>
      <c r="B99" t="s">
        <v>141</v>
      </c>
      <c r="C99">
        <v>136</v>
      </c>
      <c r="D99">
        <v>174</v>
      </c>
      <c r="E99">
        <v>127.21282937645501</v>
      </c>
      <c r="F99">
        <v>0.78215600616435099</v>
      </c>
      <c r="G99">
        <v>12710.180126654101</v>
      </c>
      <c r="H99">
        <v>681.29542486263404</v>
      </c>
      <c r="I99">
        <v>0.65367380808519304</v>
      </c>
      <c r="J99">
        <v>0.34410471570573598</v>
      </c>
      <c r="K99">
        <v>0.74585924485185695</v>
      </c>
      <c r="L99" t="s">
        <v>33</v>
      </c>
      <c r="M99" t="s">
        <v>34</v>
      </c>
      <c r="N99" t="s">
        <v>35</v>
      </c>
      <c r="O99">
        <v>0.74539530353782602</v>
      </c>
      <c r="P99" t="s">
        <v>36</v>
      </c>
    </row>
    <row r="100" spans="1:16">
      <c r="A100">
        <v>99</v>
      </c>
      <c r="B100" t="s">
        <v>142</v>
      </c>
      <c r="C100">
        <v>213</v>
      </c>
      <c r="D100">
        <v>122</v>
      </c>
      <c r="E100">
        <v>133.09374578141501</v>
      </c>
      <c r="F100">
        <v>1.7499999412837</v>
      </c>
      <c r="G100">
        <v>13912.5</v>
      </c>
      <c r="H100">
        <v>871.33512914180801</v>
      </c>
      <c r="I100">
        <v>0.50724585314395998</v>
      </c>
      <c r="J100">
        <v>0.230273835192534</v>
      </c>
      <c r="K100">
        <v>0.69649561952440597</v>
      </c>
      <c r="L100" t="s">
        <v>33</v>
      </c>
      <c r="M100" t="s">
        <v>34</v>
      </c>
      <c r="N100" t="s">
        <v>35</v>
      </c>
      <c r="O100">
        <v>0.94348971838317797</v>
      </c>
      <c r="P100" t="s">
        <v>36</v>
      </c>
    </row>
    <row r="101" spans="1:16">
      <c r="A101">
        <v>100</v>
      </c>
      <c r="B101" t="s">
        <v>143</v>
      </c>
      <c r="C101">
        <v>88</v>
      </c>
      <c r="D101">
        <v>152</v>
      </c>
      <c r="E101">
        <v>75.458196691282197</v>
      </c>
      <c r="F101">
        <v>0.57913669064748197</v>
      </c>
      <c r="G101">
        <v>4472.0095848771298</v>
      </c>
      <c r="H101">
        <v>975.12106542628703</v>
      </c>
      <c r="I101">
        <v>0.70679317227039495</v>
      </c>
      <c r="J101">
        <v>5.9101092991678199E-2</v>
      </c>
      <c r="K101">
        <v>0.43840885909951899</v>
      </c>
      <c r="L101" t="s">
        <v>144</v>
      </c>
      <c r="M101" t="s">
        <v>34</v>
      </c>
      <c r="N101" t="s">
        <v>35</v>
      </c>
      <c r="O101">
        <v>0.79787005513568598</v>
      </c>
      <c r="P101" t="s">
        <v>36</v>
      </c>
    </row>
    <row r="102" spans="1:16">
      <c r="A102">
        <v>101</v>
      </c>
      <c r="B102" t="s">
        <v>145</v>
      </c>
      <c r="C102">
        <v>68</v>
      </c>
      <c r="D102">
        <v>97</v>
      </c>
      <c r="E102">
        <v>74.326158498301197</v>
      </c>
      <c r="F102">
        <v>0.70224722568593001</v>
      </c>
      <c r="G102">
        <v>4338.8362071833699</v>
      </c>
      <c r="H102">
        <v>338.98352326994399</v>
      </c>
      <c r="I102">
        <v>0.80016266480613996</v>
      </c>
      <c r="J102">
        <v>0.47448877320539601</v>
      </c>
      <c r="K102">
        <v>0.85846199088369401</v>
      </c>
      <c r="L102" t="s">
        <v>33</v>
      </c>
      <c r="M102" t="s">
        <v>34</v>
      </c>
      <c r="N102" t="s">
        <v>35</v>
      </c>
      <c r="O102">
        <v>0.92504932268461904</v>
      </c>
      <c r="P102" t="s">
        <v>36</v>
      </c>
    </row>
    <row r="103" spans="1:16">
      <c r="A103">
        <v>102</v>
      </c>
      <c r="B103" t="s">
        <v>146</v>
      </c>
      <c r="C103">
        <v>224</v>
      </c>
      <c r="D103">
        <v>141</v>
      </c>
      <c r="E103">
        <v>131.34837582232001</v>
      </c>
      <c r="F103">
        <v>1.5833333333333299</v>
      </c>
      <c r="G103">
        <v>13550</v>
      </c>
      <c r="H103">
        <v>868.40619683265697</v>
      </c>
      <c r="I103">
        <v>0.78677342361813196</v>
      </c>
      <c r="J103">
        <v>0.22578928666442999</v>
      </c>
      <c r="K103">
        <v>0.591057797164667</v>
      </c>
      <c r="L103" t="s">
        <v>52</v>
      </c>
      <c r="M103" t="s">
        <v>34</v>
      </c>
      <c r="N103" t="s">
        <v>35</v>
      </c>
      <c r="O103">
        <v>0.69675327626968697</v>
      </c>
      <c r="P103" t="s">
        <v>36</v>
      </c>
    </row>
    <row r="104" spans="1:16">
      <c r="A104">
        <v>103</v>
      </c>
      <c r="B104" t="s">
        <v>147</v>
      </c>
      <c r="C104">
        <v>171</v>
      </c>
      <c r="D104">
        <v>106</v>
      </c>
      <c r="E104">
        <v>117.47971079862</v>
      </c>
      <c r="F104">
        <v>1.60918288234203</v>
      </c>
      <c r="G104">
        <v>10839.658967863899</v>
      </c>
      <c r="H104">
        <v>499.18892316279198</v>
      </c>
      <c r="I104">
        <v>0.68403685600427599</v>
      </c>
      <c r="J104">
        <v>0.54663269375950696</v>
      </c>
      <c r="K104">
        <v>0.83956899131996399</v>
      </c>
      <c r="L104" t="s">
        <v>33</v>
      </c>
      <c r="M104" t="s">
        <v>34</v>
      </c>
      <c r="N104" t="s">
        <v>35</v>
      </c>
      <c r="O104">
        <v>0.88209714480976098</v>
      </c>
      <c r="P104" t="s">
        <v>36</v>
      </c>
    </row>
    <row r="105" spans="1:16">
      <c r="A105">
        <v>104</v>
      </c>
      <c r="B105" t="s">
        <v>148</v>
      </c>
      <c r="C105">
        <v>141</v>
      </c>
      <c r="D105">
        <v>141</v>
      </c>
      <c r="E105">
        <v>127.086319760241</v>
      </c>
      <c r="F105">
        <v>1.00395181202166</v>
      </c>
      <c r="G105">
        <v>12684.912856332699</v>
      </c>
      <c r="H105">
        <v>673.63028166470303</v>
      </c>
      <c r="I105">
        <v>0.60438401124968799</v>
      </c>
      <c r="J105">
        <v>0.35128058597821998</v>
      </c>
      <c r="K105">
        <v>0.74896884598508096</v>
      </c>
      <c r="L105" t="s">
        <v>33</v>
      </c>
      <c r="M105" t="s">
        <v>34</v>
      </c>
      <c r="N105" t="s">
        <v>35</v>
      </c>
      <c r="O105">
        <v>0.86957909092630903</v>
      </c>
      <c r="P105" t="s">
        <v>36</v>
      </c>
    </row>
    <row r="106" spans="1:16">
      <c r="A106">
        <v>105</v>
      </c>
      <c r="B106" t="s">
        <v>149</v>
      </c>
      <c r="C106">
        <v>98</v>
      </c>
      <c r="D106">
        <v>93</v>
      </c>
      <c r="E106">
        <v>79.235859482492799</v>
      </c>
      <c r="F106">
        <v>1.0526315789473699</v>
      </c>
      <c r="G106">
        <v>4930.9821187145599</v>
      </c>
      <c r="H106">
        <v>770.32521985655296</v>
      </c>
      <c r="I106">
        <v>0.57705560559015501</v>
      </c>
      <c r="J106">
        <v>0.10442273371291701</v>
      </c>
      <c r="K106">
        <v>0.65163419233186703</v>
      </c>
      <c r="L106" t="s">
        <v>132</v>
      </c>
      <c r="M106" t="s">
        <v>34</v>
      </c>
      <c r="N106" t="s">
        <v>35</v>
      </c>
      <c r="O106">
        <v>0.73770990605897202</v>
      </c>
      <c r="P106" t="s">
        <v>36</v>
      </c>
    </row>
    <row r="107" spans="1:16">
      <c r="A107">
        <v>106</v>
      </c>
      <c r="B107" t="s">
        <v>150</v>
      </c>
      <c r="C107">
        <v>558</v>
      </c>
      <c r="D107">
        <v>231</v>
      </c>
      <c r="E107">
        <v>207.027275354209</v>
      </c>
      <c r="F107">
        <v>2.4201735109735298</v>
      </c>
      <c r="G107">
        <v>33662.395201134197</v>
      </c>
      <c r="H107">
        <v>2848.2176338057898</v>
      </c>
      <c r="I107">
        <v>0.70316266595464805</v>
      </c>
      <c r="J107">
        <v>5.2144503494203999E-2</v>
      </c>
      <c r="K107">
        <v>0.36034907956913997</v>
      </c>
      <c r="L107" t="s">
        <v>144</v>
      </c>
      <c r="M107" t="s">
        <v>34</v>
      </c>
      <c r="N107" t="s">
        <v>35</v>
      </c>
      <c r="O107">
        <v>0.69546016269734701</v>
      </c>
      <c r="P107" t="s">
        <v>36</v>
      </c>
    </row>
    <row r="108" spans="1:16">
      <c r="A108">
        <v>107</v>
      </c>
      <c r="B108" t="s">
        <v>151</v>
      </c>
      <c r="C108">
        <v>85</v>
      </c>
      <c r="D108">
        <v>122</v>
      </c>
      <c r="E108">
        <v>73.825433506318603</v>
      </c>
      <c r="F108">
        <v>0.69955156950672603</v>
      </c>
      <c r="G108">
        <v>4280.57285444234</v>
      </c>
      <c r="H108">
        <v>607.50835880010004</v>
      </c>
      <c r="I108">
        <v>0.64208860663160505</v>
      </c>
      <c r="J108">
        <v>0.14574955632493999</v>
      </c>
      <c r="K108">
        <v>0.63761955366631196</v>
      </c>
      <c r="L108" t="s">
        <v>33</v>
      </c>
      <c r="M108" t="s">
        <v>34</v>
      </c>
      <c r="N108" t="s">
        <v>35</v>
      </c>
      <c r="O108">
        <v>0.739007990448312</v>
      </c>
      <c r="P108" t="s">
        <v>36</v>
      </c>
    </row>
    <row r="109" spans="1:16">
      <c r="A109">
        <v>108</v>
      </c>
      <c r="B109" t="s">
        <v>152</v>
      </c>
      <c r="C109">
        <v>80</v>
      </c>
      <c r="D109">
        <v>138</v>
      </c>
      <c r="E109">
        <v>96.674445110090105</v>
      </c>
      <c r="F109">
        <v>0.58333335349863602</v>
      </c>
      <c r="G109">
        <v>7340.2906593572798</v>
      </c>
      <c r="H109">
        <v>478.60457040620901</v>
      </c>
      <c r="I109">
        <v>0.78984893588139504</v>
      </c>
      <c r="J109">
        <v>0.40268869571079202</v>
      </c>
      <c r="K109">
        <v>0.89241055294542804</v>
      </c>
      <c r="L109" t="s">
        <v>33</v>
      </c>
      <c r="M109" t="s">
        <v>34</v>
      </c>
      <c r="N109" t="s">
        <v>35</v>
      </c>
      <c r="O109">
        <v>0.92131428201495602</v>
      </c>
      <c r="P109" t="s">
        <v>36</v>
      </c>
    </row>
    <row r="110" spans="1:16">
      <c r="A110">
        <v>109</v>
      </c>
      <c r="B110" t="s">
        <v>153</v>
      </c>
      <c r="C110">
        <v>169</v>
      </c>
      <c r="D110">
        <v>93</v>
      </c>
      <c r="E110">
        <v>102.360249584703</v>
      </c>
      <c r="F110">
        <v>1.82575469226815</v>
      </c>
      <c r="G110">
        <v>8229.10405066163</v>
      </c>
      <c r="H110">
        <v>572.04216003687498</v>
      </c>
      <c r="I110">
        <v>0.65958637187652602</v>
      </c>
      <c r="J110">
        <v>0.31601401372061599</v>
      </c>
      <c r="K110">
        <v>0.70079995949572205</v>
      </c>
      <c r="L110" t="s">
        <v>33</v>
      </c>
      <c r="M110" t="s">
        <v>34</v>
      </c>
      <c r="N110" t="s">
        <v>35</v>
      </c>
      <c r="O110">
        <v>0.898391119957198</v>
      </c>
      <c r="P110" t="s">
        <v>36</v>
      </c>
    </row>
    <row r="111" spans="1:16">
      <c r="A111">
        <v>110</v>
      </c>
      <c r="B111" t="s">
        <v>154</v>
      </c>
      <c r="C111">
        <v>237</v>
      </c>
      <c r="D111">
        <v>114</v>
      </c>
      <c r="E111">
        <v>116.327940953512</v>
      </c>
      <c r="F111">
        <v>2.0741811380171198</v>
      </c>
      <c r="G111">
        <v>10628.1570521739</v>
      </c>
      <c r="H111">
        <v>1403.6846324726801</v>
      </c>
      <c r="I111">
        <v>0.56342486729042995</v>
      </c>
      <c r="J111">
        <v>6.7784240892353007E-2</v>
      </c>
      <c r="K111">
        <v>0.54080197241045502</v>
      </c>
      <c r="L111" t="s">
        <v>33</v>
      </c>
      <c r="M111" t="s">
        <v>34</v>
      </c>
      <c r="N111" t="s">
        <v>35</v>
      </c>
      <c r="O111">
        <v>0.94682527985093301</v>
      </c>
      <c r="P111" t="s">
        <v>36</v>
      </c>
    </row>
    <row r="112" spans="1:16">
      <c r="A112">
        <v>111</v>
      </c>
      <c r="B112" t="s">
        <v>155</v>
      </c>
      <c r="C112">
        <v>202</v>
      </c>
      <c r="D112">
        <v>199</v>
      </c>
      <c r="E112">
        <v>148.11411265261</v>
      </c>
      <c r="F112">
        <v>1.012277038498</v>
      </c>
      <c r="G112">
        <v>17229.900263137999</v>
      </c>
      <c r="H112">
        <v>1218.7818572996</v>
      </c>
      <c r="I112">
        <v>0.58486379271171895</v>
      </c>
      <c r="J112">
        <v>0.145760774104293</v>
      </c>
      <c r="K112">
        <v>0.56368463535841795</v>
      </c>
      <c r="L112" t="s">
        <v>33</v>
      </c>
      <c r="M112" t="s">
        <v>34</v>
      </c>
      <c r="N112" t="s">
        <v>35</v>
      </c>
      <c r="O112">
        <v>0.83493121957384897</v>
      </c>
      <c r="P112" t="s">
        <v>36</v>
      </c>
    </row>
    <row r="113" spans="1:16">
      <c r="A113">
        <v>112</v>
      </c>
      <c r="B113" t="s">
        <v>156</v>
      </c>
      <c r="C113">
        <v>117</v>
      </c>
      <c r="D113">
        <v>82</v>
      </c>
      <c r="E113">
        <v>76.511691362999301</v>
      </c>
      <c r="F113">
        <v>1.4238410596026501</v>
      </c>
      <c r="G113">
        <v>4597.7514124763702</v>
      </c>
      <c r="H113">
        <v>865.50302467159599</v>
      </c>
      <c r="I113">
        <v>0.56030557452447105</v>
      </c>
      <c r="J113">
        <v>7.7129083466137296E-2</v>
      </c>
      <c r="K113">
        <v>0.54071911762135305</v>
      </c>
      <c r="L113" t="s">
        <v>70</v>
      </c>
      <c r="M113" t="s">
        <v>34</v>
      </c>
      <c r="N113" t="s">
        <v>35</v>
      </c>
      <c r="O113">
        <v>0.75877994246854297</v>
      </c>
      <c r="P113" t="s">
        <v>36</v>
      </c>
    </row>
    <row r="114" spans="1:16">
      <c r="A114">
        <v>113</v>
      </c>
      <c r="B114" t="s">
        <v>157</v>
      </c>
      <c r="C114">
        <v>178</v>
      </c>
      <c r="D114">
        <v>136</v>
      </c>
      <c r="E114">
        <v>125.53942068268699</v>
      </c>
      <c r="F114">
        <v>1.3091471438024</v>
      </c>
      <c r="G114">
        <v>12377.989837429101</v>
      </c>
      <c r="H114">
        <v>938.81021116920101</v>
      </c>
      <c r="I114">
        <v>0.65814901470766396</v>
      </c>
      <c r="J114">
        <v>0.17648360909321301</v>
      </c>
      <c r="K114">
        <v>0.66336893923100804</v>
      </c>
      <c r="L114" t="s">
        <v>52</v>
      </c>
      <c r="M114" t="s">
        <v>34</v>
      </c>
      <c r="N114" t="s">
        <v>35</v>
      </c>
      <c r="O114">
        <v>0.70322246052179405</v>
      </c>
      <c r="P114" t="s">
        <v>36</v>
      </c>
    </row>
    <row r="115" spans="1:16">
      <c r="A115">
        <v>114</v>
      </c>
      <c r="B115" t="s">
        <v>158</v>
      </c>
      <c r="C115">
        <v>139</v>
      </c>
      <c r="D115">
        <v>90</v>
      </c>
      <c r="E115">
        <v>80.762825433743103</v>
      </c>
      <c r="F115">
        <v>1.5425532316150801</v>
      </c>
      <c r="G115">
        <v>5122.8647421550104</v>
      </c>
      <c r="H115">
        <v>655.61978111774999</v>
      </c>
      <c r="I115">
        <v>0.70708040377721804</v>
      </c>
      <c r="J115">
        <v>0.149767871116851</v>
      </c>
      <c r="K115">
        <v>0.57112793915392102</v>
      </c>
      <c r="L115" t="s">
        <v>33</v>
      </c>
      <c r="M115" t="s">
        <v>34</v>
      </c>
      <c r="N115" t="s">
        <v>35</v>
      </c>
      <c r="O115">
        <v>0.939296982631453</v>
      </c>
      <c r="P115" t="s">
        <v>36</v>
      </c>
    </row>
    <row r="116" spans="1:16">
      <c r="A116">
        <v>115</v>
      </c>
      <c r="B116" t="s">
        <v>159</v>
      </c>
      <c r="C116">
        <v>74</v>
      </c>
      <c r="D116">
        <v>153</v>
      </c>
      <c r="E116">
        <v>85.470189166178102</v>
      </c>
      <c r="F116">
        <v>0.48066905709872099</v>
      </c>
      <c r="G116">
        <v>5737.4539349716497</v>
      </c>
      <c r="H116">
        <v>607.69544788381302</v>
      </c>
      <c r="I116">
        <v>0.81423842358724996</v>
      </c>
      <c r="J116">
        <v>0.195234744939731</v>
      </c>
      <c r="K116">
        <v>0.63797577139835104</v>
      </c>
      <c r="L116" t="s">
        <v>52</v>
      </c>
      <c r="M116" t="s">
        <v>34</v>
      </c>
      <c r="N116" t="s">
        <v>35</v>
      </c>
      <c r="O116">
        <v>0.80249206787214999</v>
      </c>
      <c r="P116" t="s">
        <v>36</v>
      </c>
    </row>
    <row r="117" spans="1:16">
      <c r="A117">
        <v>116</v>
      </c>
      <c r="B117" t="s">
        <v>160</v>
      </c>
      <c r="C117">
        <v>89</v>
      </c>
      <c r="D117">
        <v>151</v>
      </c>
      <c r="E117">
        <v>97.140193462556397</v>
      </c>
      <c r="F117">
        <v>0.59223307831903704</v>
      </c>
      <c r="G117">
        <v>7411.1876472589802</v>
      </c>
      <c r="H117">
        <v>607.03398846947596</v>
      </c>
      <c r="I117">
        <v>0.73764456286655899</v>
      </c>
      <c r="J117">
        <v>0.25273864733922802</v>
      </c>
      <c r="K117">
        <v>0.74591610818573495</v>
      </c>
      <c r="L117" t="s">
        <v>33</v>
      </c>
      <c r="M117" t="s">
        <v>34</v>
      </c>
      <c r="N117" t="s">
        <v>35</v>
      </c>
      <c r="O117">
        <v>0.87781762412407405</v>
      </c>
      <c r="P117" t="s">
        <v>36</v>
      </c>
    </row>
    <row r="118" spans="1:16">
      <c r="A118">
        <v>117</v>
      </c>
      <c r="B118" t="s">
        <v>161</v>
      </c>
      <c r="C118">
        <v>212</v>
      </c>
      <c r="D118">
        <v>304</v>
      </c>
      <c r="E118">
        <v>167.36591950079401</v>
      </c>
      <c r="F118">
        <v>0.696588868940754</v>
      </c>
      <c r="G118">
        <v>22000.063637807201</v>
      </c>
      <c r="H118">
        <v>2025.36379475635</v>
      </c>
      <c r="I118">
        <v>0.59863322015484299</v>
      </c>
      <c r="J118">
        <v>6.7395006028590998E-2</v>
      </c>
      <c r="K118">
        <v>0.40067131352778002</v>
      </c>
      <c r="L118" t="s">
        <v>33</v>
      </c>
      <c r="M118" t="s">
        <v>34</v>
      </c>
      <c r="N118" t="s">
        <v>35</v>
      </c>
      <c r="O118">
        <v>0.92708566772558798</v>
      </c>
      <c r="P118" t="s">
        <v>36</v>
      </c>
    </row>
    <row r="119" spans="1:16">
      <c r="A119">
        <v>118</v>
      </c>
      <c r="B119" t="s">
        <v>162</v>
      </c>
      <c r="C119">
        <v>94</v>
      </c>
      <c r="D119">
        <v>101</v>
      </c>
      <c r="E119">
        <v>84.775447169947199</v>
      </c>
      <c r="F119">
        <v>0.92979613247624604</v>
      </c>
      <c r="G119">
        <v>5644.5595587901698</v>
      </c>
      <c r="H119">
        <v>512.08866770049804</v>
      </c>
      <c r="I119">
        <v>0.75849424622114703</v>
      </c>
      <c r="J119">
        <v>0.27048899078331201</v>
      </c>
      <c r="K119">
        <v>0.771247537621088</v>
      </c>
      <c r="L119" t="s">
        <v>52</v>
      </c>
      <c r="M119" t="s">
        <v>34</v>
      </c>
      <c r="N119" t="s">
        <v>35</v>
      </c>
      <c r="O119">
        <v>0.73873577556970604</v>
      </c>
      <c r="P119" t="s">
        <v>36</v>
      </c>
    </row>
    <row r="120" spans="1:16">
      <c r="A120">
        <v>119</v>
      </c>
      <c r="B120" t="s">
        <v>163</v>
      </c>
      <c r="C120">
        <v>167</v>
      </c>
      <c r="D120">
        <v>93</v>
      </c>
      <c r="E120">
        <v>103.176931142604</v>
      </c>
      <c r="F120">
        <v>1.80678247049158</v>
      </c>
      <c r="G120">
        <v>8360.9397493383694</v>
      </c>
      <c r="H120">
        <v>1091.8523843662599</v>
      </c>
      <c r="I120">
        <v>0.49181504927938202</v>
      </c>
      <c r="J120">
        <v>8.8132705877354001E-2</v>
      </c>
      <c r="K120">
        <v>0.66410483442535895</v>
      </c>
      <c r="L120" t="s">
        <v>33</v>
      </c>
      <c r="M120" t="s">
        <v>34</v>
      </c>
      <c r="N120" t="s">
        <v>35</v>
      </c>
      <c r="O120">
        <v>0.87553138222153004</v>
      </c>
      <c r="P120" t="s">
        <v>36</v>
      </c>
    </row>
    <row r="121" spans="1:16">
      <c r="A121">
        <v>120</v>
      </c>
      <c r="B121" t="s">
        <v>164</v>
      </c>
      <c r="C121">
        <v>172</v>
      </c>
      <c r="D121">
        <v>117</v>
      </c>
      <c r="E121">
        <v>108.130390868814</v>
      </c>
      <c r="F121">
        <v>1.47196261682243</v>
      </c>
      <c r="G121">
        <v>9183.0178207939498</v>
      </c>
      <c r="H121">
        <v>1138.04752088443</v>
      </c>
      <c r="I121">
        <v>0.73298373534646599</v>
      </c>
      <c r="J121">
        <v>8.9099342051798494E-2</v>
      </c>
      <c r="K121">
        <v>0.58552488177484596</v>
      </c>
      <c r="L121" t="s">
        <v>33</v>
      </c>
      <c r="M121" t="s">
        <v>34</v>
      </c>
      <c r="N121" t="s">
        <v>35</v>
      </c>
      <c r="O121">
        <v>0.94335262209292403</v>
      </c>
      <c r="P121" t="s">
        <v>36</v>
      </c>
    </row>
    <row r="122" spans="1:16">
      <c r="A122">
        <v>121</v>
      </c>
      <c r="B122" t="s">
        <v>165</v>
      </c>
      <c r="C122">
        <v>145</v>
      </c>
      <c r="D122">
        <v>120</v>
      </c>
      <c r="E122">
        <v>118.913482953068</v>
      </c>
      <c r="F122">
        <v>1.2010759536359199</v>
      </c>
      <c r="G122">
        <v>11105.8570922495</v>
      </c>
      <c r="H122">
        <v>488.603956303286</v>
      </c>
      <c r="I122">
        <v>0.60417564012902703</v>
      </c>
      <c r="J122">
        <v>0.58458542923012202</v>
      </c>
      <c r="K122">
        <v>0.87571197524787303</v>
      </c>
      <c r="L122" t="s">
        <v>33</v>
      </c>
      <c r="M122" t="s">
        <v>34</v>
      </c>
      <c r="N122" t="s">
        <v>35</v>
      </c>
      <c r="O122">
        <v>0.86148809233528001</v>
      </c>
      <c r="P122" t="s">
        <v>36</v>
      </c>
    </row>
    <row r="123" spans="1:16">
      <c r="A123">
        <v>122</v>
      </c>
      <c r="B123" t="s">
        <v>166</v>
      </c>
      <c r="C123">
        <v>202</v>
      </c>
      <c r="D123">
        <v>131</v>
      </c>
      <c r="E123">
        <v>111.48244790349</v>
      </c>
      <c r="F123">
        <v>1.54064446878345</v>
      </c>
      <c r="G123">
        <v>9761.1924181474496</v>
      </c>
      <c r="H123">
        <v>1139.41260221523</v>
      </c>
      <c r="I123">
        <v>0.51808568686995604</v>
      </c>
      <c r="J123">
        <v>9.4482353075908299E-2</v>
      </c>
      <c r="K123">
        <v>0.49493937041698399</v>
      </c>
      <c r="L123" t="s">
        <v>33</v>
      </c>
      <c r="M123" t="s">
        <v>34</v>
      </c>
      <c r="N123" t="s">
        <v>35</v>
      </c>
      <c r="O123">
        <v>0.91042187706005995</v>
      </c>
      <c r="P123" t="s">
        <v>36</v>
      </c>
    </row>
    <row r="124" spans="1:16">
      <c r="A124">
        <v>123</v>
      </c>
      <c r="B124" t="s">
        <v>167</v>
      </c>
      <c r="C124">
        <v>196</v>
      </c>
      <c r="D124">
        <v>138</v>
      </c>
      <c r="E124">
        <v>132.338510375103</v>
      </c>
      <c r="F124">
        <v>1.42075094336071</v>
      </c>
      <c r="G124">
        <v>13755.056069943301</v>
      </c>
      <c r="H124">
        <v>876.21315794955103</v>
      </c>
      <c r="I124">
        <v>0.59224927909050595</v>
      </c>
      <c r="J124">
        <v>0.22514001351947699</v>
      </c>
      <c r="K124">
        <v>0.68616910848804802</v>
      </c>
      <c r="L124" t="s">
        <v>33</v>
      </c>
      <c r="M124" t="s">
        <v>34</v>
      </c>
      <c r="N124" t="s">
        <v>35</v>
      </c>
      <c r="O124">
        <v>0.88325232575087598</v>
      </c>
      <c r="P124" t="s">
        <v>36</v>
      </c>
    </row>
    <row r="125" spans="1:16">
      <c r="A125">
        <v>124</v>
      </c>
      <c r="B125" t="s">
        <v>168</v>
      </c>
      <c r="C125">
        <v>115</v>
      </c>
      <c r="D125">
        <v>156</v>
      </c>
      <c r="E125">
        <v>123.478919448639</v>
      </c>
      <c r="F125">
        <v>0.73595503867719803</v>
      </c>
      <c r="G125">
        <v>11975</v>
      </c>
      <c r="H125">
        <v>621.12697839736904</v>
      </c>
      <c r="I125">
        <v>0.74017048197392199</v>
      </c>
      <c r="J125">
        <v>0.39005387789385498</v>
      </c>
      <c r="K125">
        <v>0.79108175061932295</v>
      </c>
      <c r="L125" t="s">
        <v>169</v>
      </c>
      <c r="M125" t="s">
        <v>34</v>
      </c>
      <c r="N125" t="s">
        <v>35</v>
      </c>
      <c r="O125">
        <v>0.60956059380004501</v>
      </c>
      <c r="P125" t="s">
        <v>36</v>
      </c>
    </row>
    <row r="126" spans="1:16">
      <c r="A126">
        <v>125</v>
      </c>
      <c r="B126" t="s">
        <v>170</v>
      </c>
      <c r="C126">
        <v>109</v>
      </c>
      <c r="D126">
        <v>46</v>
      </c>
      <c r="E126">
        <v>67.168072782096601</v>
      </c>
      <c r="F126">
        <v>2.4020772543766902</v>
      </c>
      <c r="G126">
        <v>3543.3630850661598</v>
      </c>
      <c r="H126">
        <v>330.07295592536099</v>
      </c>
      <c r="I126">
        <v>0.83487526904981102</v>
      </c>
      <c r="J126">
        <v>0.40870093893859399</v>
      </c>
      <c r="K126">
        <v>0.85638336087362599</v>
      </c>
      <c r="L126" t="s">
        <v>83</v>
      </c>
      <c r="M126" t="s">
        <v>34</v>
      </c>
      <c r="N126" t="s">
        <v>35</v>
      </c>
      <c r="O126">
        <v>0.85615805235373899</v>
      </c>
      <c r="P126" t="s">
        <v>36</v>
      </c>
    </row>
    <row r="127" spans="1:16">
      <c r="A127">
        <v>126</v>
      </c>
      <c r="B127" t="s">
        <v>171</v>
      </c>
      <c r="C127">
        <v>65</v>
      </c>
      <c r="D127">
        <v>430</v>
      </c>
      <c r="E127">
        <v>123.156266899649</v>
      </c>
      <c r="F127">
        <v>0.15003188718942101</v>
      </c>
      <c r="G127">
        <v>11912.5</v>
      </c>
      <c r="H127">
        <v>1002.0458060503</v>
      </c>
      <c r="I127">
        <v>0.973707787545249</v>
      </c>
      <c r="J127">
        <v>0.14908626281252199</v>
      </c>
      <c r="K127">
        <v>0.57444243520192895</v>
      </c>
      <c r="L127" t="s">
        <v>144</v>
      </c>
      <c r="M127" t="s">
        <v>34</v>
      </c>
      <c r="N127" t="s">
        <v>35</v>
      </c>
      <c r="O127">
        <v>0.81832598578675697</v>
      </c>
      <c r="P127" t="s">
        <v>36</v>
      </c>
    </row>
    <row r="128" spans="1:16">
      <c r="A128">
        <v>127</v>
      </c>
      <c r="B128" t="s">
        <v>172</v>
      </c>
      <c r="C128">
        <v>138</v>
      </c>
      <c r="D128">
        <v>75</v>
      </c>
      <c r="E128">
        <v>71.610776207570893</v>
      </c>
      <c r="F128">
        <v>1.83117629025323</v>
      </c>
      <c r="G128">
        <v>4027.6028892249501</v>
      </c>
      <c r="H128">
        <v>701.951102522974</v>
      </c>
      <c r="I128">
        <v>0.75677070432022797</v>
      </c>
      <c r="J128">
        <v>0.10271710880747099</v>
      </c>
      <c r="K128">
        <v>0.59340851855907195</v>
      </c>
      <c r="L128" t="s">
        <v>33</v>
      </c>
      <c r="M128" t="s">
        <v>34</v>
      </c>
      <c r="N128" t="s">
        <v>35</v>
      </c>
      <c r="O128">
        <v>0.87402599618445498</v>
      </c>
      <c r="P128" t="s">
        <v>36</v>
      </c>
    </row>
    <row r="129" spans="1:16">
      <c r="A129">
        <v>128</v>
      </c>
      <c r="B129" t="s">
        <v>173</v>
      </c>
      <c r="C129">
        <v>78</v>
      </c>
      <c r="D129">
        <v>62</v>
      </c>
      <c r="E129">
        <v>62.5537753140718</v>
      </c>
      <c r="F129">
        <v>1.25612646994343</v>
      </c>
      <c r="G129">
        <v>3073.24322608696</v>
      </c>
      <c r="H129">
        <v>289.59457708597199</v>
      </c>
      <c r="I129">
        <v>0.72839737491393197</v>
      </c>
      <c r="J129">
        <v>0.46049608992924301</v>
      </c>
      <c r="K129">
        <v>0.87285237874118804</v>
      </c>
      <c r="L129" t="s">
        <v>33</v>
      </c>
      <c r="M129" t="s">
        <v>34</v>
      </c>
      <c r="N129" t="s">
        <v>35</v>
      </c>
      <c r="O129">
        <v>0.94434262320602702</v>
      </c>
      <c r="P129" t="s">
        <v>36</v>
      </c>
    </row>
    <row r="130" spans="1:16">
      <c r="A130">
        <v>129</v>
      </c>
      <c r="B130" t="s">
        <v>174</v>
      </c>
      <c r="C130">
        <v>114</v>
      </c>
      <c r="D130">
        <v>174</v>
      </c>
      <c r="E130">
        <v>122.313387045892</v>
      </c>
      <c r="F130">
        <v>0.65708196221080195</v>
      </c>
      <c r="G130">
        <v>11750</v>
      </c>
      <c r="H130">
        <v>598.70057225227401</v>
      </c>
      <c r="I130">
        <v>0.70428700345494299</v>
      </c>
      <c r="J130">
        <v>0.41193470674350902</v>
      </c>
      <c r="K130">
        <v>0.71865443425076403</v>
      </c>
      <c r="L130" t="s">
        <v>45</v>
      </c>
      <c r="M130" t="s">
        <v>34</v>
      </c>
      <c r="N130" t="s">
        <v>35</v>
      </c>
      <c r="O130">
        <v>0.70926297881443301</v>
      </c>
      <c r="P130" t="s">
        <v>36</v>
      </c>
    </row>
    <row r="131" spans="1:16">
      <c r="A131">
        <v>130</v>
      </c>
      <c r="B131" t="s">
        <v>175</v>
      </c>
      <c r="C131">
        <v>119</v>
      </c>
      <c r="D131">
        <v>77</v>
      </c>
      <c r="E131">
        <v>79.194052349327606</v>
      </c>
      <c r="F131">
        <v>1.5553228713931</v>
      </c>
      <c r="G131">
        <v>4925.7800336483897</v>
      </c>
      <c r="H131">
        <v>589.85161571347203</v>
      </c>
      <c r="I131">
        <v>0.78651941530381198</v>
      </c>
      <c r="J131">
        <v>0.17790957872395899</v>
      </c>
      <c r="K131">
        <v>0.71724451369952003</v>
      </c>
      <c r="L131" t="s">
        <v>33</v>
      </c>
      <c r="M131" t="s">
        <v>34</v>
      </c>
      <c r="N131" t="s">
        <v>35</v>
      </c>
      <c r="O131">
        <v>0.919214281224907</v>
      </c>
      <c r="P131" t="s">
        <v>36</v>
      </c>
    </row>
    <row r="132" spans="1:16">
      <c r="A132">
        <v>131</v>
      </c>
      <c r="B132" t="s">
        <v>176</v>
      </c>
      <c r="C132">
        <v>106</v>
      </c>
      <c r="D132">
        <v>121</v>
      </c>
      <c r="E132">
        <v>80.583371814889105</v>
      </c>
      <c r="F132">
        <v>0.876468342054878</v>
      </c>
      <c r="G132">
        <v>5100.1241988657803</v>
      </c>
      <c r="H132">
        <v>685.45839589678701</v>
      </c>
      <c r="I132">
        <v>0.61055000241430402</v>
      </c>
      <c r="J132">
        <v>0.13640441132766101</v>
      </c>
      <c r="K132">
        <v>0.58416751787538301</v>
      </c>
      <c r="L132" t="s">
        <v>33</v>
      </c>
      <c r="M132" t="s">
        <v>34</v>
      </c>
      <c r="N132" t="s">
        <v>35</v>
      </c>
      <c r="O132">
        <v>0.95147566338550904</v>
      </c>
      <c r="P132" t="s">
        <v>36</v>
      </c>
    </row>
    <row r="133" spans="1:16">
      <c r="A133">
        <v>132</v>
      </c>
      <c r="B133" t="s">
        <v>177</v>
      </c>
      <c r="C133">
        <v>171</v>
      </c>
      <c r="D133">
        <v>83</v>
      </c>
      <c r="E133">
        <v>100.619601759711</v>
      </c>
      <c r="F133">
        <v>2.0457516339869302</v>
      </c>
      <c r="G133">
        <v>7951.6099701323301</v>
      </c>
      <c r="H133">
        <v>769.11578843375901</v>
      </c>
      <c r="I133">
        <v>0.71854638836965501</v>
      </c>
      <c r="J133">
        <v>0.16892015851216299</v>
      </c>
      <c r="K133">
        <v>0.72029243072946103</v>
      </c>
      <c r="L133" t="s">
        <v>178</v>
      </c>
      <c r="M133" t="s">
        <v>34</v>
      </c>
      <c r="N133" t="s">
        <v>35</v>
      </c>
      <c r="O133">
        <v>0.69105033806718996</v>
      </c>
      <c r="P133" t="s">
        <v>36</v>
      </c>
    </row>
    <row r="134" spans="1:16">
      <c r="A134">
        <v>133</v>
      </c>
      <c r="B134" t="s">
        <v>179</v>
      </c>
      <c r="C134">
        <v>220</v>
      </c>
      <c r="D134">
        <v>323</v>
      </c>
      <c r="E134">
        <v>185.51879185705999</v>
      </c>
      <c r="F134">
        <v>0.68161044385110803</v>
      </c>
      <c r="G134">
        <v>27031.223051795801</v>
      </c>
      <c r="H134">
        <v>2541.8148621312398</v>
      </c>
      <c r="I134">
        <v>0.59423917840629503</v>
      </c>
      <c r="J134">
        <v>5.2576022883314401E-2</v>
      </c>
      <c r="K134">
        <v>0.43576749546544802</v>
      </c>
      <c r="L134" t="s">
        <v>45</v>
      </c>
      <c r="M134" t="s">
        <v>34</v>
      </c>
      <c r="N134" t="s">
        <v>35</v>
      </c>
      <c r="O134">
        <v>0.63776108666757003</v>
      </c>
      <c r="P134" t="s">
        <v>36</v>
      </c>
    </row>
    <row r="135" spans="1:16">
      <c r="A135">
        <v>134</v>
      </c>
      <c r="B135" t="s">
        <v>180</v>
      </c>
      <c r="C135">
        <v>171</v>
      </c>
      <c r="D135">
        <v>98</v>
      </c>
      <c r="E135">
        <v>112.196511408077</v>
      </c>
      <c r="F135">
        <v>1.74444444444444</v>
      </c>
      <c r="G135">
        <v>9886.6369837429102</v>
      </c>
      <c r="H135">
        <v>810.89049561645697</v>
      </c>
      <c r="I135">
        <v>0.65988036582307397</v>
      </c>
      <c r="J135">
        <v>0.18894440313078401</v>
      </c>
      <c r="K135">
        <v>0.74581782302551902</v>
      </c>
      <c r="L135" t="s">
        <v>70</v>
      </c>
      <c r="M135" t="s">
        <v>34</v>
      </c>
      <c r="N135" t="s">
        <v>35</v>
      </c>
      <c r="O135">
        <v>0.69686630894503299</v>
      </c>
      <c r="P135" t="s">
        <v>36</v>
      </c>
    </row>
    <row r="136" spans="1:16">
      <c r="A136">
        <v>135</v>
      </c>
      <c r="B136" t="s">
        <v>181</v>
      </c>
      <c r="C136">
        <v>128</v>
      </c>
      <c r="D136">
        <v>76</v>
      </c>
      <c r="E136">
        <v>78.604010303999601</v>
      </c>
      <c r="F136">
        <v>1.68081216127306</v>
      </c>
      <c r="G136">
        <v>4852.65358071834</v>
      </c>
      <c r="H136">
        <v>623.73258865636296</v>
      </c>
      <c r="I136">
        <v>0.81721360502442597</v>
      </c>
      <c r="J136">
        <v>0.156744489612865</v>
      </c>
      <c r="K136">
        <v>0.68521239086635299</v>
      </c>
      <c r="L136" t="s">
        <v>132</v>
      </c>
      <c r="M136" t="s">
        <v>34</v>
      </c>
      <c r="N136" t="s">
        <v>35</v>
      </c>
      <c r="O136">
        <v>0.65337277445596598</v>
      </c>
      <c r="P136" t="s">
        <v>36</v>
      </c>
    </row>
    <row r="137" spans="1:16">
      <c r="A137">
        <v>136</v>
      </c>
      <c r="B137" t="s">
        <v>182</v>
      </c>
      <c r="C137">
        <v>104</v>
      </c>
      <c r="D137">
        <v>52</v>
      </c>
      <c r="E137">
        <v>58.170883986879097</v>
      </c>
      <c r="F137">
        <v>1.9896774066559699</v>
      </c>
      <c r="G137">
        <v>2657.6709448015099</v>
      </c>
      <c r="H137">
        <v>426.51337313392901</v>
      </c>
      <c r="I137">
        <v>0.62735448781203895</v>
      </c>
      <c r="J137">
        <v>0.18358862401714501</v>
      </c>
      <c r="K137">
        <v>0.63883529832082897</v>
      </c>
      <c r="L137" t="s">
        <v>83</v>
      </c>
      <c r="M137" t="s">
        <v>34</v>
      </c>
      <c r="N137" t="s">
        <v>35</v>
      </c>
      <c r="O137">
        <v>0.769763898599514</v>
      </c>
      <c r="P137" t="s">
        <v>36</v>
      </c>
    </row>
    <row r="138" spans="1:16">
      <c r="A138">
        <v>137</v>
      </c>
      <c r="B138" t="s">
        <v>183</v>
      </c>
      <c r="C138">
        <v>116</v>
      </c>
      <c r="D138">
        <v>105</v>
      </c>
      <c r="E138">
        <v>89.622677596093993</v>
      </c>
      <c r="F138">
        <v>1.09947438967097</v>
      </c>
      <c r="G138">
        <v>6308.49424423441</v>
      </c>
      <c r="H138">
        <v>857.6053974276</v>
      </c>
      <c r="I138">
        <v>0.54828167179572596</v>
      </c>
      <c r="J138">
        <v>0.10778555539951799</v>
      </c>
      <c r="K138">
        <v>0.59569690249961404</v>
      </c>
      <c r="L138" t="s">
        <v>33</v>
      </c>
      <c r="M138" t="s">
        <v>34</v>
      </c>
      <c r="N138" t="s">
        <v>35</v>
      </c>
      <c r="O138">
        <v>0.85346839400558205</v>
      </c>
      <c r="P138" t="s">
        <v>36</v>
      </c>
    </row>
    <row r="139" spans="1:16">
      <c r="A139">
        <v>138</v>
      </c>
      <c r="B139" t="s">
        <v>184</v>
      </c>
      <c r="C139">
        <v>126</v>
      </c>
      <c r="D139">
        <v>131</v>
      </c>
      <c r="E139">
        <v>113.607010879493</v>
      </c>
      <c r="F139">
        <v>0.96265560165975095</v>
      </c>
      <c r="G139">
        <v>10136.7829599244</v>
      </c>
      <c r="H139">
        <v>915.45323810670698</v>
      </c>
      <c r="I139">
        <v>0.71596032280431199</v>
      </c>
      <c r="J139">
        <v>0.15199793280231</v>
      </c>
      <c r="K139">
        <v>0.73098606645230402</v>
      </c>
      <c r="L139" t="s">
        <v>185</v>
      </c>
      <c r="M139" t="s">
        <v>34</v>
      </c>
      <c r="N139" t="s">
        <v>35</v>
      </c>
      <c r="O139">
        <v>0.64820017654734796</v>
      </c>
      <c r="P139" t="s">
        <v>36</v>
      </c>
    </row>
    <row r="140" spans="1:16">
      <c r="A140">
        <v>139</v>
      </c>
      <c r="B140" t="s">
        <v>186</v>
      </c>
      <c r="C140">
        <v>161</v>
      </c>
      <c r="D140">
        <v>81</v>
      </c>
      <c r="E140">
        <v>79.293159135262201</v>
      </c>
      <c r="F140">
        <v>2.0023052913695798</v>
      </c>
      <c r="G140">
        <v>4938.1164068052904</v>
      </c>
      <c r="H140">
        <v>784.236288264731</v>
      </c>
      <c r="I140">
        <v>0.51871006539471798</v>
      </c>
      <c r="J140">
        <v>0.10089678293792299</v>
      </c>
      <c r="K140">
        <v>0.50967999263645603</v>
      </c>
      <c r="L140" t="s">
        <v>33</v>
      </c>
      <c r="M140" t="s">
        <v>34</v>
      </c>
      <c r="N140" t="s">
        <v>35</v>
      </c>
      <c r="O140">
        <v>0.94416565865158997</v>
      </c>
      <c r="P140" t="s">
        <v>36</v>
      </c>
    </row>
    <row r="141" spans="1:16">
      <c r="A141">
        <v>140</v>
      </c>
      <c r="B141" t="s">
        <v>187</v>
      </c>
      <c r="C141">
        <v>132</v>
      </c>
      <c r="D141">
        <v>132</v>
      </c>
      <c r="E141">
        <v>111.526574500214</v>
      </c>
      <c r="F141">
        <v>1</v>
      </c>
      <c r="G141">
        <v>9768.9212302457508</v>
      </c>
      <c r="H141">
        <v>1352.22441112518</v>
      </c>
      <c r="I141">
        <v>0.60560870127633704</v>
      </c>
      <c r="J141">
        <v>6.7136535800036701E-2</v>
      </c>
      <c r="K141">
        <v>0.66693725963733796</v>
      </c>
      <c r="L141" t="s">
        <v>33</v>
      </c>
      <c r="M141" t="s">
        <v>34</v>
      </c>
      <c r="N141" t="s">
        <v>35</v>
      </c>
      <c r="O141">
        <v>0.91423751929056796</v>
      </c>
      <c r="P141" t="s">
        <v>36</v>
      </c>
    </row>
    <row r="142" spans="1:16">
      <c r="A142">
        <v>141</v>
      </c>
      <c r="B142" t="s">
        <v>188</v>
      </c>
      <c r="C142">
        <v>110</v>
      </c>
      <c r="D142">
        <v>74</v>
      </c>
      <c r="E142">
        <v>75.983033980988196</v>
      </c>
      <c r="F142">
        <v>1.4879934970940001</v>
      </c>
      <c r="G142">
        <v>4534.4346056710801</v>
      </c>
      <c r="H142">
        <v>445.62694316221302</v>
      </c>
      <c r="I142">
        <v>0.58858984587499996</v>
      </c>
      <c r="J142">
        <v>0.28693935988746699</v>
      </c>
      <c r="K142">
        <v>0.714891622729936</v>
      </c>
      <c r="L142" t="s">
        <v>33</v>
      </c>
      <c r="M142" t="s">
        <v>34</v>
      </c>
      <c r="N142" t="s">
        <v>35</v>
      </c>
      <c r="O142">
        <v>0.86912778305287897</v>
      </c>
      <c r="P142" t="s">
        <v>36</v>
      </c>
    </row>
    <row r="143" spans="1:16">
      <c r="A143">
        <v>142</v>
      </c>
      <c r="B143" t="s">
        <v>189</v>
      </c>
      <c r="C143">
        <v>134</v>
      </c>
      <c r="D143">
        <v>167</v>
      </c>
      <c r="E143">
        <v>123.64765326611101</v>
      </c>
      <c r="F143">
        <v>0.80148995676030599</v>
      </c>
      <c r="G143">
        <v>12007.7500117202</v>
      </c>
      <c r="H143">
        <v>805.85076936877294</v>
      </c>
      <c r="I143">
        <v>0.55375341967255598</v>
      </c>
      <c r="J143">
        <v>0.23236047309716801</v>
      </c>
      <c r="K143">
        <v>0.67282675683328597</v>
      </c>
      <c r="L143" t="s">
        <v>33</v>
      </c>
      <c r="M143" t="s">
        <v>34</v>
      </c>
      <c r="N143" t="s">
        <v>35</v>
      </c>
      <c r="O143">
        <v>0.81731766032251096</v>
      </c>
      <c r="P143" t="s">
        <v>36</v>
      </c>
    </row>
    <row r="144" spans="1:16">
      <c r="A144">
        <v>143</v>
      </c>
      <c r="B144" t="s">
        <v>190</v>
      </c>
      <c r="C144">
        <v>137</v>
      </c>
      <c r="D144">
        <v>152</v>
      </c>
      <c r="E144">
        <v>110.24574038534099</v>
      </c>
      <c r="F144">
        <v>0.90287778629391602</v>
      </c>
      <c r="G144">
        <v>9545.8260964083202</v>
      </c>
      <c r="H144">
        <v>1198.6695980995601</v>
      </c>
      <c r="I144">
        <v>0.56354544487782199</v>
      </c>
      <c r="J144">
        <v>8.3488066119981205E-2</v>
      </c>
      <c r="K144">
        <v>0.58917694114193497</v>
      </c>
      <c r="L144" t="s">
        <v>33</v>
      </c>
      <c r="M144" t="s">
        <v>34</v>
      </c>
      <c r="N144" t="s">
        <v>35</v>
      </c>
      <c r="O144">
        <v>0.913377733646766</v>
      </c>
      <c r="P144" t="s">
        <v>36</v>
      </c>
    </row>
    <row r="145" spans="1:16">
      <c r="A145">
        <v>144</v>
      </c>
      <c r="B145" t="s">
        <v>191</v>
      </c>
      <c r="C145">
        <v>59</v>
      </c>
      <c r="D145">
        <v>112</v>
      </c>
      <c r="E145">
        <v>75.020550047473407</v>
      </c>
      <c r="F145">
        <v>0.52427184466019405</v>
      </c>
      <c r="G145">
        <v>4420.2859962192797</v>
      </c>
      <c r="H145">
        <v>549.74741504150904</v>
      </c>
      <c r="I145">
        <v>0.72328322890771601</v>
      </c>
      <c r="J145">
        <v>0.18379506307172599</v>
      </c>
      <c r="K145">
        <v>0.71987025875632404</v>
      </c>
      <c r="L145" t="s">
        <v>33</v>
      </c>
      <c r="M145" t="s">
        <v>34</v>
      </c>
      <c r="N145" t="s">
        <v>35</v>
      </c>
      <c r="O145">
        <v>0.92441864711252997</v>
      </c>
      <c r="P145" t="s">
        <v>36</v>
      </c>
    </row>
    <row r="146" spans="1:16">
      <c r="A146">
        <v>145</v>
      </c>
      <c r="B146" t="s">
        <v>192</v>
      </c>
      <c r="C146">
        <v>132</v>
      </c>
      <c r="D146">
        <v>117</v>
      </c>
      <c r="E146">
        <v>109.188422076229</v>
      </c>
      <c r="F146">
        <v>1.12558141317414</v>
      </c>
      <c r="G146">
        <v>9363.6044880907393</v>
      </c>
      <c r="H146">
        <v>1086.6193992566</v>
      </c>
      <c r="I146">
        <v>0.63007792752407299</v>
      </c>
      <c r="J146">
        <v>9.9654752945586497E-2</v>
      </c>
      <c r="K146">
        <v>0.733903379503967</v>
      </c>
      <c r="L146" t="s">
        <v>33</v>
      </c>
      <c r="M146" t="s">
        <v>34</v>
      </c>
      <c r="N146" t="s">
        <v>35</v>
      </c>
      <c r="O146">
        <v>0.87137480483766905</v>
      </c>
      <c r="P146" t="s">
        <v>36</v>
      </c>
    </row>
    <row r="147" spans="1:16">
      <c r="A147">
        <v>146</v>
      </c>
      <c r="B147" t="s">
        <v>193</v>
      </c>
      <c r="C147">
        <v>44</v>
      </c>
      <c r="D147">
        <v>107</v>
      </c>
      <c r="E147">
        <v>58.407886477044201</v>
      </c>
      <c r="F147">
        <v>0.41116751269035501</v>
      </c>
      <c r="G147">
        <v>2679.3710710774999</v>
      </c>
      <c r="H147">
        <v>408.49736335267198</v>
      </c>
      <c r="I147">
        <v>0.66905829924924598</v>
      </c>
      <c r="J147">
        <v>0.201773539577594</v>
      </c>
      <c r="K147">
        <v>0.70138510621741501</v>
      </c>
      <c r="L147" t="s">
        <v>83</v>
      </c>
      <c r="M147" t="s">
        <v>34</v>
      </c>
      <c r="N147" t="s">
        <v>35</v>
      </c>
      <c r="O147">
        <v>0.77308394892221499</v>
      </c>
      <c r="P147" t="s">
        <v>36</v>
      </c>
    </row>
    <row r="148" spans="1:16">
      <c r="A148">
        <v>147</v>
      </c>
      <c r="B148" t="s">
        <v>194</v>
      </c>
      <c r="C148">
        <v>96</v>
      </c>
      <c r="D148">
        <v>93</v>
      </c>
      <c r="E148">
        <v>86.437825736837297</v>
      </c>
      <c r="F148">
        <v>1.0345504525339499</v>
      </c>
      <c r="G148">
        <v>5868.1005856332704</v>
      </c>
      <c r="H148">
        <v>492.64793069725499</v>
      </c>
      <c r="I148">
        <v>0.66828181373249296</v>
      </c>
      <c r="J148">
        <v>0.30383240244453402</v>
      </c>
      <c r="K148">
        <v>0.80002026342451904</v>
      </c>
      <c r="L148" t="s">
        <v>33</v>
      </c>
      <c r="M148" t="s">
        <v>34</v>
      </c>
      <c r="N148" t="s">
        <v>35</v>
      </c>
      <c r="O148">
        <v>0.89317794253697802</v>
      </c>
      <c r="P148" t="s">
        <v>36</v>
      </c>
    </row>
    <row r="149" spans="1:16">
      <c r="A149">
        <v>148</v>
      </c>
      <c r="B149" t="s">
        <v>195</v>
      </c>
      <c r="C149">
        <v>75</v>
      </c>
      <c r="D149">
        <v>95</v>
      </c>
      <c r="E149">
        <v>78.6954439210364</v>
      </c>
      <c r="F149">
        <v>0.79175045814543099</v>
      </c>
      <c r="G149">
        <v>4863.9495368620001</v>
      </c>
      <c r="H149">
        <v>358.36946307234098</v>
      </c>
      <c r="I149">
        <v>0.61920595231938402</v>
      </c>
      <c r="J149">
        <v>0.47592326190120898</v>
      </c>
      <c r="K149">
        <v>0.88376677739069398</v>
      </c>
      <c r="L149" t="s">
        <v>33</v>
      </c>
      <c r="M149" t="s">
        <v>34</v>
      </c>
      <c r="N149" t="s">
        <v>35</v>
      </c>
      <c r="O149">
        <v>0.91430171239511204</v>
      </c>
      <c r="P149" t="s">
        <v>36</v>
      </c>
    </row>
    <row r="150" spans="1:16">
      <c r="A150">
        <v>149</v>
      </c>
      <c r="B150" t="s">
        <v>196</v>
      </c>
      <c r="C150">
        <v>68</v>
      </c>
      <c r="D150">
        <v>68</v>
      </c>
      <c r="E150">
        <v>50.481129903989199</v>
      </c>
      <c r="F150">
        <v>1.00000012311721</v>
      </c>
      <c r="G150">
        <v>2001.4650714555801</v>
      </c>
      <c r="H150">
        <v>286.642653704726</v>
      </c>
      <c r="I150">
        <v>0.62395372615418299</v>
      </c>
      <c r="J150">
        <v>0.30610910515566803</v>
      </c>
      <c r="K150">
        <v>0.64041470490321994</v>
      </c>
      <c r="L150" t="s">
        <v>83</v>
      </c>
      <c r="M150" t="s">
        <v>34</v>
      </c>
      <c r="N150" t="s">
        <v>35</v>
      </c>
      <c r="O150">
        <v>0.70209539238619201</v>
      </c>
      <c r="P150" t="s">
        <v>36</v>
      </c>
    </row>
    <row r="151" spans="1:16">
      <c r="A151">
        <v>150</v>
      </c>
      <c r="B151" t="s">
        <v>197</v>
      </c>
      <c r="C151">
        <v>124</v>
      </c>
      <c r="D151">
        <v>59</v>
      </c>
      <c r="E151">
        <v>70.622204845570806</v>
      </c>
      <c r="F151">
        <v>2.1189233757163</v>
      </c>
      <c r="G151">
        <v>3917.1700548204199</v>
      </c>
      <c r="H151">
        <v>382.35902828973298</v>
      </c>
      <c r="I151">
        <v>0.76791890515021599</v>
      </c>
      <c r="J151">
        <v>0.336697267144692</v>
      </c>
      <c r="K151">
        <v>0.74423924093527605</v>
      </c>
      <c r="L151" t="s">
        <v>75</v>
      </c>
      <c r="M151" t="s">
        <v>34</v>
      </c>
      <c r="N151" t="s">
        <v>35</v>
      </c>
      <c r="O151">
        <v>0.70603681097354798</v>
      </c>
      <c r="P151" t="s">
        <v>36</v>
      </c>
    </row>
    <row r="152" spans="1:16">
      <c r="A152">
        <v>151</v>
      </c>
      <c r="B152" t="s">
        <v>198</v>
      </c>
      <c r="C152">
        <v>65</v>
      </c>
      <c r="D152">
        <v>92</v>
      </c>
      <c r="E152">
        <v>76.417644933412802</v>
      </c>
      <c r="F152">
        <v>0.70376953433506595</v>
      </c>
      <c r="G152">
        <v>4586.4554563327001</v>
      </c>
      <c r="H152">
        <v>337.97058316935698</v>
      </c>
      <c r="I152">
        <v>0.70354908545219397</v>
      </c>
      <c r="J152">
        <v>0.50457908145059305</v>
      </c>
      <c r="K152">
        <v>0.90580327002671202</v>
      </c>
      <c r="L152" t="s">
        <v>33</v>
      </c>
      <c r="M152" t="s">
        <v>34</v>
      </c>
      <c r="N152" t="s">
        <v>35</v>
      </c>
      <c r="O152">
        <v>0.93497636910993198</v>
      </c>
      <c r="P152" t="s">
        <v>36</v>
      </c>
    </row>
    <row r="153" spans="1:16">
      <c r="A153">
        <v>152</v>
      </c>
      <c r="B153" t="s">
        <v>199</v>
      </c>
      <c r="C153">
        <v>121</v>
      </c>
      <c r="D153">
        <v>86</v>
      </c>
      <c r="E153">
        <v>77.635018777140402</v>
      </c>
      <c r="F153">
        <v>1.41131539258686</v>
      </c>
      <c r="G153">
        <v>4733.7487792060501</v>
      </c>
      <c r="H153">
        <v>600.117201606398</v>
      </c>
      <c r="I153">
        <v>0.55714831643825602</v>
      </c>
      <c r="J153">
        <v>0.165174468972727</v>
      </c>
      <c r="K153">
        <v>0.57486056711730404</v>
      </c>
      <c r="L153" t="s">
        <v>75</v>
      </c>
      <c r="M153" t="s">
        <v>34</v>
      </c>
      <c r="N153" t="s">
        <v>35</v>
      </c>
      <c r="O153">
        <v>0.77547107088884504</v>
      </c>
      <c r="P153" t="s">
        <v>36</v>
      </c>
    </row>
    <row r="154" spans="1:16">
      <c r="A154">
        <v>153</v>
      </c>
      <c r="B154" t="s">
        <v>200</v>
      </c>
      <c r="C154">
        <v>106</v>
      </c>
      <c r="D154">
        <v>157</v>
      </c>
      <c r="E154">
        <v>95.659028305485293</v>
      </c>
      <c r="F154">
        <v>0.67329243851850495</v>
      </c>
      <c r="G154">
        <v>7186.9034654064299</v>
      </c>
      <c r="H154">
        <v>809.28418854506106</v>
      </c>
      <c r="I154">
        <v>0.72190611747276701</v>
      </c>
      <c r="J154">
        <v>0.13789533195328799</v>
      </c>
      <c r="K154">
        <v>0.62801480615624405</v>
      </c>
      <c r="L154" t="s">
        <v>201</v>
      </c>
      <c r="M154" t="s">
        <v>34</v>
      </c>
      <c r="N154" t="s">
        <v>35</v>
      </c>
      <c r="O154">
        <v>0.70984753222394503</v>
      </c>
      <c r="P154" t="s">
        <v>36</v>
      </c>
    </row>
    <row r="155" spans="1:16">
      <c r="A155">
        <v>154</v>
      </c>
      <c r="B155" t="s">
        <v>202</v>
      </c>
      <c r="C155">
        <v>115</v>
      </c>
      <c r="D155">
        <v>78</v>
      </c>
      <c r="E155">
        <v>74.604437036044303</v>
      </c>
      <c r="F155">
        <v>1.48129997760194</v>
      </c>
      <c r="G155">
        <v>4371.3863965973496</v>
      </c>
      <c r="H155">
        <v>523.33509397434204</v>
      </c>
      <c r="I155">
        <v>0.82306805117633297</v>
      </c>
      <c r="J155">
        <v>0.200571555637654</v>
      </c>
      <c r="K155">
        <v>0.67088665343643805</v>
      </c>
      <c r="L155" t="s">
        <v>33</v>
      </c>
      <c r="M155" t="s">
        <v>34</v>
      </c>
      <c r="N155" t="s">
        <v>35</v>
      </c>
      <c r="O155">
        <v>0.91906322974355603</v>
      </c>
      <c r="P155" t="s">
        <v>36</v>
      </c>
    </row>
    <row r="156" spans="1:16">
      <c r="A156">
        <v>155</v>
      </c>
      <c r="B156" t="s">
        <v>203</v>
      </c>
      <c r="C156">
        <v>157</v>
      </c>
      <c r="D156">
        <v>111</v>
      </c>
      <c r="E156">
        <v>108.00343148905699</v>
      </c>
      <c r="F156">
        <v>1.41993607848184</v>
      </c>
      <c r="G156">
        <v>9161.4663255198502</v>
      </c>
      <c r="H156">
        <v>551.64328013389002</v>
      </c>
      <c r="I156">
        <v>0.696460623991635</v>
      </c>
      <c r="J156">
        <v>0.37831903157848101</v>
      </c>
      <c r="K156">
        <v>0.75403077826438003</v>
      </c>
      <c r="L156" t="s">
        <v>33</v>
      </c>
      <c r="M156" t="s">
        <v>34</v>
      </c>
      <c r="N156" t="s">
        <v>35</v>
      </c>
      <c r="O156">
        <v>0.91803749337390705</v>
      </c>
      <c r="P156" t="s">
        <v>36</v>
      </c>
    </row>
    <row r="157" spans="1:16">
      <c r="A157">
        <v>156</v>
      </c>
      <c r="B157" t="s">
        <v>204</v>
      </c>
      <c r="C157">
        <v>113</v>
      </c>
      <c r="D157">
        <v>59</v>
      </c>
      <c r="E157">
        <v>67.204689686507095</v>
      </c>
      <c r="F157">
        <v>1.9110830195387301</v>
      </c>
      <c r="G157">
        <v>3547.2274911153099</v>
      </c>
      <c r="H157">
        <v>459.163833402965</v>
      </c>
      <c r="I157">
        <v>0.59785843805176297</v>
      </c>
      <c r="J157">
        <v>0.21142851505837401</v>
      </c>
      <c r="K157">
        <v>0.68485996326905396</v>
      </c>
      <c r="L157" t="s">
        <v>33</v>
      </c>
      <c r="M157" t="s">
        <v>34</v>
      </c>
      <c r="N157" t="s">
        <v>35</v>
      </c>
      <c r="O157">
        <v>0.90416296953541397</v>
      </c>
      <c r="P157" t="s">
        <v>36</v>
      </c>
    </row>
    <row r="158" spans="1:16">
      <c r="A158">
        <v>157</v>
      </c>
      <c r="B158" t="s">
        <v>205</v>
      </c>
      <c r="C158">
        <v>152</v>
      </c>
      <c r="D158">
        <v>99</v>
      </c>
      <c r="E158">
        <v>96.288039999195902</v>
      </c>
      <c r="F158">
        <v>1.54429181018754</v>
      </c>
      <c r="G158">
        <v>7281.73004461248</v>
      </c>
      <c r="H158">
        <v>1007.41453577477</v>
      </c>
      <c r="I158">
        <v>0.66659406464510196</v>
      </c>
      <c r="J158">
        <v>9.0162929188506394E-2</v>
      </c>
      <c r="K158">
        <v>0.62133952237821699</v>
      </c>
      <c r="L158" t="s">
        <v>144</v>
      </c>
      <c r="M158" t="s">
        <v>34</v>
      </c>
      <c r="N158" t="s">
        <v>35</v>
      </c>
      <c r="O158">
        <v>0.72491046656543201</v>
      </c>
      <c r="P158" t="s">
        <v>36</v>
      </c>
    </row>
    <row r="159" spans="1:16">
      <c r="A159">
        <v>158</v>
      </c>
      <c r="B159" t="s">
        <v>206</v>
      </c>
      <c r="C159">
        <v>72</v>
      </c>
      <c r="D159">
        <v>102</v>
      </c>
      <c r="E159">
        <v>69.302198932859795</v>
      </c>
      <c r="F159">
        <v>0.71153023490156198</v>
      </c>
      <c r="G159">
        <v>3772.1061969754301</v>
      </c>
      <c r="H159">
        <v>477.67852722613702</v>
      </c>
      <c r="I159">
        <v>0.748576783784762</v>
      </c>
      <c r="J159">
        <v>0.20774105686453401</v>
      </c>
      <c r="K159">
        <v>0.73468619731357099</v>
      </c>
      <c r="L159" t="s">
        <v>33</v>
      </c>
      <c r="M159" t="s">
        <v>34</v>
      </c>
      <c r="N159" t="s">
        <v>35</v>
      </c>
      <c r="O159">
        <v>0.91912516045190096</v>
      </c>
      <c r="P159" t="s">
        <v>36</v>
      </c>
    </row>
    <row r="160" spans="1:16">
      <c r="A160">
        <v>159</v>
      </c>
      <c r="B160" t="s">
        <v>207</v>
      </c>
      <c r="C160">
        <v>107</v>
      </c>
      <c r="D160">
        <v>142</v>
      </c>
      <c r="E160">
        <v>93.571896573544606</v>
      </c>
      <c r="F160">
        <v>0.757692307692308</v>
      </c>
      <c r="G160">
        <v>6876.7105644612502</v>
      </c>
      <c r="H160">
        <v>1369.8811542118101</v>
      </c>
      <c r="I160">
        <v>0.65930865727014198</v>
      </c>
      <c r="J160">
        <v>4.6049490302797702E-2</v>
      </c>
      <c r="K160">
        <v>0.48823908065384197</v>
      </c>
      <c r="L160" t="s">
        <v>33</v>
      </c>
      <c r="M160" t="s">
        <v>34</v>
      </c>
      <c r="N160" t="s">
        <v>35</v>
      </c>
      <c r="O160">
        <v>0.94057973141670004</v>
      </c>
      <c r="P160" t="s">
        <v>36</v>
      </c>
    </row>
    <row r="161" spans="1:16">
      <c r="A161">
        <v>160</v>
      </c>
      <c r="B161" t="s">
        <v>208</v>
      </c>
      <c r="C161">
        <v>95</v>
      </c>
      <c r="D161">
        <v>138</v>
      </c>
      <c r="E161">
        <v>93.618400970922494</v>
      </c>
      <c r="F161">
        <v>0.68764716822674399</v>
      </c>
      <c r="G161">
        <v>6883.5475905482099</v>
      </c>
      <c r="H161">
        <v>725.07882399963296</v>
      </c>
      <c r="I161">
        <v>0.71107956636718195</v>
      </c>
      <c r="J161">
        <v>0.16453251639698099</v>
      </c>
      <c r="K161">
        <v>0.72639866994996605</v>
      </c>
      <c r="L161" t="s">
        <v>33</v>
      </c>
      <c r="M161" t="s">
        <v>34</v>
      </c>
      <c r="N161" t="s">
        <v>35</v>
      </c>
      <c r="O161">
        <v>0.93948865002898396</v>
      </c>
      <c r="P161" t="s">
        <v>36</v>
      </c>
    </row>
    <row r="162" spans="1:16">
      <c r="A162">
        <v>161</v>
      </c>
      <c r="B162" t="s">
        <v>209</v>
      </c>
      <c r="C162">
        <v>137</v>
      </c>
      <c r="D162">
        <v>78</v>
      </c>
      <c r="E162">
        <v>94.493630983994805</v>
      </c>
      <c r="F162">
        <v>1.7552449164213</v>
      </c>
      <c r="G162">
        <v>7012.8565621928201</v>
      </c>
      <c r="H162">
        <v>964.38110920273698</v>
      </c>
      <c r="I162">
        <v>0.70455250671846303</v>
      </c>
      <c r="J162">
        <v>9.4756155276003604E-2</v>
      </c>
      <c r="K162">
        <v>0.71334835129945695</v>
      </c>
      <c r="L162" t="s">
        <v>33</v>
      </c>
      <c r="M162" t="s">
        <v>34</v>
      </c>
      <c r="N162" t="s">
        <v>35</v>
      </c>
      <c r="O162">
        <v>0.69195242449837302</v>
      </c>
      <c r="P162" t="s">
        <v>36</v>
      </c>
    </row>
    <row r="163" spans="1:16">
      <c r="A163">
        <v>162</v>
      </c>
      <c r="B163" t="s">
        <v>210</v>
      </c>
      <c r="C163">
        <v>100</v>
      </c>
      <c r="D163">
        <v>199</v>
      </c>
      <c r="E163">
        <v>109.864865548842</v>
      </c>
      <c r="F163">
        <v>0.50417793245612297</v>
      </c>
      <c r="G163">
        <v>9479.9825625708909</v>
      </c>
      <c r="H163">
        <v>820.15871342555295</v>
      </c>
      <c r="I163">
        <v>0.78330005002380398</v>
      </c>
      <c r="J163">
        <v>0.177101237586933</v>
      </c>
      <c r="K163">
        <v>0.64072890924798598</v>
      </c>
      <c r="L163" t="s">
        <v>33</v>
      </c>
      <c r="M163" t="s">
        <v>34</v>
      </c>
      <c r="N163" t="s">
        <v>35</v>
      </c>
      <c r="O163">
        <v>0.91405234434314897</v>
      </c>
      <c r="P163" t="s">
        <v>36</v>
      </c>
    </row>
    <row r="164" spans="1:16">
      <c r="A164">
        <v>163</v>
      </c>
      <c r="B164" t="s">
        <v>211</v>
      </c>
      <c r="C164">
        <v>65</v>
      </c>
      <c r="D164">
        <v>93</v>
      </c>
      <c r="E164">
        <v>74.343979159600494</v>
      </c>
      <c r="F164">
        <v>0.69871299124405495</v>
      </c>
      <c r="G164">
        <v>4340.9170412098301</v>
      </c>
      <c r="H164">
        <v>331.69255823943899</v>
      </c>
      <c r="I164">
        <v>0.70721459047492197</v>
      </c>
      <c r="J164">
        <v>0.49581526590107999</v>
      </c>
      <c r="K164">
        <v>0.88430677930178303</v>
      </c>
      <c r="L164" t="s">
        <v>33</v>
      </c>
      <c r="M164" t="s">
        <v>34</v>
      </c>
      <c r="N164" t="s">
        <v>35</v>
      </c>
      <c r="O164">
        <v>0.76961111516408198</v>
      </c>
      <c r="P164" t="s">
        <v>36</v>
      </c>
    </row>
    <row r="165" spans="1:16">
      <c r="A165">
        <v>164</v>
      </c>
      <c r="B165" t="s">
        <v>212</v>
      </c>
      <c r="C165">
        <v>181</v>
      </c>
      <c r="D165">
        <v>69</v>
      </c>
      <c r="E165">
        <v>93.346122943285096</v>
      </c>
      <c r="F165">
        <v>2.6072074104154201</v>
      </c>
      <c r="G165">
        <v>6843.5658510396997</v>
      </c>
      <c r="H165">
        <v>661.04925754961801</v>
      </c>
      <c r="I165">
        <v>0.75555768035626902</v>
      </c>
      <c r="J165">
        <v>0.196799808262696</v>
      </c>
      <c r="K165">
        <v>0.70647804339153697</v>
      </c>
      <c r="L165" t="s">
        <v>33</v>
      </c>
      <c r="M165" t="s">
        <v>34</v>
      </c>
      <c r="N165" t="s">
        <v>35</v>
      </c>
      <c r="O165">
        <v>0.88549816429846395</v>
      </c>
      <c r="P165" t="s">
        <v>36</v>
      </c>
    </row>
    <row r="166" spans="1:16">
      <c r="A166">
        <v>165</v>
      </c>
      <c r="B166" t="s">
        <v>213</v>
      </c>
      <c r="C166">
        <v>132</v>
      </c>
      <c r="D166">
        <v>103</v>
      </c>
      <c r="E166">
        <v>101.433506848579</v>
      </c>
      <c r="F166">
        <v>1.2872340425531901</v>
      </c>
      <c r="G166">
        <v>8080.7703107750503</v>
      </c>
      <c r="H166">
        <v>868.541844973357</v>
      </c>
      <c r="I166">
        <v>0.71228694391082903</v>
      </c>
      <c r="J166">
        <v>0.13461118043201301</v>
      </c>
      <c r="K166">
        <v>0.72701014936549702</v>
      </c>
      <c r="L166" t="s">
        <v>33</v>
      </c>
      <c r="M166" t="s">
        <v>34</v>
      </c>
      <c r="N166" t="s">
        <v>35</v>
      </c>
      <c r="O166">
        <v>0.938499898906618</v>
      </c>
      <c r="P166" t="s">
        <v>36</v>
      </c>
    </row>
    <row r="167" spans="1:16">
      <c r="A167">
        <v>166</v>
      </c>
      <c r="B167" t="s">
        <v>214</v>
      </c>
      <c r="C167">
        <v>55</v>
      </c>
      <c r="D167">
        <v>68</v>
      </c>
      <c r="E167">
        <v>57.859367053239403</v>
      </c>
      <c r="F167">
        <v>0.81059532509009602</v>
      </c>
      <c r="G167">
        <v>2629.2824234404502</v>
      </c>
      <c r="H167">
        <v>269.91195379816998</v>
      </c>
      <c r="I167">
        <v>0.77436806225270804</v>
      </c>
      <c r="J167">
        <v>0.45352670467780998</v>
      </c>
      <c r="K167">
        <v>0.86436040261897795</v>
      </c>
      <c r="L167" t="s">
        <v>83</v>
      </c>
      <c r="M167" t="s">
        <v>34</v>
      </c>
      <c r="N167" t="s">
        <v>35</v>
      </c>
      <c r="O167">
        <v>0.74880378341107601</v>
      </c>
      <c r="P167" t="s">
        <v>36</v>
      </c>
    </row>
    <row r="168" spans="1:16">
      <c r="A168">
        <v>167</v>
      </c>
      <c r="B168" t="s">
        <v>215</v>
      </c>
      <c r="C168">
        <v>162</v>
      </c>
      <c r="D168">
        <v>106</v>
      </c>
      <c r="E168">
        <v>87.792275149809299</v>
      </c>
      <c r="F168">
        <v>1.5373571625859299</v>
      </c>
      <c r="G168">
        <v>6053.4434449905502</v>
      </c>
      <c r="H168">
        <v>934.41637231909704</v>
      </c>
      <c r="I168">
        <v>0.53854831427372696</v>
      </c>
      <c r="J168">
        <v>8.7122729823217004E-2</v>
      </c>
      <c r="K168">
        <v>0.48094658904384602</v>
      </c>
      <c r="L168" t="s">
        <v>33</v>
      </c>
      <c r="M168" t="s">
        <v>34</v>
      </c>
      <c r="N168" t="s">
        <v>35</v>
      </c>
      <c r="O168">
        <v>0.91685233552476597</v>
      </c>
      <c r="P168" t="s">
        <v>36</v>
      </c>
    </row>
    <row r="169" spans="1:16">
      <c r="A169">
        <v>168</v>
      </c>
      <c r="B169" t="s">
        <v>216</v>
      </c>
      <c r="C169">
        <v>98</v>
      </c>
      <c r="D169">
        <v>183</v>
      </c>
      <c r="E169">
        <v>82.786591609014806</v>
      </c>
      <c r="F169">
        <v>0.53759063356225001</v>
      </c>
      <c r="G169">
        <v>5382.8203644612504</v>
      </c>
      <c r="H169">
        <v>779.79705445227398</v>
      </c>
      <c r="I169">
        <v>0.60048658948485201</v>
      </c>
      <c r="J169">
        <v>0.111238870389521</v>
      </c>
      <c r="K169">
        <v>0.44589453466467999</v>
      </c>
      <c r="L169" t="s">
        <v>33</v>
      </c>
      <c r="M169" t="s">
        <v>34</v>
      </c>
      <c r="N169" t="s">
        <v>35</v>
      </c>
      <c r="O169">
        <v>0.93648311421017705</v>
      </c>
      <c r="P169" t="s">
        <v>36</v>
      </c>
    </row>
    <row r="170" spans="1:16">
      <c r="A170">
        <v>169</v>
      </c>
      <c r="B170" t="s">
        <v>217</v>
      </c>
      <c r="C170">
        <v>200</v>
      </c>
      <c r="D170">
        <v>71</v>
      </c>
      <c r="E170">
        <v>101.128007462714</v>
      </c>
      <c r="F170">
        <v>2.8148146411324402</v>
      </c>
      <c r="G170">
        <v>8032.1679731569002</v>
      </c>
      <c r="H170">
        <v>630.98043549859005</v>
      </c>
      <c r="I170">
        <v>0.58234569358374999</v>
      </c>
      <c r="J170">
        <v>0.25351920198396799</v>
      </c>
      <c r="K170">
        <v>0.68101166922902401</v>
      </c>
      <c r="L170" t="s">
        <v>33</v>
      </c>
      <c r="M170" t="s">
        <v>34</v>
      </c>
      <c r="N170" t="s">
        <v>35</v>
      </c>
      <c r="O170">
        <v>0.88588568518702904</v>
      </c>
      <c r="P170" t="s">
        <v>36</v>
      </c>
    </row>
    <row r="171" spans="1:16">
      <c r="A171">
        <v>170</v>
      </c>
      <c r="B171" t="s">
        <v>218</v>
      </c>
      <c r="C171">
        <v>73</v>
      </c>
      <c r="D171">
        <v>114</v>
      </c>
      <c r="E171">
        <v>78.376166872309994</v>
      </c>
      <c r="F171">
        <v>0.64384421127230995</v>
      </c>
      <c r="G171">
        <v>4824.5623213610597</v>
      </c>
      <c r="H171">
        <v>418.28857891497398</v>
      </c>
      <c r="I171">
        <v>0.78075363290473399</v>
      </c>
      <c r="J171">
        <v>0.34650999922597903</v>
      </c>
      <c r="K171">
        <v>0.835048363860877</v>
      </c>
      <c r="L171" t="s">
        <v>33</v>
      </c>
      <c r="M171" t="s">
        <v>34</v>
      </c>
      <c r="N171" t="s">
        <v>35</v>
      </c>
      <c r="O171">
        <v>0.94486218784254195</v>
      </c>
      <c r="P171" t="s">
        <v>36</v>
      </c>
    </row>
    <row r="172" spans="1:16">
      <c r="A172">
        <v>171</v>
      </c>
      <c r="B172" t="s">
        <v>219</v>
      </c>
      <c r="C172">
        <v>82</v>
      </c>
      <c r="D172">
        <v>47</v>
      </c>
      <c r="E172">
        <v>56.843053651139797</v>
      </c>
      <c r="F172">
        <v>1.75452371578446</v>
      </c>
      <c r="G172">
        <v>2537.7257262759899</v>
      </c>
      <c r="H172">
        <v>284.35218973781798</v>
      </c>
      <c r="I172">
        <v>0.57559074119048503</v>
      </c>
      <c r="J172">
        <v>0.39440407402723598</v>
      </c>
      <c r="K172">
        <v>0.81061577173242205</v>
      </c>
      <c r="L172" t="s">
        <v>33</v>
      </c>
      <c r="M172" t="s">
        <v>34</v>
      </c>
      <c r="N172" t="s">
        <v>35</v>
      </c>
      <c r="O172">
        <v>0.91833873087756301</v>
      </c>
      <c r="P172" t="s">
        <v>36</v>
      </c>
    </row>
    <row r="173" spans="1:16">
      <c r="A173">
        <v>172</v>
      </c>
      <c r="B173" t="s">
        <v>220</v>
      </c>
      <c r="C173">
        <v>58</v>
      </c>
      <c r="D173">
        <v>99</v>
      </c>
      <c r="E173">
        <v>70.229886084551495</v>
      </c>
      <c r="F173">
        <v>0.58193253622847796</v>
      </c>
      <c r="G173">
        <v>3873.7698022684299</v>
      </c>
      <c r="H173">
        <v>393.153781714128</v>
      </c>
      <c r="I173">
        <v>0.81474543773595298</v>
      </c>
      <c r="J173">
        <v>0.31493342653245399</v>
      </c>
      <c r="K173">
        <v>0.77088940814576001</v>
      </c>
      <c r="L173" t="s">
        <v>83</v>
      </c>
      <c r="M173" t="s">
        <v>34</v>
      </c>
      <c r="N173" t="s">
        <v>35</v>
      </c>
      <c r="O173">
        <v>0.68310663741074096</v>
      </c>
      <c r="P173" t="s">
        <v>36</v>
      </c>
    </row>
    <row r="174" spans="1:16">
      <c r="A174">
        <v>173</v>
      </c>
      <c r="B174" t="s">
        <v>221</v>
      </c>
      <c r="C174">
        <v>396</v>
      </c>
      <c r="D174">
        <v>106</v>
      </c>
      <c r="E174">
        <v>106.89866656791401</v>
      </c>
      <c r="F174">
        <v>3.7241160131195201</v>
      </c>
      <c r="G174">
        <v>8975</v>
      </c>
      <c r="H174">
        <v>1097.4011445045501</v>
      </c>
      <c r="I174">
        <v>0.84856434781748002</v>
      </c>
      <c r="J174">
        <v>9.3651233876996601E-2</v>
      </c>
      <c r="K174">
        <v>0.29904206580591403</v>
      </c>
      <c r="L174" t="s">
        <v>45</v>
      </c>
      <c r="M174" t="s">
        <v>34</v>
      </c>
      <c r="N174" t="s">
        <v>35</v>
      </c>
      <c r="O174">
        <v>0.70909187377002103</v>
      </c>
      <c r="P174" t="s">
        <v>36</v>
      </c>
    </row>
    <row r="175" spans="1:16">
      <c r="A175">
        <v>174</v>
      </c>
      <c r="B175" t="s">
        <v>222</v>
      </c>
      <c r="C175">
        <v>118</v>
      </c>
      <c r="D175">
        <v>173</v>
      </c>
      <c r="E175">
        <v>119.34873908148499</v>
      </c>
      <c r="F175">
        <v>0.68454258675078905</v>
      </c>
      <c r="G175">
        <v>11187.3068812854</v>
      </c>
      <c r="H175">
        <v>630.98043549859005</v>
      </c>
      <c r="I175">
        <v>0.62033038718282896</v>
      </c>
      <c r="J175">
        <v>0.35310480587204601</v>
      </c>
      <c r="K175">
        <v>0.71825677042578795</v>
      </c>
      <c r="L175" t="s">
        <v>33</v>
      </c>
      <c r="M175" t="s">
        <v>34</v>
      </c>
      <c r="N175" t="s">
        <v>35</v>
      </c>
      <c r="O175">
        <v>0.94544018823604803</v>
      </c>
      <c r="P175" t="s">
        <v>36</v>
      </c>
    </row>
    <row r="176" spans="1:16">
      <c r="A176">
        <v>175</v>
      </c>
      <c r="B176" t="s">
        <v>223</v>
      </c>
      <c r="C176">
        <v>90</v>
      </c>
      <c r="D176">
        <v>163</v>
      </c>
      <c r="E176">
        <v>85.823720230714798</v>
      </c>
      <c r="F176">
        <v>0.55283111364889903</v>
      </c>
      <c r="G176">
        <v>5785.0158555765602</v>
      </c>
      <c r="H176">
        <v>1012.04085867094</v>
      </c>
      <c r="I176">
        <v>0.63807551851148703</v>
      </c>
      <c r="J176">
        <v>7.0977112076976906E-2</v>
      </c>
      <c r="K176">
        <v>0.52408908518029795</v>
      </c>
      <c r="L176" t="s">
        <v>33</v>
      </c>
      <c r="M176" t="s">
        <v>34</v>
      </c>
      <c r="N176" t="s">
        <v>35</v>
      </c>
      <c r="O176">
        <v>0.92656266050905201</v>
      </c>
      <c r="P176" t="s">
        <v>36</v>
      </c>
    </row>
    <row r="177" spans="1:16">
      <c r="A177">
        <v>176</v>
      </c>
      <c r="B177" t="s">
        <v>224</v>
      </c>
      <c r="C177">
        <v>95</v>
      </c>
      <c r="D177">
        <v>130</v>
      </c>
      <c r="E177">
        <v>84.670464821929201</v>
      </c>
      <c r="F177">
        <v>0.73157398860212497</v>
      </c>
      <c r="G177">
        <v>5630.5882446124797</v>
      </c>
      <c r="H177">
        <v>990.06777141622899</v>
      </c>
      <c r="I177">
        <v>0.63657174608004996</v>
      </c>
      <c r="J177">
        <v>7.2182810226705404E-2</v>
      </c>
      <c r="K177">
        <v>0.57696583865121298</v>
      </c>
      <c r="L177" t="s">
        <v>75</v>
      </c>
      <c r="M177" t="s">
        <v>34</v>
      </c>
      <c r="N177" t="s">
        <v>35</v>
      </c>
      <c r="O177">
        <v>0.82114968382931697</v>
      </c>
      <c r="P177" t="s">
        <v>36</v>
      </c>
    </row>
    <row r="178" spans="1:16">
      <c r="A178">
        <v>177</v>
      </c>
      <c r="B178" t="s">
        <v>225</v>
      </c>
      <c r="C178">
        <v>198</v>
      </c>
      <c r="D178">
        <v>49</v>
      </c>
      <c r="E178">
        <v>77.461756067774004</v>
      </c>
      <c r="F178">
        <v>4.0670153375454499</v>
      </c>
      <c r="G178">
        <v>4712.6431769376204</v>
      </c>
      <c r="H178">
        <v>592.93583097758506</v>
      </c>
      <c r="I178">
        <v>0.52126183552822902</v>
      </c>
      <c r="J178">
        <v>0.16844535171053401</v>
      </c>
      <c r="K178">
        <v>0.66535862676795199</v>
      </c>
      <c r="L178" t="s">
        <v>52</v>
      </c>
      <c r="M178" t="s">
        <v>34</v>
      </c>
      <c r="N178" t="s">
        <v>35</v>
      </c>
      <c r="O178">
        <v>0.69029198268857495</v>
      </c>
      <c r="P178" t="s">
        <v>36</v>
      </c>
    </row>
    <row r="179" spans="1:16">
      <c r="A179">
        <v>178</v>
      </c>
      <c r="B179" t="s">
        <v>226</v>
      </c>
      <c r="C179">
        <v>179</v>
      </c>
      <c r="D179">
        <v>187</v>
      </c>
      <c r="E179">
        <v>129.10219386282901</v>
      </c>
      <c r="F179">
        <v>0.96070854214833201</v>
      </c>
      <c r="G179">
        <v>13090.5268604915</v>
      </c>
      <c r="H179">
        <v>1017.21192111534</v>
      </c>
      <c r="I179">
        <v>0.75468945682189104</v>
      </c>
      <c r="J179">
        <v>0.158980591239126</v>
      </c>
      <c r="K179">
        <v>0.57395894428152505</v>
      </c>
      <c r="L179" t="s">
        <v>33</v>
      </c>
      <c r="M179" t="s">
        <v>34</v>
      </c>
      <c r="N179" t="s">
        <v>35</v>
      </c>
      <c r="O179">
        <v>0.95727514093802402</v>
      </c>
      <c r="P179" t="s">
        <v>36</v>
      </c>
    </row>
    <row r="180" spans="1:16">
      <c r="A180">
        <v>179</v>
      </c>
      <c r="B180" t="s">
        <v>227</v>
      </c>
      <c r="C180">
        <v>117</v>
      </c>
      <c r="D180">
        <v>132</v>
      </c>
      <c r="E180">
        <v>92.607280197174106</v>
      </c>
      <c r="F180">
        <v>0.88065843621399198</v>
      </c>
      <c r="G180">
        <v>6735.6597436673001</v>
      </c>
      <c r="H180">
        <v>769.71855764306099</v>
      </c>
      <c r="I180">
        <v>0.47181331996484299</v>
      </c>
      <c r="J180">
        <v>0.14286508030631401</v>
      </c>
      <c r="K180">
        <v>0.63843455475254596</v>
      </c>
      <c r="L180" t="s">
        <v>33</v>
      </c>
      <c r="M180" t="s">
        <v>34</v>
      </c>
      <c r="N180" t="s">
        <v>35</v>
      </c>
      <c r="O180">
        <v>0.94555489358172795</v>
      </c>
      <c r="P180" t="s">
        <v>36</v>
      </c>
    </row>
    <row r="181" spans="1:16">
      <c r="A181">
        <v>180</v>
      </c>
      <c r="B181" t="s">
        <v>228</v>
      </c>
      <c r="C181">
        <v>88</v>
      </c>
      <c r="D181">
        <v>152</v>
      </c>
      <c r="E181">
        <v>84.435458254418606</v>
      </c>
      <c r="F181">
        <v>0.579136708022019</v>
      </c>
      <c r="G181">
        <v>5599.3757342155004</v>
      </c>
      <c r="H181">
        <v>913.34986322351097</v>
      </c>
      <c r="I181">
        <v>0.69674961345211495</v>
      </c>
      <c r="J181">
        <v>8.4348067858479897E-2</v>
      </c>
      <c r="K181">
        <v>0.57436233629613798</v>
      </c>
      <c r="L181" t="s">
        <v>33</v>
      </c>
      <c r="M181" t="s">
        <v>34</v>
      </c>
      <c r="N181" t="s">
        <v>35</v>
      </c>
      <c r="O181">
        <v>0.93877696977019798</v>
      </c>
      <c r="P181" t="s">
        <v>36</v>
      </c>
    </row>
    <row r="182" spans="1:16">
      <c r="A182">
        <v>181</v>
      </c>
      <c r="B182" t="s">
        <v>229</v>
      </c>
      <c r="C182">
        <v>157</v>
      </c>
      <c r="D182">
        <v>127</v>
      </c>
      <c r="E182">
        <v>120.87623192208299</v>
      </c>
      <c r="F182">
        <v>1.23460818737931</v>
      </c>
      <c r="G182">
        <v>11475.502393950899</v>
      </c>
      <c r="H182">
        <v>674.54302960209202</v>
      </c>
      <c r="I182">
        <v>0.57918630538055604</v>
      </c>
      <c r="J182">
        <v>0.31692919987062801</v>
      </c>
      <c r="K182">
        <v>0.75691149366691501</v>
      </c>
      <c r="L182" t="s">
        <v>33</v>
      </c>
      <c r="M182" t="s">
        <v>34</v>
      </c>
      <c r="N182" t="s">
        <v>35</v>
      </c>
      <c r="O182">
        <v>0.85943227062947802</v>
      </c>
      <c r="P182" t="s">
        <v>36</v>
      </c>
    </row>
    <row r="183" spans="1:16">
      <c r="A183">
        <v>182</v>
      </c>
      <c r="B183" t="s">
        <v>230</v>
      </c>
      <c r="C183">
        <v>100</v>
      </c>
      <c r="D183">
        <v>56</v>
      </c>
      <c r="E183">
        <v>67.206097630564003</v>
      </c>
      <c r="F183">
        <v>1.7714286431706601</v>
      </c>
      <c r="G183">
        <v>3547.3761221171999</v>
      </c>
      <c r="H183">
        <v>352.91728915929798</v>
      </c>
      <c r="I183">
        <v>0.73428090321745298</v>
      </c>
      <c r="J183">
        <v>0.35790785761535998</v>
      </c>
      <c r="K183">
        <v>0.77072367358801297</v>
      </c>
      <c r="L183" t="s">
        <v>33</v>
      </c>
      <c r="M183" t="s">
        <v>34</v>
      </c>
      <c r="N183" t="s">
        <v>35</v>
      </c>
      <c r="O183">
        <v>0.93684295636437298</v>
      </c>
      <c r="P183" t="s">
        <v>36</v>
      </c>
    </row>
    <row r="184" spans="1:16">
      <c r="A184">
        <v>183</v>
      </c>
      <c r="B184" t="s">
        <v>231</v>
      </c>
      <c r="C184">
        <v>130</v>
      </c>
      <c r="D184">
        <v>61</v>
      </c>
      <c r="E184">
        <v>74.262478370005695</v>
      </c>
      <c r="F184">
        <v>2.1473313982093698</v>
      </c>
      <c r="G184">
        <v>4331.4046570888504</v>
      </c>
      <c r="H184">
        <v>405.09376712197798</v>
      </c>
      <c r="I184">
        <v>0.66541991303619996</v>
      </c>
      <c r="J184">
        <v>0.331686275012122</v>
      </c>
      <c r="K184">
        <v>0.82829775743967304</v>
      </c>
      <c r="L184" t="s">
        <v>33</v>
      </c>
      <c r="M184" t="s">
        <v>34</v>
      </c>
      <c r="N184" t="s">
        <v>35</v>
      </c>
      <c r="O184">
        <v>0.92846700894366796</v>
      </c>
      <c r="P184" t="s">
        <v>36</v>
      </c>
    </row>
    <row r="185" spans="1:16">
      <c r="A185">
        <v>184</v>
      </c>
      <c r="B185" t="s">
        <v>232</v>
      </c>
      <c r="C185">
        <v>86</v>
      </c>
      <c r="D185">
        <v>177</v>
      </c>
      <c r="E185">
        <v>100.32860116490301</v>
      </c>
      <c r="F185">
        <v>0.48668485465073102</v>
      </c>
      <c r="G185">
        <v>7905.68299054821</v>
      </c>
      <c r="H185">
        <v>832.260813661866</v>
      </c>
      <c r="I185">
        <v>0.60152400417912599</v>
      </c>
      <c r="J185">
        <v>0.14342681890998599</v>
      </c>
      <c r="K185">
        <v>0.68482921113957995</v>
      </c>
      <c r="L185" t="s">
        <v>33</v>
      </c>
      <c r="M185" t="s">
        <v>34</v>
      </c>
      <c r="N185" t="s">
        <v>35</v>
      </c>
      <c r="O185">
        <v>0.939302215939395</v>
      </c>
      <c r="P185" t="s">
        <v>36</v>
      </c>
    </row>
    <row r="186" spans="1:16">
      <c r="A186">
        <v>185</v>
      </c>
      <c r="B186" t="s">
        <v>233</v>
      </c>
      <c r="C186">
        <v>106</v>
      </c>
      <c r="D186">
        <v>68</v>
      </c>
      <c r="E186">
        <v>77.554536367391407</v>
      </c>
      <c r="F186">
        <v>1.5612471261160199</v>
      </c>
      <c r="G186">
        <v>4723.9391330812896</v>
      </c>
      <c r="H186">
        <v>358.898630603811</v>
      </c>
      <c r="I186">
        <v>0.60086728442086901</v>
      </c>
      <c r="J186">
        <v>0.46086163334316999</v>
      </c>
      <c r="K186">
        <v>0.90259279243461199</v>
      </c>
      <c r="L186" t="s">
        <v>33</v>
      </c>
      <c r="M186" t="s">
        <v>34</v>
      </c>
      <c r="N186" t="s">
        <v>35</v>
      </c>
      <c r="O186">
        <v>0.85818327272871198</v>
      </c>
      <c r="P186" t="s">
        <v>36</v>
      </c>
    </row>
    <row r="187" spans="1:16">
      <c r="A187">
        <v>186</v>
      </c>
      <c r="B187" t="s">
        <v>234</v>
      </c>
      <c r="C187">
        <v>82</v>
      </c>
      <c r="D187">
        <v>93</v>
      </c>
      <c r="E187">
        <v>69.2694228940111</v>
      </c>
      <c r="F187">
        <v>0.88823529411764701</v>
      </c>
      <c r="G187">
        <v>3768.5390529300598</v>
      </c>
      <c r="H187">
        <v>658.67189666219394</v>
      </c>
      <c r="I187">
        <v>0.63308879498283899</v>
      </c>
      <c r="J187">
        <v>0.109155246901807</v>
      </c>
      <c r="K187">
        <v>0.62735055423594599</v>
      </c>
      <c r="L187" t="s">
        <v>75</v>
      </c>
      <c r="M187" t="s">
        <v>34</v>
      </c>
      <c r="N187" t="s">
        <v>35</v>
      </c>
      <c r="O187">
        <v>0.82401531060418298</v>
      </c>
      <c r="P187" t="s">
        <v>36</v>
      </c>
    </row>
    <row r="188" spans="1:16">
      <c r="A188">
        <v>187</v>
      </c>
      <c r="B188" t="s">
        <v>235</v>
      </c>
      <c r="C188">
        <v>49</v>
      </c>
      <c r="D188">
        <v>69</v>
      </c>
      <c r="E188">
        <v>53.830166383641</v>
      </c>
      <c r="F188">
        <v>0.71428571428571397</v>
      </c>
      <c r="G188">
        <v>2275.8379009451801</v>
      </c>
      <c r="H188">
        <v>238.850612353657</v>
      </c>
      <c r="I188">
        <v>0.80079120859706598</v>
      </c>
      <c r="J188">
        <v>0.50130088538889805</v>
      </c>
      <c r="K188">
        <v>0.88273953649256298</v>
      </c>
      <c r="L188" t="s">
        <v>45</v>
      </c>
      <c r="M188" t="s">
        <v>34</v>
      </c>
      <c r="N188" t="s">
        <v>35</v>
      </c>
      <c r="O188">
        <v>0.65960197846226198</v>
      </c>
      <c r="P188" t="s">
        <v>36</v>
      </c>
    </row>
    <row r="189" spans="1:16">
      <c r="A189">
        <v>188</v>
      </c>
      <c r="B189" t="s">
        <v>236</v>
      </c>
      <c r="C189">
        <v>107</v>
      </c>
      <c r="D189">
        <v>70</v>
      </c>
      <c r="E189">
        <v>58.935249392339699</v>
      </c>
      <c r="F189">
        <v>1.54363240751674</v>
      </c>
      <c r="G189">
        <v>2727.9734086956501</v>
      </c>
      <c r="H189">
        <v>439.38880396034398</v>
      </c>
      <c r="I189">
        <v>0.72647005238744899</v>
      </c>
      <c r="J189">
        <v>0.177562815890461</v>
      </c>
      <c r="K189">
        <v>0.49833021096358998</v>
      </c>
      <c r="L189" t="s">
        <v>33</v>
      </c>
      <c r="M189" t="s">
        <v>34</v>
      </c>
      <c r="N189" t="s">
        <v>35</v>
      </c>
      <c r="O189">
        <v>0.93651504286605303</v>
      </c>
      <c r="P189" t="s">
        <v>36</v>
      </c>
    </row>
    <row r="190" spans="1:16">
      <c r="A190">
        <v>189</v>
      </c>
      <c r="B190" t="s">
        <v>237</v>
      </c>
      <c r="C190">
        <v>67</v>
      </c>
      <c r="D190">
        <v>156</v>
      </c>
      <c r="E190">
        <v>79.620643520852198</v>
      </c>
      <c r="F190">
        <v>0.42965222739370901</v>
      </c>
      <c r="G190">
        <v>4978.9899323251402</v>
      </c>
      <c r="H190">
        <v>542.51124721184999</v>
      </c>
      <c r="I190">
        <v>0.83136968641377895</v>
      </c>
      <c r="J190">
        <v>0.21258549051991399</v>
      </c>
      <c r="K190">
        <v>0.67796644471878698</v>
      </c>
      <c r="L190" t="s">
        <v>75</v>
      </c>
      <c r="M190" t="s">
        <v>34</v>
      </c>
      <c r="N190" t="s">
        <v>35</v>
      </c>
      <c r="O190">
        <v>0.6695575785208</v>
      </c>
      <c r="P190" t="s">
        <v>36</v>
      </c>
    </row>
    <row r="191" spans="1:16">
      <c r="A191">
        <v>190</v>
      </c>
      <c r="B191" t="s">
        <v>238</v>
      </c>
      <c r="C191">
        <v>136</v>
      </c>
      <c r="D191">
        <v>187</v>
      </c>
      <c r="E191">
        <v>131.066136766835</v>
      </c>
      <c r="F191">
        <v>0.72466128403332997</v>
      </c>
      <c r="G191">
        <v>13491.830565595499</v>
      </c>
      <c r="H191">
        <v>768.23741699011396</v>
      </c>
      <c r="I191">
        <v>0.69904434271008697</v>
      </c>
      <c r="J191">
        <v>0.287269706895035</v>
      </c>
      <c r="K191">
        <v>0.75500291108708295</v>
      </c>
      <c r="L191" t="s">
        <v>33</v>
      </c>
      <c r="M191" t="s">
        <v>34</v>
      </c>
      <c r="N191" t="s">
        <v>35</v>
      </c>
      <c r="O191">
        <v>0.89486609490296698</v>
      </c>
      <c r="P191" t="s">
        <v>36</v>
      </c>
    </row>
    <row r="192" spans="1:16">
      <c r="A192">
        <v>191</v>
      </c>
      <c r="B192" t="s">
        <v>239</v>
      </c>
      <c r="C192">
        <v>88</v>
      </c>
      <c r="D192">
        <v>127</v>
      </c>
      <c r="E192">
        <v>102.10116930045</v>
      </c>
      <c r="F192">
        <v>0.69444442363118697</v>
      </c>
      <c r="G192">
        <v>8187.5</v>
      </c>
      <c r="H192">
        <v>366.776692271233</v>
      </c>
      <c r="I192">
        <v>0.77002835207199705</v>
      </c>
      <c r="J192">
        <v>0.76481732619240295</v>
      </c>
      <c r="K192">
        <v>0.93039772727272696</v>
      </c>
      <c r="L192" t="s">
        <v>33</v>
      </c>
      <c r="M192" t="s">
        <v>34</v>
      </c>
      <c r="N192" t="s">
        <v>35</v>
      </c>
      <c r="O192">
        <v>0.92203579096011801</v>
      </c>
      <c r="P192" t="s">
        <v>36</v>
      </c>
    </row>
    <row r="193" spans="1:16">
      <c r="A193">
        <v>192</v>
      </c>
      <c r="B193" t="s">
        <v>240</v>
      </c>
      <c r="C193">
        <v>88</v>
      </c>
      <c r="D193">
        <v>128</v>
      </c>
      <c r="E193">
        <v>89.9609431948127</v>
      </c>
      <c r="F193">
        <v>0.68803418803418803</v>
      </c>
      <c r="G193">
        <v>6356.2047958412104</v>
      </c>
      <c r="H193">
        <v>846.89754092372004</v>
      </c>
      <c r="I193">
        <v>0.700887669507264</v>
      </c>
      <c r="J193">
        <v>0.111364302673384</v>
      </c>
      <c r="K193">
        <v>0.694597843035343</v>
      </c>
      <c r="L193" t="s">
        <v>241</v>
      </c>
      <c r="M193" t="s">
        <v>34</v>
      </c>
      <c r="N193" t="s">
        <v>35</v>
      </c>
      <c r="O193">
        <v>0.81535065104487803</v>
      </c>
      <c r="P193" t="s">
        <v>36</v>
      </c>
    </row>
    <row r="194" spans="1:16">
      <c r="A194">
        <v>193</v>
      </c>
      <c r="B194" t="s">
        <v>242</v>
      </c>
      <c r="C194">
        <v>151</v>
      </c>
      <c r="D194">
        <v>133</v>
      </c>
      <c r="E194">
        <v>126.36129883879801</v>
      </c>
      <c r="F194">
        <v>1.1360295125318101</v>
      </c>
      <c r="G194">
        <v>12540.5921534972</v>
      </c>
      <c r="H194">
        <v>612.18786266700101</v>
      </c>
      <c r="I194">
        <v>0.57746447668576495</v>
      </c>
      <c r="J194">
        <v>0.42049271686928102</v>
      </c>
      <c r="K194">
        <v>0.79826295921360102</v>
      </c>
      <c r="L194" t="s">
        <v>33</v>
      </c>
      <c r="M194" t="s">
        <v>34</v>
      </c>
      <c r="N194" t="s">
        <v>35</v>
      </c>
      <c r="O194">
        <v>0.88503836469256802</v>
      </c>
      <c r="P194" t="s">
        <v>36</v>
      </c>
    </row>
    <row r="195" spans="1:16">
      <c r="A195">
        <v>194</v>
      </c>
      <c r="B195" t="s">
        <v>243</v>
      </c>
      <c r="C195">
        <v>98</v>
      </c>
      <c r="D195">
        <v>127</v>
      </c>
      <c r="E195">
        <v>80.623284915766106</v>
      </c>
      <c r="F195">
        <v>0.76824034334763902</v>
      </c>
      <c r="G195">
        <v>5105.1776529300596</v>
      </c>
      <c r="H195">
        <v>779.12619279944397</v>
      </c>
      <c r="I195">
        <v>0.65450690835499903</v>
      </c>
      <c r="J195">
        <v>0.105682995369835</v>
      </c>
      <c r="K195">
        <v>0.56553881616860102</v>
      </c>
      <c r="L195" t="s">
        <v>33</v>
      </c>
      <c r="M195" t="s">
        <v>34</v>
      </c>
      <c r="N195" t="s">
        <v>35</v>
      </c>
      <c r="O195">
        <v>0.91005247451818105</v>
      </c>
      <c r="P195" t="s">
        <v>36</v>
      </c>
    </row>
    <row r="196" spans="1:16">
      <c r="A196">
        <v>195</v>
      </c>
      <c r="B196" t="s">
        <v>244</v>
      </c>
      <c r="C196">
        <v>53</v>
      </c>
      <c r="D196">
        <v>64</v>
      </c>
      <c r="E196">
        <v>53.726357438493999</v>
      </c>
      <c r="F196">
        <v>0.83760683760683796</v>
      </c>
      <c r="G196">
        <v>2267.0686718336501</v>
      </c>
      <c r="H196">
        <v>281.58735544028502</v>
      </c>
      <c r="I196">
        <v>0.79078054818797505</v>
      </c>
      <c r="J196">
        <v>0.359292574202068</v>
      </c>
      <c r="K196">
        <v>0.838169029563688</v>
      </c>
      <c r="L196" t="s">
        <v>70</v>
      </c>
      <c r="M196" t="s">
        <v>34</v>
      </c>
      <c r="N196" t="s">
        <v>35</v>
      </c>
      <c r="O196">
        <v>0.70852995543896302</v>
      </c>
      <c r="P196" t="s">
        <v>36</v>
      </c>
    </row>
    <row r="197" spans="1:16">
      <c r="A197">
        <v>196</v>
      </c>
      <c r="B197" t="s">
        <v>245</v>
      </c>
      <c r="C197">
        <v>118</v>
      </c>
      <c r="D197">
        <v>83</v>
      </c>
      <c r="E197">
        <v>93.248760598206204</v>
      </c>
      <c r="F197">
        <v>1.4133504550635501</v>
      </c>
      <c r="G197">
        <v>6829.2972748582197</v>
      </c>
      <c r="H197">
        <v>424.68398425496099</v>
      </c>
      <c r="I197">
        <v>0.63230998913599601</v>
      </c>
      <c r="J197">
        <v>0.47583251517681602</v>
      </c>
      <c r="K197">
        <v>0.85188275209967201</v>
      </c>
      <c r="L197" t="s">
        <v>33</v>
      </c>
      <c r="M197" t="s">
        <v>34</v>
      </c>
      <c r="N197" t="s">
        <v>35</v>
      </c>
      <c r="O197">
        <v>0.89500073953062798</v>
      </c>
      <c r="P197" t="s">
        <v>36</v>
      </c>
    </row>
    <row r="198" spans="1:16">
      <c r="A198">
        <v>197</v>
      </c>
      <c r="B198" t="s">
        <v>246</v>
      </c>
      <c r="C198">
        <v>88</v>
      </c>
      <c r="D198">
        <v>107</v>
      </c>
      <c r="E198">
        <v>79.043363579691501</v>
      </c>
      <c r="F198">
        <v>0.81725888324873097</v>
      </c>
      <c r="G198">
        <v>4907.0525274102101</v>
      </c>
      <c r="H198">
        <v>779.55516816771603</v>
      </c>
      <c r="I198">
        <v>0.55117685874519395</v>
      </c>
      <c r="J198">
        <v>0.101469813165239</v>
      </c>
      <c r="K198">
        <v>0.60330019735399498</v>
      </c>
      <c r="L198" t="s">
        <v>33</v>
      </c>
      <c r="M198" t="s">
        <v>34</v>
      </c>
      <c r="N198" t="s">
        <v>35</v>
      </c>
      <c r="O198">
        <v>0.82632362831730299</v>
      </c>
      <c r="P198" t="s">
        <v>36</v>
      </c>
    </row>
    <row r="199" spans="1:16">
      <c r="A199">
        <v>198</v>
      </c>
      <c r="B199" t="s">
        <v>247</v>
      </c>
      <c r="C199">
        <v>67</v>
      </c>
      <c r="D199">
        <v>49</v>
      </c>
      <c r="E199">
        <v>54.292236372745798</v>
      </c>
      <c r="F199">
        <v>1.361386053323</v>
      </c>
      <c r="G199">
        <v>2315.07648544423</v>
      </c>
      <c r="H199">
        <v>272.80907997857003</v>
      </c>
      <c r="I199">
        <v>0.68401245346208095</v>
      </c>
      <c r="J199">
        <v>0.39089270532963</v>
      </c>
      <c r="K199">
        <v>0.86711573790569496</v>
      </c>
      <c r="L199" t="s">
        <v>33</v>
      </c>
      <c r="M199" t="s">
        <v>34</v>
      </c>
      <c r="N199" t="s">
        <v>35</v>
      </c>
      <c r="O199">
        <v>0.89535038693907398</v>
      </c>
      <c r="P199" t="s">
        <v>36</v>
      </c>
    </row>
    <row r="200" spans="1:16">
      <c r="A200">
        <v>199</v>
      </c>
      <c r="B200" t="s">
        <v>248</v>
      </c>
      <c r="C200">
        <v>71</v>
      </c>
      <c r="D200">
        <v>102</v>
      </c>
      <c r="E200">
        <v>54.898833635763502</v>
      </c>
      <c r="F200">
        <v>0.69085726858947005</v>
      </c>
      <c r="G200">
        <v>2367.09733610586</v>
      </c>
      <c r="H200">
        <v>601.75950140165298</v>
      </c>
      <c r="I200">
        <v>0.74148698194585805</v>
      </c>
      <c r="J200">
        <v>8.2144798423976595E-2</v>
      </c>
      <c r="K200">
        <v>0.48323573140759202</v>
      </c>
      <c r="L200" t="s">
        <v>178</v>
      </c>
      <c r="M200" t="s">
        <v>34</v>
      </c>
      <c r="N200" t="s">
        <v>35</v>
      </c>
      <c r="O200">
        <v>0.65869804686738698</v>
      </c>
      <c r="P200" t="s">
        <v>36</v>
      </c>
    </row>
    <row r="201" spans="1:16">
      <c r="A201">
        <v>200</v>
      </c>
      <c r="B201" t="s">
        <v>249</v>
      </c>
      <c r="C201">
        <v>112</v>
      </c>
      <c r="D201">
        <v>60</v>
      </c>
      <c r="E201">
        <v>72.486745428348101</v>
      </c>
      <c r="F201">
        <v>1.8727272550724701</v>
      </c>
      <c r="G201">
        <v>4126.7397674858203</v>
      </c>
      <c r="H201">
        <v>374.33300216705902</v>
      </c>
      <c r="I201">
        <v>0.77471692536277703</v>
      </c>
      <c r="J201">
        <v>0.370084343418002</v>
      </c>
      <c r="K201">
        <v>0.85731488914963305</v>
      </c>
      <c r="L201" t="s">
        <v>83</v>
      </c>
      <c r="M201" t="s">
        <v>34</v>
      </c>
      <c r="N201" t="s">
        <v>35</v>
      </c>
      <c r="O201">
        <v>0.70886370463043502</v>
      </c>
      <c r="P201" t="s">
        <v>36</v>
      </c>
    </row>
    <row r="202" spans="1:16">
      <c r="A202">
        <v>201</v>
      </c>
      <c r="B202" t="s">
        <v>250</v>
      </c>
      <c r="C202">
        <v>121</v>
      </c>
      <c r="D202">
        <v>94</v>
      </c>
      <c r="E202">
        <v>99.4124255674745</v>
      </c>
      <c r="F202">
        <v>1.29161208588223</v>
      </c>
      <c r="G202">
        <v>7761.9568117202298</v>
      </c>
      <c r="H202">
        <v>464.00772887240299</v>
      </c>
      <c r="I202">
        <v>0.57029248103484498</v>
      </c>
      <c r="J202">
        <v>0.45303385397106199</v>
      </c>
      <c r="K202">
        <v>0.83178835372069304</v>
      </c>
      <c r="L202" t="s">
        <v>33</v>
      </c>
      <c r="M202" t="s">
        <v>34</v>
      </c>
      <c r="N202" t="s">
        <v>35</v>
      </c>
      <c r="O202">
        <v>0.92725288400817796</v>
      </c>
      <c r="P202" t="s">
        <v>36</v>
      </c>
    </row>
    <row r="203" spans="1:16">
      <c r="A203">
        <v>202</v>
      </c>
      <c r="B203" t="s">
        <v>251</v>
      </c>
      <c r="C203">
        <v>122</v>
      </c>
      <c r="D203">
        <v>103</v>
      </c>
      <c r="E203">
        <v>88.239495746286295</v>
      </c>
      <c r="F203">
        <v>1.1914893927861301</v>
      </c>
      <c r="G203">
        <v>6115.2739417769399</v>
      </c>
      <c r="H203">
        <v>1148.9385734678399</v>
      </c>
      <c r="I203">
        <v>0.68744716870427103</v>
      </c>
      <c r="J203">
        <v>5.82146324779989E-2</v>
      </c>
      <c r="K203">
        <v>0.56134031870770595</v>
      </c>
      <c r="L203" t="s">
        <v>33</v>
      </c>
      <c r="M203" t="s">
        <v>34</v>
      </c>
      <c r="N203" t="s">
        <v>35</v>
      </c>
      <c r="O203">
        <v>0.84377806810004097</v>
      </c>
      <c r="P203" t="s">
        <v>36</v>
      </c>
    </row>
    <row r="204" spans="1:16">
      <c r="A204">
        <v>203</v>
      </c>
      <c r="B204" t="s">
        <v>252</v>
      </c>
      <c r="C204">
        <v>91</v>
      </c>
      <c r="D204">
        <v>118</v>
      </c>
      <c r="E204">
        <v>100.371848133413</v>
      </c>
      <c r="F204">
        <v>0.77011500840192104</v>
      </c>
      <c r="G204">
        <v>7912.5</v>
      </c>
      <c r="H204">
        <v>400.91882765293099</v>
      </c>
      <c r="I204">
        <v>0.73898791017262599</v>
      </c>
      <c r="J204">
        <v>0.61860109376767003</v>
      </c>
      <c r="K204">
        <v>0.86831275720164602</v>
      </c>
      <c r="L204" t="s">
        <v>132</v>
      </c>
      <c r="M204" t="s">
        <v>34</v>
      </c>
      <c r="N204" t="s">
        <v>35</v>
      </c>
      <c r="O204">
        <v>0.88853581149721494</v>
      </c>
      <c r="P204" t="s">
        <v>36</v>
      </c>
    </row>
    <row r="205" spans="1:16">
      <c r="A205">
        <v>204</v>
      </c>
      <c r="B205" t="s">
        <v>253</v>
      </c>
      <c r="C205">
        <v>95</v>
      </c>
      <c r="D205">
        <v>86</v>
      </c>
      <c r="E205">
        <v>61.634903714758799</v>
      </c>
      <c r="F205">
        <v>1.09718444204147</v>
      </c>
      <c r="G205">
        <v>2983.61873194707</v>
      </c>
      <c r="H205">
        <v>499.88409852691302</v>
      </c>
      <c r="I205">
        <v>0.69949077518889002</v>
      </c>
      <c r="J205">
        <v>0.150042587595898</v>
      </c>
      <c r="K205">
        <v>0.47529300343317199</v>
      </c>
      <c r="L205" t="s">
        <v>75</v>
      </c>
      <c r="M205" t="s">
        <v>34</v>
      </c>
      <c r="N205" t="s">
        <v>35</v>
      </c>
      <c r="O205">
        <v>0.67823697639437597</v>
      </c>
      <c r="P205" t="s">
        <v>36</v>
      </c>
    </row>
    <row r="206" spans="1:16">
      <c r="A206">
        <v>205</v>
      </c>
      <c r="B206" t="s">
        <v>254</v>
      </c>
      <c r="C206">
        <v>66</v>
      </c>
      <c r="D206">
        <v>59</v>
      </c>
      <c r="E206">
        <v>58.875815364015203</v>
      </c>
      <c r="F206">
        <v>1.1275000225687499</v>
      </c>
      <c r="G206">
        <v>2722.47406162571</v>
      </c>
      <c r="H206">
        <v>274.14140104573698</v>
      </c>
      <c r="I206">
        <v>0.67354044656718803</v>
      </c>
      <c r="J206">
        <v>0.45522317005202001</v>
      </c>
      <c r="K206">
        <v>0.85242926284437803</v>
      </c>
      <c r="L206" t="s">
        <v>33</v>
      </c>
      <c r="M206" t="s">
        <v>34</v>
      </c>
      <c r="N206" t="s">
        <v>35</v>
      </c>
      <c r="O206">
        <v>0.92160276454346701</v>
      </c>
      <c r="P206" t="s">
        <v>36</v>
      </c>
    </row>
    <row r="207" spans="1:16">
      <c r="A207">
        <v>206</v>
      </c>
      <c r="B207" t="s">
        <v>255</v>
      </c>
      <c r="C207">
        <v>64</v>
      </c>
      <c r="D207">
        <v>77</v>
      </c>
      <c r="E207">
        <v>56.176632921994802</v>
      </c>
      <c r="F207">
        <v>0.82375896713406105</v>
      </c>
      <c r="G207">
        <v>2478.5705875236299</v>
      </c>
      <c r="H207">
        <v>285.47472424009601</v>
      </c>
      <c r="I207">
        <v>0.83423504569155704</v>
      </c>
      <c r="J207">
        <v>0.38218693047407698</v>
      </c>
      <c r="K207">
        <v>0.71873114386690795</v>
      </c>
      <c r="L207" t="s">
        <v>45</v>
      </c>
      <c r="M207" t="s">
        <v>34</v>
      </c>
      <c r="N207" t="s">
        <v>35</v>
      </c>
      <c r="O207">
        <v>0.66659941921473997</v>
      </c>
      <c r="P207" t="s">
        <v>36</v>
      </c>
    </row>
    <row r="208" spans="1:16">
      <c r="A208">
        <v>207</v>
      </c>
      <c r="B208" t="s">
        <v>256</v>
      </c>
      <c r="C208">
        <v>40</v>
      </c>
      <c r="D208">
        <v>81</v>
      </c>
      <c r="E208">
        <v>52.1970266163734</v>
      </c>
      <c r="F208">
        <v>0.49526319053398199</v>
      </c>
      <c r="G208">
        <v>2139.8405342155002</v>
      </c>
      <c r="H208">
        <v>263.424142303363</v>
      </c>
      <c r="I208">
        <v>0.90009132984912699</v>
      </c>
      <c r="J208">
        <v>0.38750751083028201</v>
      </c>
      <c r="K208">
        <v>0.83398018884319103</v>
      </c>
      <c r="L208" t="s">
        <v>45</v>
      </c>
      <c r="M208" t="s">
        <v>34</v>
      </c>
      <c r="N208" t="s">
        <v>35</v>
      </c>
      <c r="O208">
        <v>0.751400586768741</v>
      </c>
      <c r="P208" t="s">
        <v>36</v>
      </c>
    </row>
    <row r="209" spans="1:16">
      <c r="A209">
        <v>208</v>
      </c>
      <c r="B209" t="s">
        <v>257</v>
      </c>
      <c r="C209">
        <v>63</v>
      </c>
      <c r="D209">
        <v>155</v>
      </c>
      <c r="E209">
        <v>82.316645788527097</v>
      </c>
      <c r="F209">
        <v>0.40421509035439002</v>
      </c>
      <c r="G209">
        <v>5321.8816536861996</v>
      </c>
      <c r="H209">
        <v>523.01571300776095</v>
      </c>
      <c r="I209">
        <v>0.69603725528073601</v>
      </c>
      <c r="J209">
        <v>0.24448127591139099</v>
      </c>
      <c r="K209">
        <v>0.78411878065872498</v>
      </c>
      <c r="L209" t="s">
        <v>33</v>
      </c>
      <c r="M209" t="s">
        <v>34</v>
      </c>
      <c r="N209" t="s">
        <v>35</v>
      </c>
      <c r="O209">
        <v>0.94374739209109304</v>
      </c>
      <c r="P209" t="s">
        <v>36</v>
      </c>
    </row>
    <row r="210" spans="1:16">
      <c r="A210">
        <v>209</v>
      </c>
      <c r="B210" t="s">
        <v>258</v>
      </c>
      <c r="C210">
        <v>122</v>
      </c>
      <c r="D210">
        <v>107</v>
      </c>
      <c r="E210">
        <v>104.8363396604</v>
      </c>
      <c r="F210">
        <v>1.1370558375634501</v>
      </c>
      <c r="G210">
        <v>8632.0426967863896</v>
      </c>
      <c r="H210">
        <v>1271.8837178983899</v>
      </c>
      <c r="I210">
        <v>0.64864711518241103</v>
      </c>
      <c r="J210">
        <v>6.7054608071535599E-2</v>
      </c>
      <c r="K210">
        <v>0.69744568937565299</v>
      </c>
      <c r="L210" t="s">
        <v>33</v>
      </c>
      <c r="M210" t="s">
        <v>34</v>
      </c>
      <c r="N210" t="s">
        <v>35</v>
      </c>
      <c r="O210">
        <v>0.93230707620982001</v>
      </c>
      <c r="P210" t="s">
        <v>36</v>
      </c>
    </row>
    <row r="211" spans="1:16">
      <c r="A211">
        <v>210</v>
      </c>
      <c r="B211" t="s">
        <v>259</v>
      </c>
      <c r="C211">
        <v>70</v>
      </c>
      <c r="D211">
        <v>148</v>
      </c>
      <c r="E211">
        <v>89.512809592251401</v>
      </c>
      <c r="F211">
        <v>0.47414942270701399</v>
      </c>
      <c r="G211">
        <v>6293.0366200378103</v>
      </c>
      <c r="H211">
        <v>480.058164887636</v>
      </c>
      <c r="I211">
        <v>0.57964707718502695</v>
      </c>
      <c r="J211">
        <v>0.34314873462203199</v>
      </c>
      <c r="K211">
        <v>0.75452196382428904</v>
      </c>
      <c r="L211" t="s">
        <v>144</v>
      </c>
      <c r="M211" t="s">
        <v>34</v>
      </c>
      <c r="N211" t="s">
        <v>35</v>
      </c>
      <c r="O211">
        <v>0.67323822971222802</v>
      </c>
      <c r="P211" t="s">
        <v>36</v>
      </c>
    </row>
    <row r="212" spans="1:16">
      <c r="A212">
        <v>211</v>
      </c>
      <c r="B212" t="s">
        <v>260</v>
      </c>
      <c r="C212">
        <v>58</v>
      </c>
      <c r="D212">
        <v>102</v>
      </c>
      <c r="E212">
        <v>54.514860520863401</v>
      </c>
      <c r="F212">
        <v>0.56616775245645801</v>
      </c>
      <c r="G212">
        <v>2334.1012536861999</v>
      </c>
      <c r="H212">
        <v>453.33748132249599</v>
      </c>
      <c r="I212">
        <v>0.697174431889653</v>
      </c>
      <c r="J212">
        <v>0.142720481120619</v>
      </c>
      <c r="K212">
        <v>0.54567566628444397</v>
      </c>
      <c r="L212" t="s">
        <v>33</v>
      </c>
      <c r="M212" t="s">
        <v>34</v>
      </c>
      <c r="N212" t="s">
        <v>35</v>
      </c>
      <c r="O212">
        <v>0.93187392191457896</v>
      </c>
      <c r="P212" t="s">
        <v>36</v>
      </c>
    </row>
    <row r="213" spans="1:16">
      <c r="A213">
        <v>212</v>
      </c>
      <c r="B213" t="s">
        <v>261</v>
      </c>
      <c r="C213">
        <v>73</v>
      </c>
      <c r="D213">
        <v>107</v>
      </c>
      <c r="E213">
        <v>61.795888675473698</v>
      </c>
      <c r="F213">
        <v>0.68020304568527901</v>
      </c>
      <c r="G213">
        <v>2999.2249871455601</v>
      </c>
      <c r="H213">
        <v>684.732737043111</v>
      </c>
      <c r="I213">
        <v>0.66083814648120098</v>
      </c>
      <c r="J213">
        <v>8.0385316439280999E-2</v>
      </c>
      <c r="K213">
        <v>0.50070717848192303</v>
      </c>
      <c r="L213" t="s">
        <v>33</v>
      </c>
      <c r="M213" t="s">
        <v>34</v>
      </c>
      <c r="N213" t="s">
        <v>35</v>
      </c>
      <c r="O213">
        <v>0.83511169823852804</v>
      </c>
      <c r="P213" t="s">
        <v>36</v>
      </c>
    </row>
    <row r="214" spans="1:16">
      <c r="A214">
        <v>213</v>
      </c>
      <c r="B214" t="s">
        <v>262</v>
      </c>
      <c r="C214">
        <v>84</v>
      </c>
      <c r="D214">
        <v>50</v>
      </c>
      <c r="E214">
        <v>58.2992446819013</v>
      </c>
      <c r="F214">
        <v>1.6802948537851301</v>
      </c>
      <c r="G214">
        <v>2669.4127939508498</v>
      </c>
      <c r="H214">
        <v>325.97580056066101</v>
      </c>
      <c r="I214">
        <v>0.60045787817612095</v>
      </c>
      <c r="J214">
        <v>0.31568567885642002</v>
      </c>
      <c r="K214">
        <v>0.76923076923076905</v>
      </c>
      <c r="L214" t="s">
        <v>33</v>
      </c>
      <c r="M214" t="s">
        <v>34</v>
      </c>
      <c r="N214" t="s">
        <v>35</v>
      </c>
      <c r="O214">
        <v>0.84717364379585702</v>
      </c>
      <c r="P214" t="s">
        <v>36</v>
      </c>
    </row>
    <row r="215" spans="1:16">
      <c r="A215">
        <v>214</v>
      </c>
      <c r="B215" t="s">
        <v>263</v>
      </c>
      <c r="C215">
        <v>60</v>
      </c>
      <c r="D215">
        <v>102</v>
      </c>
      <c r="E215">
        <v>74.509253185604905</v>
      </c>
      <c r="F215">
        <v>0.59330148774111202</v>
      </c>
      <c r="G215">
        <v>4360.2390714555804</v>
      </c>
      <c r="H215">
        <v>322.43991244710003</v>
      </c>
      <c r="I215">
        <v>0.79553310357963603</v>
      </c>
      <c r="J215">
        <v>0.52701451556462098</v>
      </c>
      <c r="K215">
        <v>0.89971170950131896</v>
      </c>
      <c r="L215" t="s">
        <v>33</v>
      </c>
      <c r="M215" t="s">
        <v>34</v>
      </c>
      <c r="N215" t="s">
        <v>35</v>
      </c>
      <c r="O215">
        <v>0.930997642279486</v>
      </c>
      <c r="P215" t="s">
        <v>36</v>
      </c>
    </row>
    <row r="216" spans="1:16">
      <c r="A216">
        <v>215</v>
      </c>
      <c r="B216" t="s">
        <v>264</v>
      </c>
      <c r="C216">
        <v>147</v>
      </c>
      <c r="D216">
        <v>93</v>
      </c>
      <c r="E216">
        <v>88.131124353270593</v>
      </c>
      <c r="F216">
        <v>1.5823529411764701</v>
      </c>
      <c r="G216">
        <v>6100.26221058601</v>
      </c>
      <c r="H216">
        <v>996.64247983155099</v>
      </c>
      <c r="I216">
        <v>0.67462940891321699</v>
      </c>
      <c r="J216">
        <v>7.7175522534670596E-2</v>
      </c>
      <c r="K216">
        <v>0.54118593335882603</v>
      </c>
      <c r="L216" t="s">
        <v>33</v>
      </c>
      <c r="M216" t="s">
        <v>34</v>
      </c>
      <c r="N216" t="s">
        <v>35</v>
      </c>
      <c r="O216">
        <v>0.93641677126335598</v>
      </c>
      <c r="P216" t="s">
        <v>36</v>
      </c>
    </row>
    <row r="217" spans="1:16">
      <c r="A217">
        <v>216</v>
      </c>
      <c r="B217" t="s">
        <v>265</v>
      </c>
      <c r="C217">
        <v>202</v>
      </c>
      <c r="D217">
        <v>93</v>
      </c>
      <c r="E217">
        <v>88.772973371853993</v>
      </c>
      <c r="F217">
        <v>2.1613869233849599</v>
      </c>
      <c r="G217">
        <v>6189.4408117202302</v>
      </c>
      <c r="H217">
        <v>1281.1918214355301</v>
      </c>
      <c r="I217">
        <v>0.72603840865860403</v>
      </c>
      <c r="J217">
        <v>4.7384135652052801E-2</v>
      </c>
      <c r="K217">
        <v>0.37577491224428999</v>
      </c>
      <c r="L217" t="s">
        <v>33</v>
      </c>
      <c r="M217" t="s">
        <v>34</v>
      </c>
      <c r="N217" t="s">
        <v>35</v>
      </c>
      <c r="O217">
        <v>0.82675726598374999</v>
      </c>
      <c r="P217" t="s">
        <v>36</v>
      </c>
    </row>
    <row r="218" spans="1:16">
      <c r="A218">
        <v>217</v>
      </c>
      <c r="B218" t="s">
        <v>266</v>
      </c>
      <c r="C218">
        <v>103</v>
      </c>
      <c r="D218">
        <v>63</v>
      </c>
      <c r="E218">
        <v>66.345980565037905</v>
      </c>
      <c r="F218">
        <v>1.6206896551724099</v>
      </c>
      <c r="G218">
        <v>3457.1571039697501</v>
      </c>
      <c r="H218">
        <v>418.10148983126101</v>
      </c>
      <c r="I218">
        <v>0.67679587231414695</v>
      </c>
      <c r="J218">
        <v>0.24852240604144099</v>
      </c>
      <c r="K218">
        <v>0.78903626310254804</v>
      </c>
      <c r="L218" t="s">
        <v>52</v>
      </c>
      <c r="M218" t="s">
        <v>34</v>
      </c>
      <c r="N218" t="s">
        <v>35</v>
      </c>
      <c r="O218">
        <v>0.73777662311737802</v>
      </c>
      <c r="P218" t="s">
        <v>36</v>
      </c>
    </row>
    <row r="219" spans="1:16">
      <c r="A219">
        <v>218</v>
      </c>
      <c r="B219" t="s">
        <v>267</v>
      </c>
      <c r="C219">
        <v>136</v>
      </c>
      <c r="D219">
        <v>300</v>
      </c>
      <c r="E219">
        <v>143.67010206457701</v>
      </c>
      <c r="F219">
        <v>0.45481374776831002</v>
      </c>
      <c r="G219">
        <v>16211.4806381853</v>
      </c>
      <c r="H219">
        <v>1111.6734693152</v>
      </c>
      <c r="I219">
        <v>0.69937803564573697</v>
      </c>
      <c r="J219">
        <v>0.16484586727116399</v>
      </c>
      <c r="K219">
        <v>0.58356919290548703</v>
      </c>
      <c r="L219" t="s">
        <v>33</v>
      </c>
      <c r="M219" t="s">
        <v>34</v>
      </c>
      <c r="N219" t="s">
        <v>35</v>
      </c>
      <c r="O219">
        <v>0.92933719807941695</v>
      </c>
      <c r="P219" t="s">
        <v>36</v>
      </c>
    </row>
    <row r="220" spans="1:16">
      <c r="A220">
        <v>219</v>
      </c>
      <c r="B220" t="s">
        <v>268</v>
      </c>
      <c r="C220">
        <v>140</v>
      </c>
      <c r="D220">
        <v>131</v>
      </c>
      <c r="E220">
        <v>105.35313721147701</v>
      </c>
      <c r="F220">
        <v>1.07083333333333</v>
      </c>
      <c r="G220">
        <v>8717.3568918714609</v>
      </c>
      <c r="H220">
        <v>886.52413880483005</v>
      </c>
      <c r="I220">
        <v>0.64808803381381197</v>
      </c>
      <c r="J220">
        <v>0.139384204211806</v>
      </c>
      <c r="K220">
        <v>0.62361509835194096</v>
      </c>
      <c r="L220" t="s">
        <v>33</v>
      </c>
      <c r="M220" t="s">
        <v>34</v>
      </c>
      <c r="N220" t="s">
        <v>35</v>
      </c>
      <c r="O220">
        <v>0.92156951938814802</v>
      </c>
      <c r="P220" t="s">
        <v>36</v>
      </c>
    </row>
    <row r="221" spans="1:16">
      <c r="A221">
        <v>220</v>
      </c>
      <c r="B221" t="s">
        <v>269</v>
      </c>
      <c r="C221">
        <v>114</v>
      </c>
      <c r="D221">
        <v>84</v>
      </c>
      <c r="E221">
        <v>79.632526666974698</v>
      </c>
      <c r="F221">
        <v>1.36104397968359</v>
      </c>
      <c r="G221">
        <v>4980.4762423440498</v>
      </c>
      <c r="H221">
        <v>829.90225725142898</v>
      </c>
      <c r="I221">
        <v>0.54047984290804496</v>
      </c>
      <c r="J221">
        <v>9.0871321774321001E-2</v>
      </c>
      <c r="K221">
        <v>0.60597128286737301</v>
      </c>
      <c r="L221" t="s">
        <v>33</v>
      </c>
      <c r="M221" t="s">
        <v>34</v>
      </c>
      <c r="N221" t="s">
        <v>35</v>
      </c>
      <c r="O221">
        <v>0.96114704953098096</v>
      </c>
      <c r="P221" t="s">
        <v>36</v>
      </c>
    </row>
    <row r="222" spans="1:16">
      <c r="A222">
        <v>221</v>
      </c>
      <c r="B222" t="s">
        <v>270</v>
      </c>
      <c r="C222">
        <v>73</v>
      </c>
      <c r="D222">
        <v>95</v>
      </c>
      <c r="E222">
        <v>73.319998532514703</v>
      </c>
      <c r="F222">
        <v>0.76160733461941699</v>
      </c>
      <c r="G222">
        <v>4222.1608706994302</v>
      </c>
      <c r="H222">
        <v>354.00772394190699</v>
      </c>
      <c r="I222">
        <v>0.525761270613468</v>
      </c>
      <c r="J222">
        <v>0.42336910732784699</v>
      </c>
      <c r="K222">
        <v>0.84875556485105597</v>
      </c>
      <c r="L222" t="s">
        <v>33</v>
      </c>
      <c r="M222" t="s">
        <v>34</v>
      </c>
      <c r="N222" t="s">
        <v>35</v>
      </c>
      <c r="O222">
        <v>0.93534293401653001</v>
      </c>
      <c r="P222" t="s">
        <v>36</v>
      </c>
    </row>
    <row r="223" spans="1:16">
      <c r="A223">
        <v>222</v>
      </c>
      <c r="B223" t="s">
        <v>271</v>
      </c>
      <c r="C223">
        <v>106</v>
      </c>
      <c r="D223">
        <v>96</v>
      </c>
      <c r="E223">
        <v>82.479710603865797</v>
      </c>
      <c r="F223">
        <v>1.1059782505176601</v>
      </c>
      <c r="G223">
        <v>5342.9872559546302</v>
      </c>
      <c r="H223">
        <v>699.30526486562701</v>
      </c>
      <c r="I223">
        <v>0.62104908406811399</v>
      </c>
      <c r="J223">
        <v>0.13729679724758201</v>
      </c>
      <c r="K223">
        <v>0.64112716247547696</v>
      </c>
      <c r="L223" t="s">
        <v>45</v>
      </c>
      <c r="M223" t="s">
        <v>34</v>
      </c>
      <c r="N223" t="s">
        <v>35</v>
      </c>
      <c r="O223">
        <v>0.80934550352275103</v>
      </c>
      <c r="P223" t="s">
        <v>36</v>
      </c>
    </row>
    <row r="224" spans="1:16">
      <c r="A224">
        <v>223</v>
      </c>
      <c r="B224" t="s">
        <v>272</v>
      </c>
      <c r="C224">
        <v>150</v>
      </c>
      <c r="D224">
        <v>110</v>
      </c>
      <c r="E224">
        <v>105.589978869985</v>
      </c>
      <c r="F224">
        <v>1.3663769257967</v>
      </c>
      <c r="G224">
        <v>8756.5954763705104</v>
      </c>
      <c r="H224">
        <v>587.50473831560305</v>
      </c>
      <c r="I224">
        <v>0.61110501541331397</v>
      </c>
      <c r="J224">
        <v>0.31880300335448702</v>
      </c>
      <c r="K224">
        <v>0.71174871639987902</v>
      </c>
      <c r="L224" t="s">
        <v>33</v>
      </c>
      <c r="M224" t="s">
        <v>34</v>
      </c>
      <c r="N224" t="s">
        <v>35</v>
      </c>
      <c r="O224">
        <v>0.89481184534813496</v>
      </c>
      <c r="P224" t="s">
        <v>36</v>
      </c>
    </row>
    <row r="225" spans="1:16">
      <c r="A225">
        <v>224</v>
      </c>
      <c r="B225" t="s">
        <v>273</v>
      </c>
      <c r="C225">
        <v>45</v>
      </c>
      <c r="D225">
        <v>92</v>
      </c>
      <c r="E225">
        <v>59.661286664087001</v>
      </c>
      <c r="F225">
        <v>0.48807555999049002</v>
      </c>
      <c r="G225">
        <v>2795.6005145557701</v>
      </c>
      <c r="H225">
        <v>309.48698693866299</v>
      </c>
      <c r="I225">
        <v>0.74765542199881896</v>
      </c>
      <c r="J225">
        <v>0.36677539207214099</v>
      </c>
      <c r="K225">
        <v>0.77534111051568499</v>
      </c>
      <c r="L225" t="s">
        <v>132</v>
      </c>
      <c r="M225" t="s">
        <v>34</v>
      </c>
      <c r="N225" t="s">
        <v>35</v>
      </c>
      <c r="O225">
        <v>0.709398249658726</v>
      </c>
      <c r="P225" t="s">
        <v>36</v>
      </c>
    </row>
    <row r="226" spans="1:16">
      <c r="A226">
        <v>225</v>
      </c>
      <c r="B226" t="s">
        <v>274</v>
      </c>
      <c r="C226">
        <v>166</v>
      </c>
      <c r="D226">
        <v>168</v>
      </c>
      <c r="E226">
        <v>139.416447561437</v>
      </c>
      <c r="F226">
        <v>0.98405386664042305</v>
      </c>
      <c r="G226">
        <v>15265.7415731569</v>
      </c>
      <c r="H226">
        <v>926.90232548102097</v>
      </c>
      <c r="I226">
        <v>0.67331713424572703</v>
      </c>
      <c r="J226">
        <v>0.22328514290301299</v>
      </c>
      <c r="K226">
        <v>0.68103997029414098</v>
      </c>
      <c r="L226" t="s">
        <v>33</v>
      </c>
      <c r="M226" t="s">
        <v>34</v>
      </c>
      <c r="N226" t="s">
        <v>35</v>
      </c>
      <c r="O226">
        <v>0.94280339679499403</v>
      </c>
      <c r="P226" t="s">
        <v>36</v>
      </c>
    </row>
    <row r="227" spans="1:16">
      <c r="A227">
        <v>226</v>
      </c>
      <c r="B227" t="s">
        <v>275</v>
      </c>
      <c r="C227">
        <v>80</v>
      </c>
      <c r="D227">
        <v>122</v>
      </c>
      <c r="E227">
        <v>95.078918628787804</v>
      </c>
      <c r="F227">
        <v>0.65909090021043004</v>
      </c>
      <c r="G227">
        <v>7100</v>
      </c>
      <c r="H227">
        <v>339.70562458038302</v>
      </c>
      <c r="I227">
        <v>0.76096162997236205</v>
      </c>
      <c r="J227">
        <v>0.77314817924502799</v>
      </c>
      <c r="K227">
        <v>0.94983277591973203</v>
      </c>
      <c r="L227" t="s">
        <v>33</v>
      </c>
      <c r="M227" t="s">
        <v>34</v>
      </c>
      <c r="N227" t="s">
        <v>35</v>
      </c>
      <c r="O227">
        <v>0.94008323090454904</v>
      </c>
      <c r="P227" t="s">
        <v>36</v>
      </c>
    </row>
    <row r="228" spans="1:16">
      <c r="A228">
        <v>227</v>
      </c>
      <c r="B228" t="s">
        <v>276</v>
      </c>
      <c r="C228">
        <v>88</v>
      </c>
      <c r="D228">
        <v>127</v>
      </c>
      <c r="E228">
        <v>89.335045077933103</v>
      </c>
      <c r="F228">
        <v>0.69098712446351895</v>
      </c>
      <c r="G228">
        <v>6268.06661172023</v>
      </c>
      <c r="H228">
        <v>934.12292129392199</v>
      </c>
      <c r="I228">
        <v>0.65420102449206297</v>
      </c>
      <c r="J228">
        <v>9.0268330329946897E-2</v>
      </c>
      <c r="K228">
        <v>0.65883455710045302</v>
      </c>
      <c r="L228" t="s">
        <v>33</v>
      </c>
      <c r="M228" t="s">
        <v>34</v>
      </c>
      <c r="N228" t="s">
        <v>35</v>
      </c>
      <c r="O228">
        <v>0.95412721029546499</v>
      </c>
      <c r="P228" t="s">
        <v>36</v>
      </c>
    </row>
    <row r="229" spans="1:16">
      <c r="A229">
        <v>228</v>
      </c>
      <c r="B229" t="s">
        <v>277</v>
      </c>
      <c r="C229">
        <v>131</v>
      </c>
      <c r="D229">
        <v>106</v>
      </c>
      <c r="E229">
        <v>100.467143452353</v>
      </c>
      <c r="F229">
        <v>1.2337576463959801</v>
      </c>
      <c r="G229">
        <v>7927.5317478260904</v>
      </c>
      <c r="H229">
        <v>495.94031629614199</v>
      </c>
      <c r="I229">
        <v>0.72265286644774196</v>
      </c>
      <c r="J229">
        <v>0.405031709156077</v>
      </c>
      <c r="K229">
        <v>0.74628515461032596</v>
      </c>
      <c r="L229" t="s">
        <v>75</v>
      </c>
      <c r="M229" t="s">
        <v>34</v>
      </c>
      <c r="N229" t="s">
        <v>35</v>
      </c>
      <c r="O229">
        <v>0.81918824005774304</v>
      </c>
      <c r="P229" t="s">
        <v>36</v>
      </c>
    </row>
    <row r="230" spans="1:16">
      <c r="A230">
        <v>229</v>
      </c>
      <c r="B230" t="s">
        <v>278</v>
      </c>
      <c r="C230">
        <v>191</v>
      </c>
      <c r="D230">
        <v>196</v>
      </c>
      <c r="E230">
        <v>130.42130504845801</v>
      </c>
      <c r="F230">
        <v>0.97493036211699202</v>
      </c>
      <c r="G230">
        <v>13359.4003429112</v>
      </c>
      <c r="H230">
        <v>1473.88879922919</v>
      </c>
      <c r="I230">
        <v>0.54486572176157799</v>
      </c>
      <c r="J230">
        <v>7.7280049521867802E-2</v>
      </c>
      <c r="K230">
        <v>0.432604008239801</v>
      </c>
      <c r="L230" t="s">
        <v>279</v>
      </c>
      <c r="M230" t="s">
        <v>34</v>
      </c>
      <c r="N230" t="s">
        <v>35</v>
      </c>
      <c r="O230">
        <v>0.78458308685561595</v>
      </c>
      <c r="P230" t="s">
        <v>36</v>
      </c>
    </row>
    <row r="231" spans="1:16">
      <c r="A231">
        <v>230</v>
      </c>
      <c r="B231" t="s">
        <v>280</v>
      </c>
      <c r="C231">
        <v>41</v>
      </c>
      <c r="D231">
        <v>90</v>
      </c>
      <c r="E231">
        <v>54.398444328621203</v>
      </c>
      <c r="F231">
        <v>0.45299143840985301</v>
      </c>
      <c r="G231">
        <v>2324.1429765595499</v>
      </c>
      <c r="H231">
        <v>299.14390636371502</v>
      </c>
      <c r="I231">
        <v>0.74781082979876001</v>
      </c>
      <c r="J231">
        <v>0.32637161785239799</v>
      </c>
      <c r="K231">
        <v>0.77003003890284105</v>
      </c>
      <c r="L231" t="s">
        <v>52</v>
      </c>
      <c r="M231" t="s">
        <v>34</v>
      </c>
      <c r="N231" t="s">
        <v>35</v>
      </c>
      <c r="O231">
        <v>0.68494089159987204</v>
      </c>
      <c r="P231" t="s">
        <v>36</v>
      </c>
    </row>
    <row r="232" spans="1:16">
      <c r="A232">
        <v>231</v>
      </c>
      <c r="B232" t="s">
        <v>281</v>
      </c>
      <c r="C232">
        <v>63</v>
      </c>
      <c r="D232">
        <v>88</v>
      </c>
      <c r="E232">
        <v>65.074477974472302</v>
      </c>
      <c r="F232">
        <v>0.71604938271604901</v>
      </c>
      <c r="G232">
        <v>3325.91592930057</v>
      </c>
      <c r="H232">
        <v>360.09865978811098</v>
      </c>
      <c r="I232">
        <v>0.84864085547988299</v>
      </c>
      <c r="J232">
        <v>0.32231322166267601</v>
      </c>
      <c r="K232">
        <v>0.76807166884053002</v>
      </c>
      <c r="L232" t="s">
        <v>33</v>
      </c>
      <c r="M232" t="s">
        <v>34</v>
      </c>
      <c r="N232" t="s">
        <v>35</v>
      </c>
      <c r="O232">
        <v>0.94969440030685104</v>
      </c>
      <c r="P232" t="s">
        <v>36</v>
      </c>
    </row>
    <row r="233" spans="1:16">
      <c r="A233">
        <v>232</v>
      </c>
      <c r="B233" t="s">
        <v>282</v>
      </c>
      <c r="C233">
        <v>216</v>
      </c>
      <c r="D233">
        <v>183</v>
      </c>
      <c r="E233">
        <v>123.54506713643499</v>
      </c>
      <c r="F233">
        <v>1.1804570330777699</v>
      </c>
      <c r="G233">
        <v>11987.833457466901</v>
      </c>
      <c r="H233">
        <v>1140.60322916103</v>
      </c>
      <c r="I233">
        <v>0.57541925186932397</v>
      </c>
      <c r="J233">
        <v>0.115792750806945</v>
      </c>
      <c r="K233">
        <v>0.43618988902589401</v>
      </c>
      <c r="L233" t="s">
        <v>52</v>
      </c>
      <c r="M233" t="s">
        <v>34</v>
      </c>
      <c r="N233" t="s">
        <v>35</v>
      </c>
      <c r="O233">
        <v>0.96493282831309402</v>
      </c>
      <c r="P233" t="s">
        <v>36</v>
      </c>
    </row>
    <row r="234" spans="1:16">
      <c r="A234">
        <v>233</v>
      </c>
      <c r="B234" t="s">
        <v>283</v>
      </c>
      <c r="C234">
        <v>151</v>
      </c>
      <c r="D234">
        <v>76</v>
      </c>
      <c r="E234">
        <v>75.408021676297906</v>
      </c>
      <c r="F234">
        <v>1.9728249637905499</v>
      </c>
      <c r="G234">
        <v>4466.0643448015098</v>
      </c>
      <c r="H234">
        <v>829.67366620955295</v>
      </c>
      <c r="I234">
        <v>0.56020200624015004</v>
      </c>
      <c r="J234">
        <v>8.1530523000594601E-2</v>
      </c>
      <c r="K234">
        <v>0.46869443144595202</v>
      </c>
      <c r="L234" t="s">
        <v>45</v>
      </c>
      <c r="M234" t="s">
        <v>34</v>
      </c>
      <c r="N234" t="s">
        <v>35</v>
      </c>
      <c r="O234">
        <v>0.68450582120617998</v>
      </c>
      <c r="P234" t="s">
        <v>36</v>
      </c>
    </row>
    <row r="235" spans="1:16">
      <c r="A235">
        <v>234</v>
      </c>
      <c r="B235" t="s">
        <v>284</v>
      </c>
      <c r="C235">
        <v>56</v>
      </c>
      <c r="D235">
        <v>67</v>
      </c>
      <c r="E235">
        <v>51.382168774156703</v>
      </c>
      <c r="F235">
        <v>0.83061082585897805</v>
      </c>
      <c r="G235">
        <v>2073.5511073724001</v>
      </c>
      <c r="H235">
        <v>357.91779022289398</v>
      </c>
      <c r="I235">
        <v>0.65321111607167603</v>
      </c>
      <c r="J235">
        <v>0.203403319928741</v>
      </c>
      <c r="K235">
        <v>0.63086732386723299</v>
      </c>
      <c r="L235" t="s">
        <v>33</v>
      </c>
      <c r="M235" t="s">
        <v>34</v>
      </c>
      <c r="N235" t="s">
        <v>35</v>
      </c>
      <c r="O235">
        <v>0.86156518436279805</v>
      </c>
      <c r="P235" t="s">
        <v>36</v>
      </c>
    </row>
    <row r="236" spans="1:16">
      <c r="A236">
        <v>235</v>
      </c>
      <c r="B236" t="s">
        <v>285</v>
      </c>
      <c r="C236">
        <v>47</v>
      </c>
      <c r="D236">
        <v>73</v>
      </c>
      <c r="E236">
        <v>52.988644538521399</v>
      </c>
      <c r="F236">
        <v>0.64079038476362804</v>
      </c>
      <c r="G236">
        <v>2205.23817504726</v>
      </c>
      <c r="H236">
        <v>233.90490849090699</v>
      </c>
      <c r="I236">
        <v>0.73227103343742606</v>
      </c>
      <c r="J236">
        <v>0.50650844981493504</v>
      </c>
      <c r="K236">
        <v>0.867153711279953</v>
      </c>
      <c r="L236" t="s">
        <v>96</v>
      </c>
      <c r="M236" t="s">
        <v>34</v>
      </c>
      <c r="N236" t="s">
        <v>35</v>
      </c>
      <c r="O236">
        <v>0.75007722281168998</v>
      </c>
      <c r="P236" t="s">
        <v>36</v>
      </c>
    </row>
    <row r="237" spans="1:16">
      <c r="A237">
        <v>236</v>
      </c>
      <c r="B237" t="s">
        <v>286</v>
      </c>
      <c r="C237">
        <v>39</v>
      </c>
      <c r="D237">
        <v>88</v>
      </c>
      <c r="E237">
        <v>57.672633620417599</v>
      </c>
      <c r="F237">
        <v>0.447204968944099</v>
      </c>
      <c r="G237">
        <v>2612.3384892249501</v>
      </c>
      <c r="H237">
        <v>323.07867438026102</v>
      </c>
      <c r="I237">
        <v>0.75316154610632902</v>
      </c>
      <c r="J237">
        <v>0.31450150547566702</v>
      </c>
      <c r="K237">
        <v>0.80259372574090104</v>
      </c>
      <c r="L237" t="s">
        <v>33</v>
      </c>
      <c r="M237" t="s">
        <v>34</v>
      </c>
      <c r="N237" t="s">
        <v>35</v>
      </c>
      <c r="O237">
        <v>0.94538464541085099</v>
      </c>
      <c r="P237" t="s">
        <v>36</v>
      </c>
    </row>
    <row r="238" spans="1:16">
      <c r="A238">
        <v>237</v>
      </c>
      <c r="B238" t="s">
        <v>287</v>
      </c>
      <c r="C238">
        <v>56</v>
      </c>
      <c r="D238">
        <v>89</v>
      </c>
      <c r="E238">
        <v>57.975362004159102</v>
      </c>
      <c r="F238">
        <v>0.63036718005883197</v>
      </c>
      <c r="G238">
        <v>2639.8352245746701</v>
      </c>
      <c r="H238">
        <v>340.019160851707</v>
      </c>
      <c r="I238">
        <v>0.85404091641617397</v>
      </c>
      <c r="J238">
        <v>0.28693260496364897</v>
      </c>
      <c r="K238">
        <v>0.73353157394787905</v>
      </c>
      <c r="L238" t="s">
        <v>83</v>
      </c>
      <c r="M238" t="s">
        <v>34</v>
      </c>
      <c r="N238" t="s">
        <v>35</v>
      </c>
      <c r="O238">
        <v>0.74035171417857903</v>
      </c>
      <c r="P238" t="s">
        <v>36</v>
      </c>
    </row>
    <row r="239" spans="1:16">
      <c r="A239">
        <v>238</v>
      </c>
      <c r="B239" t="s">
        <v>288</v>
      </c>
      <c r="C239">
        <v>148</v>
      </c>
      <c r="D239">
        <v>128</v>
      </c>
      <c r="E239">
        <v>112.97308344586</v>
      </c>
      <c r="F239">
        <v>1.1636377867653001</v>
      </c>
      <c r="G239">
        <v>10023.9720294896</v>
      </c>
      <c r="H239">
        <v>698.20381161441003</v>
      </c>
      <c r="I239">
        <v>0.60703259367426199</v>
      </c>
      <c r="J239">
        <v>0.25839569833368098</v>
      </c>
      <c r="K239">
        <v>0.65155057482368794</v>
      </c>
      <c r="L239" t="s">
        <v>33</v>
      </c>
      <c r="M239" t="s">
        <v>34</v>
      </c>
      <c r="N239" t="s">
        <v>35</v>
      </c>
      <c r="O239">
        <v>0.93472801917898396</v>
      </c>
      <c r="P239" t="s">
        <v>36</v>
      </c>
    </row>
    <row r="240" spans="1:16">
      <c r="A240">
        <v>239</v>
      </c>
      <c r="B240" t="s">
        <v>289</v>
      </c>
      <c r="C240">
        <v>185</v>
      </c>
      <c r="D240">
        <v>83</v>
      </c>
      <c r="E240">
        <v>91.543661582417499</v>
      </c>
      <c r="F240">
        <v>2.23255819555441</v>
      </c>
      <c r="G240">
        <v>6581.8266567107803</v>
      </c>
      <c r="H240">
        <v>679.05035585807695</v>
      </c>
      <c r="I240">
        <v>0.63041744439233505</v>
      </c>
      <c r="J240">
        <v>0.179371046516039</v>
      </c>
      <c r="K240">
        <v>0.55810700107127098</v>
      </c>
      <c r="L240" t="s">
        <v>33</v>
      </c>
      <c r="M240" t="s">
        <v>34</v>
      </c>
      <c r="N240" t="s">
        <v>35</v>
      </c>
      <c r="O240">
        <v>0.93025058406307903</v>
      </c>
      <c r="P240" t="s">
        <v>36</v>
      </c>
    </row>
    <row r="241" spans="1:16">
      <c r="A241">
        <v>240</v>
      </c>
      <c r="B241" t="s">
        <v>290</v>
      </c>
      <c r="C241">
        <v>100</v>
      </c>
      <c r="D241">
        <v>61</v>
      </c>
      <c r="E241">
        <v>61.237543187811198</v>
      </c>
      <c r="F241">
        <v>1.6308617040654501</v>
      </c>
      <c r="G241">
        <v>2945.2719334593598</v>
      </c>
      <c r="H241">
        <v>394.937775630744</v>
      </c>
      <c r="I241">
        <v>0.75170201023222105</v>
      </c>
      <c r="J241">
        <v>0.23728916673908201</v>
      </c>
      <c r="K241">
        <v>0.65792356983963596</v>
      </c>
      <c r="L241" t="s">
        <v>33</v>
      </c>
      <c r="M241" t="s">
        <v>34</v>
      </c>
      <c r="N241" t="s">
        <v>35</v>
      </c>
      <c r="O241">
        <v>0.90550490372470704</v>
      </c>
      <c r="P241" t="s">
        <v>36</v>
      </c>
    </row>
    <row r="242" spans="1:16">
      <c r="A242">
        <v>241</v>
      </c>
      <c r="B242" t="s">
        <v>291</v>
      </c>
      <c r="C242">
        <v>122</v>
      </c>
      <c r="D242">
        <v>178</v>
      </c>
      <c r="E242">
        <v>108.636744674936</v>
      </c>
      <c r="F242">
        <v>0.68681317136229503</v>
      </c>
      <c r="G242">
        <v>9269.2238018903608</v>
      </c>
      <c r="H242">
        <v>668.76207248397498</v>
      </c>
      <c r="I242">
        <v>0.70124622527991498</v>
      </c>
      <c r="J242">
        <v>0.26044136461827899</v>
      </c>
      <c r="K242">
        <v>0.62027809273736301</v>
      </c>
      <c r="L242" t="s">
        <v>33</v>
      </c>
      <c r="M242" t="s">
        <v>34</v>
      </c>
      <c r="N242" t="s">
        <v>35</v>
      </c>
      <c r="O242">
        <v>0.94417823754025698</v>
      </c>
      <c r="P242" t="s">
        <v>36</v>
      </c>
    </row>
    <row r="243" spans="1:16">
      <c r="A243">
        <v>242</v>
      </c>
      <c r="B243" t="s">
        <v>292</v>
      </c>
      <c r="C243">
        <v>80</v>
      </c>
      <c r="D243">
        <v>56</v>
      </c>
      <c r="E243">
        <v>63.805813564895502</v>
      </c>
      <c r="F243">
        <v>1.42224777311086</v>
      </c>
      <c r="G243">
        <v>3197.4987436673</v>
      </c>
      <c r="H243">
        <v>269.77966191530197</v>
      </c>
      <c r="I243">
        <v>0.63585137939729997</v>
      </c>
      <c r="J243">
        <v>0.55207977114792495</v>
      </c>
      <c r="K243">
        <v>0.90868004223864796</v>
      </c>
      <c r="L243" t="s">
        <v>52</v>
      </c>
      <c r="M243" t="s">
        <v>34</v>
      </c>
      <c r="N243" t="s">
        <v>35</v>
      </c>
      <c r="O243">
        <v>0.774840131370506</v>
      </c>
      <c r="P243" t="s">
        <v>36</v>
      </c>
    </row>
    <row r="244" spans="1:16">
      <c r="A244">
        <v>243</v>
      </c>
      <c r="B244" t="s">
        <v>293</v>
      </c>
      <c r="C244">
        <v>149</v>
      </c>
      <c r="D244">
        <v>131</v>
      </c>
      <c r="E244">
        <v>106.14501146792099</v>
      </c>
      <c r="F244">
        <v>1.1329447617138</v>
      </c>
      <c r="G244">
        <v>8848.8953285444204</v>
      </c>
      <c r="H244">
        <v>1013.50223916075</v>
      </c>
      <c r="I244">
        <v>0.72668039899049996</v>
      </c>
      <c r="J244">
        <v>0.108255382020456</v>
      </c>
      <c r="K244">
        <v>0.62535844458682999</v>
      </c>
      <c r="L244" t="s">
        <v>33</v>
      </c>
      <c r="M244" t="s">
        <v>34</v>
      </c>
      <c r="N244" t="s">
        <v>35</v>
      </c>
      <c r="O244">
        <v>0.75710483799976602</v>
      </c>
      <c r="P244" t="s">
        <v>36</v>
      </c>
    </row>
    <row r="245" spans="1:16">
      <c r="A245">
        <v>244</v>
      </c>
      <c r="B245" t="s">
        <v>294</v>
      </c>
      <c r="C245">
        <v>135</v>
      </c>
      <c r="D245">
        <v>102</v>
      </c>
      <c r="E245">
        <v>90.069214030243998</v>
      </c>
      <c r="F245">
        <v>1.3214627809005299</v>
      </c>
      <c r="G245">
        <v>6371.5137890359201</v>
      </c>
      <c r="H245">
        <v>559.81489338211395</v>
      </c>
      <c r="I245">
        <v>0.62861331653921704</v>
      </c>
      <c r="J245">
        <v>0.25548393390454999</v>
      </c>
      <c r="K245">
        <v>0.62926428277846302</v>
      </c>
      <c r="L245" t="s">
        <v>83</v>
      </c>
      <c r="M245" t="s">
        <v>34</v>
      </c>
      <c r="N245" t="s">
        <v>35</v>
      </c>
      <c r="O245">
        <v>0.67444113233092395</v>
      </c>
      <c r="P245" t="s">
        <v>36</v>
      </c>
    </row>
    <row r="246" spans="1:16">
      <c r="A246">
        <v>245</v>
      </c>
      <c r="B246" t="s">
        <v>295</v>
      </c>
      <c r="C246">
        <v>148</v>
      </c>
      <c r="D246">
        <v>130</v>
      </c>
      <c r="E246">
        <v>116.29784116794301</v>
      </c>
      <c r="F246">
        <v>1.1408563720170799</v>
      </c>
      <c r="G246">
        <v>10622.657705104</v>
      </c>
      <c r="H246">
        <v>685.86695055795803</v>
      </c>
      <c r="I246">
        <v>0.58088180252743304</v>
      </c>
      <c r="J246">
        <v>0.28376792130185702</v>
      </c>
      <c r="K246">
        <v>0.71064223285042405</v>
      </c>
      <c r="L246" t="s">
        <v>132</v>
      </c>
      <c r="M246" t="s">
        <v>34</v>
      </c>
      <c r="N246" t="s">
        <v>35</v>
      </c>
      <c r="O246">
        <v>0.88738998995811103</v>
      </c>
      <c r="P246" t="s">
        <v>36</v>
      </c>
    </row>
    <row r="247" spans="1:16">
      <c r="A247">
        <v>246</v>
      </c>
      <c r="B247" t="s">
        <v>296</v>
      </c>
      <c r="C247">
        <v>152</v>
      </c>
      <c r="D247">
        <v>78</v>
      </c>
      <c r="E247">
        <v>112.188077545927</v>
      </c>
      <c r="F247">
        <v>1.94405594405594</v>
      </c>
      <c r="G247">
        <v>9885.1506737240106</v>
      </c>
      <c r="H247">
        <v>891.20849136207403</v>
      </c>
      <c r="I247">
        <v>0.70468152701222697</v>
      </c>
      <c r="J247">
        <v>0.15639919950266801</v>
      </c>
      <c r="K247">
        <v>0.838773142309439</v>
      </c>
      <c r="L247" t="s">
        <v>33</v>
      </c>
      <c r="M247" t="s">
        <v>34</v>
      </c>
      <c r="N247" t="s">
        <v>35</v>
      </c>
      <c r="O247">
        <v>0.94542191757597205</v>
      </c>
      <c r="P247" t="s">
        <v>36</v>
      </c>
    </row>
    <row r="248" spans="1:16">
      <c r="A248">
        <v>247</v>
      </c>
      <c r="B248" t="s">
        <v>297</v>
      </c>
      <c r="C248">
        <v>78</v>
      </c>
      <c r="D248">
        <v>69</v>
      </c>
      <c r="E248">
        <v>53.886385893880899</v>
      </c>
      <c r="F248">
        <v>1.13492063492063</v>
      </c>
      <c r="G248">
        <v>2280.5940930056699</v>
      </c>
      <c r="H248">
        <v>678.12203590393096</v>
      </c>
      <c r="I248">
        <v>0.65506781287555305</v>
      </c>
      <c r="J248">
        <v>6.2322109449255203E-2</v>
      </c>
      <c r="K248">
        <v>0.49853791669374198</v>
      </c>
      <c r="L248" t="s">
        <v>33</v>
      </c>
      <c r="M248" t="s">
        <v>34</v>
      </c>
      <c r="N248" t="s">
        <v>35</v>
      </c>
      <c r="O248">
        <v>0.84431042898285202</v>
      </c>
      <c r="P248" t="s">
        <v>36</v>
      </c>
    </row>
    <row r="249" spans="1:16">
      <c r="A249">
        <v>248</v>
      </c>
      <c r="B249" t="s">
        <v>298</v>
      </c>
      <c r="C249">
        <v>148</v>
      </c>
      <c r="D249">
        <v>201</v>
      </c>
      <c r="E249">
        <v>125.134775212425</v>
      </c>
      <c r="F249">
        <v>0.73913043478260898</v>
      </c>
      <c r="G249">
        <v>12298.3236204159</v>
      </c>
      <c r="H249">
        <v>1103.0595854560199</v>
      </c>
      <c r="I249">
        <v>0.61326130171678495</v>
      </c>
      <c r="J249">
        <v>0.12701582549347701</v>
      </c>
      <c r="K249">
        <v>0.45758400247749198</v>
      </c>
      <c r="L249" t="s">
        <v>33</v>
      </c>
      <c r="M249" t="s">
        <v>34</v>
      </c>
      <c r="N249" t="s">
        <v>35</v>
      </c>
      <c r="O249">
        <v>0.93260173946102998</v>
      </c>
      <c r="P249" t="s">
        <v>36</v>
      </c>
    </row>
    <row r="250" spans="1:16">
      <c r="A250">
        <v>249</v>
      </c>
      <c r="B250" t="s">
        <v>299</v>
      </c>
      <c r="C250">
        <v>78</v>
      </c>
      <c r="D250">
        <v>54</v>
      </c>
      <c r="E250">
        <v>56.164841194187403</v>
      </c>
      <c r="F250">
        <v>1.44444444444444</v>
      </c>
      <c r="G250">
        <v>2477.5301705103998</v>
      </c>
      <c r="H250">
        <v>301.21518152724099</v>
      </c>
      <c r="I250">
        <v>0.84245932457433303</v>
      </c>
      <c r="J250">
        <v>0.343142966961065</v>
      </c>
      <c r="K250">
        <v>0.70959090715593198</v>
      </c>
      <c r="L250" t="s">
        <v>45</v>
      </c>
      <c r="M250" t="s">
        <v>34</v>
      </c>
      <c r="N250" t="s">
        <v>35</v>
      </c>
      <c r="O250">
        <v>0.70545908192180995</v>
      </c>
      <c r="P250" t="s">
        <v>36</v>
      </c>
    </row>
    <row r="251" spans="1:16">
      <c r="A251">
        <v>250</v>
      </c>
      <c r="B251" t="s">
        <v>300</v>
      </c>
      <c r="C251">
        <v>98</v>
      </c>
      <c r="D251">
        <v>98</v>
      </c>
      <c r="E251">
        <v>90.104925356930593</v>
      </c>
      <c r="F251">
        <v>0.99444444350254402</v>
      </c>
      <c r="G251">
        <v>6376.5672431001904</v>
      </c>
      <c r="H251">
        <v>799.01860265213497</v>
      </c>
      <c r="I251">
        <v>0.62897457378483002</v>
      </c>
      <c r="J251">
        <v>0.12551135743809799</v>
      </c>
      <c r="K251">
        <v>0.73277879310639304</v>
      </c>
      <c r="L251" t="s">
        <v>52</v>
      </c>
      <c r="M251" t="s">
        <v>34</v>
      </c>
      <c r="N251" t="s">
        <v>35</v>
      </c>
      <c r="O251">
        <v>0.97400029889685003</v>
      </c>
      <c r="P251" t="s">
        <v>36</v>
      </c>
    </row>
    <row r="252" spans="1:16">
      <c r="A252">
        <v>251</v>
      </c>
      <c r="B252" t="s">
        <v>301</v>
      </c>
      <c r="C252">
        <v>74</v>
      </c>
      <c r="D252">
        <v>63</v>
      </c>
      <c r="E252">
        <v>55.348564265864297</v>
      </c>
      <c r="F252">
        <v>1.17898837773153</v>
      </c>
      <c r="G252">
        <v>2406.03865860113</v>
      </c>
      <c r="H252">
        <v>374.74868229264803</v>
      </c>
      <c r="I252">
        <v>0.58538951352334001</v>
      </c>
      <c r="J252">
        <v>0.21529415340894201</v>
      </c>
      <c r="K252">
        <v>0.69407880632851704</v>
      </c>
      <c r="L252" t="s">
        <v>169</v>
      </c>
      <c r="M252" t="s">
        <v>34</v>
      </c>
      <c r="N252" t="s">
        <v>35</v>
      </c>
      <c r="O252">
        <v>0.71119205098723504</v>
      </c>
      <c r="P252" t="s">
        <v>36</v>
      </c>
    </row>
    <row r="253" spans="1:16">
      <c r="A253">
        <v>252</v>
      </c>
      <c r="B253" t="s">
        <v>302</v>
      </c>
      <c r="C253">
        <v>150</v>
      </c>
      <c r="D253">
        <v>52</v>
      </c>
      <c r="E253">
        <v>59.239511865659097</v>
      </c>
      <c r="F253">
        <v>2.8884276679644598</v>
      </c>
      <c r="G253">
        <v>2756.2132990548198</v>
      </c>
      <c r="H253">
        <v>542.88380914916195</v>
      </c>
      <c r="I253">
        <v>0.69847687851401197</v>
      </c>
      <c r="J253">
        <v>0.117519222316026</v>
      </c>
      <c r="K253">
        <v>0.52507291106266096</v>
      </c>
      <c r="L253" t="s">
        <v>33</v>
      </c>
      <c r="M253" t="s">
        <v>34</v>
      </c>
      <c r="N253" t="s">
        <v>35</v>
      </c>
      <c r="O253">
        <v>0.857417017815993</v>
      </c>
      <c r="P253" t="s">
        <v>36</v>
      </c>
    </row>
    <row r="254" spans="1:16">
      <c r="A254">
        <v>253</v>
      </c>
      <c r="B254" t="s">
        <v>303</v>
      </c>
      <c r="C254">
        <v>109</v>
      </c>
      <c r="D254">
        <v>71</v>
      </c>
      <c r="E254">
        <v>69.474019449333795</v>
      </c>
      <c r="F254">
        <v>1.52529060539466</v>
      </c>
      <c r="G254">
        <v>3790.8337032136101</v>
      </c>
      <c r="H254">
        <v>590.64536701067595</v>
      </c>
      <c r="I254">
        <v>0.64174442523425002</v>
      </c>
      <c r="J254">
        <v>0.13654977652490199</v>
      </c>
      <c r="K254">
        <v>0.63692438317850397</v>
      </c>
      <c r="L254" t="s">
        <v>33</v>
      </c>
      <c r="M254" t="s">
        <v>34</v>
      </c>
      <c r="N254" t="s">
        <v>35</v>
      </c>
      <c r="O254">
        <v>0.92892509968709602</v>
      </c>
      <c r="P254" t="s">
        <v>36</v>
      </c>
    </row>
    <row r="255" spans="1:16">
      <c r="A255">
        <v>254</v>
      </c>
      <c r="B255" t="s">
        <v>304</v>
      </c>
      <c r="C255">
        <v>45</v>
      </c>
      <c r="D255">
        <v>78</v>
      </c>
      <c r="E255">
        <v>55.329755961250399</v>
      </c>
      <c r="F255">
        <v>0.57032753276599701</v>
      </c>
      <c r="G255">
        <v>2404.4037175803401</v>
      </c>
      <c r="H255">
        <v>263.68872606909798</v>
      </c>
      <c r="I255">
        <v>0.81379376978824502</v>
      </c>
      <c r="J255">
        <v>0.434544373149027</v>
      </c>
      <c r="K255">
        <v>0.85303733389580305</v>
      </c>
      <c r="L255" t="s">
        <v>83</v>
      </c>
      <c r="M255" t="s">
        <v>34</v>
      </c>
      <c r="N255" t="s">
        <v>35</v>
      </c>
      <c r="O255">
        <v>0.84120624062190896</v>
      </c>
      <c r="P255" t="s">
        <v>36</v>
      </c>
    </row>
    <row r="256" spans="1:16">
      <c r="A256">
        <v>255</v>
      </c>
      <c r="B256" t="s">
        <v>305</v>
      </c>
      <c r="C256">
        <v>88</v>
      </c>
      <c r="D256">
        <v>128</v>
      </c>
      <c r="E256">
        <v>83.487683868058895</v>
      </c>
      <c r="F256">
        <v>0.68803418803418803</v>
      </c>
      <c r="G256">
        <v>5474.3770616257098</v>
      </c>
      <c r="H256">
        <v>730.27581638543495</v>
      </c>
      <c r="I256">
        <v>0.58731633583498499</v>
      </c>
      <c r="J256">
        <v>0.12899436336596901</v>
      </c>
      <c r="K256">
        <v>0.66329305407984995</v>
      </c>
      <c r="L256" t="s">
        <v>33</v>
      </c>
      <c r="M256" t="s">
        <v>34</v>
      </c>
      <c r="N256" t="s">
        <v>35</v>
      </c>
      <c r="O256">
        <v>0.94817155573658096</v>
      </c>
      <c r="P256" t="s">
        <v>36</v>
      </c>
    </row>
    <row r="257" spans="1:16">
      <c r="A257">
        <v>256</v>
      </c>
      <c r="B257" t="s">
        <v>306</v>
      </c>
      <c r="C257">
        <v>93</v>
      </c>
      <c r="D257">
        <v>103</v>
      </c>
      <c r="E257">
        <v>89.978822115408803</v>
      </c>
      <c r="F257">
        <v>0.90425530360693496</v>
      </c>
      <c r="G257">
        <v>6358.7315228733496</v>
      </c>
      <c r="H257">
        <v>881.62706236466101</v>
      </c>
      <c r="I257">
        <v>0.68975427234475195</v>
      </c>
      <c r="J257">
        <v>0.102804121712845</v>
      </c>
      <c r="K257">
        <v>0.71725317283350398</v>
      </c>
      <c r="L257" t="s">
        <v>45</v>
      </c>
      <c r="M257" t="s">
        <v>34</v>
      </c>
      <c r="N257" t="s">
        <v>35</v>
      </c>
      <c r="O257">
        <v>0.70352365591065302</v>
      </c>
      <c r="P257" t="s">
        <v>36</v>
      </c>
    </row>
    <row r="258" spans="1:16">
      <c r="A258">
        <v>257</v>
      </c>
      <c r="B258" t="s">
        <v>307</v>
      </c>
      <c r="C258">
        <v>43</v>
      </c>
      <c r="D258">
        <v>76</v>
      </c>
      <c r="E258">
        <v>50.479255477019898</v>
      </c>
      <c r="F258">
        <v>0.56753549188800401</v>
      </c>
      <c r="G258">
        <v>2001.3164404536899</v>
      </c>
      <c r="H258">
        <v>253.158556410437</v>
      </c>
      <c r="I258">
        <v>0.67901210162776604</v>
      </c>
      <c r="J258">
        <v>0.39241030702299101</v>
      </c>
      <c r="K258">
        <v>0.83050638376611396</v>
      </c>
      <c r="L258" t="s">
        <v>83</v>
      </c>
      <c r="M258" t="s">
        <v>34</v>
      </c>
      <c r="N258" t="s">
        <v>35</v>
      </c>
      <c r="O258">
        <v>0.73924433996057204</v>
      </c>
      <c r="P258" t="s">
        <v>36</v>
      </c>
    </row>
    <row r="259" spans="1:16">
      <c r="A259">
        <v>258</v>
      </c>
      <c r="B259" t="s">
        <v>308</v>
      </c>
      <c r="C259">
        <v>93</v>
      </c>
      <c r="D259">
        <v>123</v>
      </c>
      <c r="E259">
        <v>81.477848835428006</v>
      </c>
      <c r="F259">
        <v>0.75555555555555598</v>
      </c>
      <c r="G259">
        <v>5213.9755463137999</v>
      </c>
      <c r="H259">
        <v>659.28796111417898</v>
      </c>
      <c r="I259">
        <v>0.70925112663059797</v>
      </c>
      <c r="J259">
        <v>0.150740018136163</v>
      </c>
      <c r="K259">
        <v>0.60543301922612303</v>
      </c>
      <c r="L259" t="s">
        <v>33</v>
      </c>
      <c r="M259" t="s">
        <v>34</v>
      </c>
      <c r="N259" t="s">
        <v>35</v>
      </c>
      <c r="O259">
        <v>0.74749946486237295</v>
      </c>
      <c r="P259" t="s">
        <v>36</v>
      </c>
    </row>
    <row r="260" spans="1:16">
      <c r="A260">
        <v>259</v>
      </c>
      <c r="B260" t="s">
        <v>309</v>
      </c>
      <c r="C260">
        <v>52</v>
      </c>
      <c r="D260">
        <v>68</v>
      </c>
      <c r="E260">
        <v>55.401535134300197</v>
      </c>
      <c r="F260">
        <v>0.75387095497087198</v>
      </c>
      <c r="G260">
        <v>2410.6462196597399</v>
      </c>
      <c r="H260">
        <v>272.22511524625497</v>
      </c>
      <c r="I260">
        <v>0.80526209533724102</v>
      </c>
      <c r="J260">
        <v>0.40877748039175099</v>
      </c>
      <c r="K260">
        <v>0.84429984383133805</v>
      </c>
      <c r="L260" t="s">
        <v>33</v>
      </c>
      <c r="M260" t="s">
        <v>34</v>
      </c>
      <c r="N260" t="s">
        <v>35</v>
      </c>
      <c r="O260">
        <v>0.91290585683713898</v>
      </c>
      <c r="P260" t="s">
        <v>36</v>
      </c>
    </row>
    <row r="261" spans="1:16">
      <c r="A261">
        <v>260</v>
      </c>
      <c r="B261" t="s">
        <v>310</v>
      </c>
      <c r="C261">
        <v>103</v>
      </c>
      <c r="D261">
        <v>77</v>
      </c>
      <c r="E261">
        <v>70.537745331782403</v>
      </c>
      <c r="F261">
        <v>1.33098591549296</v>
      </c>
      <c r="G261">
        <v>3907.8063017013201</v>
      </c>
      <c r="H261">
        <v>575.58906661904405</v>
      </c>
      <c r="I261">
        <v>0.77486002578373003</v>
      </c>
      <c r="J261">
        <v>0.148223758409912</v>
      </c>
      <c r="K261">
        <v>0.61997736276174298</v>
      </c>
      <c r="L261" t="s">
        <v>45</v>
      </c>
      <c r="M261" t="s">
        <v>34</v>
      </c>
      <c r="N261" t="s">
        <v>35</v>
      </c>
      <c r="O261">
        <v>0.70128024638306097</v>
      </c>
      <c r="P261" t="s">
        <v>36</v>
      </c>
    </row>
    <row r="262" spans="1:16">
      <c r="A262">
        <v>261</v>
      </c>
      <c r="B262" t="s">
        <v>311</v>
      </c>
      <c r="C262">
        <v>160</v>
      </c>
      <c r="D262">
        <v>334</v>
      </c>
      <c r="E262">
        <v>169.31075375684301</v>
      </c>
      <c r="F262">
        <v>0.47862159241814001</v>
      </c>
      <c r="G262">
        <v>22514.326904347799</v>
      </c>
      <c r="H262">
        <v>2025.6361645304601</v>
      </c>
      <c r="I262">
        <v>0.62397408764277296</v>
      </c>
      <c r="J262">
        <v>6.8951853918954004E-2</v>
      </c>
      <c r="K262">
        <v>0.56460967318702304</v>
      </c>
      <c r="L262" t="s">
        <v>83</v>
      </c>
      <c r="M262" t="s">
        <v>34</v>
      </c>
      <c r="N262" t="s">
        <v>35</v>
      </c>
      <c r="O262">
        <v>0.71104769024236703</v>
      </c>
      <c r="P262" t="s">
        <v>36</v>
      </c>
    </row>
    <row r="263" spans="1:16">
      <c r="A263">
        <v>262</v>
      </c>
      <c r="B263" t="s">
        <v>312</v>
      </c>
      <c r="C263">
        <v>68</v>
      </c>
      <c r="D263">
        <v>134</v>
      </c>
      <c r="E263">
        <v>73.853625337676107</v>
      </c>
      <c r="F263">
        <v>0.50952931832116</v>
      </c>
      <c r="G263">
        <v>4283.8427364839299</v>
      </c>
      <c r="H263">
        <v>507.40754760348301</v>
      </c>
      <c r="I263">
        <v>0.72689272420497097</v>
      </c>
      <c r="J263">
        <v>0.209088206399453</v>
      </c>
      <c r="K263">
        <v>0.63748562328585301</v>
      </c>
      <c r="L263" t="s">
        <v>33</v>
      </c>
      <c r="M263" t="s">
        <v>34</v>
      </c>
      <c r="N263" t="s">
        <v>35</v>
      </c>
      <c r="O263">
        <v>0.917557752128352</v>
      </c>
      <c r="P263" t="s">
        <v>36</v>
      </c>
    </row>
    <row r="264" spans="1:16">
      <c r="A264">
        <v>263</v>
      </c>
      <c r="B264" t="s">
        <v>313</v>
      </c>
      <c r="C264">
        <v>43</v>
      </c>
      <c r="D264">
        <v>107</v>
      </c>
      <c r="E264">
        <v>59.715185539078</v>
      </c>
      <c r="F264">
        <v>0.39740859975187298</v>
      </c>
      <c r="G264">
        <v>2800.6539686200399</v>
      </c>
      <c r="H264">
        <v>328.21146732672401</v>
      </c>
      <c r="I264">
        <v>0.76131832809250499</v>
      </c>
      <c r="J264">
        <v>0.32670953986190299</v>
      </c>
      <c r="K264">
        <v>0.78817919437821604</v>
      </c>
      <c r="L264" t="s">
        <v>33</v>
      </c>
      <c r="M264" t="s">
        <v>34</v>
      </c>
      <c r="N264" t="s">
        <v>35</v>
      </c>
      <c r="O264">
        <v>0.94127149248743003</v>
      </c>
      <c r="P264" t="s">
        <v>36</v>
      </c>
    </row>
    <row r="265" spans="1:16">
      <c r="A265">
        <v>264</v>
      </c>
      <c r="B265" t="s">
        <v>314</v>
      </c>
      <c r="C265">
        <v>85</v>
      </c>
      <c r="D265">
        <v>60</v>
      </c>
      <c r="E265">
        <v>57.1882441169152</v>
      </c>
      <c r="F265">
        <v>1.4105691296531</v>
      </c>
      <c r="G265">
        <v>2568.6409746691902</v>
      </c>
      <c r="H265">
        <v>310.89680268785202</v>
      </c>
      <c r="I265">
        <v>0.68819990061695402</v>
      </c>
      <c r="J265">
        <v>0.33394947010700399</v>
      </c>
      <c r="K265">
        <v>0.75556332794124104</v>
      </c>
      <c r="L265" t="s">
        <v>33</v>
      </c>
      <c r="M265" t="s">
        <v>34</v>
      </c>
      <c r="N265" t="s">
        <v>35</v>
      </c>
      <c r="O265">
        <v>0.89095405732144195</v>
      </c>
      <c r="P265" t="s">
        <v>36</v>
      </c>
    </row>
    <row r="266" spans="1:16">
      <c r="A266">
        <v>265</v>
      </c>
      <c r="B266" t="s">
        <v>315</v>
      </c>
      <c r="C266">
        <v>91</v>
      </c>
      <c r="D266">
        <v>62</v>
      </c>
      <c r="E266">
        <v>58.042239422249203</v>
      </c>
      <c r="F266">
        <v>1.45563276371491</v>
      </c>
      <c r="G266">
        <v>2645.92909565217</v>
      </c>
      <c r="H266">
        <v>489.928491362074</v>
      </c>
      <c r="I266">
        <v>0.46326447535815002</v>
      </c>
      <c r="J266">
        <v>0.138523250411177</v>
      </c>
      <c r="K266">
        <v>0.63776734854727202</v>
      </c>
      <c r="L266" t="s">
        <v>33</v>
      </c>
      <c r="M266" t="s">
        <v>34</v>
      </c>
      <c r="N266" t="s">
        <v>35</v>
      </c>
      <c r="O266">
        <v>0.80809142495362696</v>
      </c>
      <c r="P266" t="s">
        <v>36</v>
      </c>
    </row>
    <row r="267" spans="1:16">
      <c r="A267">
        <v>266</v>
      </c>
      <c r="B267" t="s">
        <v>316</v>
      </c>
      <c r="C267">
        <v>64</v>
      </c>
      <c r="D267">
        <v>197</v>
      </c>
      <c r="E267">
        <v>81.794273357828104</v>
      </c>
      <c r="F267">
        <v>0.32241079553531699</v>
      </c>
      <c r="G267">
        <v>5254.5518098298699</v>
      </c>
      <c r="H267">
        <v>647.91151973154194</v>
      </c>
      <c r="I267">
        <v>0.54446964663173403</v>
      </c>
      <c r="J267">
        <v>0.157294718020969</v>
      </c>
      <c r="K267">
        <v>0.51935479132082696</v>
      </c>
      <c r="L267" t="s">
        <v>33</v>
      </c>
      <c r="M267" t="s">
        <v>34</v>
      </c>
      <c r="N267" t="s">
        <v>35</v>
      </c>
      <c r="O267">
        <v>0.94312488558213803</v>
      </c>
      <c r="P267" t="s">
        <v>36</v>
      </c>
    </row>
    <row r="268" spans="1:16">
      <c r="A268">
        <v>267</v>
      </c>
      <c r="B268" t="s">
        <v>317</v>
      </c>
      <c r="C268">
        <v>83</v>
      </c>
      <c r="D268">
        <v>63</v>
      </c>
      <c r="E268">
        <v>65.2878731880554</v>
      </c>
      <c r="F268">
        <v>1.31034482758621</v>
      </c>
      <c r="G268">
        <v>3347.76468657845</v>
      </c>
      <c r="H268">
        <v>471.95236730886501</v>
      </c>
      <c r="I268">
        <v>0.70059640911573895</v>
      </c>
      <c r="J268">
        <v>0.18887237884401101</v>
      </c>
      <c r="K268">
        <v>0.74326821541710697</v>
      </c>
      <c r="L268" t="s">
        <v>33</v>
      </c>
      <c r="M268" t="s">
        <v>34</v>
      </c>
      <c r="N268" t="s">
        <v>35</v>
      </c>
      <c r="O268">
        <v>0.93325453540363701</v>
      </c>
      <c r="P268" t="s">
        <v>36</v>
      </c>
    </row>
    <row r="269" spans="1:16">
      <c r="A269">
        <v>268</v>
      </c>
      <c r="B269" t="s">
        <v>318</v>
      </c>
      <c r="C269">
        <v>115</v>
      </c>
      <c r="D269">
        <v>132</v>
      </c>
      <c r="E269">
        <v>89.009284449645705</v>
      </c>
      <c r="F269">
        <v>0.87197990605169995</v>
      </c>
      <c r="G269">
        <v>6222.4368941398898</v>
      </c>
      <c r="H269">
        <v>651.43411260242101</v>
      </c>
      <c r="I269">
        <v>0.40711407162213697</v>
      </c>
      <c r="J269">
        <v>0.18425928059338101</v>
      </c>
      <c r="K269">
        <v>0.52730684938408401</v>
      </c>
      <c r="L269" t="s">
        <v>33</v>
      </c>
      <c r="M269" t="s">
        <v>34</v>
      </c>
      <c r="N269" t="s">
        <v>35</v>
      </c>
      <c r="O269">
        <v>0.94310268469887204</v>
      </c>
      <c r="P269" t="s">
        <v>36</v>
      </c>
    </row>
    <row r="270" spans="1:16">
      <c r="A270">
        <v>269</v>
      </c>
      <c r="B270" t="s">
        <v>319</v>
      </c>
      <c r="C270">
        <v>64</v>
      </c>
      <c r="D270">
        <v>49</v>
      </c>
      <c r="E270">
        <v>54.6154383303994</v>
      </c>
      <c r="F270">
        <v>1.3</v>
      </c>
      <c r="G270">
        <v>2342.7218517958399</v>
      </c>
      <c r="H270">
        <v>234.037200373774</v>
      </c>
      <c r="I270">
        <v>0.684706895650256</v>
      </c>
      <c r="J270">
        <v>0.53747813789935495</v>
      </c>
      <c r="K270">
        <v>0.90742659758203803</v>
      </c>
      <c r="L270" t="s">
        <v>52</v>
      </c>
      <c r="M270" t="s">
        <v>34</v>
      </c>
      <c r="N270" t="s">
        <v>35</v>
      </c>
      <c r="O270">
        <v>0.70355799694850496</v>
      </c>
      <c r="P270" t="s">
        <v>36</v>
      </c>
    </row>
    <row r="271" spans="1:16">
      <c r="A271">
        <v>270</v>
      </c>
      <c r="B271" t="s">
        <v>320</v>
      </c>
      <c r="C271">
        <v>118</v>
      </c>
      <c r="D271">
        <v>53</v>
      </c>
      <c r="E271">
        <v>61.226726154472601</v>
      </c>
      <c r="F271">
        <v>2.2136926831085799</v>
      </c>
      <c r="G271">
        <v>2944.2315164461302</v>
      </c>
      <c r="H271">
        <v>567.48165281015895</v>
      </c>
      <c r="I271">
        <v>0.760895904342336</v>
      </c>
      <c r="J271">
        <v>0.11488892646988499</v>
      </c>
      <c r="K271">
        <v>0.60389610389610404</v>
      </c>
      <c r="L271" t="s">
        <v>321</v>
      </c>
      <c r="M271" t="s">
        <v>34</v>
      </c>
      <c r="N271" t="s">
        <v>35</v>
      </c>
      <c r="O271">
        <v>0.79714683441987999</v>
      </c>
      <c r="P271" t="s">
        <v>36</v>
      </c>
    </row>
    <row r="272" spans="1:16">
      <c r="A272">
        <v>271</v>
      </c>
      <c r="B272" t="s">
        <v>322</v>
      </c>
      <c r="C272">
        <v>95</v>
      </c>
      <c r="D272">
        <v>59</v>
      </c>
      <c r="E272">
        <v>65.150044611246898</v>
      </c>
      <c r="F272">
        <v>1.59822202939725</v>
      </c>
      <c r="G272">
        <v>3333.6447413988699</v>
      </c>
      <c r="H272">
        <v>330.92150442341102</v>
      </c>
      <c r="I272">
        <v>0.68294110922629403</v>
      </c>
      <c r="J272">
        <v>0.38254206700716897</v>
      </c>
      <c r="K272">
        <v>0.82253924013495705</v>
      </c>
      <c r="L272" t="s">
        <v>33</v>
      </c>
      <c r="M272" t="s">
        <v>34</v>
      </c>
      <c r="N272" t="s">
        <v>35</v>
      </c>
      <c r="O272">
        <v>0.90656728491669203</v>
      </c>
      <c r="P272" t="s">
        <v>36</v>
      </c>
    </row>
    <row r="273" spans="1:16">
      <c r="A273">
        <v>272</v>
      </c>
      <c r="B273" t="s">
        <v>323</v>
      </c>
      <c r="C273">
        <v>93</v>
      </c>
      <c r="D273">
        <v>137</v>
      </c>
      <c r="E273">
        <v>77.049002629427505</v>
      </c>
      <c r="F273">
        <v>0.68148433921420604</v>
      </c>
      <c r="G273">
        <v>4662.5545293005698</v>
      </c>
      <c r="H273">
        <v>704.63454913429598</v>
      </c>
      <c r="I273">
        <v>0.59059183723160502</v>
      </c>
      <c r="J273">
        <v>0.11800649771699</v>
      </c>
      <c r="K273">
        <v>0.49832409334244099</v>
      </c>
      <c r="L273" t="s">
        <v>241</v>
      </c>
      <c r="M273" t="s">
        <v>34</v>
      </c>
      <c r="N273" t="s">
        <v>35</v>
      </c>
      <c r="O273">
        <v>0.78621315106304002</v>
      </c>
      <c r="P273" t="s">
        <v>36</v>
      </c>
    </row>
    <row r="274" spans="1:16">
      <c r="A274">
        <v>273</v>
      </c>
      <c r="B274" t="s">
        <v>324</v>
      </c>
      <c r="C274">
        <v>70</v>
      </c>
      <c r="D274">
        <v>94</v>
      </c>
      <c r="E274">
        <v>70.368522188366697</v>
      </c>
      <c r="F274">
        <v>0.75040958286596204</v>
      </c>
      <c r="G274">
        <v>3889.0787954631401</v>
      </c>
      <c r="H274">
        <v>378.47165948992199</v>
      </c>
      <c r="I274">
        <v>0.74552112987531205</v>
      </c>
      <c r="J274">
        <v>0.34118495919561698</v>
      </c>
      <c r="K274">
        <v>0.78390604871326297</v>
      </c>
      <c r="L274" t="s">
        <v>325</v>
      </c>
      <c r="M274" t="s">
        <v>34</v>
      </c>
      <c r="N274" t="s">
        <v>35</v>
      </c>
      <c r="O274">
        <v>0.68956206401374498</v>
      </c>
      <c r="P274" t="s">
        <v>36</v>
      </c>
    </row>
    <row r="275" spans="1:16">
      <c r="A275">
        <v>274</v>
      </c>
      <c r="B275" t="s">
        <v>326</v>
      </c>
      <c r="C275">
        <v>73</v>
      </c>
      <c r="D275">
        <v>97</v>
      </c>
      <c r="E275">
        <v>58.856526573927603</v>
      </c>
      <c r="F275">
        <v>0.75280894638386397</v>
      </c>
      <c r="G275">
        <v>2720.6904896030301</v>
      </c>
      <c r="H275">
        <v>710.38729953693303</v>
      </c>
      <c r="I275">
        <v>0.59293362701242802</v>
      </c>
      <c r="J275">
        <v>6.7748334895456702E-2</v>
      </c>
      <c r="K275">
        <v>0.44865196078431402</v>
      </c>
      <c r="L275" t="s">
        <v>169</v>
      </c>
      <c r="M275" t="s">
        <v>34</v>
      </c>
      <c r="N275" t="s">
        <v>35</v>
      </c>
      <c r="O275">
        <v>0.80324309068229305</v>
      </c>
      <c r="P275" t="s">
        <v>36</v>
      </c>
    </row>
    <row r="276" spans="1:16">
      <c r="A276">
        <v>275</v>
      </c>
      <c r="B276" t="s">
        <v>327</v>
      </c>
      <c r="C276">
        <v>250</v>
      </c>
      <c r="D276">
        <v>98</v>
      </c>
      <c r="E276">
        <v>98.201008791638401</v>
      </c>
      <c r="F276">
        <v>2.5418241867956901</v>
      </c>
      <c r="G276">
        <v>7573.9385943289199</v>
      </c>
      <c r="H276">
        <v>889.545770859718</v>
      </c>
      <c r="I276">
        <v>0.74034184166168704</v>
      </c>
      <c r="J276">
        <v>0.12028045027926999</v>
      </c>
      <c r="K276">
        <v>0.50429498852030696</v>
      </c>
      <c r="L276" t="s">
        <v>33</v>
      </c>
      <c r="M276" t="s">
        <v>34</v>
      </c>
      <c r="N276" t="s">
        <v>35</v>
      </c>
      <c r="O276">
        <v>0.88932439002944697</v>
      </c>
      <c r="P276" t="s">
        <v>36</v>
      </c>
    </row>
    <row r="277" spans="1:16">
      <c r="A277">
        <v>276</v>
      </c>
      <c r="B277" t="s">
        <v>328</v>
      </c>
      <c r="C277">
        <v>80</v>
      </c>
      <c r="D277">
        <v>45</v>
      </c>
      <c r="E277">
        <v>52.262245750454397</v>
      </c>
      <c r="F277">
        <v>1.79781417708529</v>
      </c>
      <c r="G277">
        <v>2145.1912502835498</v>
      </c>
      <c r="H277">
        <v>266.13417940005002</v>
      </c>
      <c r="I277">
        <v>0.61542333590140696</v>
      </c>
      <c r="J277">
        <v>0.38060507289259399</v>
      </c>
      <c r="K277">
        <v>0.82924446997989099</v>
      </c>
      <c r="L277" t="s">
        <v>75</v>
      </c>
      <c r="M277" t="s">
        <v>34</v>
      </c>
      <c r="N277" t="s">
        <v>35</v>
      </c>
      <c r="O277">
        <v>0.74831818889071</v>
      </c>
      <c r="P277" t="s">
        <v>36</v>
      </c>
    </row>
    <row r="278" spans="1:16">
      <c r="A278">
        <v>277</v>
      </c>
      <c r="B278" t="s">
        <v>329</v>
      </c>
      <c r="C278">
        <v>81</v>
      </c>
      <c r="D278">
        <v>93</v>
      </c>
      <c r="E278">
        <v>85.842145040502999</v>
      </c>
      <c r="F278">
        <v>0.86440689401994697</v>
      </c>
      <c r="G278">
        <v>5787.5</v>
      </c>
      <c r="H278">
        <v>328.49242150783499</v>
      </c>
      <c r="I278">
        <v>0.75165174804591905</v>
      </c>
      <c r="J278">
        <v>0.673984887808317</v>
      </c>
      <c r="K278">
        <v>0.90606653620352295</v>
      </c>
      <c r="L278" t="s">
        <v>33</v>
      </c>
      <c r="M278" t="s">
        <v>34</v>
      </c>
      <c r="N278" t="s">
        <v>35</v>
      </c>
      <c r="O278">
        <v>0.93032775530946199</v>
      </c>
      <c r="P278" t="s">
        <v>36</v>
      </c>
    </row>
    <row r="279" spans="1:16">
      <c r="A279">
        <v>278</v>
      </c>
      <c r="B279" t="s">
        <v>330</v>
      </c>
      <c r="C279">
        <v>74</v>
      </c>
      <c r="D279">
        <v>130</v>
      </c>
      <c r="E279">
        <v>83.590755821133399</v>
      </c>
      <c r="F279">
        <v>0.57293053830020602</v>
      </c>
      <c r="G279">
        <v>5487.90248279773</v>
      </c>
      <c r="H279">
        <v>437.68230472575101</v>
      </c>
      <c r="I279">
        <v>0.74190240869823798</v>
      </c>
      <c r="J279">
        <v>0.359996494891476</v>
      </c>
      <c r="K279">
        <v>0.74545234297712504</v>
      </c>
      <c r="L279" t="s">
        <v>331</v>
      </c>
      <c r="M279" t="s">
        <v>34</v>
      </c>
      <c r="N279" t="s">
        <v>35</v>
      </c>
      <c r="O279">
        <v>0.72552668688597999</v>
      </c>
      <c r="P279" t="s">
        <v>36</v>
      </c>
    </row>
    <row r="280" spans="1:16">
      <c r="A280">
        <v>279</v>
      </c>
      <c r="B280" t="s">
        <v>332</v>
      </c>
      <c r="C280">
        <v>58</v>
      </c>
      <c r="D280">
        <v>93</v>
      </c>
      <c r="E280">
        <v>54.867800784449102</v>
      </c>
      <c r="F280">
        <v>0.629411764705882</v>
      </c>
      <c r="G280">
        <v>2364.4219780718299</v>
      </c>
      <c r="H280">
        <v>689.82013502722202</v>
      </c>
      <c r="I280">
        <v>0.67369656984798598</v>
      </c>
      <c r="J280">
        <v>6.2440032165995099E-2</v>
      </c>
      <c r="K280">
        <v>0.54310197671639704</v>
      </c>
      <c r="L280" t="s">
        <v>33</v>
      </c>
      <c r="M280" t="s">
        <v>34</v>
      </c>
      <c r="N280" t="s">
        <v>35</v>
      </c>
      <c r="O280">
        <v>0.93298208368532998</v>
      </c>
      <c r="P280" t="s">
        <v>36</v>
      </c>
    </row>
    <row r="281" spans="1:16">
      <c r="A281">
        <v>280</v>
      </c>
      <c r="B281" t="s">
        <v>333</v>
      </c>
      <c r="C281">
        <v>118</v>
      </c>
      <c r="D281">
        <v>160</v>
      </c>
      <c r="E281">
        <v>108.776013682411</v>
      </c>
      <c r="F281">
        <v>0.74061438459364004</v>
      </c>
      <c r="G281">
        <v>9293.0047621928206</v>
      </c>
      <c r="H281">
        <v>774.83092988242299</v>
      </c>
      <c r="I281">
        <v>0.70868548158294198</v>
      </c>
      <c r="J281">
        <v>0.19451456505002701</v>
      </c>
      <c r="K281">
        <v>0.62564040986231195</v>
      </c>
      <c r="L281" t="s">
        <v>33</v>
      </c>
      <c r="M281" t="s">
        <v>34</v>
      </c>
      <c r="N281" t="s">
        <v>35</v>
      </c>
      <c r="O281">
        <v>0.95000160293355096</v>
      </c>
      <c r="P281" t="s">
        <v>36</v>
      </c>
    </row>
    <row r="282" spans="1:16">
      <c r="A282">
        <v>281</v>
      </c>
      <c r="B282" t="s">
        <v>334</v>
      </c>
      <c r="C282">
        <v>97</v>
      </c>
      <c r="D282">
        <v>56</v>
      </c>
      <c r="E282">
        <v>61.930487077685797</v>
      </c>
      <c r="F282">
        <v>1.7369618520536001</v>
      </c>
      <c r="G282">
        <v>3012.3045153119101</v>
      </c>
      <c r="H282">
        <v>321.03009669791101</v>
      </c>
      <c r="I282">
        <v>0.483338280788634</v>
      </c>
      <c r="J282">
        <v>0.36729687862424898</v>
      </c>
      <c r="K282">
        <v>0.79149418105131597</v>
      </c>
      <c r="L282" t="s">
        <v>96</v>
      </c>
      <c r="M282" t="s">
        <v>34</v>
      </c>
      <c r="N282" t="s">
        <v>35</v>
      </c>
      <c r="O282">
        <v>0.76104332154318999</v>
      </c>
      <c r="P282" t="s">
        <v>36</v>
      </c>
    </row>
    <row r="283" spans="1:16">
      <c r="A283">
        <v>282</v>
      </c>
      <c r="B283" t="s">
        <v>335</v>
      </c>
      <c r="C283">
        <v>72</v>
      </c>
      <c r="D283">
        <v>72</v>
      </c>
      <c r="E283">
        <v>61.384157306679597</v>
      </c>
      <c r="F283">
        <v>1.0010244414807199</v>
      </c>
      <c r="G283">
        <v>2959.3918786389399</v>
      </c>
      <c r="H283">
        <v>410.41364915215502</v>
      </c>
      <c r="I283">
        <v>0.52135714122049004</v>
      </c>
      <c r="J283">
        <v>0.22078458613913399</v>
      </c>
      <c r="K283">
        <v>0.64780713170223803</v>
      </c>
      <c r="L283" t="s">
        <v>33</v>
      </c>
      <c r="M283" t="s">
        <v>34</v>
      </c>
      <c r="N283" t="s">
        <v>35</v>
      </c>
      <c r="O283">
        <v>0.80024192704869102</v>
      </c>
      <c r="P283" t="s">
        <v>36</v>
      </c>
    </row>
    <row r="284" spans="1:16">
      <c r="A284">
        <v>283</v>
      </c>
      <c r="B284" t="s">
        <v>336</v>
      </c>
      <c r="C284">
        <v>155</v>
      </c>
      <c r="D284">
        <v>101</v>
      </c>
      <c r="E284">
        <v>88.136492408749504</v>
      </c>
      <c r="F284">
        <v>1.5369754370988999</v>
      </c>
      <c r="G284">
        <v>6101.0053655954598</v>
      </c>
      <c r="H284">
        <v>732.86524061182297</v>
      </c>
      <c r="I284">
        <v>0.55910590856002396</v>
      </c>
      <c r="J284">
        <v>0.14274569626599501</v>
      </c>
      <c r="K284">
        <v>0.59108647130823</v>
      </c>
      <c r="L284" t="s">
        <v>45</v>
      </c>
      <c r="M284" t="s">
        <v>34</v>
      </c>
      <c r="N284" t="s">
        <v>35</v>
      </c>
      <c r="O284">
        <v>0.65973984308991396</v>
      </c>
      <c r="P284" t="s">
        <v>36</v>
      </c>
    </row>
    <row r="285" spans="1:16">
      <c r="A285">
        <v>284</v>
      </c>
      <c r="B285" t="s">
        <v>337</v>
      </c>
      <c r="C285">
        <v>223</v>
      </c>
      <c r="D285">
        <v>65</v>
      </c>
      <c r="E285">
        <v>81.184670029602202</v>
      </c>
      <c r="F285">
        <v>3.4161652785753001</v>
      </c>
      <c r="G285">
        <v>5176.5205338374299</v>
      </c>
      <c r="H285">
        <v>734.90441605567901</v>
      </c>
      <c r="I285">
        <v>0.82311070844241896</v>
      </c>
      <c r="J285">
        <v>0.12044425535659101</v>
      </c>
      <c r="K285">
        <v>0.54902578977236904</v>
      </c>
      <c r="L285" t="s">
        <v>45</v>
      </c>
      <c r="M285" t="s">
        <v>34</v>
      </c>
      <c r="N285" t="s">
        <v>35</v>
      </c>
      <c r="O285">
        <v>0.91018953221711796</v>
      </c>
      <c r="P285" t="s">
        <v>36</v>
      </c>
    </row>
    <row r="286" spans="1:16">
      <c r="A286">
        <v>285</v>
      </c>
      <c r="B286" t="s">
        <v>338</v>
      </c>
      <c r="C286">
        <v>87</v>
      </c>
      <c r="D286">
        <v>88</v>
      </c>
      <c r="E286">
        <v>82.5977885710207</v>
      </c>
      <c r="F286">
        <v>0.98148148148148195</v>
      </c>
      <c r="G286">
        <v>5358.2962491493399</v>
      </c>
      <c r="H286">
        <v>335.54231808527697</v>
      </c>
      <c r="I286">
        <v>0.63682466084519096</v>
      </c>
      <c r="J286">
        <v>0.59805618228235802</v>
      </c>
      <c r="K286">
        <v>0.90132006600329995</v>
      </c>
      <c r="L286" t="s">
        <v>132</v>
      </c>
      <c r="M286" t="s">
        <v>34</v>
      </c>
      <c r="N286" t="s">
        <v>35</v>
      </c>
      <c r="O286">
        <v>0.69242504180064901</v>
      </c>
      <c r="P286" t="s">
        <v>36</v>
      </c>
    </row>
    <row r="287" spans="1:16">
      <c r="A287">
        <v>286</v>
      </c>
      <c r="B287" t="s">
        <v>339</v>
      </c>
      <c r="C287">
        <v>197</v>
      </c>
      <c r="D287">
        <v>96</v>
      </c>
      <c r="E287">
        <v>108.12426521997</v>
      </c>
      <c r="F287">
        <v>2.0442634876838901</v>
      </c>
      <c r="G287">
        <v>9181.9774037807201</v>
      </c>
      <c r="H287">
        <v>725.06780553102499</v>
      </c>
      <c r="I287">
        <v>0.77922859490142005</v>
      </c>
      <c r="J287">
        <v>0.21947691126595301</v>
      </c>
      <c r="K287">
        <v>0.62337413345980397</v>
      </c>
      <c r="L287" t="s">
        <v>340</v>
      </c>
      <c r="M287" t="s">
        <v>34</v>
      </c>
      <c r="N287" t="s">
        <v>35</v>
      </c>
      <c r="O287">
        <v>0.69729374602851402</v>
      </c>
      <c r="P287" t="s">
        <v>36</v>
      </c>
    </row>
    <row r="288" spans="1:16">
      <c r="A288">
        <v>287</v>
      </c>
      <c r="B288" t="s">
        <v>341</v>
      </c>
      <c r="C288">
        <v>53</v>
      </c>
      <c r="D288">
        <v>107</v>
      </c>
      <c r="E288">
        <v>53.528742580604501</v>
      </c>
      <c r="F288">
        <v>0.49489795918367302</v>
      </c>
      <c r="G288">
        <v>2250.4219996219299</v>
      </c>
      <c r="H288">
        <v>464.748299198876</v>
      </c>
      <c r="I288">
        <v>0.67649254998066</v>
      </c>
      <c r="J288">
        <v>0.13092971139530399</v>
      </c>
      <c r="K288">
        <v>0.53888315478520799</v>
      </c>
      <c r="L288" t="s">
        <v>132</v>
      </c>
      <c r="M288" t="s">
        <v>34</v>
      </c>
      <c r="N288" t="s">
        <v>35</v>
      </c>
      <c r="O288">
        <v>0.802601365501595</v>
      </c>
      <c r="P288" t="s">
        <v>36</v>
      </c>
    </row>
    <row r="289" spans="1:16">
      <c r="A289">
        <v>288</v>
      </c>
      <c r="B289" t="s">
        <v>342</v>
      </c>
      <c r="C289">
        <v>98</v>
      </c>
      <c r="D289">
        <v>88</v>
      </c>
      <c r="E289">
        <v>98.787982673828694</v>
      </c>
      <c r="F289">
        <v>1.1118012634279699</v>
      </c>
      <c r="G289">
        <v>7664.7521364839304</v>
      </c>
      <c r="H289">
        <v>487.94411311906299</v>
      </c>
      <c r="I289">
        <v>0.53256936737864702</v>
      </c>
      <c r="J289">
        <v>0.40454590898092802</v>
      </c>
      <c r="K289">
        <v>0.92061196800914002</v>
      </c>
      <c r="L289" t="s">
        <v>33</v>
      </c>
      <c r="M289" t="s">
        <v>34</v>
      </c>
      <c r="N289" t="s">
        <v>35</v>
      </c>
      <c r="O289">
        <v>0.92576418713810904</v>
      </c>
      <c r="P289" t="s">
        <v>36</v>
      </c>
    </row>
    <row r="290" spans="1:16">
      <c r="A290">
        <v>289</v>
      </c>
      <c r="B290" t="s">
        <v>343</v>
      </c>
      <c r="C290">
        <v>75</v>
      </c>
      <c r="D290">
        <v>83</v>
      </c>
      <c r="E290">
        <v>67.163846470057706</v>
      </c>
      <c r="F290">
        <v>0.90789471834980195</v>
      </c>
      <c r="G290">
        <v>3542.9171920604899</v>
      </c>
      <c r="H290">
        <v>644.82502769335497</v>
      </c>
      <c r="I290">
        <v>0.66059835766553199</v>
      </c>
      <c r="J290">
        <v>0.107074756359243</v>
      </c>
      <c r="K290">
        <v>0.68033792847561103</v>
      </c>
      <c r="L290" t="s">
        <v>33</v>
      </c>
      <c r="M290" t="s">
        <v>34</v>
      </c>
      <c r="N290" t="s">
        <v>35</v>
      </c>
      <c r="O290">
        <v>0.93851120848344405</v>
      </c>
      <c r="P290" t="s">
        <v>36</v>
      </c>
    </row>
    <row r="291" spans="1:16">
      <c r="A291">
        <v>290</v>
      </c>
      <c r="B291" t="s">
        <v>344</v>
      </c>
      <c r="C291">
        <v>88</v>
      </c>
      <c r="D291">
        <v>118</v>
      </c>
      <c r="E291">
        <v>70.220454280535805</v>
      </c>
      <c r="F291">
        <v>0.74242846552332697</v>
      </c>
      <c r="G291">
        <v>3872.7293852552002</v>
      </c>
      <c r="H291">
        <v>681.89040806355695</v>
      </c>
      <c r="I291">
        <v>0.54853977016436095</v>
      </c>
      <c r="J291">
        <v>0.10466412620453699</v>
      </c>
      <c r="K291">
        <v>0.504199078911723</v>
      </c>
      <c r="L291" t="s">
        <v>33</v>
      </c>
      <c r="M291" t="s">
        <v>34</v>
      </c>
      <c r="N291" t="s">
        <v>35</v>
      </c>
      <c r="O291">
        <v>0.94024855087063497</v>
      </c>
      <c r="P291" t="s">
        <v>36</v>
      </c>
    </row>
    <row r="292" spans="1:16">
      <c r="A292">
        <v>291</v>
      </c>
      <c r="B292" t="s">
        <v>345</v>
      </c>
      <c r="C292">
        <v>107</v>
      </c>
      <c r="D292">
        <v>131</v>
      </c>
      <c r="E292">
        <v>97.781934540441299</v>
      </c>
      <c r="F292">
        <v>0.81475633485574905</v>
      </c>
      <c r="G292">
        <v>7509.4327395085102</v>
      </c>
      <c r="H292">
        <v>624.22804023804895</v>
      </c>
      <c r="I292">
        <v>0.50968909565626397</v>
      </c>
      <c r="J292">
        <v>0.24217563622045801</v>
      </c>
      <c r="K292">
        <v>0.70798593108473595</v>
      </c>
      <c r="L292" t="s">
        <v>33</v>
      </c>
      <c r="M292" t="s">
        <v>34</v>
      </c>
      <c r="N292" t="s">
        <v>35</v>
      </c>
      <c r="O292">
        <v>0.92725521646298503</v>
      </c>
      <c r="P292" t="s">
        <v>36</v>
      </c>
    </row>
    <row r="293" spans="1:16">
      <c r="A293">
        <v>292</v>
      </c>
      <c r="B293" t="s">
        <v>346</v>
      </c>
      <c r="C293">
        <v>82</v>
      </c>
      <c r="D293">
        <v>99</v>
      </c>
      <c r="E293">
        <v>74.593021387006999</v>
      </c>
      <c r="F293">
        <v>0.82407081384611802</v>
      </c>
      <c r="G293">
        <v>4370.0487175803401</v>
      </c>
      <c r="H293">
        <v>662.26258197660002</v>
      </c>
      <c r="I293">
        <v>0.64004020011635598</v>
      </c>
      <c r="J293">
        <v>0.12520904601337501</v>
      </c>
      <c r="K293">
        <v>0.72215945375055302</v>
      </c>
      <c r="L293" t="s">
        <v>33</v>
      </c>
      <c r="M293" t="s">
        <v>34</v>
      </c>
      <c r="N293" t="s">
        <v>35</v>
      </c>
      <c r="O293">
        <v>0.93261452925875898</v>
      </c>
      <c r="P293" t="s">
        <v>36</v>
      </c>
    </row>
    <row r="294" spans="1:16">
      <c r="A294">
        <v>293</v>
      </c>
      <c r="B294" t="s">
        <v>347</v>
      </c>
      <c r="C294">
        <v>141</v>
      </c>
      <c r="D294">
        <v>138</v>
      </c>
      <c r="E294">
        <v>102.86925079356899</v>
      </c>
      <c r="F294">
        <v>1.0237152972575301</v>
      </c>
      <c r="G294">
        <v>8311.1483637051006</v>
      </c>
      <c r="H294">
        <v>805.51809315951004</v>
      </c>
      <c r="I294">
        <v>0.507223815740797</v>
      </c>
      <c r="J294">
        <v>0.16096086582948499</v>
      </c>
      <c r="K294">
        <v>0.56547944097243297</v>
      </c>
      <c r="L294" t="s">
        <v>132</v>
      </c>
      <c r="M294" t="s">
        <v>34</v>
      </c>
      <c r="N294" t="s">
        <v>35</v>
      </c>
      <c r="O294">
        <v>0.76676843812366602</v>
      </c>
      <c r="P294" t="s">
        <v>36</v>
      </c>
    </row>
    <row r="295" spans="1:16">
      <c r="A295">
        <v>294</v>
      </c>
      <c r="B295" t="s">
        <v>348</v>
      </c>
      <c r="C295">
        <v>138</v>
      </c>
      <c r="D295">
        <v>135</v>
      </c>
      <c r="E295">
        <v>96.378405210147307</v>
      </c>
      <c r="F295">
        <v>1.02142039571843</v>
      </c>
      <c r="G295">
        <v>7295.4040967863903</v>
      </c>
      <c r="H295">
        <v>789.50364986813599</v>
      </c>
      <c r="I295">
        <v>0.51075056125121798</v>
      </c>
      <c r="J295">
        <v>0.147079089461671</v>
      </c>
      <c r="K295">
        <v>0.51138222393548904</v>
      </c>
      <c r="L295" t="s">
        <v>33</v>
      </c>
      <c r="M295" t="s">
        <v>34</v>
      </c>
      <c r="N295" t="s">
        <v>35</v>
      </c>
      <c r="O295">
        <v>0.93146481317018104</v>
      </c>
      <c r="P295" t="s">
        <v>36</v>
      </c>
    </row>
    <row r="296" spans="1:16">
      <c r="A296">
        <v>295</v>
      </c>
      <c r="B296" t="s">
        <v>349</v>
      </c>
      <c r="C296">
        <v>104</v>
      </c>
      <c r="D296">
        <v>222</v>
      </c>
      <c r="E296">
        <v>105.91923816579499</v>
      </c>
      <c r="F296">
        <v>0.46877626333359201</v>
      </c>
      <c r="G296">
        <v>8811.2916850661604</v>
      </c>
      <c r="H296">
        <v>930.62530267829504</v>
      </c>
      <c r="I296">
        <v>0.79989504728584204</v>
      </c>
      <c r="J296">
        <v>0.12784970477194599</v>
      </c>
      <c r="K296">
        <v>0.44422380913130499</v>
      </c>
      <c r="L296" t="s">
        <v>33</v>
      </c>
      <c r="M296" t="s">
        <v>34</v>
      </c>
      <c r="N296" t="s">
        <v>35</v>
      </c>
      <c r="O296">
        <v>0.94993297806453603</v>
      </c>
      <c r="P296" t="s">
        <v>36</v>
      </c>
    </row>
    <row r="297" spans="1:16">
      <c r="A297">
        <v>296</v>
      </c>
      <c r="B297" t="s">
        <v>350</v>
      </c>
      <c r="C297">
        <v>100</v>
      </c>
      <c r="D297">
        <v>84</v>
      </c>
      <c r="E297">
        <v>75.928221148082201</v>
      </c>
      <c r="F297">
        <v>1.1884058172371901</v>
      </c>
      <c r="G297">
        <v>4527.8948415879004</v>
      </c>
      <c r="H297">
        <v>452.28693226793501</v>
      </c>
      <c r="I297">
        <v>0.575509487744151</v>
      </c>
      <c r="J297">
        <v>0.27814939261872401</v>
      </c>
      <c r="K297">
        <v>0.709570726480796</v>
      </c>
      <c r="L297" t="s">
        <v>132</v>
      </c>
      <c r="M297" t="s">
        <v>34</v>
      </c>
      <c r="N297" t="s">
        <v>35</v>
      </c>
      <c r="O297">
        <v>0.66778023585967405</v>
      </c>
      <c r="P297" t="s">
        <v>36</v>
      </c>
    </row>
    <row r="298" spans="1:16">
      <c r="A298">
        <v>297</v>
      </c>
      <c r="B298" t="s">
        <v>351</v>
      </c>
      <c r="C298">
        <v>85</v>
      </c>
      <c r="D298">
        <v>142</v>
      </c>
      <c r="E298">
        <v>78.960721678679306</v>
      </c>
      <c r="F298">
        <v>0.59774028245210298</v>
      </c>
      <c r="G298">
        <v>4896.7969882797697</v>
      </c>
      <c r="H298">
        <v>579.64082702139206</v>
      </c>
      <c r="I298">
        <v>0.68270463676667303</v>
      </c>
      <c r="J298">
        <v>0.18314877936469201</v>
      </c>
      <c r="K298">
        <v>0.57879203120058997</v>
      </c>
      <c r="L298" t="s">
        <v>33</v>
      </c>
      <c r="M298" t="s">
        <v>34</v>
      </c>
      <c r="N298" t="s">
        <v>35</v>
      </c>
      <c r="O298">
        <v>0.94658604547198499</v>
      </c>
      <c r="P298" t="s">
        <v>36</v>
      </c>
    </row>
    <row r="299" spans="1:16">
      <c r="A299">
        <v>298</v>
      </c>
      <c r="B299" t="s">
        <v>352</v>
      </c>
      <c r="C299">
        <v>92</v>
      </c>
      <c r="D299">
        <v>78</v>
      </c>
      <c r="E299">
        <v>66.516902223705799</v>
      </c>
      <c r="F299">
        <v>1.1818181818181801</v>
      </c>
      <c r="G299">
        <v>3474.9928241965999</v>
      </c>
      <c r="H299">
        <v>680.83207300061804</v>
      </c>
      <c r="I299">
        <v>0.68225583004042301</v>
      </c>
      <c r="J299">
        <v>9.4207127779037295E-2</v>
      </c>
      <c r="K299">
        <v>0.60321473722232299</v>
      </c>
      <c r="L299" t="s">
        <v>132</v>
      </c>
      <c r="M299" t="s">
        <v>34</v>
      </c>
      <c r="N299" t="s">
        <v>35</v>
      </c>
      <c r="O299">
        <v>0.80492612201636204</v>
      </c>
      <c r="P299" t="s">
        <v>36</v>
      </c>
    </row>
    <row r="300" spans="1:16">
      <c r="A300">
        <v>299</v>
      </c>
      <c r="B300" t="s">
        <v>353</v>
      </c>
      <c r="C300">
        <v>133</v>
      </c>
      <c r="D300">
        <v>73</v>
      </c>
      <c r="E300">
        <v>84.088468674705396</v>
      </c>
      <c r="F300">
        <v>1.8237962971314201</v>
      </c>
      <c r="G300">
        <v>5553.4487546313803</v>
      </c>
      <c r="H300">
        <v>402.65609979940501</v>
      </c>
      <c r="I300">
        <v>0.56186745089832102</v>
      </c>
      <c r="J300">
        <v>0.430431520879825</v>
      </c>
      <c r="K300">
        <v>0.77012181297277205</v>
      </c>
      <c r="L300" t="s">
        <v>33</v>
      </c>
      <c r="M300" t="s">
        <v>34</v>
      </c>
      <c r="N300" t="s">
        <v>35</v>
      </c>
      <c r="O300">
        <v>0.95605443128655798</v>
      </c>
      <c r="P300" t="s">
        <v>36</v>
      </c>
    </row>
    <row r="301" spans="1:16">
      <c r="A301">
        <v>300</v>
      </c>
      <c r="B301" t="s">
        <v>354</v>
      </c>
      <c r="C301">
        <v>58</v>
      </c>
      <c r="D301">
        <v>59</v>
      </c>
      <c r="E301">
        <v>59.201164998851397</v>
      </c>
      <c r="F301">
        <v>0.99074074074074103</v>
      </c>
      <c r="G301">
        <v>2752.64615500945</v>
      </c>
      <c r="H301">
        <v>246.93532868136501</v>
      </c>
      <c r="I301">
        <v>0.68590449898999495</v>
      </c>
      <c r="J301">
        <v>0.567275196780338</v>
      </c>
      <c r="K301">
        <v>0.93445683435087501</v>
      </c>
      <c r="L301" t="s">
        <v>52</v>
      </c>
      <c r="M301" t="s">
        <v>34</v>
      </c>
      <c r="N301" t="s">
        <v>35</v>
      </c>
      <c r="O301">
        <v>0.773802150047879</v>
      </c>
      <c r="P301" t="s">
        <v>36</v>
      </c>
    </row>
    <row r="302" spans="1:16">
      <c r="A302">
        <v>301</v>
      </c>
      <c r="B302" t="s">
        <v>355</v>
      </c>
      <c r="C302">
        <v>44</v>
      </c>
      <c r="D302">
        <v>74</v>
      </c>
      <c r="E302">
        <v>50.7316767005941</v>
      </c>
      <c r="F302">
        <v>0.6</v>
      </c>
      <c r="G302">
        <v>2021.3816257088799</v>
      </c>
      <c r="H302">
        <v>238.92810703567801</v>
      </c>
      <c r="I302">
        <v>0.78111345665426402</v>
      </c>
      <c r="J302">
        <v>0.44496278838867798</v>
      </c>
      <c r="K302">
        <v>0.87707984006191198</v>
      </c>
      <c r="L302" t="s">
        <v>33</v>
      </c>
      <c r="M302" t="s">
        <v>34</v>
      </c>
      <c r="N302" t="s">
        <v>35</v>
      </c>
      <c r="O302">
        <v>0.91096193118568602</v>
      </c>
      <c r="P302" t="s">
        <v>36</v>
      </c>
    </row>
    <row r="303" spans="1:16">
      <c r="A303">
        <v>302</v>
      </c>
      <c r="B303" t="s">
        <v>356</v>
      </c>
      <c r="C303">
        <v>53</v>
      </c>
      <c r="D303">
        <v>57</v>
      </c>
      <c r="E303">
        <v>52.026346766685798</v>
      </c>
      <c r="F303">
        <v>0.92862291570516997</v>
      </c>
      <c r="G303">
        <v>2125.86922003781</v>
      </c>
      <c r="H303">
        <v>246.693442396807</v>
      </c>
      <c r="I303">
        <v>0.74450251619016405</v>
      </c>
      <c r="J303">
        <v>0.43896631749384901</v>
      </c>
      <c r="K303">
        <v>0.83200511895759399</v>
      </c>
      <c r="L303" t="s">
        <v>33</v>
      </c>
      <c r="M303" t="s">
        <v>34</v>
      </c>
      <c r="N303" t="s">
        <v>35</v>
      </c>
      <c r="O303">
        <v>0.79111887166808403</v>
      </c>
      <c r="P303" t="s">
        <v>36</v>
      </c>
    </row>
    <row r="304" spans="1:16">
      <c r="A304">
        <v>303</v>
      </c>
      <c r="B304" t="s">
        <v>357</v>
      </c>
      <c r="C304">
        <v>85</v>
      </c>
      <c r="D304">
        <v>119</v>
      </c>
      <c r="E304">
        <v>76.839947412975604</v>
      </c>
      <c r="F304">
        <v>0.71336354020016601</v>
      </c>
      <c r="G304">
        <v>4637.2872589792096</v>
      </c>
      <c r="H304">
        <v>497.42762672735302</v>
      </c>
      <c r="I304">
        <v>0.61239991571011199</v>
      </c>
      <c r="J304">
        <v>0.23551255250359401</v>
      </c>
      <c r="K304">
        <v>0.63652684837604001</v>
      </c>
      <c r="L304" t="s">
        <v>321</v>
      </c>
      <c r="M304" t="s">
        <v>34</v>
      </c>
      <c r="N304" t="s">
        <v>35</v>
      </c>
      <c r="O304">
        <v>0.70762932643336696</v>
      </c>
      <c r="P304" t="s">
        <v>36</v>
      </c>
    </row>
    <row r="305" spans="1:16">
      <c r="A305">
        <v>304</v>
      </c>
      <c r="B305" t="s">
        <v>358</v>
      </c>
      <c r="C305">
        <v>152</v>
      </c>
      <c r="D305">
        <v>144</v>
      </c>
      <c r="E305">
        <v>120.725841528641</v>
      </c>
      <c r="F305">
        <v>1.04905660377358</v>
      </c>
      <c r="G305">
        <v>11446.965241587901</v>
      </c>
      <c r="H305">
        <v>851.76802687852296</v>
      </c>
      <c r="I305">
        <v>0.53206145574966102</v>
      </c>
      <c r="J305">
        <v>0.19827025290922901</v>
      </c>
      <c r="K305">
        <v>0.63109763592412005</v>
      </c>
      <c r="L305" t="s">
        <v>33</v>
      </c>
      <c r="M305" t="s">
        <v>34</v>
      </c>
      <c r="N305" t="s">
        <v>35</v>
      </c>
      <c r="O305">
        <v>0.93922494063665596</v>
      </c>
      <c r="P305" t="s">
        <v>36</v>
      </c>
    </row>
    <row r="306" spans="1:16">
      <c r="A306">
        <v>305</v>
      </c>
      <c r="B306" t="s">
        <v>359</v>
      </c>
      <c r="C306">
        <v>90</v>
      </c>
      <c r="D306">
        <v>80</v>
      </c>
      <c r="E306">
        <v>82.340758896883798</v>
      </c>
      <c r="F306">
        <v>1.125</v>
      </c>
      <c r="G306">
        <v>5325</v>
      </c>
      <c r="H306">
        <v>313.13708305358898</v>
      </c>
      <c r="I306">
        <v>0.69686953560986598</v>
      </c>
      <c r="J306">
        <v>0.68243371205720205</v>
      </c>
      <c r="K306">
        <v>0.89495798319327702</v>
      </c>
      <c r="L306" t="s">
        <v>33</v>
      </c>
      <c r="M306" t="s">
        <v>34</v>
      </c>
      <c r="N306" t="s">
        <v>35</v>
      </c>
      <c r="O306">
        <v>0.91569273806840101</v>
      </c>
      <c r="P306" t="s">
        <v>36</v>
      </c>
    </row>
    <row r="307" spans="1:16">
      <c r="A307">
        <v>306</v>
      </c>
      <c r="B307" t="s">
        <v>360</v>
      </c>
      <c r="C307">
        <v>163</v>
      </c>
      <c r="D307">
        <v>74</v>
      </c>
      <c r="E307">
        <v>70.995032063878199</v>
      </c>
      <c r="F307">
        <v>2.1972673263198201</v>
      </c>
      <c r="G307">
        <v>3958.63810434783</v>
      </c>
      <c r="H307">
        <v>677.10909580334396</v>
      </c>
      <c r="I307">
        <v>0.54851610961266795</v>
      </c>
      <c r="J307">
        <v>0.108502156272217</v>
      </c>
      <c r="K307">
        <v>0.459001137421156</v>
      </c>
      <c r="L307" t="s">
        <v>33</v>
      </c>
      <c r="M307" t="s">
        <v>34</v>
      </c>
      <c r="N307" t="s">
        <v>35</v>
      </c>
      <c r="O307">
        <v>0.93978673698125603</v>
      </c>
      <c r="P307" t="s">
        <v>36</v>
      </c>
    </row>
    <row r="308" spans="1:16">
      <c r="A308">
        <v>307</v>
      </c>
      <c r="B308" t="s">
        <v>361</v>
      </c>
      <c r="C308">
        <v>93</v>
      </c>
      <c r="D308">
        <v>107</v>
      </c>
      <c r="E308">
        <v>76.327201754806794</v>
      </c>
      <c r="F308">
        <v>0.86294416243654803</v>
      </c>
      <c r="G308">
        <v>4575.6053931947099</v>
      </c>
      <c r="H308">
        <v>728.38222806712895</v>
      </c>
      <c r="I308">
        <v>0.69884955798576998</v>
      </c>
      <c r="J308">
        <v>0.108377653947185</v>
      </c>
      <c r="K308">
        <v>0.57581879056543805</v>
      </c>
      <c r="L308" t="s">
        <v>33</v>
      </c>
      <c r="M308" t="s">
        <v>34</v>
      </c>
      <c r="N308" t="s">
        <v>35</v>
      </c>
      <c r="O308">
        <v>0.94711495128144596</v>
      </c>
      <c r="P308" t="s">
        <v>36</v>
      </c>
    </row>
    <row r="309" spans="1:16">
      <c r="A309">
        <v>308</v>
      </c>
      <c r="B309" t="s">
        <v>362</v>
      </c>
      <c r="C309">
        <v>166</v>
      </c>
      <c r="D309">
        <v>186</v>
      </c>
      <c r="E309">
        <v>119.13528104021501</v>
      </c>
      <c r="F309">
        <v>0.89442813359649498</v>
      </c>
      <c r="G309">
        <v>11147.325141776901</v>
      </c>
      <c r="H309">
        <v>1964.43563181732</v>
      </c>
      <c r="I309">
        <v>0.64380182814354703</v>
      </c>
      <c r="J309">
        <v>3.6299858053895802E-2</v>
      </c>
      <c r="K309">
        <v>0.41349424691671099</v>
      </c>
      <c r="L309" t="s">
        <v>33</v>
      </c>
      <c r="M309" t="s">
        <v>34</v>
      </c>
      <c r="N309" t="s">
        <v>35</v>
      </c>
      <c r="O309">
        <v>0.94274955026893004</v>
      </c>
      <c r="P309" t="s">
        <v>36</v>
      </c>
    </row>
    <row r="310" spans="1:16">
      <c r="A310">
        <v>309</v>
      </c>
      <c r="B310" t="s">
        <v>363</v>
      </c>
      <c r="C310">
        <v>85</v>
      </c>
      <c r="D310">
        <v>123</v>
      </c>
      <c r="E310">
        <v>88.168693878229604</v>
      </c>
      <c r="F310">
        <v>0.69163752246701204</v>
      </c>
      <c r="G310">
        <v>6105.4642956521702</v>
      </c>
      <c r="H310">
        <v>466.50797940420102</v>
      </c>
      <c r="I310">
        <v>0.62563470548420697</v>
      </c>
      <c r="J310">
        <v>0.35254162886899698</v>
      </c>
      <c r="K310">
        <v>0.77954265110541798</v>
      </c>
      <c r="L310" t="s">
        <v>33</v>
      </c>
      <c r="M310" t="s">
        <v>34</v>
      </c>
      <c r="N310" t="s">
        <v>35</v>
      </c>
      <c r="O310">
        <v>0.93893434242824803</v>
      </c>
      <c r="P310" t="s">
        <v>36</v>
      </c>
    </row>
    <row r="311" spans="1:16">
      <c r="A311">
        <v>310</v>
      </c>
      <c r="B311" t="s">
        <v>364</v>
      </c>
      <c r="C311">
        <v>88</v>
      </c>
      <c r="D311">
        <v>58</v>
      </c>
      <c r="E311">
        <v>62.2033737289442</v>
      </c>
      <c r="F311">
        <v>1.5188679245283001</v>
      </c>
      <c r="G311">
        <v>3038.9094646502799</v>
      </c>
      <c r="H311">
        <v>385.15596230693501</v>
      </c>
      <c r="I311">
        <v>0.649605097703015</v>
      </c>
      <c r="J311">
        <v>0.257427165828154</v>
      </c>
      <c r="K311">
        <v>0.73919016630513401</v>
      </c>
      <c r="L311" t="s">
        <v>33</v>
      </c>
      <c r="M311" t="s">
        <v>34</v>
      </c>
      <c r="N311" t="s">
        <v>35</v>
      </c>
      <c r="O311">
        <v>0.92773388924049305</v>
      </c>
      <c r="P311" t="s">
        <v>36</v>
      </c>
    </row>
    <row r="312" spans="1:16">
      <c r="A312">
        <v>311</v>
      </c>
      <c r="B312" t="s">
        <v>365</v>
      </c>
      <c r="C312">
        <v>79</v>
      </c>
      <c r="D312">
        <v>111</v>
      </c>
      <c r="E312">
        <v>68.855657731059793</v>
      </c>
      <c r="F312">
        <v>0.70639779335513397</v>
      </c>
      <c r="G312">
        <v>3723.6524903591699</v>
      </c>
      <c r="H312">
        <v>719.43956100287699</v>
      </c>
      <c r="I312">
        <v>0.69221059808552798</v>
      </c>
      <c r="J312">
        <v>9.0404568347391398E-2</v>
      </c>
      <c r="K312">
        <v>0.52573814869997704</v>
      </c>
      <c r="L312" t="s">
        <v>33</v>
      </c>
      <c r="M312" t="s">
        <v>34</v>
      </c>
      <c r="N312" t="s">
        <v>35</v>
      </c>
      <c r="O312">
        <v>0.93667146135541701</v>
      </c>
      <c r="P312" t="s">
        <v>36</v>
      </c>
    </row>
    <row r="313" spans="1:16">
      <c r="A313">
        <v>312</v>
      </c>
      <c r="B313" t="s">
        <v>366</v>
      </c>
      <c r="C313">
        <v>78</v>
      </c>
      <c r="D313">
        <v>117</v>
      </c>
      <c r="E313">
        <v>85.317276797582807</v>
      </c>
      <c r="F313">
        <v>0.66822425175237199</v>
      </c>
      <c r="G313">
        <v>5716.9428567107798</v>
      </c>
      <c r="H313">
        <v>599.39154275272199</v>
      </c>
      <c r="I313">
        <v>0.62360165401746104</v>
      </c>
      <c r="J313">
        <v>0.199964312137804</v>
      </c>
      <c r="K313">
        <v>0.78866539541940905</v>
      </c>
      <c r="L313" t="s">
        <v>33</v>
      </c>
      <c r="M313" t="s">
        <v>34</v>
      </c>
      <c r="N313" t="s">
        <v>35</v>
      </c>
      <c r="O313">
        <v>0.94665143012926001</v>
      </c>
      <c r="P313" t="s">
        <v>36</v>
      </c>
    </row>
    <row r="314" spans="1:16">
      <c r="A314">
        <v>313</v>
      </c>
      <c r="B314" t="s">
        <v>367</v>
      </c>
      <c r="C314">
        <v>100</v>
      </c>
      <c r="D314">
        <v>112</v>
      </c>
      <c r="E314">
        <v>83.111695735042105</v>
      </c>
      <c r="F314">
        <v>0.89174033804820796</v>
      </c>
      <c r="G314">
        <v>5425.1801999999998</v>
      </c>
      <c r="H314">
        <v>618.59817947978604</v>
      </c>
      <c r="I314">
        <v>0.69743065432632501</v>
      </c>
      <c r="J314">
        <v>0.178158585930554</v>
      </c>
      <c r="K314">
        <v>0.67022272819081496</v>
      </c>
      <c r="L314" t="s">
        <v>33</v>
      </c>
      <c r="M314" t="s">
        <v>34</v>
      </c>
      <c r="N314" t="s">
        <v>35</v>
      </c>
      <c r="O314">
        <v>0.88338322197012298</v>
      </c>
      <c r="P314" t="s">
        <v>36</v>
      </c>
    </row>
    <row r="315" spans="1:16">
      <c r="A315">
        <v>314</v>
      </c>
      <c r="B315" t="s">
        <v>368</v>
      </c>
      <c r="C315">
        <v>155</v>
      </c>
      <c r="D315">
        <v>85</v>
      </c>
      <c r="E315">
        <v>92.300246396008006</v>
      </c>
      <c r="F315">
        <v>1.82468032826848</v>
      </c>
      <c r="G315">
        <v>6691.0704431001896</v>
      </c>
      <c r="H315">
        <v>612.31075231137504</v>
      </c>
      <c r="I315">
        <v>0.61163839431292899</v>
      </c>
      <c r="J315">
        <v>0.224265100171753</v>
      </c>
      <c r="K315">
        <v>0.62736736485639</v>
      </c>
      <c r="L315" t="s">
        <v>33</v>
      </c>
      <c r="M315" t="s">
        <v>34</v>
      </c>
      <c r="N315" t="s">
        <v>35</v>
      </c>
      <c r="O315">
        <v>0.942193470608643</v>
      </c>
      <c r="P315" t="s">
        <v>36</v>
      </c>
    </row>
    <row r="316" spans="1:16">
      <c r="A316">
        <v>315</v>
      </c>
      <c r="B316" t="s">
        <v>369</v>
      </c>
      <c r="C316">
        <v>77</v>
      </c>
      <c r="D316">
        <v>62</v>
      </c>
      <c r="E316">
        <v>61.488887478596098</v>
      </c>
      <c r="F316">
        <v>1.2399325402782999</v>
      </c>
      <c r="G316">
        <v>2969.4987867674899</v>
      </c>
      <c r="H316">
        <v>322.198026162541</v>
      </c>
      <c r="I316">
        <v>0.66212392625022498</v>
      </c>
      <c r="J316">
        <v>0.35945726463500499</v>
      </c>
      <c r="K316">
        <v>0.76574297650530798</v>
      </c>
      <c r="L316" t="s">
        <v>132</v>
      </c>
      <c r="M316" t="s">
        <v>34</v>
      </c>
      <c r="N316" t="s">
        <v>35</v>
      </c>
      <c r="O316">
        <v>0.84224647862370094</v>
      </c>
      <c r="P316" t="s">
        <v>36</v>
      </c>
    </row>
    <row r="317" spans="1:16">
      <c r="A317">
        <v>316</v>
      </c>
      <c r="B317" t="s">
        <v>370</v>
      </c>
      <c r="C317">
        <v>63</v>
      </c>
      <c r="D317">
        <v>63</v>
      </c>
      <c r="E317">
        <v>57.414471505480201</v>
      </c>
      <c r="F317">
        <v>0.99137930921085105</v>
      </c>
      <c r="G317">
        <v>2589.0034219281702</v>
      </c>
      <c r="H317">
        <v>447.14635331309398</v>
      </c>
      <c r="I317">
        <v>0.58916600082085002</v>
      </c>
      <c r="J317">
        <v>0.16272081171466199</v>
      </c>
      <c r="K317">
        <v>0.72146288933068303</v>
      </c>
      <c r="L317" t="s">
        <v>132</v>
      </c>
      <c r="M317" t="s">
        <v>34</v>
      </c>
      <c r="N317" t="s">
        <v>35</v>
      </c>
      <c r="O317">
        <v>0.80437714571680197</v>
      </c>
      <c r="P317" t="s">
        <v>36</v>
      </c>
    </row>
    <row r="318" spans="1:16">
      <c r="A318">
        <v>317</v>
      </c>
      <c r="B318" t="s">
        <v>371</v>
      </c>
      <c r="C318">
        <v>74</v>
      </c>
      <c r="D318">
        <v>92</v>
      </c>
      <c r="E318">
        <v>59.704092689548901</v>
      </c>
      <c r="F318">
        <v>0.79942540200543599</v>
      </c>
      <c r="G318">
        <v>2799.6135516068098</v>
      </c>
      <c r="H318">
        <v>495.567754358831</v>
      </c>
      <c r="I318">
        <v>0.66078512197236905</v>
      </c>
      <c r="J318">
        <v>0.14325238830155401</v>
      </c>
      <c r="K318">
        <v>0.60530882447458101</v>
      </c>
      <c r="L318" t="s">
        <v>83</v>
      </c>
      <c r="M318" t="s">
        <v>34</v>
      </c>
      <c r="N318" t="s">
        <v>35</v>
      </c>
      <c r="O318">
        <v>0.76354752216423505</v>
      </c>
      <c r="P318" t="s">
        <v>36</v>
      </c>
    </row>
    <row r="319" spans="1:16">
      <c r="A319">
        <v>318</v>
      </c>
      <c r="B319" t="s">
        <v>372</v>
      </c>
      <c r="C319">
        <v>118</v>
      </c>
      <c r="D319">
        <v>66</v>
      </c>
      <c r="E319">
        <v>69.065590278817297</v>
      </c>
      <c r="F319">
        <v>1.7993000064651501</v>
      </c>
      <c r="G319">
        <v>3746.39303364839</v>
      </c>
      <c r="H319">
        <v>498.04530740945199</v>
      </c>
      <c r="I319">
        <v>0.60557871805931696</v>
      </c>
      <c r="J319">
        <v>0.189795318626306</v>
      </c>
      <c r="K319">
        <v>0.673957219251337</v>
      </c>
      <c r="L319" t="s">
        <v>33</v>
      </c>
      <c r="M319" t="s">
        <v>34</v>
      </c>
      <c r="N319" t="s">
        <v>35</v>
      </c>
      <c r="O319">
        <v>0.95500724608718501</v>
      </c>
      <c r="P319" t="s">
        <v>36</v>
      </c>
    </row>
    <row r="320" spans="1:16">
      <c r="A320">
        <v>319</v>
      </c>
      <c r="B320" t="s">
        <v>373</v>
      </c>
      <c r="C320">
        <v>58</v>
      </c>
      <c r="D320">
        <v>127</v>
      </c>
      <c r="E320">
        <v>66.415826711155404</v>
      </c>
      <c r="F320">
        <v>0.45922746781115897</v>
      </c>
      <c r="G320">
        <v>3464.4400230623801</v>
      </c>
      <c r="H320">
        <v>655.16810826830203</v>
      </c>
      <c r="I320">
        <v>0.69130858623151903</v>
      </c>
      <c r="J320">
        <v>0.101423224349492</v>
      </c>
      <c r="K320">
        <v>0.56608218379638597</v>
      </c>
      <c r="L320" t="s">
        <v>33</v>
      </c>
      <c r="M320" t="s">
        <v>34</v>
      </c>
      <c r="N320" t="s">
        <v>35</v>
      </c>
      <c r="O320">
        <v>0.95647533940935303</v>
      </c>
      <c r="P320" t="s">
        <v>36</v>
      </c>
    </row>
    <row r="321" spans="1:16">
      <c r="A321">
        <v>320</v>
      </c>
      <c r="B321" t="s">
        <v>374</v>
      </c>
      <c r="C321">
        <v>69</v>
      </c>
      <c r="D321">
        <v>67</v>
      </c>
      <c r="E321">
        <v>50.351630742310398</v>
      </c>
      <c r="F321">
        <v>1.0256184458626301</v>
      </c>
      <c r="G321">
        <v>1991.2095323251399</v>
      </c>
      <c r="H321">
        <v>335.36073823586798</v>
      </c>
      <c r="I321">
        <v>0.57685443744330001</v>
      </c>
      <c r="J321">
        <v>0.222485848690406</v>
      </c>
      <c r="K321">
        <v>0.63710291040517397</v>
      </c>
      <c r="L321" t="s">
        <v>33</v>
      </c>
      <c r="M321" t="s">
        <v>34</v>
      </c>
      <c r="N321" t="s">
        <v>35</v>
      </c>
      <c r="O321">
        <v>0.91344754836876396</v>
      </c>
      <c r="P321" t="s">
        <v>36</v>
      </c>
    </row>
    <row r="322" spans="1:16">
      <c r="A322">
        <v>321</v>
      </c>
      <c r="B322" t="s">
        <v>375</v>
      </c>
      <c r="C322">
        <v>102</v>
      </c>
      <c r="D322">
        <v>49</v>
      </c>
      <c r="E322">
        <v>57.957406152728403</v>
      </c>
      <c r="F322">
        <v>2.10112361284297</v>
      </c>
      <c r="G322">
        <v>2638.2002835538801</v>
      </c>
      <c r="H322">
        <v>538.84306721542202</v>
      </c>
      <c r="I322">
        <v>0.80984660006711595</v>
      </c>
      <c r="J322">
        <v>0.114180785808773</v>
      </c>
      <c r="K322">
        <v>0.66238758069933201</v>
      </c>
      <c r="L322" t="s">
        <v>321</v>
      </c>
      <c r="M322" t="s">
        <v>34</v>
      </c>
      <c r="N322" t="s">
        <v>35</v>
      </c>
      <c r="O322">
        <v>0.80330341081288903</v>
      </c>
      <c r="P322" t="s">
        <v>36</v>
      </c>
    </row>
    <row r="323" spans="1:16">
      <c r="A323">
        <v>322</v>
      </c>
      <c r="B323" t="s">
        <v>376</v>
      </c>
      <c r="C323">
        <v>114</v>
      </c>
      <c r="D323">
        <v>203</v>
      </c>
      <c r="E323">
        <v>119.860592592812</v>
      </c>
      <c r="F323">
        <v>0.56295453630398695</v>
      </c>
      <c r="G323">
        <v>11283.4711395085</v>
      </c>
      <c r="H323">
        <v>1127.01705095374</v>
      </c>
      <c r="I323">
        <v>0.61563599373474598</v>
      </c>
      <c r="J323">
        <v>0.111632747349624</v>
      </c>
      <c r="K323">
        <v>0.59275569401825501</v>
      </c>
      <c r="L323" t="s">
        <v>83</v>
      </c>
      <c r="M323" t="s">
        <v>34</v>
      </c>
      <c r="N323" t="s">
        <v>35</v>
      </c>
      <c r="O323">
        <v>0.78117397701675395</v>
      </c>
      <c r="P323" t="s">
        <v>36</v>
      </c>
    </row>
    <row r="324" spans="1:16">
      <c r="A324">
        <v>323</v>
      </c>
      <c r="B324" t="s">
        <v>377</v>
      </c>
      <c r="C324">
        <v>83</v>
      </c>
      <c r="D324">
        <v>144</v>
      </c>
      <c r="E324">
        <v>86.7416119042297</v>
      </c>
      <c r="F324">
        <v>0.57886545734780903</v>
      </c>
      <c r="G324">
        <v>5909.4200041587901</v>
      </c>
      <c r="H324">
        <v>502.88920287888999</v>
      </c>
      <c r="I324">
        <v>0.65579693986974896</v>
      </c>
      <c r="J324">
        <v>0.29363654087944302</v>
      </c>
      <c r="K324">
        <v>0.69196630582338403</v>
      </c>
      <c r="L324" t="s">
        <v>33</v>
      </c>
      <c r="M324" t="s">
        <v>34</v>
      </c>
      <c r="N324" t="s">
        <v>35</v>
      </c>
      <c r="O324">
        <v>0.93755860504420696</v>
      </c>
      <c r="P324" t="s">
        <v>36</v>
      </c>
    </row>
    <row r="325" spans="1:16">
      <c r="A325">
        <v>324</v>
      </c>
      <c r="B325" t="s">
        <v>378</v>
      </c>
      <c r="C325">
        <v>121</v>
      </c>
      <c r="D325">
        <v>159</v>
      </c>
      <c r="E325">
        <v>111.44764346058599</v>
      </c>
      <c r="F325">
        <v>0.76114368079350703</v>
      </c>
      <c r="G325">
        <v>9755.0985470699507</v>
      </c>
      <c r="H325">
        <v>822.91025248040296</v>
      </c>
      <c r="I325">
        <v>0.58909960014983598</v>
      </c>
      <c r="J325">
        <v>0.18102417577702001</v>
      </c>
      <c r="K325">
        <v>0.620361443505548</v>
      </c>
      <c r="L325" t="s">
        <v>144</v>
      </c>
      <c r="M325" t="s">
        <v>34</v>
      </c>
      <c r="N325" t="s">
        <v>35</v>
      </c>
      <c r="O325">
        <v>0.70646868526585804</v>
      </c>
      <c r="P325" t="s">
        <v>36</v>
      </c>
    </row>
    <row r="326" spans="1:16">
      <c r="A326">
        <v>325</v>
      </c>
      <c r="B326" t="s">
        <v>379</v>
      </c>
      <c r="C326">
        <v>81</v>
      </c>
      <c r="D326">
        <v>50</v>
      </c>
      <c r="E326">
        <v>59.330486342392703</v>
      </c>
      <c r="F326">
        <v>1.63736263736264</v>
      </c>
      <c r="G326">
        <v>2764.6852661625699</v>
      </c>
      <c r="H326">
        <v>275.89718824687202</v>
      </c>
      <c r="I326">
        <v>0.62020744750110202</v>
      </c>
      <c r="J326">
        <v>0.45641616036801902</v>
      </c>
      <c r="K326">
        <v>0.874148221250999</v>
      </c>
      <c r="L326" t="s">
        <v>83</v>
      </c>
      <c r="M326" t="s">
        <v>34</v>
      </c>
      <c r="N326" t="s">
        <v>35</v>
      </c>
      <c r="O326">
        <v>0.82817073507803396</v>
      </c>
      <c r="P326" t="s">
        <v>36</v>
      </c>
    </row>
    <row r="327" spans="1:16">
      <c r="A327">
        <v>326</v>
      </c>
      <c r="B327" t="s">
        <v>380</v>
      </c>
      <c r="C327">
        <v>98</v>
      </c>
      <c r="D327">
        <v>82</v>
      </c>
      <c r="E327">
        <v>64.075143752230801</v>
      </c>
      <c r="F327">
        <v>1.19205298013245</v>
      </c>
      <c r="G327">
        <v>3224.5495860113401</v>
      </c>
      <c r="H327">
        <v>622.75174827544595</v>
      </c>
      <c r="I327">
        <v>0.55260524073612405</v>
      </c>
      <c r="J327">
        <v>0.104483812928846</v>
      </c>
      <c r="K327">
        <v>0.48219683499288801</v>
      </c>
      <c r="L327" t="s">
        <v>321</v>
      </c>
      <c r="M327" t="s">
        <v>34</v>
      </c>
      <c r="N327" t="s">
        <v>35</v>
      </c>
      <c r="O327">
        <v>0.81096395121446896</v>
      </c>
      <c r="P327" t="s">
        <v>36</v>
      </c>
    </row>
    <row r="328" spans="1:16">
      <c r="A328">
        <v>327</v>
      </c>
      <c r="B328" t="s">
        <v>381</v>
      </c>
      <c r="C328">
        <v>39</v>
      </c>
      <c r="D328">
        <v>68</v>
      </c>
      <c r="E328">
        <v>51.551310477043401</v>
      </c>
      <c r="F328">
        <v>0.57599999999999996</v>
      </c>
      <c r="G328">
        <v>2087.2251595463099</v>
      </c>
      <c r="H328">
        <v>257.62988994256301</v>
      </c>
      <c r="I328">
        <v>0.60599863785494601</v>
      </c>
      <c r="J328">
        <v>0.39517245878715201</v>
      </c>
      <c r="K328">
        <v>0.89060121765601197</v>
      </c>
      <c r="L328" t="s">
        <v>45</v>
      </c>
      <c r="M328" t="s">
        <v>34</v>
      </c>
      <c r="N328" t="s">
        <v>35</v>
      </c>
      <c r="O328">
        <v>0.78602098606366799</v>
      </c>
      <c r="P328" t="s">
        <v>36</v>
      </c>
    </row>
    <row r="329" spans="1:16">
      <c r="A329">
        <v>328</v>
      </c>
      <c r="B329" t="s">
        <v>382</v>
      </c>
      <c r="C329">
        <v>152</v>
      </c>
      <c r="D329">
        <v>122</v>
      </c>
      <c r="E329">
        <v>102.092749526348</v>
      </c>
      <c r="F329">
        <v>1.2440629639883301</v>
      </c>
      <c r="G329">
        <v>8186.1496911153099</v>
      </c>
      <c r="H329">
        <v>787.95213999758596</v>
      </c>
      <c r="I329">
        <v>0.54411190934160203</v>
      </c>
      <c r="J329">
        <v>0.165687546571848</v>
      </c>
      <c r="K329">
        <v>0.56380517566128896</v>
      </c>
      <c r="L329" t="s">
        <v>83</v>
      </c>
      <c r="M329" t="s">
        <v>34</v>
      </c>
      <c r="N329" t="s">
        <v>35</v>
      </c>
      <c r="O329">
        <v>0.766896641227924</v>
      </c>
      <c r="P329" t="s">
        <v>36</v>
      </c>
    </row>
    <row r="330" spans="1:16">
      <c r="A330">
        <v>329</v>
      </c>
      <c r="B330" t="s">
        <v>383</v>
      </c>
      <c r="C330">
        <v>63</v>
      </c>
      <c r="D330">
        <v>93</v>
      </c>
      <c r="E330">
        <v>64.733336483313295</v>
      </c>
      <c r="F330">
        <v>0.68235294117647105</v>
      </c>
      <c r="G330">
        <v>3291.1362748582201</v>
      </c>
      <c r="H330">
        <v>480.38856432282398</v>
      </c>
      <c r="I330">
        <v>0.68647663528931202</v>
      </c>
      <c r="J330">
        <v>0.17921337078566399</v>
      </c>
      <c r="K330">
        <v>0.74898525233391999</v>
      </c>
      <c r="L330" t="s">
        <v>33</v>
      </c>
      <c r="M330" t="s">
        <v>34</v>
      </c>
      <c r="N330" t="s">
        <v>35</v>
      </c>
      <c r="O330">
        <v>0.94260571827286899</v>
      </c>
      <c r="P330" t="s">
        <v>36</v>
      </c>
    </row>
    <row r="331" spans="1:16">
      <c r="A331">
        <v>330</v>
      </c>
      <c r="B331" t="s">
        <v>384</v>
      </c>
      <c r="C331">
        <v>69</v>
      </c>
      <c r="D331">
        <v>83</v>
      </c>
      <c r="E331">
        <v>58.058539301652303</v>
      </c>
      <c r="F331">
        <v>0.82894736842105299</v>
      </c>
      <c r="G331">
        <v>2647.41540567108</v>
      </c>
      <c r="H331">
        <v>571.04023840489594</v>
      </c>
      <c r="I331">
        <v>0.70429447173247794</v>
      </c>
      <c r="J331">
        <v>0.10202310384463401</v>
      </c>
      <c r="K331">
        <v>0.54537660747091199</v>
      </c>
      <c r="L331" t="s">
        <v>321</v>
      </c>
      <c r="M331" t="s">
        <v>34</v>
      </c>
      <c r="N331" t="s">
        <v>35</v>
      </c>
      <c r="O331">
        <v>0.76587658334828901</v>
      </c>
      <c r="P331" t="s">
        <v>36</v>
      </c>
    </row>
    <row r="332" spans="1:16">
      <c r="A332">
        <v>331</v>
      </c>
      <c r="B332" t="s">
        <v>385</v>
      </c>
      <c r="C332">
        <v>157</v>
      </c>
      <c r="D332">
        <v>49</v>
      </c>
      <c r="E332">
        <v>68.793790944123302</v>
      </c>
      <c r="F332">
        <v>3.2</v>
      </c>
      <c r="G332">
        <v>3716.9640952741001</v>
      </c>
      <c r="H332">
        <v>587.835137750792</v>
      </c>
      <c r="I332">
        <v>0.85081644892536901</v>
      </c>
      <c r="J332">
        <v>0.13517212622557501</v>
      </c>
      <c r="K332">
        <v>0.68794014084507005</v>
      </c>
      <c r="L332" t="s">
        <v>96</v>
      </c>
      <c r="M332" t="s">
        <v>34</v>
      </c>
      <c r="N332" t="s">
        <v>35</v>
      </c>
      <c r="O332">
        <v>0.877410327029713</v>
      </c>
      <c r="P332" t="s">
        <v>36</v>
      </c>
    </row>
    <row r="333" spans="1:16">
      <c r="A333">
        <v>332</v>
      </c>
      <c r="B333" t="s">
        <v>386</v>
      </c>
      <c r="C333">
        <v>88</v>
      </c>
      <c r="D333">
        <v>98</v>
      </c>
      <c r="E333">
        <v>73.589224377395595</v>
      </c>
      <c r="F333">
        <v>0.89944134078212301</v>
      </c>
      <c r="G333">
        <v>4253.2247500945195</v>
      </c>
      <c r="H333">
        <v>641.12474797725702</v>
      </c>
      <c r="I333">
        <v>0.657405448021817</v>
      </c>
      <c r="J333">
        <v>0.13002986562560401</v>
      </c>
      <c r="K333">
        <v>0.62969808995687004</v>
      </c>
      <c r="L333" t="s">
        <v>83</v>
      </c>
      <c r="M333" t="s">
        <v>34</v>
      </c>
      <c r="N333" t="s">
        <v>35</v>
      </c>
      <c r="O333">
        <v>0.80603594178323501</v>
      </c>
      <c r="P333" t="s">
        <v>36</v>
      </c>
    </row>
    <row r="334" spans="1:16">
      <c r="A334">
        <v>333</v>
      </c>
      <c r="B334" t="s">
        <v>387</v>
      </c>
      <c r="C334">
        <v>84</v>
      </c>
      <c r="D334">
        <v>83</v>
      </c>
      <c r="E334">
        <v>78.472689281880804</v>
      </c>
      <c r="F334">
        <v>1.0066348319023199</v>
      </c>
      <c r="G334">
        <v>4836.4528015122896</v>
      </c>
      <c r="H334">
        <v>326.12528069040098</v>
      </c>
      <c r="I334">
        <v>0.68297596730351795</v>
      </c>
      <c r="J334">
        <v>0.57143638027566301</v>
      </c>
      <c r="K334">
        <v>0.86464367327416702</v>
      </c>
      <c r="L334" t="s">
        <v>33</v>
      </c>
      <c r="M334" t="s">
        <v>34</v>
      </c>
      <c r="N334" t="s">
        <v>35</v>
      </c>
      <c r="O334">
        <v>0.94831798232629505</v>
      </c>
      <c r="P334" t="s">
        <v>36</v>
      </c>
    </row>
    <row r="335" spans="1:16">
      <c r="A335">
        <v>334</v>
      </c>
      <c r="B335" t="s">
        <v>388</v>
      </c>
      <c r="C335">
        <v>77</v>
      </c>
      <c r="D335">
        <v>57</v>
      </c>
      <c r="E335">
        <v>57.505042353332101</v>
      </c>
      <c r="F335">
        <v>1.34747137397655</v>
      </c>
      <c r="G335">
        <v>2597.1781270321399</v>
      </c>
      <c r="H335">
        <v>306.27047979168299</v>
      </c>
      <c r="I335">
        <v>0.62682563018128901</v>
      </c>
      <c r="J335">
        <v>0.34793756751122701</v>
      </c>
      <c r="K335">
        <v>0.80868196964087402</v>
      </c>
      <c r="L335" t="s">
        <v>33</v>
      </c>
      <c r="M335" t="s">
        <v>34</v>
      </c>
      <c r="N335" t="s">
        <v>35</v>
      </c>
      <c r="O335">
        <v>0.88795101830344503</v>
      </c>
      <c r="P335" t="s">
        <v>36</v>
      </c>
    </row>
    <row r="336" spans="1:16">
      <c r="A336">
        <v>335</v>
      </c>
      <c r="B336" t="s">
        <v>389</v>
      </c>
      <c r="C336">
        <v>98</v>
      </c>
      <c r="D336">
        <v>54</v>
      </c>
      <c r="E336">
        <v>56.936195421370201</v>
      </c>
      <c r="F336">
        <v>1.80808080808081</v>
      </c>
      <c r="G336">
        <v>2546.04906238185</v>
      </c>
      <c r="H336">
        <v>531.73919126863098</v>
      </c>
      <c r="I336">
        <v>0.72379910753305299</v>
      </c>
      <c r="J336">
        <v>0.113156443947714</v>
      </c>
      <c r="K336">
        <v>0.61316533629237202</v>
      </c>
      <c r="L336" t="s">
        <v>33</v>
      </c>
      <c r="M336" t="s">
        <v>34</v>
      </c>
      <c r="N336" t="s">
        <v>35</v>
      </c>
      <c r="O336">
        <v>0.93945449100661005</v>
      </c>
      <c r="P336" t="s">
        <v>36</v>
      </c>
    </row>
    <row r="337" spans="1:16">
      <c r="A337">
        <v>336</v>
      </c>
      <c r="B337" t="s">
        <v>390</v>
      </c>
      <c r="C337">
        <v>127</v>
      </c>
      <c r="D337">
        <v>68</v>
      </c>
      <c r="E337">
        <v>70.159790979247504</v>
      </c>
      <c r="F337">
        <v>1.8640000000000001</v>
      </c>
      <c r="G337">
        <v>3866.04099017013</v>
      </c>
      <c r="H337">
        <v>615.04121011516304</v>
      </c>
      <c r="I337">
        <v>0.63433673138434599</v>
      </c>
      <c r="J337">
        <v>0.12843041506265299</v>
      </c>
      <c r="K337">
        <v>0.58114750435676299</v>
      </c>
      <c r="L337" t="s">
        <v>45</v>
      </c>
      <c r="M337" t="s">
        <v>34</v>
      </c>
      <c r="N337" t="s">
        <v>35</v>
      </c>
      <c r="O337">
        <v>0.78805273902020001</v>
      </c>
      <c r="P337" t="s">
        <v>36</v>
      </c>
    </row>
    <row r="338" spans="1:16">
      <c r="A338">
        <v>337</v>
      </c>
      <c r="B338" t="s">
        <v>391</v>
      </c>
      <c r="C338">
        <v>506</v>
      </c>
      <c r="D338">
        <v>62</v>
      </c>
      <c r="E338">
        <v>79.087225665789305</v>
      </c>
      <c r="F338">
        <v>8.1436874446866092</v>
      </c>
      <c r="G338">
        <v>4912.5</v>
      </c>
      <c r="H338">
        <v>1162.4621075391799</v>
      </c>
      <c r="I338">
        <v>0.301159128999341</v>
      </c>
      <c r="J338">
        <v>4.5683021112489397E-2</v>
      </c>
      <c r="K338">
        <v>0.20684210526315799</v>
      </c>
      <c r="L338" t="s">
        <v>169</v>
      </c>
      <c r="M338" t="s">
        <v>34</v>
      </c>
      <c r="N338" t="s">
        <v>35</v>
      </c>
      <c r="O338">
        <v>0.77881906675412604</v>
      </c>
      <c r="P338" t="s">
        <v>36</v>
      </c>
    </row>
    <row r="339" spans="1:16">
      <c r="A339">
        <v>338</v>
      </c>
      <c r="B339" t="s">
        <v>392</v>
      </c>
      <c r="C339">
        <v>90</v>
      </c>
      <c r="D339">
        <v>77</v>
      </c>
      <c r="E339">
        <v>78.611232613961405</v>
      </c>
      <c r="F339">
        <v>1.1648106459046801</v>
      </c>
      <c r="G339">
        <v>4853.5453667296797</v>
      </c>
      <c r="H339">
        <v>322.79917914172898</v>
      </c>
      <c r="I339">
        <v>0.65554269924386999</v>
      </c>
      <c r="J339">
        <v>0.58533448868314897</v>
      </c>
      <c r="K339">
        <v>0.85196587440319305</v>
      </c>
      <c r="L339" t="s">
        <v>33</v>
      </c>
      <c r="M339" t="s">
        <v>34</v>
      </c>
      <c r="N339" t="s">
        <v>35</v>
      </c>
      <c r="O339">
        <v>0.92977943357869497</v>
      </c>
      <c r="P339" t="s">
        <v>36</v>
      </c>
    </row>
    <row r="340" spans="1:16">
      <c r="A340">
        <v>339</v>
      </c>
      <c r="B340" t="s">
        <v>393</v>
      </c>
      <c r="C340">
        <v>230</v>
      </c>
      <c r="D340">
        <v>226</v>
      </c>
      <c r="E340">
        <v>145.137873259222</v>
      </c>
      <c r="F340">
        <v>1.0180588569926801</v>
      </c>
      <c r="G340">
        <v>16544.414082419698</v>
      </c>
      <c r="H340">
        <v>1891.5901809516199</v>
      </c>
      <c r="I340">
        <v>0.60902064137613898</v>
      </c>
      <c r="J340">
        <v>5.81041501425806E-2</v>
      </c>
      <c r="K340">
        <v>0.42522987825143499</v>
      </c>
      <c r="L340" t="s">
        <v>45</v>
      </c>
      <c r="M340" t="s">
        <v>34</v>
      </c>
      <c r="N340" t="s">
        <v>35</v>
      </c>
      <c r="O340">
        <v>0.79185009503826198</v>
      </c>
      <c r="P340" t="s">
        <v>36</v>
      </c>
    </row>
    <row r="341" spans="1:16">
      <c r="A341">
        <v>340</v>
      </c>
      <c r="B341" t="s">
        <v>394</v>
      </c>
      <c r="C341">
        <v>201</v>
      </c>
      <c r="D341">
        <v>173</v>
      </c>
      <c r="E341">
        <v>119.9757938736</v>
      </c>
      <c r="F341">
        <v>1.1572327345808899</v>
      </c>
      <c r="G341">
        <v>11305.1712657845</v>
      </c>
      <c r="H341">
        <v>1437.70796008089</v>
      </c>
      <c r="I341">
        <v>0.64750774532331201</v>
      </c>
      <c r="J341">
        <v>6.8729891048949901E-2</v>
      </c>
      <c r="K341">
        <v>0.49090944294925198</v>
      </c>
      <c r="L341" t="s">
        <v>33</v>
      </c>
      <c r="M341" t="s">
        <v>34</v>
      </c>
      <c r="N341" t="s">
        <v>35</v>
      </c>
      <c r="O341">
        <v>0.93491292743959897</v>
      </c>
      <c r="P341" t="s">
        <v>36</v>
      </c>
    </row>
    <row r="342" spans="1:16">
      <c r="A342">
        <v>341</v>
      </c>
      <c r="B342" t="s">
        <v>395</v>
      </c>
      <c r="C342">
        <v>59</v>
      </c>
      <c r="D342">
        <v>146</v>
      </c>
      <c r="E342">
        <v>82.491181892304496</v>
      </c>
      <c r="F342">
        <v>0.40671641791044799</v>
      </c>
      <c r="G342">
        <v>5344.4735659735397</v>
      </c>
      <c r="H342">
        <v>631.02193745675299</v>
      </c>
      <c r="I342">
        <v>0.83653246080314103</v>
      </c>
      <c r="J342">
        <v>0.16866535390281301</v>
      </c>
      <c r="K342">
        <v>0.721613485851896</v>
      </c>
      <c r="L342" t="s">
        <v>132</v>
      </c>
      <c r="M342" t="s">
        <v>34</v>
      </c>
      <c r="N342" t="s">
        <v>35</v>
      </c>
      <c r="O342">
        <v>0.88506073210048297</v>
      </c>
      <c r="P342" t="s">
        <v>36</v>
      </c>
    </row>
    <row r="343" spans="1:16">
      <c r="A343">
        <v>342</v>
      </c>
      <c r="B343" t="s">
        <v>396</v>
      </c>
      <c r="C343">
        <v>69</v>
      </c>
      <c r="D343">
        <v>86</v>
      </c>
      <c r="E343">
        <v>59.829164046871803</v>
      </c>
      <c r="F343">
        <v>0.80254777070063699</v>
      </c>
      <c r="G343">
        <v>2811.3554007561402</v>
      </c>
      <c r="H343">
        <v>404.84637160311598</v>
      </c>
      <c r="I343">
        <v>0.68660037273864805</v>
      </c>
      <c r="J343">
        <v>0.21554855329379399</v>
      </c>
      <c r="K343">
        <v>0.59374705716169096</v>
      </c>
      <c r="L343" t="s">
        <v>52</v>
      </c>
      <c r="M343" t="s">
        <v>34</v>
      </c>
      <c r="N343" t="s">
        <v>35</v>
      </c>
      <c r="O343">
        <v>0.86191232146378005</v>
      </c>
      <c r="P343" t="s">
        <v>36</v>
      </c>
    </row>
    <row r="344" spans="1:16">
      <c r="A344">
        <v>343</v>
      </c>
      <c r="B344" t="s">
        <v>397</v>
      </c>
      <c r="C344">
        <v>53</v>
      </c>
      <c r="D344">
        <v>78</v>
      </c>
      <c r="E344">
        <v>58.179016476396797</v>
      </c>
      <c r="F344">
        <v>0.68531468531468498</v>
      </c>
      <c r="G344">
        <v>2658.4140998109601</v>
      </c>
      <c r="H344">
        <v>261.110980855278</v>
      </c>
      <c r="I344">
        <v>0.79186003327648102</v>
      </c>
      <c r="J344">
        <v>0.48998436623331898</v>
      </c>
      <c r="K344">
        <v>0.88277972459404797</v>
      </c>
      <c r="L344" t="s">
        <v>83</v>
      </c>
      <c r="M344" t="s">
        <v>34</v>
      </c>
      <c r="N344" t="s">
        <v>35</v>
      </c>
      <c r="O344">
        <v>0.81384076920028903</v>
      </c>
      <c r="P344" t="s">
        <v>36</v>
      </c>
    </row>
    <row r="345" spans="1:16">
      <c r="A345">
        <v>344</v>
      </c>
      <c r="B345" t="s">
        <v>398</v>
      </c>
      <c r="C345">
        <v>87</v>
      </c>
      <c r="D345">
        <v>53</v>
      </c>
      <c r="E345">
        <v>60.8282547687784</v>
      </c>
      <c r="F345">
        <v>1.65326138948658</v>
      </c>
      <c r="G345">
        <v>2906.0333489602999</v>
      </c>
      <c r="H345">
        <v>303.52834297532598</v>
      </c>
      <c r="I345">
        <v>0.50686398804494504</v>
      </c>
      <c r="J345">
        <v>0.39638020310599997</v>
      </c>
      <c r="K345">
        <v>0.82879064049849505</v>
      </c>
      <c r="L345" t="s">
        <v>75</v>
      </c>
      <c r="M345" t="s">
        <v>34</v>
      </c>
      <c r="N345" t="s">
        <v>35</v>
      </c>
      <c r="O345">
        <v>0.846834515748908</v>
      </c>
      <c r="P345" t="s">
        <v>36</v>
      </c>
    </row>
    <row r="346" spans="1:16">
      <c r="A346">
        <v>345</v>
      </c>
      <c r="B346" t="s">
        <v>399</v>
      </c>
      <c r="C346">
        <v>77</v>
      </c>
      <c r="D346">
        <v>127</v>
      </c>
      <c r="E346">
        <v>75.857154726293203</v>
      </c>
      <c r="F346">
        <v>0.60944206008583701</v>
      </c>
      <c r="G346">
        <v>4519.4228744801503</v>
      </c>
      <c r="H346">
        <v>848.74962728386299</v>
      </c>
      <c r="I346">
        <v>0.81492070192858301</v>
      </c>
      <c r="J346">
        <v>7.8837646363829297E-2</v>
      </c>
      <c r="K346">
        <v>0.58578639130769805</v>
      </c>
      <c r="L346" t="s">
        <v>75</v>
      </c>
      <c r="M346" t="s">
        <v>34</v>
      </c>
      <c r="N346" t="s">
        <v>35</v>
      </c>
      <c r="O346">
        <v>0.86191279313510205</v>
      </c>
      <c r="P346" t="s">
        <v>36</v>
      </c>
    </row>
    <row r="347" spans="1:16">
      <c r="A347">
        <v>346</v>
      </c>
      <c r="B347" t="s">
        <v>400</v>
      </c>
      <c r="C347">
        <v>107</v>
      </c>
      <c r="D347">
        <v>135</v>
      </c>
      <c r="E347">
        <v>90.853703655443894</v>
      </c>
      <c r="F347">
        <v>0.79032258064516103</v>
      </c>
      <c r="G347">
        <v>6482.9870404536896</v>
      </c>
      <c r="H347">
        <v>556.12401590450997</v>
      </c>
      <c r="I347">
        <v>0.60731266631002401</v>
      </c>
      <c r="J347">
        <v>0.263415736954771</v>
      </c>
      <c r="K347">
        <v>0.58913786350068198</v>
      </c>
      <c r="L347" t="s">
        <v>33</v>
      </c>
      <c r="M347" t="s">
        <v>34</v>
      </c>
      <c r="N347" t="s">
        <v>35</v>
      </c>
      <c r="O347">
        <v>0.88332306086455403</v>
      </c>
      <c r="P347" t="s">
        <v>36</v>
      </c>
    </row>
    <row r="348" spans="1:16">
      <c r="A348">
        <v>347</v>
      </c>
      <c r="B348" t="s">
        <v>401</v>
      </c>
      <c r="C348">
        <v>108</v>
      </c>
      <c r="D348">
        <v>174</v>
      </c>
      <c r="E348">
        <v>113.857432891299</v>
      </c>
      <c r="F348">
        <v>0.62005351108195605</v>
      </c>
      <c r="G348">
        <v>10181.520891493399</v>
      </c>
      <c r="H348">
        <v>747.008793066066</v>
      </c>
      <c r="I348">
        <v>0.55156623507296698</v>
      </c>
      <c r="J348">
        <v>0.22928259736610199</v>
      </c>
      <c r="K348">
        <v>0.65843249581883501</v>
      </c>
      <c r="L348" t="s">
        <v>33</v>
      </c>
      <c r="M348" t="s">
        <v>34</v>
      </c>
      <c r="N348" t="s">
        <v>35</v>
      </c>
      <c r="O348">
        <v>0.93846106672191798</v>
      </c>
      <c r="P348" t="s">
        <v>36</v>
      </c>
    </row>
    <row r="349" spans="1:16">
      <c r="A349">
        <v>348</v>
      </c>
      <c r="B349" t="s">
        <v>402</v>
      </c>
      <c r="C349">
        <v>49</v>
      </c>
      <c r="D349">
        <v>125</v>
      </c>
      <c r="E349">
        <v>57.465538083256398</v>
      </c>
      <c r="F349">
        <v>0.39348066874854398</v>
      </c>
      <c r="G349">
        <v>2593.6109829867701</v>
      </c>
      <c r="H349">
        <v>524.02865310834795</v>
      </c>
      <c r="I349">
        <v>0.48364587316393498</v>
      </c>
      <c r="J349">
        <v>0.118687404378233</v>
      </c>
      <c r="K349">
        <v>0.58809652197357798</v>
      </c>
      <c r="L349" t="s">
        <v>33</v>
      </c>
      <c r="M349" t="s">
        <v>34</v>
      </c>
      <c r="N349" t="s">
        <v>35</v>
      </c>
      <c r="O349">
        <v>0.88219126469096798</v>
      </c>
      <c r="P349" t="s">
        <v>36</v>
      </c>
    </row>
    <row r="350" spans="1:16">
      <c r="A350">
        <v>349</v>
      </c>
      <c r="B350" t="s">
        <v>403</v>
      </c>
      <c r="C350">
        <v>95</v>
      </c>
      <c r="D350">
        <v>78</v>
      </c>
      <c r="E350">
        <v>86.204344362545996</v>
      </c>
      <c r="F350">
        <v>1.21448917913042</v>
      </c>
      <c r="G350">
        <v>5836.4421822306203</v>
      </c>
      <c r="H350">
        <v>338.04256861707398</v>
      </c>
      <c r="I350">
        <v>0.64178505629317295</v>
      </c>
      <c r="J350">
        <v>0.64182298433842999</v>
      </c>
      <c r="K350">
        <v>0.92534640399660695</v>
      </c>
      <c r="L350" t="s">
        <v>132</v>
      </c>
      <c r="M350" t="s">
        <v>34</v>
      </c>
      <c r="N350" t="s">
        <v>35</v>
      </c>
      <c r="O350">
        <v>0.77834080747217504</v>
      </c>
      <c r="P350" t="s">
        <v>36</v>
      </c>
    </row>
    <row r="351" spans="1:16">
      <c r="A351">
        <v>350</v>
      </c>
      <c r="B351" t="s">
        <v>404</v>
      </c>
      <c r="C351">
        <v>76</v>
      </c>
      <c r="D351">
        <v>83</v>
      </c>
      <c r="E351">
        <v>77.7681672504375</v>
      </c>
      <c r="F351">
        <v>0.91891876782278203</v>
      </c>
      <c r="G351">
        <v>4750</v>
      </c>
      <c r="H351">
        <v>267.27921843528702</v>
      </c>
      <c r="I351">
        <v>0.70434596719271603</v>
      </c>
      <c r="J351">
        <v>0.83555124039708895</v>
      </c>
      <c r="K351">
        <v>0.95477386934673403</v>
      </c>
      <c r="L351" t="s">
        <v>33</v>
      </c>
      <c r="M351" t="s">
        <v>34</v>
      </c>
      <c r="N351" t="s">
        <v>35</v>
      </c>
      <c r="O351">
        <v>0.90397984250202001</v>
      </c>
      <c r="P351" t="s">
        <v>36</v>
      </c>
    </row>
    <row r="352" spans="1:16">
      <c r="A352">
        <v>351</v>
      </c>
      <c r="B352" t="s">
        <v>405</v>
      </c>
      <c r="C352">
        <v>68</v>
      </c>
      <c r="D352">
        <v>98</v>
      </c>
      <c r="E352">
        <v>63.041966146828202</v>
      </c>
      <c r="F352">
        <v>0.69832402234636903</v>
      </c>
      <c r="G352">
        <v>3121.3996706994299</v>
      </c>
      <c r="H352">
        <v>621.28713532541099</v>
      </c>
      <c r="I352">
        <v>0.60866020287429101</v>
      </c>
      <c r="J352">
        <v>0.101618907672619</v>
      </c>
      <c r="K352">
        <v>0.53308795532427999</v>
      </c>
      <c r="L352" t="s">
        <v>33</v>
      </c>
      <c r="M352" t="s">
        <v>34</v>
      </c>
      <c r="N352" t="s">
        <v>35</v>
      </c>
      <c r="O352">
        <v>0.93731694220984196</v>
      </c>
      <c r="P352" t="s">
        <v>36</v>
      </c>
    </row>
    <row r="353" spans="1:16">
      <c r="A353">
        <v>352</v>
      </c>
      <c r="B353" t="s">
        <v>406</v>
      </c>
      <c r="C353">
        <v>133</v>
      </c>
      <c r="D353">
        <v>110</v>
      </c>
      <c r="E353">
        <v>96.879767443319693</v>
      </c>
      <c r="F353">
        <v>1.2090056609408999</v>
      </c>
      <c r="G353">
        <v>7371.5031697542499</v>
      </c>
      <c r="H353">
        <v>744.40835037107104</v>
      </c>
      <c r="I353">
        <v>0.56030892081945405</v>
      </c>
      <c r="J353">
        <v>0.167164266994035</v>
      </c>
      <c r="K353">
        <v>0.65261329543660196</v>
      </c>
      <c r="L353" t="s">
        <v>33</v>
      </c>
      <c r="M353" t="s">
        <v>34</v>
      </c>
      <c r="N353" t="s">
        <v>35</v>
      </c>
      <c r="O353">
        <v>0.947650406480393</v>
      </c>
      <c r="P353" t="s">
        <v>36</v>
      </c>
    </row>
    <row r="354" spans="1:16">
      <c r="A354">
        <v>353</v>
      </c>
      <c r="B354" t="s">
        <v>407</v>
      </c>
      <c r="C354">
        <v>70</v>
      </c>
      <c r="D354">
        <v>47</v>
      </c>
      <c r="E354">
        <v>51.0811186277231</v>
      </c>
      <c r="F354">
        <v>1.49999995550379</v>
      </c>
      <c r="G354">
        <v>2049.32425406427</v>
      </c>
      <c r="H354">
        <v>264.19519611939103</v>
      </c>
      <c r="I354">
        <v>0.753803559292751</v>
      </c>
      <c r="J354">
        <v>0.368952715376687</v>
      </c>
      <c r="K354">
        <v>0.81082034695677696</v>
      </c>
      <c r="L354" t="s">
        <v>33</v>
      </c>
      <c r="M354" t="s">
        <v>34</v>
      </c>
      <c r="N354" t="s">
        <v>35</v>
      </c>
      <c r="O354">
        <v>0.92934515289437103</v>
      </c>
      <c r="P354" t="s">
        <v>36</v>
      </c>
    </row>
    <row r="355" spans="1:16">
      <c r="A355">
        <v>354</v>
      </c>
      <c r="B355" t="s">
        <v>408</v>
      </c>
      <c r="C355">
        <v>83</v>
      </c>
      <c r="D355">
        <v>103</v>
      </c>
      <c r="E355">
        <v>78.087095527123196</v>
      </c>
      <c r="F355">
        <v>0.80851063829787195</v>
      </c>
      <c r="G355">
        <v>4789.03951190926</v>
      </c>
      <c r="H355">
        <v>586.767400449359</v>
      </c>
      <c r="I355">
        <v>0.61468518521567606</v>
      </c>
      <c r="J355">
        <v>0.17479392296027901</v>
      </c>
      <c r="K355">
        <v>0.73314523652415298</v>
      </c>
      <c r="L355" t="s">
        <v>33</v>
      </c>
      <c r="M355" t="s">
        <v>34</v>
      </c>
      <c r="N355" t="s">
        <v>35</v>
      </c>
      <c r="O355">
        <v>0.94624755338202304</v>
      </c>
      <c r="P355" t="s">
        <v>36</v>
      </c>
    </row>
    <row r="356" spans="1:16">
      <c r="A356">
        <v>355</v>
      </c>
      <c r="B356" t="s">
        <v>409</v>
      </c>
      <c r="C356">
        <v>152</v>
      </c>
      <c r="D356">
        <v>115</v>
      </c>
      <c r="E356">
        <v>92.737971903492706</v>
      </c>
      <c r="F356">
        <v>1.3209342622978699</v>
      </c>
      <c r="G356">
        <v>6754.6845119092604</v>
      </c>
      <c r="H356">
        <v>717.00578668449202</v>
      </c>
      <c r="I356">
        <v>0.60422507684368998</v>
      </c>
      <c r="J356">
        <v>0.16510856848885</v>
      </c>
      <c r="K356">
        <v>0.552790346907994</v>
      </c>
      <c r="L356" t="s">
        <v>33</v>
      </c>
      <c r="M356" t="s">
        <v>34</v>
      </c>
      <c r="N356" t="s">
        <v>35</v>
      </c>
      <c r="O356">
        <v>0.93551237106553098</v>
      </c>
      <c r="P356" t="s">
        <v>36</v>
      </c>
    </row>
    <row r="357" spans="1:16">
      <c r="A357">
        <v>356</v>
      </c>
      <c r="B357" t="s">
        <v>410</v>
      </c>
      <c r="C357">
        <v>83</v>
      </c>
      <c r="D357">
        <v>88</v>
      </c>
      <c r="E357">
        <v>67.335502542815306</v>
      </c>
      <c r="F357">
        <v>0.95031055900621098</v>
      </c>
      <c r="G357">
        <v>3561.0501742911201</v>
      </c>
      <c r="H357">
        <v>626.06844758562397</v>
      </c>
      <c r="I357">
        <v>0.59044446483368396</v>
      </c>
      <c r="J357">
        <v>0.114167981578794</v>
      </c>
      <c r="K357">
        <v>0.61215156238023505</v>
      </c>
      <c r="L357" t="s">
        <v>33</v>
      </c>
      <c r="M357" t="s">
        <v>34</v>
      </c>
      <c r="N357" t="s">
        <v>35</v>
      </c>
      <c r="O357">
        <v>0.94949488632687495</v>
      </c>
      <c r="P357" t="s">
        <v>36</v>
      </c>
    </row>
    <row r="358" spans="1:16">
      <c r="A358">
        <v>357</v>
      </c>
      <c r="B358" t="s">
        <v>411</v>
      </c>
      <c r="C358">
        <v>108</v>
      </c>
      <c r="D358">
        <v>223</v>
      </c>
      <c r="E358">
        <v>95.005936069431698</v>
      </c>
      <c r="F358">
        <v>0.48351561330304699</v>
      </c>
      <c r="G358">
        <v>7089.1042661625697</v>
      </c>
      <c r="H358">
        <v>1146.4256882373099</v>
      </c>
      <c r="I358">
        <v>0.63090948864877205</v>
      </c>
      <c r="J358">
        <v>6.7781224502076007E-2</v>
      </c>
      <c r="K358">
        <v>0.38361496947712997</v>
      </c>
      <c r="L358" t="s">
        <v>83</v>
      </c>
      <c r="M358" t="s">
        <v>34</v>
      </c>
      <c r="N358" t="s">
        <v>35</v>
      </c>
      <c r="O358">
        <v>0.87339134436997201</v>
      </c>
      <c r="P358" t="s">
        <v>36</v>
      </c>
    </row>
    <row r="359" spans="1:16">
      <c r="A359">
        <v>358</v>
      </c>
      <c r="B359" t="s">
        <v>412</v>
      </c>
      <c r="C359">
        <v>163</v>
      </c>
      <c r="D359">
        <v>84</v>
      </c>
      <c r="E359">
        <v>94.876373852690406</v>
      </c>
      <c r="F359">
        <v>1.93189185781076</v>
      </c>
      <c r="G359">
        <v>7069.7822359168204</v>
      </c>
      <c r="H359">
        <v>705.04310379546598</v>
      </c>
      <c r="I359">
        <v>0.69580568150219602</v>
      </c>
      <c r="J359">
        <v>0.17872469427578899</v>
      </c>
      <c r="K359">
        <v>0.64724452306436298</v>
      </c>
      <c r="L359" t="s">
        <v>33</v>
      </c>
      <c r="M359" t="s">
        <v>34</v>
      </c>
      <c r="N359" t="s">
        <v>35</v>
      </c>
      <c r="O359">
        <v>0.89454185669170705</v>
      </c>
      <c r="P359" t="s">
        <v>36</v>
      </c>
    </row>
    <row r="360" spans="1:16">
      <c r="A360">
        <v>359</v>
      </c>
      <c r="B360" t="s">
        <v>413</v>
      </c>
      <c r="C360">
        <v>121</v>
      </c>
      <c r="D360">
        <v>71</v>
      </c>
      <c r="E360">
        <v>66.897050535717796</v>
      </c>
      <c r="F360">
        <v>1.7028579525331</v>
      </c>
      <c r="G360">
        <v>3514.8259327032101</v>
      </c>
      <c r="H360">
        <v>424.37951476117797</v>
      </c>
      <c r="I360">
        <v>0.60432399455299401</v>
      </c>
      <c r="J360">
        <v>0.24524765431942</v>
      </c>
      <c r="K360">
        <v>0.624749022508718</v>
      </c>
      <c r="L360" t="s">
        <v>33</v>
      </c>
      <c r="M360" t="s">
        <v>34</v>
      </c>
      <c r="N360" t="s">
        <v>35</v>
      </c>
      <c r="O360">
        <v>0.95394134702298194</v>
      </c>
      <c r="P360" t="s">
        <v>36</v>
      </c>
    </row>
    <row r="361" spans="1:16">
      <c r="A361">
        <v>360</v>
      </c>
      <c r="B361" t="s">
        <v>414</v>
      </c>
      <c r="C361">
        <v>94</v>
      </c>
      <c r="D361">
        <v>61</v>
      </c>
      <c r="E361">
        <v>55.081228006466702</v>
      </c>
      <c r="F361">
        <v>1.5420472097879101</v>
      </c>
      <c r="G361">
        <v>2382.85222230624</v>
      </c>
      <c r="H361">
        <v>415.09476924916999</v>
      </c>
      <c r="I361">
        <v>0.59240294534846905</v>
      </c>
      <c r="J361">
        <v>0.17378506555610501</v>
      </c>
      <c r="K361">
        <v>0.54575163398692805</v>
      </c>
      <c r="L361" t="s">
        <v>241</v>
      </c>
      <c r="M361" t="s">
        <v>34</v>
      </c>
      <c r="N361" t="s">
        <v>35</v>
      </c>
      <c r="O361">
        <v>0.63772292370439398</v>
      </c>
      <c r="P361" t="s">
        <v>36</v>
      </c>
    </row>
    <row r="362" spans="1:16">
      <c r="A362">
        <v>361</v>
      </c>
      <c r="B362" t="s">
        <v>415</v>
      </c>
      <c r="C362">
        <v>58</v>
      </c>
      <c r="D362">
        <v>83</v>
      </c>
      <c r="E362">
        <v>52.049984776047502</v>
      </c>
      <c r="F362">
        <v>0.70394736842105299</v>
      </c>
      <c r="G362">
        <v>2127.8014230623799</v>
      </c>
      <c r="H362">
        <v>541.66269871379995</v>
      </c>
      <c r="I362">
        <v>0.738884938562405</v>
      </c>
      <c r="J362">
        <v>9.1134559902569703E-2</v>
      </c>
      <c r="K362">
        <v>0.52336038604957202</v>
      </c>
      <c r="L362" t="s">
        <v>132</v>
      </c>
      <c r="M362" t="s">
        <v>34</v>
      </c>
      <c r="N362" t="s">
        <v>35</v>
      </c>
      <c r="O362">
        <v>0.81320765637804304</v>
      </c>
      <c r="P362" t="s">
        <v>36</v>
      </c>
    </row>
    <row r="363" spans="1:16">
      <c r="A363">
        <v>362</v>
      </c>
      <c r="B363" t="s">
        <v>416</v>
      </c>
      <c r="C363">
        <v>103</v>
      </c>
      <c r="D363">
        <v>135</v>
      </c>
      <c r="E363">
        <v>90.750539523808598</v>
      </c>
      <c r="F363">
        <v>0.76206847392708499</v>
      </c>
      <c r="G363">
        <v>6468.2725712665397</v>
      </c>
      <c r="H363">
        <v>533.544266436307</v>
      </c>
      <c r="I363">
        <v>0.549436456574807</v>
      </c>
      <c r="J363">
        <v>0.28553362711222702</v>
      </c>
      <c r="K363">
        <v>0.70985368718090902</v>
      </c>
      <c r="L363" t="s">
        <v>52</v>
      </c>
      <c r="M363" t="s">
        <v>34</v>
      </c>
      <c r="N363" t="s">
        <v>35</v>
      </c>
      <c r="O363">
        <v>0.71067227775280395</v>
      </c>
      <c r="P363" t="s">
        <v>36</v>
      </c>
    </row>
    <row r="364" spans="1:16">
      <c r="A364">
        <v>363</v>
      </c>
      <c r="B364" t="s">
        <v>417</v>
      </c>
      <c r="C364">
        <v>97</v>
      </c>
      <c r="D364">
        <v>160</v>
      </c>
      <c r="E364">
        <v>97.219061188362105</v>
      </c>
      <c r="F364">
        <v>0.60883116242393598</v>
      </c>
      <c r="G364">
        <v>7423.2267584121</v>
      </c>
      <c r="H364">
        <v>727.84593507123998</v>
      </c>
      <c r="I364">
        <v>0.68497851743298699</v>
      </c>
      <c r="J364">
        <v>0.17608553026029999</v>
      </c>
      <c r="K364">
        <v>0.62291401631370202</v>
      </c>
      <c r="L364" t="s">
        <v>33</v>
      </c>
      <c r="M364" t="s">
        <v>34</v>
      </c>
      <c r="N364" t="s">
        <v>35</v>
      </c>
      <c r="O364">
        <v>0.90969418524662804</v>
      </c>
      <c r="P364" t="s">
        <v>36</v>
      </c>
    </row>
    <row r="365" spans="1:16">
      <c r="A365">
        <v>364</v>
      </c>
      <c r="B365" t="s">
        <v>418</v>
      </c>
      <c r="C365">
        <v>98</v>
      </c>
      <c r="D365">
        <v>50</v>
      </c>
      <c r="E365">
        <v>55.794669978572102</v>
      </c>
      <c r="F365">
        <v>1.9836736083359701</v>
      </c>
      <c r="G365">
        <v>2444.97998109641</v>
      </c>
      <c r="H365">
        <v>338.87392886825199</v>
      </c>
      <c r="I365">
        <v>0.67137061886951099</v>
      </c>
      <c r="J365">
        <v>0.267552402996032</v>
      </c>
      <c r="K365">
        <v>0.70146262419512995</v>
      </c>
      <c r="L365" t="s">
        <v>33</v>
      </c>
      <c r="M365" t="s">
        <v>34</v>
      </c>
      <c r="N365" t="s">
        <v>35</v>
      </c>
      <c r="O365">
        <v>0.87869108593196399</v>
      </c>
      <c r="P365" t="s">
        <v>36</v>
      </c>
    </row>
    <row r="366" spans="1:16">
      <c r="A366">
        <v>365</v>
      </c>
      <c r="B366" t="s">
        <v>419</v>
      </c>
      <c r="C366">
        <v>77</v>
      </c>
      <c r="D366">
        <v>135</v>
      </c>
      <c r="E366">
        <v>94.931210216874405</v>
      </c>
      <c r="F366">
        <v>0.57489878542510098</v>
      </c>
      <c r="G366">
        <v>7077.9569410207996</v>
      </c>
      <c r="H366">
        <v>511.23850297233298</v>
      </c>
      <c r="I366">
        <v>0.67521408465448896</v>
      </c>
      <c r="J366">
        <v>0.34030683457736499</v>
      </c>
      <c r="K366">
        <v>0.84162807960128705</v>
      </c>
      <c r="L366" t="s">
        <v>83</v>
      </c>
      <c r="M366" t="s">
        <v>34</v>
      </c>
      <c r="N366" t="s">
        <v>35</v>
      </c>
      <c r="O366">
        <v>0.83940561925332202</v>
      </c>
      <c r="P366" t="s">
        <v>36</v>
      </c>
    </row>
    <row r="367" spans="1:16">
      <c r="A367">
        <v>366</v>
      </c>
      <c r="B367" t="s">
        <v>420</v>
      </c>
      <c r="C367">
        <v>160</v>
      </c>
      <c r="D367">
        <v>50</v>
      </c>
      <c r="E367">
        <v>78.520905992594294</v>
      </c>
      <c r="F367">
        <v>3.1911110750124898</v>
      </c>
      <c r="G367">
        <v>4842.3980415878996</v>
      </c>
      <c r="H367">
        <v>445.086757162136</v>
      </c>
      <c r="I367">
        <v>0.66190228672384599</v>
      </c>
      <c r="J367">
        <v>0.30717156033113002</v>
      </c>
      <c r="K367">
        <v>0.68953840292916302</v>
      </c>
      <c r="L367" t="s">
        <v>33</v>
      </c>
      <c r="M367" t="s">
        <v>34</v>
      </c>
      <c r="N367" t="s">
        <v>35</v>
      </c>
      <c r="O367">
        <v>0.93874246640609804</v>
      </c>
      <c r="P367" t="s">
        <v>36</v>
      </c>
    </row>
    <row r="368" spans="1:16">
      <c r="A368">
        <v>367</v>
      </c>
      <c r="B368" t="s">
        <v>421</v>
      </c>
      <c r="C368">
        <v>151</v>
      </c>
      <c r="D368">
        <v>73</v>
      </c>
      <c r="E368">
        <v>93.329902939175994</v>
      </c>
      <c r="F368">
        <v>2.07598810541616</v>
      </c>
      <c r="G368">
        <v>6841.1877550094496</v>
      </c>
      <c r="H368">
        <v>589.14703811085701</v>
      </c>
      <c r="I368">
        <v>0.67299575788646304</v>
      </c>
      <c r="J368">
        <v>0.24768173227482199</v>
      </c>
      <c r="K368">
        <v>0.74497046208626705</v>
      </c>
      <c r="L368" t="s">
        <v>83</v>
      </c>
      <c r="M368" t="s">
        <v>34</v>
      </c>
      <c r="N368" t="s">
        <v>35</v>
      </c>
      <c r="O368">
        <v>0.82308684992524705</v>
      </c>
      <c r="P368" t="s">
        <v>36</v>
      </c>
    </row>
    <row r="369" spans="1:16">
      <c r="A369">
        <v>368</v>
      </c>
      <c r="B369" t="s">
        <v>422</v>
      </c>
      <c r="C369">
        <v>183</v>
      </c>
      <c r="D369">
        <v>121</v>
      </c>
      <c r="E369">
        <v>103.46815139164799</v>
      </c>
      <c r="F369">
        <v>1.50900900900901</v>
      </c>
      <c r="G369">
        <v>8408.2044079395091</v>
      </c>
      <c r="H369">
        <v>1347.6441437353301</v>
      </c>
      <c r="I369">
        <v>0.65307434126793096</v>
      </c>
      <c r="J369">
        <v>5.8178519901133402E-2</v>
      </c>
      <c r="K369">
        <v>0.59004954367666196</v>
      </c>
      <c r="L369" t="s">
        <v>33</v>
      </c>
      <c r="M369" t="s">
        <v>34</v>
      </c>
      <c r="N369" t="s">
        <v>35</v>
      </c>
      <c r="O369">
        <v>0.94231987476565304</v>
      </c>
      <c r="P369" t="s">
        <v>36</v>
      </c>
    </row>
    <row r="370" spans="1:16">
      <c r="A370">
        <v>369</v>
      </c>
      <c r="B370" t="s">
        <v>423</v>
      </c>
      <c r="C370">
        <v>69</v>
      </c>
      <c r="D370">
        <v>44</v>
      </c>
      <c r="E370">
        <v>51.864227966203998</v>
      </c>
      <c r="F370">
        <v>1.55555555555556</v>
      </c>
      <c r="G370">
        <v>2112.6410608695701</v>
      </c>
      <c r="H370">
        <v>220.87448830044801</v>
      </c>
      <c r="I370">
        <v>0.76835936364387103</v>
      </c>
      <c r="J370">
        <v>0.544182369888218</v>
      </c>
      <c r="K370">
        <v>0.87713668620796004</v>
      </c>
      <c r="L370" t="s">
        <v>83</v>
      </c>
      <c r="M370" t="s">
        <v>34</v>
      </c>
      <c r="N370" t="s">
        <v>35</v>
      </c>
      <c r="O370">
        <v>0.80534424153530804</v>
      </c>
      <c r="P370" t="s">
        <v>36</v>
      </c>
    </row>
    <row r="371" spans="1:16">
      <c r="A371">
        <v>370</v>
      </c>
      <c r="B371" t="s">
        <v>424</v>
      </c>
      <c r="C371">
        <v>75</v>
      </c>
      <c r="D371">
        <v>129</v>
      </c>
      <c r="E371">
        <v>77.476412975391995</v>
      </c>
      <c r="F371">
        <v>0.58305754480807304</v>
      </c>
      <c r="G371">
        <v>4714.4267489602998</v>
      </c>
      <c r="H371">
        <v>822.95337066868103</v>
      </c>
      <c r="I371">
        <v>0.75307377689690902</v>
      </c>
      <c r="J371">
        <v>8.7475875843724696E-2</v>
      </c>
      <c r="K371">
        <v>0.64726048362412003</v>
      </c>
      <c r="L371" t="s">
        <v>52</v>
      </c>
      <c r="M371" t="s">
        <v>34</v>
      </c>
      <c r="N371" t="s">
        <v>35</v>
      </c>
      <c r="O371">
        <v>0.72177133659101</v>
      </c>
      <c r="P371" t="s">
        <v>36</v>
      </c>
    </row>
    <row r="372" spans="1:16">
      <c r="A372">
        <v>371</v>
      </c>
      <c r="B372" t="s">
        <v>425</v>
      </c>
      <c r="C372">
        <v>125</v>
      </c>
      <c r="D372">
        <v>82</v>
      </c>
      <c r="E372">
        <v>81.906408250182807</v>
      </c>
      <c r="F372">
        <v>1.52560928863649</v>
      </c>
      <c r="G372">
        <v>5268.9690170132299</v>
      </c>
      <c r="H372">
        <v>469.51469998629199</v>
      </c>
      <c r="I372">
        <v>0.70671044258684801</v>
      </c>
      <c r="J372">
        <v>0.300356559277284</v>
      </c>
      <c r="K372">
        <v>0.65930182819096494</v>
      </c>
      <c r="L372" t="s">
        <v>33</v>
      </c>
      <c r="M372" t="s">
        <v>34</v>
      </c>
      <c r="N372" t="s">
        <v>35</v>
      </c>
      <c r="O372">
        <v>0.93689449739087705</v>
      </c>
      <c r="P372" t="s">
        <v>36</v>
      </c>
    </row>
    <row r="373" spans="1:16">
      <c r="A373">
        <v>372</v>
      </c>
      <c r="B373" t="s">
        <v>426</v>
      </c>
      <c r="C373">
        <v>64</v>
      </c>
      <c r="D373">
        <v>93</v>
      </c>
      <c r="E373">
        <v>58.3057364412536</v>
      </c>
      <c r="F373">
        <v>0.68823529411764695</v>
      </c>
      <c r="G373">
        <v>2670.0073179584101</v>
      </c>
      <c r="H373">
        <v>635.51758470017</v>
      </c>
      <c r="I373">
        <v>0.68399784856818702</v>
      </c>
      <c r="J373">
        <v>8.3074392068491404E-2</v>
      </c>
      <c r="K373">
        <v>0.49527170466764098</v>
      </c>
      <c r="L373" t="s">
        <v>144</v>
      </c>
      <c r="M373" t="s">
        <v>34</v>
      </c>
      <c r="N373" t="s">
        <v>35</v>
      </c>
      <c r="O373">
        <v>0.72600524296519997</v>
      </c>
      <c r="P373" t="s">
        <v>36</v>
      </c>
    </row>
    <row r="374" spans="1:16">
      <c r="A374">
        <v>373</v>
      </c>
      <c r="B374" t="s">
        <v>427</v>
      </c>
      <c r="C374">
        <v>48</v>
      </c>
      <c r="D374">
        <v>83</v>
      </c>
      <c r="E374">
        <v>59.276237667995701</v>
      </c>
      <c r="F374">
        <v>0.57674418581309705</v>
      </c>
      <c r="G374">
        <v>2759.6318120983001</v>
      </c>
      <c r="H374">
        <v>283.69073032348098</v>
      </c>
      <c r="I374">
        <v>0.80603572639061805</v>
      </c>
      <c r="J374">
        <v>0.43089426717587398</v>
      </c>
      <c r="K374">
        <v>0.86101836393990006</v>
      </c>
      <c r="L374" t="s">
        <v>144</v>
      </c>
      <c r="M374" t="s">
        <v>34</v>
      </c>
      <c r="N374" t="s">
        <v>35</v>
      </c>
      <c r="O374">
        <v>0.73492150485854701</v>
      </c>
      <c r="P374" t="s">
        <v>36</v>
      </c>
    </row>
    <row r="375" spans="1:16">
      <c r="A375">
        <v>374</v>
      </c>
      <c r="B375" t="s">
        <v>428</v>
      </c>
      <c r="C375">
        <v>63</v>
      </c>
      <c r="D375">
        <v>98</v>
      </c>
      <c r="E375">
        <v>66.397303261705403</v>
      </c>
      <c r="F375">
        <v>0.64444444444444404</v>
      </c>
      <c r="G375">
        <v>3462.5078200378098</v>
      </c>
      <c r="H375">
        <v>555.83835088771298</v>
      </c>
      <c r="I375">
        <v>0.73334224702912698</v>
      </c>
      <c r="J375">
        <v>0.14083273401547</v>
      </c>
      <c r="K375">
        <v>0.712568439727159</v>
      </c>
      <c r="L375" t="s">
        <v>33</v>
      </c>
      <c r="M375" t="s">
        <v>34</v>
      </c>
      <c r="N375" t="s">
        <v>35</v>
      </c>
      <c r="O375">
        <v>0.95393099253445901</v>
      </c>
      <c r="P375" t="s">
        <v>36</v>
      </c>
    </row>
    <row r="376" spans="1:16">
      <c r="A376">
        <v>375</v>
      </c>
      <c r="B376" t="s">
        <v>429</v>
      </c>
      <c r="C376">
        <v>111</v>
      </c>
      <c r="D376">
        <v>99</v>
      </c>
      <c r="E376">
        <v>93.034408192369895</v>
      </c>
      <c r="F376">
        <v>1.1178704592439499</v>
      </c>
      <c r="G376">
        <v>6797.9361334593596</v>
      </c>
      <c r="H376">
        <v>412.22812655832502</v>
      </c>
      <c r="I376">
        <v>0.57786663467228905</v>
      </c>
      <c r="J376">
        <v>0.50270326145946098</v>
      </c>
      <c r="K376">
        <v>0.83603560787467801</v>
      </c>
      <c r="L376" t="s">
        <v>83</v>
      </c>
      <c r="M376" t="s">
        <v>34</v>
      </c>
      <c r="N376" t="s">
        <v>35</v>
      </c>
      <c r="O376">
        <v>0.82475753084199299</v>
      </c>
      <c r="P376" t="s">
        <v>36</v>
      </c>
    </row>
    <row r="377" spans="1:16">
      <c r="A377">
        <v>376</v>
      </c>
      <c r="B377" t="s">
        <v>430</v>
      </c>
      <c r="C377">
        <v>46</v>
      </c>
      <c r="D377">
        <v>75</v>
      </c>
      <c r="E377">
        <v>52.406886574335999</v>
      </c>
      <c r="F377">
        <v>0.61740888614178402</v>
      </c>
      <c r="G377">
        <v>2157.0817304347802</v>
      </c>
      <c r="H377">
        <v>313.92622075112001</v>
      </c>
      <c r="I377">
        <v>0.79611594767020999</v>
      </c>
      <c r="J377">
        <v>0.27505610013045301</v>
      </c>
      <c r="K377">
        <v>0.78742336281265302</v>
      </c>
      <c r="L377" t="s">
        <v>83</v>
      </c>
      <c r="M377" t="s">
        <v>34</v>
      </c>
      <c r="N377" t="s">
        <v>35</v>
      </c>
      <c r="O377">
        <v>0.88574063403454395</v>
      </c>
      <c r="P377" t="s">
        <v>36</v>
      </c>
    </row>
    <row r="378" spans="1:16">
      <c r="A378">
        <v>377</v>
      </c>
      <c r="B378" t="s">
        <v>431</v>
      </c>
      <c r="C378">
        <v>58</v>
      </c>
      <c r="D378">
        <v>82</v>
      </c>
      <c r="E378">
        <v>56.654640623420903</v>
      </c>
      <c r="F378">
        <v>0.70860931368378199</v>
      </c>
      <c r="G378">
        <v>2520.9304230623802</v>
      </c>
      <c r="H378">
        <v>516.26331774721996</v>
      </c>
      <c r="I378">
        <v>0.69586527319521096</v>
      </c>
      <c r="J378">
        <v>0.118857936823795</v>
      </c>
      <c r="K378">
        <v>0.61039334940799606</v>
      </c>
      <c r="L378" t="s">
        <v>33</v>
      </c>
      <c r="M378" t="s">
        <v>34</v>
      </c>
      <c r="N378" t="s">
        <v>35</v>
      </c>
      <c r="O378">
        <v>0.88762851511368901</v>
      </c>
      <c r="P378" t="s">
        <v>36</v>
      </c>
    </row>
    <row r="379" spans="1:16">
      <c r="A379">
        <v>378</v>
      </c>
      <c r="B379" t="s">
        <v>432</v>
      </c>
      <c r="C379">
        <v>80</v>
      </c>
      <c r="D379">
        <v>90</v>
      </c>
      <c r="E379">
        <v>62.185117100738303</v>
      </c>
      <c r="F379">
        <v>0.88887132444288397</v>
      </c>
      <c r="G379">
        <v>3037.1258926276</v>
      </c>
      <c r="H379">
        <v>477.93370875337899</v>
      </c>
      <c r="I379">
        <v>0.66330500591283004</v>
      </c>
      <c r="J379">
        <v>0.167084950144158</v>
      </c>
      <c r="K379">
        <v>0.601088395352258</v>
      </c>
      <c r="L379" t="s">
        <v>96</v>
      </c>
      <c r="M379" t="s">
        <v>34</v>
      </c>
      <c r="N379" t="s">
        <v>35</v>
      </c>
      <c r="O379">
        <v>0.699375922350291</v>
      </c>
      <c r="P379" t="s">
        <v>36</v>
      </c>
    </row>
    <row r="380" spans="1:16">
      <c r="A380">
        <v>379</v>
      </c>
      <c r="B380" t="s">
        <v>433</v>
      </c>
      <c r="C380">
        <v>88</v>
      </c>
      <c r="D380">
        <v>49</v>
      </c>
      <c r="E380">
        <v>62.801358556873303</v>
      </c>
      <c r="F380">
        <v>1.7888888888888901</v>
      </c>
      <c r="G380">
        <v>3097.6187103969801</v>
      </c>
      <c r="H380">
        <v>495.73214596136802</v>
      </c>
      <c r="I380">
        <v>0.81076067820780995</v>
      </c>
      <c r="J380">
        <v>0.15839579910024601</v>
      </c>
      <c r="K380">
        <v>0.76915411868910499</v>
      </c>
      <c r="L380" t="s">
        <v>83</v>
      </c>
      <c r="M380" t="s">
        <v>34</v>
      </c>
      <c r="N380" t="s">
        <v>35</v>
      </c>
      <c r="O380">
        <v>0.85011479904517095</v>
      </c>
      <c r="P380" t="s">
        <v>36</v>
      </c>
    </row>
    <row r="381" spans="1:16">
      <c r="A381">
        <v>380</v>
      </c>
      <c r="B381" t="s">
        <v>434</v>
      </c>
      <c r="C381">
        <v>113</v>
      </c>
      <c r="D381">
        <v>190</v>
      </c>
      <c r="E381">
        <v>119.20039053545</v>
      </c>
      <c r="F381">
        <v>0.59779466689371397</v>
      </c>
      <c r="G381">
        <v>11159.5128839319</v>
      </c>
      <c r="H381">
        <v>892.46948752548406</v>
      </c>
      <c r="I381">
        <v>0.58999255008934504</v>
      </c>
      <c r="J381">
        <v>0.176063101440843</v>
      </c>
      <c r="K381">
        <v>0.647381399920675</v>
      </c>
      <c r="L381" t="s">
        <v>75</v>
      </c>
      <c r="M381" t="s">
        <v>34</v>
      </c>
      <c r="N381" t="s">
        <v>35</v>
      </c>
      <c r="O381">
        <v>0.68057083576962096</v>
      </c>
      <c r="P381" t="s">
        <v>36</v>
      </c>
    </row>
    <row r="382" spans="1:16">
      <c r="A382">
        <v>381</v>
      </c>
      <c r="B382" t="s">
        <v>435</v>
      </c>
      <c r="C382">
        <v>98</v>
      </c>
      <c r="D382">
        <v>78</v>
      </c>
      <c r="E382">
        <v>70.999030319847606</v>
      </c>
      <c r="F382">
        <v>1.2517482517482501</v>
      </c>
      <c r="G382">
        <v>3959.0839973534999</v>
      </c>
      <c r="H382">
        <v>624.68132931761102</v>
      </c>
      <c r="I382">
        <v>0.62908473955164901</v>
      </c>
      <c r="J382">
        <v>0.127493348729843</v>
      </c>
      <c r="K382">
        <v>0.653235892782696</v>
      </c>
      <c r="L382" t="s">
        <v>321</v>
      </c>
      <c r="M382" t="s">
        <v>34</v>
      </c>
      <c r="N382" t="s">
        <v>35</v>
      </c>
      <c r="O382">
        <v>0.88979358054521496</v>
      </c>
      <c r="P382" t="s">
        <v>36</v>
      </c>
    </row>
    <row r="383" spans="1:16">
      <c r="A383">
        <v>382</v>
      </c>
      <c r="B383" t="s">
        <v>436</v>
      </c>
      <c r="C383">
        <v>63</v>
      </c>
      <c r="D383">
        <v>82</v>
      </c>
      <c r="E383">
        <v>58.099268993430599</v>
      </c>
      <c r="F383">
        <v>0.76158940397351005</v>
      </c>
      <c r="G383">
        <v>2651.1311807183401</v>
      </c>
      <c r="H383">
        <v>517.24415812813697</v>
      </c>
      <c r="I383">
        <v>0.72358999779723399</v>
      </c>
      <c r="J383">
        <v>0.124523091122674</v>
      </c>
      <c r="K383">
        <v>0.61670642741071102</v>
      </c>
      <c r="L383" t="s">
        <v>144</v>
      </c>
      <c r="M383" t="s">
        <v>34</v>
      </c>
      <c r="N383" t="s">
        <v>35</v>
      </c>
      <c r="O383">
        <v>0.79743336380067997</v>
      </c>
      <c r="P383" t="s">
        <v>36</v>
      </c>
    </row>
    <row r="384" spans="1:16">
      <c r="A384">
        <v>383</v>
      </c>
      <c r="B384" t="s">
        <v>437</v>
      </c>
      <c r="C384">
        <v>82</v>
      </c>
      <c r="D384">
        <v>83</v>
      </c>
      <c r="E384">
        <v>71.040332454903606</v>
      </c>
      <c r="F384">
        <v>0.99342105131070002</v>
      </c>
      <c r="G384">
        <v>3963.6915584121002</v>
      </c>
      <c r="H384">
        <v>716.62933174299201</v>
      </c>
      <c r="I384">
        <v>0.577902926153811</v>
      </c>
      <c r="J384">
        <v>9.6988569947958597E-2</v>
      </c>
      <c r="K384">
        <v>0.67358743148695399</v>
      </c>
      <c r="L384" t="s">
        <v>75</v>
      </c>
      <c r="M384" t="s">
        <v>34</v>
      </c>
      <c r="N384" t="s">
        <v>35</v>
      </c>
      <c r="O384">
        <v>0.80088523535488199</v>
      </c>
      <c r="P384" t="s">
        <v>36</v>
      </c>
    </row>
    <row r="385" spans="1:16">
      <c r="A385">
        <v>384</v>
      </c>
      <c r="B385" t="s">
        <v>438</v>
      </c>
      <c r="C385">
        <v>318</v>
      </c>
      <c r="D385">
        <v>141</v>
      </c>
      <c r="E385">
        <v>142.56533026246399</v>
      </c>
      <c r="F385">
        <v>2.2488406798957099</v>
      </c>
      <c r="G385">
        <v>15963.1182340265</v>
      </c>
      <c r="H385">
        <v>1772.2052383459099</v>
      </c>
      <c r="I385">
        <v>0.66081844317918803</v>
      </c>
      <c r="J385">
        <v>6.3870389190796295E-2</v>
      </c>
      <c r="K385">
        <v>0.49928640828603199</v>
      </c>
      <c r="L385" t="s">
        <v>45</v>
      </c>
      <c r="M385" t="s">
        <v>34</v>
      </c>
      <c r="N385" t="s">
        <v>35</v>
      </c>
      <c r="O385">
        <v>0.80015709984823602</v>
      </c>
      <c r="P385" t="s">
        <v>36</v>
      </c>
    </row>
    <row r="386" spans="1:16">
      <c r="A386">
        <v>385</v>
      </c>
      <c r="B386" t="s">
        <v>439</v>
      </c>
      <c r="C386">
        <v>100</v>
      </c>
      <c r="D386">
        <v>67</v>
      </c>
      <c r="E386">
        <v>69.2639587129744</v>
      </c>
      <c r="F386">
        <v>1.5</v>
      </c>
      <c r="G386">
        <v>3767.9445289225</v>
      </c>
      <c r="H386">
        <v>393.07077779780298</v>
      </c>
      <c r="I386">
        <v>0.69553168508640595</v>
      </c>
      <c r="J386">
        <v>0.30645933041711498</v>
      </c>
      <c r="K386">
        <v>0.71832143261929005</v>
      </c>
      <c r="L386" t="s">
        <v>83</v>
      </c>
      <c r="M386" t="s">
        <v>34</v>
      </c>
      <c r="N386" t="s">
        <v>35</v>
      </c>
      <c r="O386">
        <v>0.83545562488050995</v>
      </c>
      <c r="P386" t="s">
        <v>36</v>
      </c>
    </row>
    <row r="387" spans="1:16">
      <c r="A387">
        <v>386</v>
      </c>
      <c r="B387" t="s">
        <v>440</v>
      </c>
      <c r="C387">
        <v>131</v>
      </c>
      <c r="D387">
        <v>117</v>
      </c>
      <c r="E387">
        <v>88.723929293610496</v>
      </c>
      <c r="F387">
        <v>1.1240515391858299</v>
      </c>
      <c r="G387">
        <v>6182.6037856332696</v>
      </c>
      <c r="H387">
        <v>660.43546987170805</v>
      </c>
      <c r="I387">
        <v>0.59262600520543396</v>
      </c>
      <c r="J387">
        <v>0.17812320461943601</v>
      </c>
      <c r="K387">
        <v>0.56102232112752004</v>
      </c>
      <c r="L387" t="s">
        <v>33</v>
      </c>
      <c r="M387" t="s">
        <v>34</v>
      </c>
      <c r="N387" t="s">
        <v>35</v>
      </c>
      <c r="O387">
        <v>0.92081968903590805</v>
      </c>
      <c r="P387" t="s">
        <v>36</v>
      </c>
    </row>
    <row r="388" spans="1:16">
      <c r="A388">
        <v>387</v>
      </c>
      <c r="B388" t="s">
        <v>441</v>
      </c>
      <c r="C388">
        <v>68</v>
      </c>
      <c r="D388">
        <v>88</v>
      </c>
      <c r="E388">
        <v>67.2032817129531</v>
      </c>
      <c r="F388">
        <v>0.77639756791915804</v>
      </c>
      <c r="G388">
        <v>3547.07886011342</v>
      </c>
      <c r="H388">
        <v>550.70555794125005</v>
      </c>
      <c r="I388">
        <v>0.69139547611892904</v>
      </c>
      <c r="J388">
        <v>0.146974431450939</v>
      </c>
      <c r="K388">
        <v>0.63861386138613896</v>
      </c>
      <c r="L388" t="s">
        <v>83</v>
      </c>
      <c r="M388" t="s">
        <v>34</v>
      </c>
      <c r="N388" t="s">
        <v>35</v>
      </c>
      <c r="O388">
        <v>0.79600354259629702</v>
      </c>
      <c r="P388" t="s">
        <v>36</v>
      </c>
    </row>
    <row r="389" spans="1:16">
      <c r="A389">
        <v>388</v>
      </c>
      <c r="B389" t="s">
        <v>442</v>
      </c>
      <c r="C389">
        <v>53</v>
      </c>
      <c r="D389">
        <v>95</v>
      </c>
      <c r="E389">
        <v>54.759047308765602</v>
      </c>
      <c r="F389">
        <v>0.55619935280904698</v>
      </c>
      <c r="G389">
        <v>2355.0582249527401</v>
      </c>
      <c r="H389">
        <v>388.340369734246</v>
      </c>
      <c r="I389">
        <v>0.75705960267367101</v>
      </c>
      <c r="J389">
        <v>0.196239502102033</v>
      </c>
      <c r="K389">
        <v>0.66522524035433905</v>
      </c>
      <c r="L389" t="s">
        <v>33</v>
      </c>
      <c r="M389" t="s">
        <v>34</v>
      </c>
      <c r="N389" t="s">
        <v>35</v>
      </c>
      <c r="O389">
        <v>0.93753605309741295</v>
      </c>
      <c r="P389" t="s">
        <v>36</v>
      </c>
    </row>
    <row r="390" spans="1:16">
      <c r="A390">
        <v>389</v>
      </c>
      <c r="B390" t="s">
        <v>443</v>
      </c>
      <c r="C390">
        <v>93</v>
      </c>
      <c r="D390">
        <v>88</v>
      </c>
      <c r="E390">
        <v>80.978112227752405</v>
      </c>
      <c r="F390">
        <v>1.05590062111801</v>
      </c>
      <c r="G390">
        <v>5150.21284650284</v>
      </c>
      <c r="H390">
        <v>734.66025299704597</v>
      </c>
      <c r="I390">
        <v>0.64472122108897001</v>
      </c>
      <c r="J390">
        <v>0.119911808703623</v>
      </c>
      <c r="K390">
        <v>0.69471510485584798</v>
      </c>
      <c r="L390" t="s">
        <v>33</v>
      </c>
      <c r="M390" t="s">
        <v>34</v>
      </c>
      <c r="N390" t="s">
        <v>35</v>
      </c>
      <c r="O390">
        <v>0.94263968065858605</v>
      </c>
      <c r="P390" t="s">
        <v>36</v>
      </c>
    </row>
    <row r="391" spans="1:16">
      <c r="A391">
        <v>390</v>
      </c>
      <c r="B391" t="s">
        <v>444</v>
      </c>
      <c r="C391">
        <v>49</v>
      </c>
      <c r="D391">
        <v>76</v>
      </c>
      <c r="E391">
        <v>52.048166848771899</v>
      </c>
      <c r="F391">
        <v>0.64495989329607395</v>
      </c>
      <c r="G391">
        <v>2127.6527920604899</v>
      </c>
      <c r="H391">
        <v>317.64919794839398</v>
      </c>
      <c r="I391">
        <v>0.74454214838896104</v>
      </c>
      <c r="J391">
        <v>0.26498122010959502</v>
      </c>
      <c r="K391">
        <v>0.72090446693861099</v>
      </c>
      <c r="L391" t="s">
        <v>75</v>
      </c>
      <c r="M391" t="s">
        <v>34</v>
      </c>
      <c r="N391" t="s">
        <v>35</v>
      </c>
      <c r="O391">
        <v>0.82476717684632594</v>
      </c>
      <c r="P391" t="s">
        <v>36</v>
      </c>
    </row>
    <row r="392" spans="1:16">
      <c r="A392">
        <v>391</v>
      </c>
      <c r="B392" t="s">
        <v>445</v>
      </c>
      <c r="C392">
        <v>63</v>
      </c>
      <c r="D392">
        <v>49</v>
      </c>
      <c r="E392">
        <v>50.223681698036799</v>
      </c>
      <c r="F392">
        <v>1.30337078651685</v>
      </c>
      <c r="G392">
        <v>1981.1026241965999</v>
      </c>
      <c r="H392">
        <v>250.97768684522001</v>
      </c>
      <c r="I392">
        <v>0.797434393475415</v>
      </c>
      <c r="J392">
        <v>0.39522700627235202</v>
      </c>
      <c r="K392">
        <v>0.84318066801619396</v>
      </c>
      <c r="L392" t="s">
        <v>33</v>
      </c>
      <c r="M392" t="s">
        <v>34</v>
      </c>
      <c r="N392" t="s">
        <v>35</v>
      </c>
      <c r="O392">
        <v>0.92797982704925697</v>
      </c>
      <c r="P392" t="s">
        <v>36</v>
      </c>
    </row>
    <row r="393" spans="1:16">
      <c r="A393">
        <v>392</v>
      </c>
      <c r="B393" t="s">
        <v>446</v>
      </c>
      <c r="C393">
        <v>88</v>
      </c>
      <c r="D393">
        <v>88</v>
      </c>
      <c r="E393">
        <v>69.981541934426403</v>
      </c>
      <c r="F393">
        <v>1</v>
      </c>
      <c r="G393">
        <v>3846.4216979206099</v>
      </c>
      <c r="H393">
        <v>687.35198421509403</v>
      </c>
      <c r="I393">
        <v>0.44913669435774201</v>
      </c>
      <c r="J393">
        <v>0.10230771346821201</v>
      </c>
      <c r="K393">
        <v>0.569044373103479</v>
      </c>
      <c r="L393" t="s">
        <v>33</v>
      </c>
      <c r="M393" t="s">
        <v>34</v>
      </c>
      <c r="N393" t="s">
        <v>35</v>
      </c>
      <c r="O393">
        <v>0.93227774265668995</v>
      </c>
      <c r="P393" t="s">
        <v>36</v>
      </c>
    </row>
    <row r="394" spans="1:16">
      <c r="A394">
        <v>393</v>
      </c>
      <c r="B394" t="s">
        <v>447</v>
      </c>
      <c r="C394">
        <v>117</v>
      </c>
      <c r="D394">
        <v>45</v>
      </c>
      <c r="E394">
        <v>55.601002787101002</v>
      </c>
      <c r="F394">
        <v>2.6136365427736599</v>
      </c>
      <c r="G394">
        <v>2428.0360468809099</v>
      </c>
      <c r="H394">
        <v>395.76362664761803</v>
      </c>
      <c r="I394">
        <v>0.78225849158397698</v>
      </c>
      <c r="J394">
        <v>0.19480192305057101</v>
      </c>
      <c r="K394">
        <v>0.65031847133758003</v>
      </c>
      <c r="L394" t="s">
        <v>33</v>
      </c>
      <c r="M394" t="s">
        <v>34</v>
      </c>
      <c r="N394" t="s">
        <v>35</v>
      </c>
      <c r="O394">
        <v>0.92805666356933403</v>
      </c>
      <c r="P394" t="s">
        <v>36</v>
      </c>
    </row>
    <row r="395" spans="1:16">
      <c r="A395">
        <v>394</v>
      </c>
      <c r="B395" t="s">
        <v>448</v>
      </c>
      <c r="C395">
        <v>121</v>
      </c>
      <c r="D395">
        <v>88</v>
      </c>
      <c r="E395">
        <v>75.807243772620893</v>
      </c>
      <c r="F395">
        <v>1.37020187780309</v>
      </c>
      <c r="G395">
        <v>4513.4776344045404</v>
      </c>
      <c r="H395">
        <v>555.16587300476795</v>
      </c>
      <c r="I395">
        <v>0.70784165235248298</v>
      </c>
      <c r="J395">
        <v>0.18402449553684599</v>
      </c>
      <c r="K395">
        <v>0.58656390643410405</v>
      </c>
      <c r="L395" t="s">
        <v>33</v>
      </c>
      <c r="M395" t="s">
        <v>34</v>
      </c>
      <c r="N395" t="s">
        <v>35</v>
      </c>
      <c r="O395">
        <v>0.93667489776352397</v>
      </c>
      <c r="P395" t="s">
        <v>36</v>
      </c>
    </row>
    <row r="396" spans="1:16">
      <c r="A396">
        <v>395</v>
      </c>
      <c r="B396" t="s">
        <v>449</v>
      </c>
      <c r="C396">
        <v>73</v>
      </c>
      <c r="D396">
        <v>83</v>
      </c>
      <c r="E396">
        <v>65.139877285447795</v>
      </c>
      <c r="F396">
        <v>0.88157894736842102</v>
      </c>
      <c r="G396">
        <v>3332.6043243856302</v>
      </c>
      <c r="H396">
        <v>585.09300093443505</v>
      </c>
      <c r="I396">
        <v>0.605342098458311</v>
      </c>
      <c r="J396">
        <v>0.12233305223174</v>
      </c>
      <c r="K396">
        <v>0.63405254079122197</v>
      </c>
      <c r="L396" t="s">
        <v>33</v>
      </c>
      <c r="M396" t="s">
        <v>34</v>
      </c>
      <c r="N396" t="s">
        <v>35</v>
      </c>
      <c r="O396">
        <v>0.92946728001666601</v>
      </c>
      <c r="P396" t="s">
        <v>36</v>
      </c>
    </row>
    <row r="397" spans="1:16">
      <c r="A397">
        <v>396</v>
      </c>
      <c r="B397" t="s">
        <v>450</v>
      </c>
      <c r="C397">
        <v>189</v>
      </c>
      <c r="D397">
        <v>180</v>
      </c>
      <c r="E397">
        <v>135.236824150091</v>
      </c>
      <c r="F397">
        <v>1.0475232317863701</v>
      </c>
      <c r="G397">
        <v>14364.14591569</v>
      </c>
      <c r="H397">
        <v>1633.6292310299</v>
      </c>
      <c r="I397">
        <v>0.62148696853242003</v>
      </c>
      <c r="J397">
        <v>6.7636742122771598E-2</v>
      </c>
      <c r="K397">
        <v>0.54176944120548898</v>
      </c>
      <c r="L397" t="s">
        <v>52</v>
      </c>
      <c r="M397" t="s">
        <v>34</v>
      </c>
      <c r="N397" t="s">
        <v>35</v>
      </c>
      <c r="O397">
        <v>0.74321926270039895</v>
      </c>
      <c r="P397" t="s">
        <v>36</v>
      </c>
    </row>
    <row r="398" spans="1:16">
      <c r="A398">
        <v>397</v>
      </c>
      <c r="B398" t="s">
        <v>451</v>
      </c>
      <c r="C398">
        <v>66</v>
      </c>
      <c r="D398">
        <v>69</v>
      </c>
      <c r="E398">
        <v>55.027948805636697</v>
      </c>
      <c r="F398">
        <v>0.952755905511811</v>
      </c>
      <c r="G398">
        <v>2378.2446612476401</v>
      </c>
      <c r="H398">
        <v>264.044099759537</v>
      </c>
      <c r="I398">
        <v>0.724196914935898</v>
      </c>
      <c r="J398">
        <v>0.428660493740885</v>
      </c>
      <c r="K398">
        <v>0.72560311989842197</v>
      </c>
      <c r="L398" t="s">
        <v>75</v>
      </c>
      <c r="M398" t="s">
        <v>34</v>
      </c>
      <c r="N398" t="s">
        <v>35</v>
      </c>
      <c r="O398">
        <v>0.82222415910374702</v>
      </c>
      <c r="P398" t="s">
        <v>36</v>
      </c>
    </row>
    <row r="399" spans="1:16">
      <c r="A399">
        <v>398</v>
      </c>
      <c r="B399" t="s">
        <v>452</v>
      </c>
      <c r="C399">
        <v>166</v>
      </c>
      <c r="D399">
        <v>105</v>
      </c>
      <c r="E399">
        <v>96.999825838920501</v>
      </c>
      <c r="F399">
        <v>1.5815216161080199</v>
      </c>
      <c r="G399">
        <v>7389.7847829867696</v>
      </c>
      <c r="H399">
        <v>721.18983896970803</v>
      </c>
      <c r="I399">
        <v>0.68642176795072996</v>
      </c>
      <c r="J399">
        <v>0.178542847136514</v>
      </c>
      <c r="K399">
        <v>0.56249575743862401</v>
      </c>
      <c r="L399" t="s">
        <v>83</v>
      </c>
      <c r="M399" t="s">
        <v>34</v>
      </c>
      <c r="N399" t="s">
        <v>35</v>
      </c>
      <c r="O399">
        <v>0.82682566212461905</v>
      </c>
      <c r="P399" t="s">
        <v>36</v>
      </c>
    </row>
    <row r="400" spans="1:16">
      <c r="A400">
        <v>399</v>
      </c>
      <c r="B400" t="s">
        <v>453</v>
      </c>
      <c r="C400">
        <v>59</v>
      </c>
      <c r="D400">
        <v>77</v>
      </c>
      <c r="E400">
        <v>57.950875372815503</v>
      </c>
      <c r="F400">
        <v>0.76949821846609001</v>
      </c>
      <c r="G400">
        <v>2637.6057595463099</v>
      </c>
      <c r="H400">
        <v>270.73229558074001</v>
      </c>
      <c r="I400">
        <v>0.67481406523022702</v>
      </c>
      <c r="J400">
        <v>0.452209430537169</v>
      </c>
      <c r="K400">
        <v>0.78885135135135098</v>
      </c>
      <c r="L400" t="s">
        <v>144</v>
      </c>
      <c r="M400" t="s">
        <v>34</v>
      </c>
      <c r="N400" t="s">
        <v>35</v>
      </c>
      <c r="O400">
        <v>0.80580671700345896</v>
      </c>
      <c r="P400" t="s">
        <v>36</v>
      </c>
    </row>
    <row r="401" spans="1:16">
      <c r="A401">
        <v>400</v>
      </c>
      <c r="B401" t="s">
        <v>454</v>
      </c>
      <c r="C401">
        <v>85</v>
      </c>
      <c r="D401">
        <v>111</v>
      </c>
      <c r="E401">
        <v>84.348003336401504</v>
      </c>
      <c r="F401">
        <v>0.76847290640394095</v>
      </c>
      <c r="G401">
        <v>5587.7825160680504</v>
      </c>
      <c r="H401">
        <v>471.62747710798101</v>
      </c>
      <c r="I401">
        <v>0.47326555682607002</v>
      </c>
      <c r="J401">
        <v>0.31568297446876797</v>
      </c>
      <c r="K401">
        <v>0.82826613791584003</v>
      </c>
      <c r="L401" t="s">
        <v>132</v>
      </c>
      <c r="M401" t="s">
        <v>34</v>
      </c>
      <c r="N401" t="s">
        <v>35</v>
      </c>
      <c r="O401">
        <v>0.67970169354462995</v>
      </c>
      <c r="P401" t="s">
        <v>36</v>
      </c>
    </row>
    <row r="402" spans="1:16">
      <c r="A402">
        <v>401</v>
      </c>
      <c r="B402" t="s">
        <v>455</v>
      </c>
      <c r="C402">
        <v>63</v>
      </c>
      <c r="D402">
        <v>83</v>
      </c>
      <c r="E402">
        <v>61.994624203917802</v>
      </c>
      <c r="F402">
        <v>0.76315789473684204</v>
      </c>
      <c r="G402">
        <v>3018.5470173913</v>
      </c>
      <c r="H402">
        <v>478.33058440198101</v>
      </c>
      <c r="I402">
        <v>0.63298984337949404</v>
      </c>
      <c r="J402">
        <v>0.165787395127304</v>
      </c>
      <c r="K402">
        <v>0.64785632257241299</v>
      </c>
      <c r="L402" t="s">
        <v>279</v>
      </c>
      <c r="M402" t="s">
        <v>34</v>
      </c>
      <c r="N402" t="s">
        <v>35</v>
      </c>
      <c r="O402">
        <v>0.81423378038960204</v>
      </c>
      <c r="P402" t="s">
        <v>36</v>
      </c>
    </row>
    <row r="403" spans="1:16">
      <c r="A403">
        <v>402</v>
      </c>
      <c r="B403" t="s">
        <v>456</v>
      </c>
      <c r="C403">
        <v>116</v>
      </c>
      <c r="D403">
        <v>133</v>
      </c>
      <c r="E403">
        <v>88.916750888790702</v>
      </c>
      <c r="F403">
        <v>0.87360403583446999</v>
      </c>
      <c r="G403">
        <v>6209.5059969754302</v>
      </c>
      <c r="H403">
        <v>734.07856503880498</v>
      </c>
      <c r="I403">
        <v>0.68692893372484798</v>
      </c>
      <c r="J403">
        <v>0.144804423521286</v>
      </c>
      <c r="K403">
        <v>0.53095928015860905</v>
      </c>
      <c r="L403" t="s">
        <v>33</v>
      </c>
      <c r="M403" t="s">
        <v>34</v>
      </c>
      <c r="N403" t="s">
        <v>35</v>
      </c>
      <c r="O403">
        <v>0.94316898914523795</v>
      </c>
      <c r="P403" t="s">
        <v>36</v>
      </c>
    </row>
    <row r="404" spans="1:16">
      <c r="A404">
        <v>403</v>
      </c>
      <c r="B404" t="s">
        <v>457</v>
      </c>
      <c r="C404">
        <v>83</v>
      </c>
      <c r="D404">
        <v>83</v>
      </c>
      <c r="E404">
        <v>65.410947320000901</v>
      </c>
      <c r="F404">
        <v>1</v>
      </c>
      <c r="G404">
        <v>3360.3983217391301</v>
      </c>
      <c r="H404">
        <v>548.15051020860699</v>
      </c>
      <c r="I404">
        <v>0.56729252987925605</v>
      </c>
      <c r="J404">
        <v>0.140540332862232</v>
      </c>
      <c r="K404">
        <v>0.59677972812458802</v>
      </c>
      <c r="L404" t="s">
        <v>75</v>
      </c>
      <c r="M404" t="s">
        <v>34</v>
      </c>
      <c r="N404" t="s">
        <v>35</v>
      </c>
      <c r="O404">
        <v>0.80702145929882496</v>
      </c>
      <c r="P404" t="s">
        <v>36</v>
      </c>
    </row>
    <row r="405" spans="1:16">
      <c r="A405">
        <v>404</v>
      </c>
      <c r="B405" t="s">
        <v>458</v>
      </c>
      <c r="C405">
        <v>103</v>
      </c>
      <c r="D405">
        <v>73</v>
      </c>
      <c r="E405">
        <v>69.127213813913997</v>
      </c>
      <c r="F405">
        <v>1.4029850746268699</v>
      </c>
      <c r="G405">
        <v>3753.0814287334601</v>
      </c>
      <c r="H405">
        <v>649.41925086985498</v>
      </c>
      <c r="I405">
        <v>0.67130204802795301</v>
      </c>
      <c r="J405">
        <v>0.111827221523149</v>
      </c>
      <c r="K405">
        <v>0.66918429003021196</v>
      </c>
      <c r="L405" t="s">
        <v>33</v>
      </c>
      <c r="M405" t="s">
        <v>34</v>
      </c>
      <c r="N405" t="s">
        <v>35</v>
      </c>
      <c r="O405">
        <v>0.93580389334755998</v>
      </c>
      <c r="P405" t="s">
        <v>36</v>
      </c>
    </row>
    <row r="406" spans="1:16">
      <c r="A406">
        <v>405</v>
      </c>
      <c r="B406" t="s">
        <v>459</v>
      </c>
      <c r="C406">
        <v>124</v>
      </c>
      <c r="D406">
        <v>91</v>
      </c>
      <c r="E406">
        <v>92.760415996776203</v>
      </c>
      <c r="F406">
        <v>1.3652447326808299</v>
      </c>
      <c r="G406">
        <v>6757.9543939508503</v>
      </c>
      <c r="H406">
        <v>508.02199582535297</v>
      </c>
      <c r="I406">
        <v>0.69868607624530399</v>
      </c>
      <c r="J406">
        <v>0.32904863076899499</v>
      </c>
      <c r="K406">
        <v>0.68636123481017397</v>
      </c>
      <c r="L406" t="s">
        <v>33</v>
      </c>
      <c r="M406" t="s">
        <v>34</v>
      </c>
      <c r="N406" t="s">
        <v>35</v>
      </c>
      <c r="O406">
        <v>0.64984331411102902</v>
      </c>
      <c r="P406" t="s">
        <v>36</v>
      </c>
    </row>
    <row r="407" spans="1:16">
      <c r="A407">
        <v>406</v>
      </c>
      <c r="B407" t="s">
        <v>460</v>
      </c>
      <c r="C407">
        <v>112</v>
      </c>
      <c r="D407">
        <v>130</v>
      </c>
      <c r="E407">
        <v>89.433494094271595</v>
      </c>
      <c r="F407">
        <v>0.86761366855635402</v>
      </c>
      <c r="G407">
        <v>6281.8892948960302</v>
      </c>
      <c r="H407">
        <v>605.04248476204702</v>
      </c>
      <c r="I407">
        <v>0.55818127755209901</v>
      </c>
      <c r="J407">
        <v>0.21563954200209601</v>
      </c>
      <c r="K407">
        <v>0.58988960069226404</v>
      </c>
      <c r="L407" t="s">
        <v>33</v>
      </c>
      <c r="M407" t="s">
        <v>34</v>
      </c>
      <c r="N407" t="s">
        <v>35</v>
      </c>
      <c r="O407">
        <v>0.93701270757650301</v>
      </c>
      <c r="P407" t="s">
        <v>36</v>
      </c>
    </row>
    <row r="408" spans="1:16">
      <c r="A408">
        <v>407</v>
      </c>
      <c r="B408" t="s">
        <v>461</v>
      </c>
      <c r="C408">
        <v>120</v>
      </c>
      <c r="D408">
        <v>99</v>
      </c>
      <c r="E408">
        <v>91.160419669500399</v>
      </c>
      <c r="F408">
        <v>1.20988653036933</v>
      </c>
      <c r="G408">
        <v>6526.8331860113403</v>
      </c>
      <c r="H408">
        <v>474.00873099959398</v>
      </c>
      <c r="I408">
        <v>0.67365992313468603</v>
      </c>
      <c r="J408">
        <v>0.36503936023174</v>
      </c>
      <c r="K408">
        <v>0.75858554449972404</v>
      </c>
      <c r="L408" t="s">
        <v>52</v>
      </c>
      <c r="M408" t="s">
        <v>34</v>
      </c>
      <c r="N408" t="s">
        <v>35</v>
      </c>
      <c r="O408">
        <v>0.79161781962405298</v>
      </c>
      <c r="P408" t="s">
        <v>36</v>
      </c>
    </row>
    <row r="409" spans="1:16">
      <c r="A409">
        <v>408</v>
      </c>
      <c r="B409" t="s">
        <v>462</v>
      </c>
      <c r="C409">
        <v>76</v>
      </c>
      <c r="D409">
        <v>138</v>
      </c>
      <c r="E409">
        <v>86.6761366443681</v>
      </c>
      <c r="F409">
        <v>0.552045754890235</v>
      </c>
      <c r="G409">
        <v>5900.5021440453702</v>
      </c>
      <c r="H409">
        <v>457.80719862450701</v>
      </c>
      <c r="I409">
        <v>0.60292288085071499</v>
      </c>
      <c r="J409">
        <v>0.35378026420450498</v>
      </c>
      <c r="K409">
        <v>0.72066004683500595</v>
      </c>
      <c r="L409" t="s">
        <v>33</v>
      </c>
      <c r="M409" t="s">
        <v>34</v>
      </c>
      <c r="N409" t="s">
        <v>35</v>
      </c>
      <c r="O409">
        <v>0.91910972944804004</v>
      </c>
      <c r="P409" t="s">
        <v>36</v>
      </c>
    </row>
    <row r="410" spans="1:16">
      <c r="A410">
        <v>409</v>
      </c>
      <c r="B410" t="s">
        <v>463</v>
      </c>
      <c r="C410">
        <v>111</v>
      </c>
      <c r="D410">
        <v>136</v>
      </c>
      <c r="E410">
        <v>105.41957831740601</v>
      </c>
      <c r="F410">
        <v>0.813198876111911</v>
      </c>
      <c r="G410">
        <v>8728.3555860113393</v>
      </c>
      <c r="H410">
        <v>669.533126300003</v>
      </c>
      <c r="I410">
        <v>0.60213392365052798</v>
      </c>
      <c r="J410">
        <v>0.244679822106453</v>
      </c>
      <c r="K410">
        <v>0.70204906273909695</v>
      </c>
      <c r="L410" t="s">
        <v>33</v>
      </c>
      <c r="M410" t="s">
        <v>34</v>
      </c>
      <c r="N410" t="s">
        <v>35</v>
      </c>
      <c r="O410">
        <v>0.94444588934808504</v>
      </c>
      <c r="P410" t="s">
        <v>36</v>
      </c>
    </row>
    <row r="411" spans="1:16">
      <c r="A411">
        <v>410</v>
      </c>
      <c r="B411" t="s">
        <v>464</v>
      </c>
      <c r="C411">
        <v>125</v>
      </c>
      <c r="D411">
        <v>111</v>
      </c>
      <c r="E411">
        <v>100.59420808781699</v>
      </c>
      <c r="F411">
        <v>1.13111721322224</v>
      </c>
      <c r="G411">
        <v>7947.5969330812904</v>
      </c>
      <c r="H411">
        <v>680.446876364584</v>
      </c>
      <c r="I411">
        <v>0.69710584114373397</v>
      </c>
      <c r="J411">
        <v>0.21570352781063801</v>
      </c>
      <c r="K411">
        <v>0.686312763117363</v>
      </c>
      <c r="L411" t="s">
        <v>331</v>
      </c>
      <c r="M411" t="s">
        <v>34</v>
      </c>
      <c r="N411" t="s">
        <v>35</v>
      </c>
      <c r="O411">
        <v>0.630771555616774</v>
      </c>
      <c r="P411" t="s">
        <v>36</v>
      </c>
    </row>
    <row r="412" spans="1:16">
      <c r="A412">
        <v>411</v>
      </c>
      <c r="B412" t="s">
        <v>465</v>
      </c>
      <c r="C412">
        <v>96</v>
      </c>
      <c r="D412">
        <v>70</v>
      </c>
      <c r="E412">
        <v>64.528372446363505</v>
      </c>
      <c r="F412">
        <v>1.3675116850081099</v>
      </c>
      <c r="G412">
        <v>3270.3279345935698</v>
      </c>
      <c r="H412">
        <v>502.08766557330699</v>
      </c>
      <c r="I412">
        <v>0.59031361324268605</v>
      </c>
      <c r="J412">
        <v>0.163020440779583</v>
      </c>
      <c r="K412">
        <v>0.68938183413228105</v>
      </c>
      <c r="L412" t="s">
        <v>33</v>
      </c>
      <c r="M412" t="s">
        <v>34</v>
      </c>
      <c r="N412" t="s">
        <v>35</v>
      </c>
      <c r="O412">
        <v>0.94858022499080996</v>
      </c>
      <c r="P412" t="s">
        <v>36</v>
      </c>
    </row>
    <row r="413" spans="1:16">
      <c r="A413">
        <v>412</v>
      </c>
      <c r="B413" t="s">
        <v>466</v>
      </c>
      <c r="C413">
        <v>73</v>
      </c>
      <c r="D413">
        <v>73</v>
      </c>
      <c r="E413">
        <v>71.4281999850473</v>
      </c>
      <c r="F413">
        <v>1</v>
      </c>
      <c r="G413">
        <v>4007.0918109640802</v>
      </c>
      <c r="H413">
        <v>396.74446702853498</v>
      </c>
      <c r="I413">
        <v>0.74959162395873602</v>
      </c>
      <c r="J413">
        <v>0.31990232723954298</v>
      </c>
      <c r="K413">
        <v>0.856525606811539</v>
      </c>
      <c r="L413" t="s">
        <v>33</v>
      </c>
      <c r="M413" t="s">
        <v>34</v>
      </c>
      <c r="N413" t="s">
        <v>35</v>
      </c>
      <c r="O413">
        <v>0.94749000376555803</v>
      </c>
      <c r="P413" t="s">
        <v>36</v>
      </c>
    </row>
    <row r="414" spans="1:16">
      <c r="A414">
        <v>413</v>
      </c>
      <c r="B414" t="s">
        <v>467</v>
      </c>
      <c r="C414">
        <v>63</v>
      </c>
      <c r="D414">
        <v>78</v>
      </c>
      <c r="E414">
        <v>62.811904418455804</v>
      </c>
      <c r="F414">
        <v>0.80419580419580405</v>
      </c>
      <c r="G414">
        <v>3098.6591274102102</v>
      </c>
      <c r="H414">
        <v>491.68978779751302</v>
      </c>
      <c r="I414">
        <v>0.56646322446259101</v>
      </c>
      <c r="J414">
        <v>0.16106504236535099</v>
      </c>
      <c r="K414">
        <v>0.77432773733472005</v>
      </c>
      <c r="L414" t="s">
        <v>33</v>
      </c>
      <c r="M414" t="s">
        <v>34</v>
      </c>
      <c r="N414" t="s">
        <v>35</v>
      </c>
      <c r="O414">
        <v>0.927679217185998</v>
      </c>
      <c r="P414" t="s">
        <v>36</v>
      </c>
    </row>
    <row r="415" spans="1:16">
      <c r="A415">
        <v>414</v>
      </c>
      <c r="B415" t="s">
        <v>468</v>
      </c>
      <c r="C415">
        <v>78</v>
      </c>
      <c r="D415">
        <v>93</v>
      </c>
      <c r="E415">
        <v>78.140393997637304</v>
      </c>
      <c r="F415">
        <v>0.83625730994152003</v>
      </c>
      <c r="G415">
        <v>4795.5792759924398</v>
      </c>
      <c r="H415">
        <v>580.78605900484604</v>
      </c>
      <c r="I415">
        <v>0.68547801144325904</v>
      </c>
      <c r="J415">
        <v>0.17865639749599399</v>
      </c>
      <c r="K415">
        <v>0.80385171159499702</v>
      </c>
      <c r="L415" t="s">
        <v>83</v>
      </c>
      <c r="M415" t="s">
        <v>34</v>
      </c>
      <c r="N415" t="s">
        <v>35</v>
      </c>
      <c r="O415">
        <v>0.78737437539548705</v>
      </c>
      <c r="P415" t="s">
        <v>36</v>
      </c>
    </row>
    <row r="416" spans="1:16">
      <c r="A416">
        <v>415</v>
      </c>
      <c r="B416" t="s">
        <v>469</v>
      </c>
      <c r="C416">
        <v>73</v>
      </c>
      <c r="D416">
        <v>88</v>
      </c>
      <c r="E416">
        <v>64.3286391925717</v>
      </c>
      <c r="F416">
        <v>0.83229813664596297</v>
      </c>
      <c r="G416">
        <v>3250.1141183364798</v>
      </c>
      <c r="H416">
        <v>525.70305262327201</v>
      </c>
      <c r="I416">
        <v>0.55356703580312705</v>
      </c>
      <c r="J416">
        <v>0.147784020181878</v>
      </c>
      <c r="K416">
        <v>0.61104901358073005</v>
      </c>
      <c r="L416" t="s">
        <v>33</v>
      </c>
      <c r="M416" t="s">
        <v>34</v>
      </c>
      <c r="N416" t="s">
        <v>35</v>
      </c>
      <c r="O416">
        <v>0.95006341612690803</v>
      </c>
      <c r="P416" t="s">
        <v>36</v>
      </c>
    </row>
    <row r="417" spans="1:16">
      <c r="A417">
        <v>416</v>
      </c>
      <c r="B417" t="s">
        <v>470</v>
      </c>
      <c r="C417">
        <v>89</v>
      </c>
      <c r="D417">
        <v>119</v>
      </c>
      <c r="E417">
        <v>79.920743994142498</v>
      </c>
      <c r="F417">
        <v>0.74253629840672397</v>
      </c>
      <c r="G417">
        <v>5016.5935758034002</v>
      </c>
      <c r="H417">
        <v>457.62951177928801</v>
      </c>
      <c r="I417">
        <v>0.74212073971944204</v>
      </c>
      <c r="J417">
        <v>0.301016799873778</v>
      </c>
      <c r="K417">
        <v>0.643950089670699</v>
      </c>
      <c r="L417" t="s">
        <v>33</v>
      </c>
      <c r="M417" t="s">
        <v>34</v>
      </c>
      <c r="N417" t="s">
        <v>35</v>
      </c>
      <c r="O417">
        <v>0.90871918626794401</v>
      </c>
      <c r="P417" t="s">
        <v>36</v>
      </c>
    </row>
    <row r="418" spans="1:16">
      <c r="A418">
        <v>417</v>
      </c>
      <c r="B418" t="s">
        <v>471</v>
      </c>
      <c r="C418">
        <v>140</v>
      </c>
      <c r="D418">
        <v>64</v>
      </c>
      <c r="E418">
        <v>75.827212096373799</v>
      </c>
      <c r="F418">
        <v>2.1957597156569801</v>
      </c>
      <c r="G418">
        <v>4515.8557304347796</v>
      </c>
      <c r="H418">
        <v>638.81158652917202</v>
      </c>
      <c r="I418">
        <v>0.77299822278417296</v>
      </c>
      <c r="J418">
        <v>0.13906068159724999</v>
      </c>
      <c r="K418">
        <v>0.69448444535875098</v>
      </c>
      <c r="L418" t="s">
        <v>33</v>
      </c>
      <c r="M418" t="s">
        <v>34</v>
      </c>
      <c r="N418" t="s">
        <v>35</v>
      </c>
      <c r="O418">
        <v>0.94600241309021704</v>
      </c>
      <c r="P418" t="s">
        <v>36</v>
      </c>
    </row>
    <row r="419" spans="1:16">
      <c r="A419">
        <v>418</v>
      </c>
      <c r="B419" t="s">
        <v>472</v>
      </c>
      <c r="C419">
        <v>116</v>
      </c>
      <c r="D419">
        <v>171</v>
      </c>
      <c r="E419">
        <v>86.799407301032701</v>
      </c>
      <c r="F419">
        <v>0.67515923566878999</v>
      </c>
      <c r="G419">
        <v>5917.2974472589804</v>
      </c>
      <c r="H419">
        <v>1226.15031701212</v>
      </c>
      <c r="I419">
        <v>0.63199308214622296</v>
      </c>
      <c r="J419">
        <v>4.9459057395371903E-2</v>
      </c>
      <c r="K419">
        <v>0.39311175622568501</v>
      </c>
      <c r="L419" t="s">
        <v>52</v>
      </c>
      <c r="M419" t="s">
        <v>34</v>
      </c>
      <c r="N419" t="s">
        <v>35</v>
      </c>
      <c r="O419">
        <v>0.64352401525618497</v>
      </c>
      <c r="P419" t="s">
        <v>36</v>
      </c>
    </row>
    <row r="420" spans="1:16">
      <c r="A420">
        <v>419</v>
      </c>
      <c r="B420" t="s">
        <v>473</v>
      </c>
      <c r="C420">
        <v>78</v>
      </c>
      <c r="D420">
        <v>73</v>
      </c>
      <c r="E420">
        <v>63.422055977630201</v>
      </c>
      <c r="F420">
        <v>1.0671641791044799</v>
      </c>
      <c r="G420">
        <v>3159.1519451795798</v>
      </c>
      <c r="H420">
        <v>537.72993495163701</v>
      </c>
      <c r="I420">
        <v>0.530895707241267</v>
      </c>
      <c r="J420">
        <v>0.137294124096764</v>
      </c>
      <c r="K420">
        <v>0.65607926659875904</v>
      </c>
      <c r="L420" t="s">
        <v>33</v>
      </c>
      <c r="M420" t="s">
        <v>34</v>
      </c>
      <c r="N420" t="s">
        <v>35</v>
      </c>
      <c r="O420">
        <v>0.92741830842510797</v>
      </c>
      <c r="P420" t="s">
        <v>36</v>
      </c>
    </row>
    <row r="421" spans="1:16">
      <c r="A421">
        <v>420</v>
      </c>
      <c r="B421" t="s">
        <v>474</v>
      </c>
      <c r="C421">
        <v>161</v>
      </c>
      <c r="D421">
        <v>143</v>
      </c>
      <c r="E421">
        <v>113.325146508576</v>
      </c>
      <c r="F421">
        <v>1.12977102259769</v>
      </c>
      <c r="G421">
        <v>10086.545681285401</v>
      </c>
      <c r="H421">
        <v>827.80115914230805</v>
      </c>
      <c r="I421">
        <v>0.76403588986314097</v>
      </c>
      <c r="J421">
        <v>0.184969559963888</v>
      </c>
      <c r="K421">
        <v>0.58056651068089105</v>
      </c>
      <c r="L421" t="s">
        <v>33</v>
      </c>
      <c r="M421" t="s">
        <v>34</v>
      </c>
      <c r="N421" t="s">
        <v>35</v>
      </c>
      <c r="O421">
        <v>0.93547729145456404</v>
      </c>
      <c r="P421" t="s">
        <v>36</v>
      </c>
    </row>
    <row r="422" spans="1:16">
      <c r="A422">
        <v>421</v>
      </c>
      <c r="B422" t="s">
        <v>475</v>
      </c>
      <c r="C422">
        <v>107</v>
      </c>
      <c r="D422">
        <v>63</v>
      </c>
      <c r="E422">
        <v>71.363259822643101</v>
      </c>
      <c r="F422">
        <v>1.69827582237978</v>
      </c>
      <c r="G422">
        <v>3999.8088918714602</v>
      </c>
      <c r="H422">
        <v>602.48516025532899</v>
      </c>
      <c r="I422">
        <v>0.67222032002908605</v>
      </c>
      <c r="J422">
        <v>0.138470224689027</v>
      </c>
      <c r="K422">
        <v>0.644667497125335</v>
      </c>
      <c r="L422" t="s">
        <v>33</v>
      </c>
      <c r="M422" t="s">
        <v>34</v>
      </c>
      <c r="N422" t="s">
        <v>35</v>
      </c>
      <c r="O422">
        <v>0.94928881412503496</v>
      </c>
      <c r="P422" t="s">
        <v>36</v>
      </c>
    </row>
    <row r="423" spans="1:16">
      <c r="A423">
        <v>422</v>
      </c>
      <c r="B423" t="s">
        <v>476</v>
      </c>
      <c r="C423">
        <v>86</v>
      </c>
      <c r="D423">
        <v>114</v>
      </c>
      <c r="E423">
        <v>82.835724138879598</v>
      </c>
      <c r="F423">
        <v>0.75598082561304203</v>
      </c>
      <c r="G423">
        <v>5389.2114975425302</v>
      </c>
      <c r="H423">
        <v>596.58909950121597</v>
      </c>
      <c r="I423">
        <v>0.39921273150693298</v>
      </c>
      <c r="J423">
        <v>0.19027619747265501</v>
      </c>
      <c r="K423">
        <v>0.66069606413994197</v>
      </c>
      <c r="L423" t="s">
        <v>178</v>
      </c>
      <c r="M423" t="s">
        <v>34</v>
      </c>
      <c r="N423" t="s">
        <v>35</v>
      </c>
      <c r="O423">
        <v>0.69431521829767096</v>
      </c>
      <c r="P423" t="s">
        <v>36</v>
      </c>
    </row>
    <row r="424" spans="1:16">
      <c r="A424">
        <v>423</v>
      </c>
      <c r="B424" t="s">
        <v>477</v>
      </c>
      <c r="C424">
        <v>73</v>
      </c>
      <c r="D424">
        <v>58</v>
      </c>
      <c r="E424">
        <v>53.905697808907199</v>
      </c>
      <c r="F424">
        <v>1.2429906542056099</v>
      </c>
      <c r="G424">
        <v>2282.2290340264699</v>
      </c>
      <c r="H424">
        <v>389.54039891854597</v>
      </c>
      <c r="I424">
        <v>0.70974797478587304</v>
      </c>
      <c r="J424">
        <v>0.18900099074128701</v>
      </c>
      <c r="K424">
        <v>0.702263892064944</v>
      </c>
      <c r="L424" t="s">
        <v>33</v>
      </c>
      <c r="M424" t="s">
        <v>34</v>
      </c>
      <c r="N424" t="s">
        <v>35</v>
      </c>
      <c r="O424">
        <v>0.88097326651846697</v>
      </c>
      <c r="P424" t="s">
        <v>36</v>
      </c>
    </row>
    <row r="425" spans="1:16">
      <c r="A425">
        <v>424</v>
      </c>
      <c r="B425" t="s">
        <v>478</v>
      </c>
      <c r="C425">
        <v>63</v>
      </c>
      <c r="D425">
        <v>127</v>
      </c>
      <c r="E425">
        <v>68.938060414604706</v>
      </c>
      <c r="F425">
        <v>0.49356223091645901</v>
      </c>
      <c r="G425">
        <v>3732.5703504725898</v>
      </c>
      <c r="H425">
        <v>810.11944180042894</v>
      </c>
      <c r="I425">
        <v>0.726061515990583</v>
      </c>
      <c r="J425">
        <v>7.1469337506353398E-2</v>
      </c>
      <c r="K425">
        <v>0.60794519221458299</v>
      </c>
      <c r="L425" t="s">
        <v>321</v>
      </c>
      <c r="M425" t="s">
        <v>34</v>
      </c>
      <c r="N425" t="s">
        <v>35</v>
      </c>
      <c r="O425">
        <v>0.77661294423877802</v>
      </c>
      <c r="P425" t="s">
        <v>36</v>
      </c>
    </row>
    <row r="426" spans="1:16">
      <c r="A426">
        <v>425</v>
      </c>
      <c r="B426" t="s">
        <v>479</v>
      </c>
      <c r="C426">
        <v>380</v>
      </c>
      <c r="D426">
        <v>141</v>
      </c>
      <c r="E426">
        <v>123.171515929842</v>
      </c>
      <c r="F426">
        <v>2.6900395037681402</v>
      </c>
      <c r="G426">
        <v>11915.450159546301</v>
      </c>
      <c r="H426">
        <v>1585.40821431056</v>
      </c>
      <c r="I426">
        <v>0.65075796988398804</v>
      </c>
      <c r="J426">
        <v>5.9571441660024899E-2</v>
      </c>
      <c r="K426">
        <v>0.28014900650680402</v>
      </c>
      <c r="L426" t="s">
        <v>331</v>
      </c>
      <c r="M426" t="s">
        <v>34</v>
      </c>
      <c r="N426" t="s">
        <v>35</v>
      </c>
      <c r="O426">
        <v>0.68857287313629201</v>
      </c>
      <c r="P426" t="s">
        <v>36</v>
      </c>
    </row>
    <row r="427" spans="1:16">
      <c r="A427">
        <v>426</v>
      </c>
      <c r="B427" t="s">
        <v>480</v>
      </c>
      <c r="C427">
        <v>94</v>
      </c>
      <c r="D427">
        <v>77</v>
      </c>
      <c r="E427">
        <v>72.837041363606104</v>
      </c>
      <c r="F427">
        <v>1.2132921616051799</v>
      </c>
      <c r="G427">
        <v>4166.7215069943304</v>
      </c>
      <c r="H427">
        <v>396.45556955150897</v>
      </c>
      <c r="I427">
        <v>0.663030950657717</v>
      </c>
      <c r="J427">
        <v>0.33313118648407197</v>
      </c>
      <c r="K427">
        <v>0.75812645356698605</v>
      </c>
      <c r="L427" t="s">
        <v>33</v>
      </c>
      <c r="M427" t="s">
        <v>34</v>
      </c>
      <c r="N427" t="s">
        <v>35</v>
      </c>
      <c r="O427">
        <v>0.88846879624803698</v>
      </c>
      <c r="P427" t="s">
        <v>36</v>
      </c>
    </row>
    <row r="428" spans="1:16">
      <c r="A428">
        <v>427</v>
      </c>
      <c r="B428" t="s">
        <v>481</v>
      </c>
      <c r="C428">
        <v>63</v>
      </c>
      <c r="D428">
        <v>88</v>
      </c>
      <c r="E428">
        <v>60.781570332955397</v>
      </c>
      <c r="F428">
        <v>0.72049693620517097</v>
      </c>
      <c r="G428">
        <v>2901.57441890359</v>
      </c>
      <c r="H428">
        <v>552.30246277415199</v>
      </c>
      <c r="I428">
        <v>0.68405880732133595</v>
      </c>
      <c r="J428">
        <v>0.119533495077874</v>
      </c>
      <c r="K428">
        <v>0.63749469353100596</v>
      </c>
      <c r="L428" t="s">
        <v>83</v>
      </c>
      <c r="M428" t="s">
        <v>34</v>
      </c>
      <c r="N428" t="s">
        <v>35</v>
      </c>
      <c r="O428">
        <v>0.81596425002748396</v>
      </c>
      <c r="P428" t="s">
        <v>36</v>
      </c>
    </row>
    <row r="429" spans="1:16">
      <c r="A429">
        <v>428</v>
      </c>
      <c r="B429" t="s">
        <v>482</v>
      </c>
      <c r="C429">
        <v>104</v>
      </c>
      <c r="D429">
        <v>171</v>
      </c>
      <c r="E429">
        <v>109.653655566588</v>
      </c>
      <c r="F429">
        <v>0.60509554140127397</v>
      </c>
      <c r="G429">
        <v>9443.5679671077505</v>
      </c>
      <c r="H429">
        <v>708.69798854921203</v>
      </c>
      <c r="I429">
        <v>0.71807798699963898</v>
      </c>
      <c r="J429">
        <v>0.236278156712979</v>
      </c>
      <c r="K429">
        <v>0.64520944402132496</v>
      </c>
      <c r="L429" t="s">
        <v>321</v>
      </c>
      <c r="M429" t="s">
        <v>34</v>
      </c>
      <c r="N429" t="s">
        <v>35</v>
      </c>
      <c r="O429">
        <v>0.76074333099225899</v>
      </c>
      <c r="P429" t="s">
        <v>36</v>
      </c>
    </row>
    <row r="430" spans="1:16">
      <c r="A430">
        <v>429</v>
      </c>
      <c r="B430" t="s">
        <v>483</v>
      </c>
      <c r="C430">
        <v>115</v>
      </c>
      <c r="D430">
        <v>123</v>
      </c>
      <c r="E430">
        <v>105.170657589732</v>
      </c>
      <c r="F430">
        <v>0.93213270906172496</v>
      </c>
      <c r="G430">
        <v>8687.1847984877095</v>
      </c>
      <c r="H430">
        <v>780.23770883311397</v>
      </c>
      <c r="I430">
        <v>0.50945288254221099</v>
      </c>
      <c r="J430">
        <v>0.179322610443267</v>
      </c>
      <c r="K430">
        <v>0.67501270383886902</v>
      </c>
      <c r="L430" t="s">
        <v>33</v>
      </c>
      <c r="M430" t="s">
        <v>34</v>
      </c>
      <c r="N430" t="s">
        <v>35</v>
      </c>
      <c r="O430">
        <v>0.93224219393367203</v>
      </c>
      <c r="P430" t="s">
        <v>36</v>
      </c>
    </row>
    <row r="431" spans="1:16">
      <c r="A431">
        <v>430</v>
      </c>
      <c r="B431" t="s">
        <v>484</v>
      </c>
      <c r="C431">
        <v>68</v>
      </c>
      <c r="D431">
        <v>94</v>
      </c>
      <c r="E431">
        <v>60.647542451367997</v>
      </c>
      <c r="F431">
        <v>0.72509573162144902</v>
      </c>
      <c r="G431">
        <v>2888.7921527410199</v>
      </c>
      <c r="H431">
        <v>526.28701735558695</v>
      </c>
      <c r="I431">
        <v>0.597031008211381</v>
      </c>
      <c r="J431">
        <v>0.13106322375851601</v>
      </c>
      <c r="K431">
        <v>0.64466483133768904</v>
      </c>
      <c r="L431" t="s">
        <v>75</v>
      </c>
      <c r="M431" t="s">
        <v>34</v>
      </c>
      <c r="N431" t="s">
        <v>35</v>
      </c>
      <c r="O431">
        <v>0.76907148758775601</v>
      </c>
      <c r="P431" t="s">
        <v>36</v>
      </c>
    </row>
    <row r="432" spans="1:16">
      <c r="A432">
        <v>431</v>
      </c>
      <c r="B432" t="s">
        <v>485</v>
      </c>
      <c r="C432">
        <v>58</v>
      </c>
      <c r="D432">
        <v>83</v>
      </c>
      <c r="E432">
        <v>66.691642312565904</v>
      </c>
      <c r="F432">
        <v>0.70394736842105299</v>
      </c>
      <c r="G432">
        <v>3493.2744374291101</v>
      </c>
      <c r="H432">
        <v>252.62387964466299</v>
      </c>
      <c r="I432">
        <v>0.67518956325234902</v>
      </c>
      <c r="J432">
        <v>0.68785004325027899</v>
      </c>
      <c r="K432">
        <v>0.91298605446140702</v>
      </c>
      <c r="L432" t="s">
        <v>33</v>
      </c>
      <c r="M432" t="s">
        <v>34</v>
      </c>
      <c r="N432" t="s">
        <v>35</v>
      </c>
      <c r="O432">
        <v>0.93133182140551196</v>
      </c>
      <c r="P432" t="s">
        <v>36</v>
      </c>
    </row>
    <row r="433" spans="1:16">
      <c r="A433">
        <v>432</v>
      </c>
      <c r="B433" t="s">
        <v>486</v>
      </c>
      <c r="C433">
        <v>117</v>
      </c>
      <c r="D433">
        <v>60</v>
      </c>
      <c r="E433">
        <v>75.413040680042499</v>
      </c>
      <c r="F433">
        <v>1.94545454545455</v>
      </c>
      <c r="G433">
        <v>4466.6588688090696</v>
      </c>
      <c r="H433">
        <v>505.18906908429199</v>
      </c>
      <c r="I433">
        <v>0.68204526924349296</v>
      </c>
      <c r="J433">
        <v>0.21993014441947401</v>
      </c>
      <c r="K433">
        <v>0.76922289341660699</v>
      </c>
      <c r="L433" t="s">
        <v>33</v>
      </c>
      <c r="M433" t="s">
        <v>34</v>
      </c>
      <c r="N433" t="s">
        <v>35</v>
      </c>
      <c r="O433">
        <v>0.90420576717192702</v>
      </c>
      <c r="P433" t="s">
        <v>36</v>
      </c>
    </row>
    <row r="434" spans="1:16">
      <c r="A434">
        <v>433</v>
      </c>
      <c r="B434" t="s">
        <v>487</v>
      </c>
      <c r="C434">
        <v>122</v>
      </c>
      <c r="D434">
        <v>47</v>
      </c>
      <c r="E434">
        <v>52.3797968436077</v>
      </c>
      <c r="F434">
        <v>2.59697704272314</v>
      </c>
      <c r="G434">
        <v>2154.85226540643</v>
      </c>
      <c r="H434">
        <v>427.91540287473902</v>
      </c>
      <c r="I434">
        <v>0.59591635726647696</v>
      </c>
      <c r="J434">
        <v>0.147880709724309</v>
      </c>
      <c r="K434">
        <v>0.53026590102776106</v>
      </c>
      <c r="L434" t="s">
        <v>96</v>
      </c>
      <c r="M434" t="s">
        <v>34</v>
      </c>
      <c r="N434" t="s">
        <v>35</v>
      </c>
      <c r="O434">
        <v>0.75925917980420898</v>
      </c>
      <c r="P434" t="s">
        <v>36</v>
      </c>
    </row>
    <row r="435" spans="1:16">
      <c r="A435">
        <v>434</v>
      </c>
      <c r="B435" t="s">
        <v>488</v>
      </c>
      <c r="C435">
        <v>98</v>
      </c>
      <c r="D435">
        <v>73</v>
      </c>
      <c r="E435">
        <v>75.727317823715495</v>
      </c>
      <c r="F435">
        <v>1.33582089552239</v>
      </c>
      <c r="G435">
        <v>4503.9652502835497</v>
      </c>
      <c r="H435">
        <v>926.24799153110303</v>
      </c>
      <c r="I435">
        <v>0.60258323606853703</v>
      </c>
      <c r="J435">
        <v>6.5970585206916704E-2</v>
      </c>
      <c r="K435">
        <v>0.65055817947617001</v>
      </c>
      <c r="L435" t="s">
        <v>75</v>
      </c>
      <c r="M435" t="s">
        <v>34</v>
      </c>
      <c r="N435" t="s">
        <v>35</v>
      </c>
      <c r="O435">
        <v>0.832038228377044</v>
      </c>
      <c r="P435" t="s">
        <v>36</v>
      </c>
    </row>
    <row r="436" spans="1:16">
      <c r="A436">
        <v>435</v>
      </c>
      <c r="B436" t="s">
        <v>489</v>
      </c>
      <c r="C436">
        <v>68</v>
      </c>
      <c r="D436">
        <v>59</v>
      </c>
      <c r="E436">
        <v>59.201164998851397</v>
      </c>
      <c r="F436">
        <v>1.1574074074074101</v>
      </c>
      <c r="G436">
        <v>2752.64615500945</v>
      </c>
      <c r="H436">
        <v>370.12235939647798</v>
      </c>
      <c r="I436">
        <v>0.56583459345197895</v>
      </c>
      <c r="J436">
        <v>0.25250478223038197</v>
      </c>
      <c r="K436">
        <v>0.779723812731559</v>
      </c>
      <c r="L436" t="s">
        <v>83</v>
      </c>
      <c r="M436" t="s">
        <v>34</v>
      </c>
      <c r="N436" t="s">
        <v>35</v>
      </c>
      <c r="O436">
        <v>0.860352371713762</v>
      </c>
      <c r="P436" t="s">
        <v>36</v>
      </c>
    </row>
    <row r="437" spans="1:16">
      <c r="A437">
        <v>436</v>
      </c>
      <c r="B437" t="s">
        <v>490</v>
      </c>
      <c r="C437">
        <v>183</v>
      </c>
      <c r="D437">
        <v>106</v>
      </c>
      <c r="E437">
        <v>102.254814106506</v>
      </c>
      <c r="F437">
        <v>1.7157670204458899</v>
      </c>
      <c r="G437">
        <v>8212.1601164461299</v>
      </c>
      <c r="H437">
        <v>683.640686030388</v>
      </c>
      <c r="I437">
        <v>0.65829702110022503</v>
      </c>
      <c r="J437">
        <v>0.22080630477058</v>
      </c>
      <c r="K437">
        <v>0.60698474079119402</v>
      </c>
      <c r="L437" t="s">
        <v>45</v>
      </c>
      <c r="M437" t="s">
        <v>34</v>
      </c>
      <c r="N437" t="s">
        <v>35</v>
      </c>
      <c r="O437">
        <v>0.66468147529083799</v>
      </c>
      <c r="P437" t="s">
        <v>36</v>
      </c>
    </row>
    <row r="438" spans="1:16">
      <c r="A438">
        <v>437</v>
      </c>
      <c r="B438" t="s">
        <v>491</v>
      </c>
      <c r="C438">
        <v>86</v>
      </c>
      <c r="D438">
        <v>85</v>
      </c>
      <c r="E438">
        <v>59.432467164441299</v>
      </c>
      <c r="F438">
        <v>1.01157968802045</v>
      </c>
      <c r="G438">
        <v>2774.19765028355</v>
      </c>
      <c r="H438">
        <v>638.32781396005498</v>
      </c>
      <c r="I438">
        <v>0.67534824819830297</v>
      </c>
      <c r="J438">
        <v>8.5557823238768593E-2</v>
      </c>
      <c r="K438">
        <v>0.48785906584071698</v>
      </c>
      <c r="L438" t="s">
        <v>33</v>
      </c>
      <c r="M438" t="s">
        <v>34</v>
      </c>
      <c r="N438" t="s">
        <v>35</v>
      </c>
      <c r="O438">
        <v>0.95801020723680597</v>
      </c>
      <c r="P438" t="s">
        <v>36</v>
      </c>
    </row>
    <row r="439" spans="1:16">
      <c r="A439">
        <v>438</v>
      </c>
      <c r="B439" t="s">
        <v>492</v>
      </c>
      <c r="C439">
        <v>143</v>
      </c>
      <c r="D439">
        <v>180</v>
      </c>
      <c r="E439">
        <v>109.72784088765</v>
      </c>
      <c r="F439">
        <v>0.791059382109776</v>
      </c>
      <c r="G439">
        <v>9456.3502332703192</v>
      </c>
      <c r="H439">
        <v>867.11550152125596</v>
      </c>
      <c r="I439">
        <v>0.59960787950776795</v>
      </c>
      <c r="J439">
        <v>0.15804454565342699</v>
      </c>
      <c r="K439">
        <v>0.54286299371155</v>
      </c>
      <c r="L439" t="s">
        <v>279</v>
      </c>
      <c r="M439" t="s">
        <v>34</v>
      </c>
      <c r="N439" t="s">
        <v>35</v>
      </c>
      <c r="O439">
        <v>0.86217584066595998</v>
      </c>
      <c r="P439" t="s">
        <v>36</v>
      </c>
    </row>
    <row r="440" spans="1:16">
      <c r="A440">
        <v>439</v>
      </c>
      <c r="B440" t="s">
        <v>493</v>
      </c>
      <c r="C440">
        <v>154</v>
      </c>
      <c r="D440">
        <v>126</v>
      </c>
      <c r="E440">
        <v>103.976279172408</v>
      </c>
      <c r="F440">
        <v>1.22388316426574</v>
      </c>
      <c r="G440">
        <v>8490.9918759924403</v>
      </c>
      <c r="H440">
        <v>866.28024826588796</v>
      </c>
      <c r="I440">
        <v>0.58114722796235097</v>
      </c>
      <c r="J440">
        <v>0.142184241237957</v>
      </c>
      <c r="K440">
        <v>0.59379677365707595</v>
      </c>
      <c r="L440" t="s">
        <v>132</v>
      </c>
      <c r="M440" t="s">
        <v>34</v>
      </c>
      <c r="N440" t="s">
        <v>35</v>
      </c>
      <c r="O440">
        <v>0.73878884002729095</v>
      </c>
      <c r="P440" t="s">
        <v>36</v>
      </c>
    </row>
    <row r="441" spans="1:16">
      <c r="A441">
        <v>440</v>
      </c>
      <c r="B441" t="s">
        <v>494</v>
      </c>
      <c r="C441">
        <v>79</v>
      </c>
      <c r="D441">
        <v>92</v>
      </c>
      <c r="E441">
        <v>72.071757806119507</v>
      </c>
      <c r="F441">
        <v>0.85809658598253802</v>
      </c>
      <c r="G441">
        <v>4079.6237398865801</v>
      </c>
      <c r="H441">
        <v>415.321744060931</v>
      </c>
      <c r="I441">
        <v>0.68879613349744795</v>
      </c>
      <c r="J441">
        <v>0.29720809647657198</v>
      </c>
      <c r="K441">
        <v>0.73208332222014805</v>
      </c>
      <c r="L441" t="s">
        <v>33</v>
      </c>
      <c r="M441" t="s">
        <v>34</v>
      </c>
      <c r="N441" t="s">
        <v>35</v>
      </c>
      <c r="O441">
        <v>0.93185266972948799</v>
      </c>
      <c r="P441" t="s">
        <v>36</v>
      </c>
    </row>
    <row r="442" spans="1:16">
      <c r="A442">
        <v>441</v>
      </c>
      <c r="B442" t="s">
        <v>495</v>
      </c>
      <c r="C442">
        <v>69</v>
      </c>
      <c r="D442">
        <v>93</v>
      </c>
      <c r="E442">
        <v>65.302364536909394</v>
      </c>
      <c r="F442">
        <v>0.74117647058823499</v>
      </c>
      <c r="G442">
        <v>3349.25099659735</v>
      </c>
      <c r="H442">
        <v>428.55416480790001</v>
      </c>
      <c r="I442">
        <v>0.62230289281237305</v>
      </c>
      <c r="J442">
        <v>0.22916385491361099</v>
      </c>
      <c r="K442">
        <v>0.73381529243193999</v>
      </c>
      <c r="L442" t="s">
        <v>178</v>
      </c>
      <c r="M442" t="s">
        <v>34</v>
      </c>
      <c r="N442" t="s">
        <v>35</v>
      </c>
      <c r="O442">
        <v>0.68494867011711902</v>
      </c>
      <c r="P442" t="s">
        <v>36</v>
      </c>
    </row>
    <row r="443" spans="1:16">
      <c r="A443">
        <v>442</v>
      </c>
      <c r="B443" t="s">
        <v>496</v>
      </c>
      <c r="C443">
        <v>114</v>
      </c>
      <c r="D443">
        <v>44</v>
      </c>
      <c r="E443">
        <v>56.599499021510901</v>
      </c>
      <c r="F443">
        <v>2.5976059415747699</v>
      </c>
      <c r="G443">
        <v>2516.0255999999999</v>
      </c>
      <c r="H443">
        <v>340.79800067611399</v>
      </c>
      <c r="I443">
        <v>0.55475383312605797</v>
      </c>
      <c r="J443">
        <v>0.27222677807446299</v>
      </c>
      <c r="K443">
        <v>0.73107320233211004</v>
      </c>
      <c r="L443" t="s">
        <v>75</v>
      </c>
      <c r="M443" t="s">
        <v>34</v>
      </c>
      <c r="N443" t="s">
        <v>35</v>
      </c>
      <c r="O443">
        <v>0.715768900534278</v>
      </c>
      <c r="P443" t="s">
        <v>36</v>
      </c>
    </row>
    <row r="444" spans="1:16">
      <c r="A444">
        <v>443</v>
      </c>
      <c r="B444" t="s">
        <v>497</v>
      </c>
      <c r="C444">
        <v>88</v>
      </c>
      <c r="D444">
        <v>68</v>
      </c>
      <c r="E444">
        <v>62.822448509728503</v>
      </c>
      <c r="F444">
        <v>1.288</v>
      </c>
      <c r="G444">
        <v>3099.6995444234399</v>
      </c>
      <c r="H444">
        <v>515.09538828258906</v>
      </c>
      <c r="I444">
        <v>0.56362856748239798</v>
      </c>
      <c r="J444">
        <v>0.14680949348651801</v>
      </c>
      <c r="K444">
        <v>0.68857925842770795</v>
      </c>
      <c r="L444" t="s">
        <v>33</v>
      </c>
      <c r="M444" t="s">
        <v>34</v>
      </c>
      <c r="N444" t="s">
        <v>35</v>
      </c>
      <c r="O444">
        <v>0.943907727375497</v>
      </c>
      <c r="P444" t="s">
        <v>36</v>
      </c>
    </row>
    <row r="445" spans="1:16">
      <c r="A445">
        <v>444</v>
      </c>
      <c r="B445" t="s">
        <v>498</v>
      </c>
      <c r="C445">
        <v>60</v>
      </c>
      <c r="D445">
        <v>69</v>
      </c>
      <c r="E445">
        <v>58.978582370256703</v>
      </c>
      <c r="F445">
        <v>0.864023404058609</v>
      </c>
      <c r="G445">
        <v>2731.9864457466902</v>
      </c>
      <c r="H445">
        <v>311.52616238252</v>
      </c>
      <c r="I445">
        <v>0.63801652119531604</v>
      </c>
      <c r="J445">
        <v>0.35375236666754101</v>
      </c>
      <c r="K445">
        <v>0.81127245442909501</v>
      </c>
      <c r="L445" t="s">
        <v>33</v>
      </c>
      <c r="M445" t="s">
        <v>34</v>
      </c>
      <c r="N445" t="s">
        <v>35</v>
      </c>
      <c r="O445">
        <v>0.93954751848580798</v>
      </c>
      <c r="P445" t="s">
        <v>36</v>
      </c>
    </row>
    <row r="446" spans="1:16">
      <c r="A446">
        <v>445</v>
      </c>
      <c r="B446" t="s">
        <v>499</v>
      </c>
      <c r="C446">
        <v>45</v>
      </c>
      <c r="D446">
        <v>80</v>
      </c>
      <c r="E446">
        <v>57.272564561961801</v>
      </c>
      <c r="F446">
        <v>0.56939830859206797</v>
      </c>
      <c r="G446">
        <v>2576.2211557656001</v>
      </c>
      <c r="H446">
        <v>228.073047176133</v>
      </c>
      <c r="I446">
        <v>0.61733779462838001</v>
      </c>
      <c r="J446">
        <v>0.62236487835587195</v>
      </c>
      <c r="K446">
        <v>0.91947376796986902</v>
      </c>
      <c r="L446" t="s">
        <v>33</v>
      </c>
      <c r="M446" t="s">
        <v>34</v>
      </c>
      <c r="N446" t="s">
        <v>35</v>
      </c>
      <c r="O446">
        <v>0.93940529789690397</v>
      </c>
      <c r="P446" t="s">
        <v>36</v>
      </c>
    </row>
    <row r="447" spans="1:16">
      <c r="A447">
        <v>446</v>
      </c>
      <c r="B447" t="s">
        <v>500</v>
      </c>
      <c r="C447">
        <v>83</v>
      </c>
      <c r="D447">
        <v>83</v>
      </c>
      <c r="E447">
        <v>60.505398968150502</v>
      </c>
      <c r="F447">
        <v>1</v>
      </c>
      <c r="G447">
        <v>2875.2667315690001</v>
      </c>
      <c r="H447">
        <v>580.06980238966298</v>
      </c>
      <c r="I447">
        <v>0.58681328189419202</v>
      </c>
      <c r="J447">
        <v>0.10738101105073999</v>
      </c>
      <c r="K447">
        <v>0.53664558366622295</v>
      </c>
      <c r="L447" t="s">
        <v>83</v>
      </c>
      <c r="M447" t="s">
        <v>34</v>
      </c>
      <c r="N447" t="s">
        <v>35</v>
      </c>
      <c r="O447">
        <v>0.71381495261893602</v>
      </c>
      <c r="P447" t="s">
        <v>36</v>
      </c>
    </row>
    <row r="448" spans="1:16">
      <c r="A448">
        <v>447</v>
      </c>
      <c r="B448" t="s">
        <v>501</v>
      </c>
      <c r="C448">
        <v>78</v>
      </c>
      <c r="D448">
        <v>78</v>
      </c>
      <c r="E448">
        <v>66.789467076184096</v>
      </c>
      <c r="F448">
        <v>1</v>
      </c>
      <c r="G448">
        <v>3503.5299765595501</v>
      </c>
      <c r="H448">
        <v>522.48654547629201</v>
      </c>
      <c r="I448">
        <v>0.51598834227982204</v>
      </c>
      <c r="J448">
        <v>0.16127441635273501</v>
      </c>
      <c r="K448">
        <v>0.70192364957417697</v>
      </c>
      <c r="L448" t="s">
        <v>33</v>
      </c>
      <c r="M448" t="s">
        <v>34</v>
      </c>
      <c r="N448" t="s">
        <v>35</v>
      </c>
      <c r="O448">
        <v>0.95048777853640498</v>
      </c>
      <c r="P448" t="s">
        <v>36</v>
      </c>
    </row>
    <row r="449" spans="1:16">
      <c r="A449">
        <v>448</v>
      </c>
      <c r="B449" t="s">
        <v>502</v>
      </c>
      <c r="C449">
        <v>120</v>
      </c>
      <c r="D449">
        <v>91</v>
      </c>
      <c r="E449">
        <v>83.060448101615094</v>
      </c>
      <c r="F449">
        <v>1.3153007533488801</v>
      </c>
      <c r="G449">
        <v>5418.4918049149301</v>
      </c>
      <c r="H449">
        <v>446.77055891555301</v>
      </c>
      <c r="I449">
        <v>0.60616815549606196</v>
      </c>
      <c r="J449">
        <v>0.34112943268277601</v>
      </c>
      <c r="K449">
        <v>0.68904513495123598</v>
      </c>
      <c r="L449" t="s">
        <v>279</v>
      </c>
      <c r="M449" t="s">
        <v>34</v>
      </c>
      <c r="N449" t="s">
        <v>35</v>
      </c>
      <c r="O449">
        <v>0.86474224135575095</v>
      </c>
      <c r="P449" t="s">
        <v>36</v>
      </c>
    </row>
    <row r="450" spans="1:16">
      <c r="A450">
        <v>449</v>
      </c>
      <c r="B450" t="s">
        <v>503</v>
      </c>
      <c r="C450">
        <v>91</v>
      </c>
      <c r="D450">
        <v>135</v>
      </c>
      <c r="E450">
        <v>102.50527706174</v>
      </c>
      <c r="F450">
        <v>0.67195101748264796</v>
      </c>
      <c r="G450">
        <v>8252.4391179584109</v>
      </c>
      <c r="H450">
        <v>508.98013872509398</v>
      </c>
      <c r="I450">
        <v>0.65326313351649001</v>
      </c>
      <c r="J450">
        <v>0.40030454544899402</v>
      </c>
      <c r="K450">
        <v>0.76886753261140495</v>
      </c>
      <c r="L450" t="s">
        <v>45</v>
      </c>
      <c r="M450" t="s">
        <v>34</v>
      </c>
      <c r="N450" t="s">
        <v>35</v>
      </c>
      <c r="O450">
        <v>0.70591734227568603</v>
      </c>
      <c r="P450" t="s">
        <v>36</v>
      </c>
    </row>
    <row r="451" spans="1:16">
      <c r="A451">
        <v>450</v>
      </c>
      <c r="B451" t="s">
        <v>504</v>
      </c>
      <c r="C451">
        <v>73</v>
      </c>
      <c r="D451">
        <v>63</v>
      </c>
      <c r="E451">
        <v>51.105193841319803</v>
      </c>
      <c r="F451">
        <v>1.1551724137931001</v>
      </c>
      <c r="G451">
        <v>2051.2564570888499</v>
      </c>
      <c r="H451">
        <v>380.70732625598498</v>
      </c>
      <c r="I451">
        <v>0.63243135917690096</v>
      </c>
      <c r="J451">
        <v>0.177847332819074</v>
      </c>
      <c r="K451">
        <v>0.67628754839025795</v>
      </c>
      <c r="L451" t="s">
        <v>45</v>
      </c>
      <c r="M451" t="s">
        <v>34</v>
      </c>
      <c r="N451" t="s">
        <v>35</v>
      </c>
      <c r="O451">
        <v>0.90035789036300695</v>
      </c>
      <c r="P451" t="s">
        <v>36</v>
      </c>
    </row>
    <row r="452" spans="1:16">
      <c r="A452">
        <v>451</v>
      </c>
      <c r="B452" t="s">
        <v>505</v>
      </c>
      <c r="C452">
        <v>128</v>
      </c>
      <c r="D452">
        <v>107</v>
      </c>
      <c r="E452">
        <v>96.861208568535304</v>
      </c>
      <c r="F452">
        <v>1.18781728797832</v>
      </c>
      <c r="G452">
        <v>7368.6791807183399</v>
      </c>
      <c r="H452">
        <v>648.03991861021996</v>
      </c>
      <c r="I452">
        <v>0.65410870129174303</v>
      </c>
      <c r="J452">
        <v>0.220493603398356</v>
      </c>
      <c r="K452">
        <v>0.57267445218375701</v>
      </c>
      <c r="L452" t="s">
        <v>83</v>
      </c>
      <c r="M452" t="s">
        <v>34</v>
      </c>
      <c r="N452" t="s">
        <v>35</v>
      </c>
      <c r="O452">
        <v>0.85934022980243197</v>
      </c>
      <c r="P452" t="s">
        <v>36</v>
      </c>
    </row>
    <row r="453" spans="1:16">
      <c r="A453">
        <v>452</v>
      </c>
      <c r="B453" t="s">
        <v>506</v>
      </c>
      <c r="C453">
        <v>83</v>
      </c>
      <c r="D453">
        <v>98</v>
      </c>
      <c r="E453">
        <v>80.319919138158099</v>
      </c>
      <c r="F453">
        <v>0.84916201117318402</v>
      </c>
      <c r="G453">
        <v>5066.8308544423398</v>
      </c>
      <c r="H453">
        <v>929.04492554830495</v>
      </c>
      <c r="I453">
        <v>0.61774541117335402</v>
      </c>
      <c r="J453">
        <v>7.3768820486809897E-2</v>
      </c>
      <c r="K453">
        <v>0.66324247553454396</v>
      </c>
      <c r="L453" t="s">
        <v>75</v>
      </c>
      <c r="M453" t="s">
        <v>34</v>
      </c>
      <c r="N453" t="s">
        <v>35</v>
      </c>
      <c r="O453">
        <v>0.74097340318307303</v>
      </c>
      <c r="P453" t="s">
        <v>36</v>
      </c>
    </row>
    <row r="454" spans="1:16">
      <c r="A454">
        <v>453</v>
      </c>
      <c r="B454" t="s">
        <v>507</v>
      </c>
      <c r="C454">
        <v>99</v>
      </c>
      <c r="D454">
        <v>136</v>
      </c>
      <c r="E454">
        <v>89.329749046610601</v>
      </c>
      <c r="F454">
        <v>0.729378075931568</v>
      </c>
      <c r="G454">
        <v>6267.3234567107802</v>
      </c>
      <c r="H454">
        <v>671.85568998658096</v>
      </c>
      <c r="I454">
        <v>0.68803704568130397</v>
      </c>
      <c r="J454">
        <v>0.17447771865440401</v>
      </c>
      <c r="K454">
        <v>0.64909256038052399</v>
      </c>
      <c r="L454" t="s">
        <v>279</v>
      </c>
      <c r="M454" t="s">
        <v>34</v>
      </c>
      <c r="N454" t="s">
        <v>35</v>
      </c>
      <c r="O454">
        <v>0.85652848191720898</v>
      </c>
      <c r="P454" t="s">
        <v>36</v>
      </c>
    </row>
    <row r="455" spans="1:16">
      <c r="A455">
        <v>454</v>
      </c>
      <c r="B455" t="s">
        <v>508</v>
      </c>
      <c r="C455">
        <v>102</v>
      </c>
      <c r="D455">
        <v>45</v>
      </c>
      <c r="E455">
        <v>58.364129782319402</v>
      </c>
      <c r="F455">
        <v>2.2484431429616598</v>
      </c>
      <c r="G455">
        <v>2675.3580340264698</v>
      </c>
      <c r="H455">
        <v>464.24182914858301</v>
      </c>
      <c r="I455">
        <v>0.72043741183759202</v>
      </c>
      <c r="J455">
        <v>0.15599232711609601</v>
      </c>
      <c r="K455">
        <v>0.69316081330868795</v>
      </c>
      <c r="L455" t="s">
        <v>33</v>
      </c>
      <c r="M455" t="s">
        <v>34</v>
      </c>
      <c r="N455" t="s">
        <v>35</v>
      </c>
      <c r="O455">
        <v>0.94973676958640596</v>
      </c>
      <c r="P455" t="s">
        <v>36</v>
      </c>
    </row>
    <row r="456" spans="1:16">
      <c r="A456">
        <v>455</v>
      </c>
      <c r="B456" t="s">
        <v>509</v>
      </c>
      <c r="C456">
        <v>73</v>
      </c>
      <c r="D456">
        <v>74</v>
      </c>
      <c r="E456">
        <v>65.042481045299198</v>
      </c>
      <c r="F456">
        <v>0.99259259259259303</v>
      </c>
      <c r="G456">
        <v>3322.6460472589802</v>
      </c>
      <c r="H456">
        <v>573.68218305805499</v>
      </c>
      <c r="I456">
        <v>0.60069279662055997</v>
      </c>
      <c r="J456">
        <v>0.126867744602221</v>
      </c>
      <c r="K456">
        <v>0.68544183479487297</v>
      </c>
      <c r="L456" t="s">
        <v>33</v>
      </c>
      <c r="M456" t="s">
        <v>34</v>
      </c>
      <c r="N456" t="s">
        <v>35</v>
      </c>
      <c r="O456">
        <v>0.94757235299777698</v>
      </c>
      <c r="P456" t="s">
        <v>36</v>
      </c>
    </row>
    <row r="457" spans="1:16">
      <c r="A457">
        <v>456</v>
      </c>
      <c r="B457" t="s">
        <v>510</v>
      </c>
      <c r="C457">
        <v>63</v>
      </c>
      <c r="D457">
        <v>88</v>
      </c>
      <c r="E457">
        <v>64.545966295398898</v>
      </c>
      <c r="F457">
        <v>0.72049689440993803</v>
      </c>
      <c r="G457">
        <v>3272.1115066162602</v>
      </c>
      <c r="H457">
        <v>674.64094499121597</v>
      </c>
      <c r="I457">
        <v>0.65018363938623003</v>
      </c>
      <c r="J457">
        <v>9.0342596400529204E-2</v>
      </c>
      <c r="K457">
        <v>0.64879759519038105</v>
      </c>
      <c r="L457" t="s">
        <v>52</v>
      </c>
      <c r="M457" t="s">
        <v>34</v>
      </c>
      <c r="N457" t="s">
        <v>35</v>
      </c>
      <c r="O457">
        <v>0.64820438233039801</v>
      </c>
      <c r="P457" t="s">
        <v>36</v>
      </c>
    </row>
    <row r="458" spans="1:16">
      <c r="A458">
        <v>457</v>
      </c>
      <c r="B458" t="s">
        <v>511</v>
      </c>
      <c r="C458">
        <v>78</v>
      </c>
      <c r="D458">
        <v>68</v>
      </c>
      <c r="E458">
        <v>64.375691003528999</v>
      </c>
      <c r="F458">
        <v>1.14533015408316</v>
      </c>
      <c r="G458">
        <v>3254.8703103969801</v>
      </c>
      <c r="H458">
        <v>310.91399093472398</v>
      </c>
      <c r="I458">
        <v>0.52060607280360505</v>
      </c>
      <c r="J458">
        <v>0.42311948165533902</v>
      </c>
      <c r="K458">
        <v>0.76765870929295099</v>
      </c>
      <c r="L458" t="s">
        <v>512</v>
      </c>
      <c r="M458" t="s">
        <v>34</v>
      </c>
      <c r="N458" t="s">
        <v>35</v>
      </c>
      <c r="O458">
        <v>0.67545789078870999</v>
      </c>
      <c r="P458" t="s">
        <v>36</v>
      </c>
    </row>
    <row r="459" spans="1:16">
      <c r="A459">
        <v>458</v>
      </c>
      <c r="B459" t="s">
        <v>513</v>
      </c>
      <c r="C459">
        <v>50</v>
      </c>
      <c r="D459">
        <v>78</v>
      </c>
      <c r="E459">
        <v>52.698568341298902</v>
      </c>
      <c r="F459">
        <v>0.64581317111633496</v>
      </c>
      <c r="G459">
        <v>2181.1599527410199</v>
      </c>
      <c r="H459">
        <v>304.40899119304601</v>
      </c>
      <c r="I459">
        <v>0.68613881589424697</v>
      </c>
      <c r="J459">
        <v>0.29578927815541201</v>
      </c>
      <c r="K459">
        <v>0.732541306843708</v>
      </c>
      <c r="L459" t="s">
        <v>75</v>
      </c>
      <c r="M459" t="s">
        <v>34</v>
      </c>
      <c r="N459" t="s">
        <v>35</v>
      </c>
      <c r="O459">
        <v>0.73191925366243704</v>
      </c>
      <c r="P459" t="s">
        <v>36</v>
      </c>
    </row>
    <row r="460" spans="1:16">
      <c r="A460">
        <v>459</v>
      </c>
      <c r="B460" t="s">
        <v>514</v>
      </c>
      <c r="C460">
        <v>155</v>
      </c>
      <c r="D460">
        <v>129</v>
      </c>
      <c r="E460">
        <v>101.819900325577</v>
      </c>
      <c r="F460">
        <v>1.2033897274973899</v>
      </c>
      <c r="G460">
        <v>8142.45217655955</v>
      </c>
      <c r="H460">
        <v>1054.30940120521</v>
      </c>
      <c r="I460">
        <v>0.58978591278613501</v>
      </c>
      <c r="J460">
        <v>9.2051087207545998E-2</v>
      </c>
      <c r="K460">
        <v>0.61526971327171198</v>
      </c>
      <c r="L460" t="s">
        <v>75</v>
      </c>
      <c r="M460" t="s">
        <v>34</v>
      </c>
      <c r="N460" t="s">
        <v>35</v>
      </c>
      <c r="O460">
        <v>0.82072153017780802</v>
      </c>
      <c r="P460" t="s">
        <v>36</v>
      </c>
    </row>
    <row r="461" spans="1:16">
      <c r="A461">
        <v>460</v>
      </c>
      <c r="B461" t="s">
        <v>515</v>
      </c>
      <c r="C461">
        <v>70</v>
      </c>
      <c r="D461">
        <v>99</v>
      </c>
      <c r="E461">
        <v>65.103552445574607</v>
      </c>
      <c r="F461">
        <v>0.71270718232044195</v>
      </c>
      <c r="G461">
        <v>3328.88854933837</v>
      </c>
      <c r="H461">
        <v>465.304057215711</v>
      </c>
      <c r="I461">
        <v>0.57069379694471301</v>
      </c>
      <c r="J461">
        <v>0.19321259815245601</v>
      </c>
      <c r="K461">
        <v>0.66920640611927795</v>
      </c>
      <c r="L461" t="s">
        <v>33</v>
      </c>
      <c r="M461" t="s">
        <v>34</v>
      </c>
      <c r="N461" t="s">
        <v>35</v>
      </c>
      <c r="O461">
        <v>0.89576711466291903</v>
      </c>
      <c r="P461" t="s">
        <v>36</v>
      </c>
    </row>
    <row r="462" spans="1:16">
      <c r="A462">
        <v>461</v>
      </c>
      <c r="B462" t="s">
        <v>516</v>
      </c>
      <c r="C462">
        <v>89</v>
      </c>
      <c r="D462">
        <v>126</v>
      </c>
      <c r="E462">
        <v>86.588759282361494</v>
      </c>
      <c r="F462">
        <v>0.70465994299541901</v>
      </c>
      <c r="G462">
        <v>5888.6116638941403</v>
      </c>
      <c r="H462">
        <v>539.11932999372505</v>
      </c>
      <c r="I462">
        <v>0.71771472204977405</v>
      </c>
      <c r="J462">
        <v>0.25459681809437001</v>
      </c>
      <c r="K462">
        <v>0.68331004984391397</v>
      </c>
      <c r="L462" t="s">
        <v>33</v>
      </c>
      <c r="M462" t="s">
        <v>34</v>
      </c>
      <c r="N462" t="s">
        <v>35</v>
      </c>
      <c r="O462">
        <v>0.95216343030276096</v>
      </c>
      <c r="P462" t="s">
        <v>36</v>
      </c>
    </row>
    <row r="463" spans="1:16">
      <c r="A463">
        <v>462</v>
      </c>
      <c r="B463" t="s">
        <v>517</v>
      </c>
      <c r="C463">
        <v>126</v>
      </c>
      <c r="D463">
        <v>150</v>
      </c>
      <c r="E463">
        <v>95.503604988965293</v>
      </c>
      <c r="F463">
        <v>0.84237987054338603</v>
      </c>
      <c r="G463">
        <v>7163.5683981096399</v>
      </c>
      <c r="H463">
        <v>1197.6213258190801</v>
      </c>
      <c r="I463">
        <v>0.604583873635265</v>
      </c>
      <c r="J463">
        <v>6.2762499991565093E-2</v>
      </c>
      <c r="K463">
        <v>0.44638424776794</v>
      </c>
      <c r="L463" t="s">
        <v>33</v>
      </c>
      <c r="M463" t="s">
        <v>34</v>
      </c>
      <c r="N463" t="s">
        <v>35</v>
      </c>
      <c r="O463">
        <v>0.86839651924406402</v>
      </c>
      <c r="P463" t="s">
        <v>36</v>
      </c>
    </row>
    <row r="464" spans="1:16">
      <c r="A464">
        <v>463</v>
      </c>
      <c r="B464" t="s">
        <v>518</v>
      </c>
      <c r="C464">
        <v>127</v>
      </c>
      <c r="D464">
        <v>191</v>
      </c>
      <c r="E464">
        <v>98.407953665185104</v>
      </c>
      <c r="F464">
        <v>0.66571431461256902</v>
      </c>
      <c r="G464">
        <v>7605.8942597353498</v>
      </c>
      <c r="H464">
        <v>1157.68151674965</v>
      </c>
      <c r="I464">
        <v>0.67663998490839095</v>
      </c>
      <c r="J464">
        <v>7.1315174362985706E-2</v>
      </c>
      <c r="K464">
        <v>0.43056069733786601</v>
      </c>
      <c r="L464" t="s">
        <v>83</v>
      </c>
      <c r="M464" t="s">
        <v>34</v>
      </c>
      <c r="N464" t="s">
        <v>35</v>
      </c>
      <c r="O464">
        <v>0.79422803448702906</v>
      </c>
      <c r="P464" t="s">
        <v>36</v>
      </c>
    </row>
    <row r="465" spans="1:16">
      <c r="A465">
        <v>464</v>
      </c>
      <c r="B465" t="s">
        <v>519</v>
      </c>
      <c r="C465">
        <v>103</v>
      </c>
      <c r="D465">
        <v>63</v>
      </c>
      <c r="E465">
        <v>68.617509319478003</v>
      </c>
      <c r="F465">
        <v>1.6206896551724099</v>
      </c>
      <c r="G465">
        <v>3697.9393270321402</v>
      </c>
      <c r="H465">
        <v>695.30440865993501</v>
      </c>
      <c r="I465">
        <v>0.62510130601131297</v>
      </c>
      <c r="J465">
        <v>9.6121309590152595E-2</v>
      </c>
      <c r="K465">
        <v>0.63083164300202799</v>
      </c>
      <c r="L465" t="s">
        <v>33</v>
      </c>
      <c r="M465" t="s">
        <v>34</v>
      </c>
      <c r="N465" t="s">
        <v>35</v>
      </c>
      <c r="O465">
        <v>0.95094415963045897</v>
      </c>
      <c r="P465" t="s">
        <v>36</v>
      </c>
    </row>
    <row r="466" spans="1:16">
      <c r="A466">
        <v>465</v>
      </c>
      <c r="B466" t="s">
        <v>520</v>
      </c>
      <c r="C466">
        <v>87</v>
      </c>
      <c r="D466">
        <v>188</v>
      </c>
      <c r="E466">
        <v>104.99507063841899</v>
      </c>
      <c r="F466">
        <v>0.45993661673933101</v>
      </c>
      <c r="G466">
        <v>8658.2017531190904</v>
      </c>
      <c r="H466">
        <v>720.92525520397305</v>
      </c>
      <c r="I466">
        <v>0.56030752767403602</v>
      </c>
      <c r="J466">
        <v>0.209342345543852</v>
      </c>
      <c r="K466">
        <v>0.62150455035261198</v>
      </c>
      <c r="L466" t="s">
        <v>33</v>
      </c>
      <c r="M466" t="s">
        <v>34</v>
      </c>
      <c r="N466" t="s">
        <v>35</v>
      </c>
      <c r="O466">
        <v>0.92952989613516002</v>
      </c>
      <c r="P466" t="s">
        <v>36</v>
      </c>
    </row>
    <row r="467" spans="1:16">
      <c r="A467">
        <v>466</v>
      </c>
      <c r="B467" t="s">
        <v>521</v>
      </c>
      <c r="C467">
        <v>66</v>
      </c>
      <c r="D467">
        <v>159</v>
      </c>
      <c r="E467">
        <v>82.504945333109703</v>
      </c>
      <c r="F467">
        <v>0.41626242570931699</v>
      </c>
      <c r="G467">
        <v>5346.2571379962201</v>
      </c>
      <c r="H467">
        <v>529.92148140223105</v>
      </c>
      <c r="I467">
        <v>0.62873055988559301</v>
      </c>
      <c r="J467">
        <v>0.23924157753202599</v>
      </c>
      <c r="K467">
        <v>0.64055988887701698</v>
      </c>
      <c r="L467" t="s">
        <v>279</v>
      </c>
      <c r="M467" t="s">
        <v>34</v>
      </c>
      <c r="N467" t="s">
        <v>35</v>
      </c>
      <c r="O467">
        <v>0.91446821933533096</v>
      </c>
      <c r="P467" t="s">
        <v>36</v>
      </c>
    </row>
    <row r="468" spans="1:16">
      <c r="A468">
        <v>467</v>
      </c>
      <c r="B468" t="s">
        <v>522</v>
      </c>
      <c r="C468">
        <v>52</v>
      </c>
      <c r="D468">
        <v>109</v>
      </c>
      <c r="E468">
        <v>60.087974679573598</v>
      </c>
      <c r="F468">
        <v>0.47359422093461701</v>
      </c>
      <c r="G468">
        <v>2835.7308850661602</v>
      </c>
      <c r="H468">
        <v>413.318561340933</v>
      </c>
      <c r="I468">
        <v>0.660934381995398</v>
      </c>
      <c r="J468">
        <v>0.208595559558472</v>
      </c>
      <c r="K468">
        <v>0.59902668759811595</v>
      </c>
      <c r="L468" t="s">
        <v>33</v>
      </c>
      <c r="M468" t="s">
        <v>34</v>
      </c>
      <c r="N468" t="s">
        <v>35</v>
      </c>
      <c r="O468">
        <v>0.93805750042299096</v>
      </c>
      <c r="P468" t="s">
        <v>36</v>
      </c>
    </row>
    <row r="469" spans="1:16">
      <c r="A469">
        <v>468</v>
      </c>
      <c r="B469" t="s">
        <v>523</v>
      </c>
      <c r="C469">
        <v>92</v>
      </c>
      <c r="D469">
        <v>80</v>
      </c>
      <c r="E469">
        <v>69.418156276366304</v>
      </c>
      <c r="F469">
        <v>1.1385020453380399</v>
      </c>
      <c r="G469">
        <v>3784.7398321361102</v>
      </c>
      <c r="H469">
        <v>402.50111043536202</v>
      </c>
      <c r="I469">
        <v>0.66397802511241599</v>
      </c>
      <c r="J469">
        <v>0.29357003811145499</v>
      </c>
      <c r="K469">
        <v>0.71339720961506103</v>
      </c>
      <c r="L469" t="s">
        <v>33</v>
      </c>
      <c r="M469" t="s">
        <v>34</v>
      </c>
      <c r="N469" t="s">
        <v>35</v>
      </c>
      <c r="O469">
        <v>0.95476228197852697</v>
      </c>
      <c r="P469" t="s">
        <v>36</v>
      </c>
    </row>
    <row r="470" spans="1:16">
      <c r="A470">
        <v>469</v>
      </c>
      <c r="B470" t="s">
        <v>524</v>
      </c>
      <c r="C470">
        <v>88</v>
      </c>
      <c r="D470">
        <v>85</v>
      </c>
      <c r="E470">
        <v>78.208175881937706</v>
      </c>
      <c r="F470">
        <v>1.0387770227328299</v>
      </c>
      <c r="G470">
        <v>4803.9026120982999</v>
      </c>
      <c r="H470">
        <v>373.64333603724202</v>
      </c>
      <c r="I470">
        <v>0.62790310082287104</v>
      </c>
      <c r="J470">
        <v>0.43240387433808097</v>
      </c>
      <c r="K470">
        <v>0.80022282743253303</v>
      </c>
      <c r="L470" t="s">
        <v>33</v>
      </c>
      <c r="M470" t="s">
        <v>34</v>
      </c>
      <c r="N470" t="s">
        <v>35</v>
      </c>
      <c r="O470">
        <v>0.95419802784942498</v>
      </c>
      <c r="P470" t="s">
        <v>36</v>
      </c>
    </row>
    <row r="471" spans="1:16">
      <c r="A471">
        <v>470</v>
      </c>
      <c r="B471" t="s">
        <v>525</v>
      </c>
      <c r="C471">
        <v>50</v>
      </c>
      <c r="D471">
        <v>93</v>
      </c>
      <c r="E471">
        <v>56.587795410333399</v>
      </c>
      <c r="F471">
        <v>0.53914005142930999</v>
      </c>
      <c r="G471">
        <v>2514.9851829867698</v>
      </c>
      <c r="H471">
        <v>367.015446651189</v>
      </c>
      <c r="I471">
        <v>0.70569510451374196</v>
      </c>
      <c r="J471">
        <v>0.23462625520753599</v>
      </c>
      <c r="K471">
        <v>0.69650942619576806</v>
      </c>
      <c r="L471" t="s">
        <v>75</v>
      </c>
      <c r="M471" t="s">
        <v>34</v>
      </c>
      <c r="N471" t="s">
        <v>35</v>
      </c>
      <c r="O471">
        <v>0.83757656778338696</v>
      </c>
      <c r="P471" t="s">
        <v>36</v>
      </c>
    </row>
    <row r="472" spans="1:16">
      <c r="A472">
        <v>471</v>
      </c>
      <c r="B472" t="s">
        <v>526</v>
      </c>
      <c r="C472">
        <v>112</v>
      </c>
      <c r="D472">
        <v>73</v>
      </c>
      <c r="E472">
        <v>77.159449611928693</v>
      </c>
      <c r="F472">
        <v>1.5373135552052899</v>
      </c>
      <c r="G472">
        <v>4675.9313194707001</v>
      </c>
      <c r="H472">
        <v>630.06541078712598</v>
      </c>
      <c r="I472">
        <v>0.62403276371577698</v>
      </c>
      <c r="J472">
        <v>0.148015334409312</v>
      </c>
      <c r="K472">
        <v>0.70094915556347803</v>
      </c>
      <c r="L472" t="s">
        <v>75</v>
      </c>
      <c r="M472" t="s">
        <v>34</v>
      </c>
      <c r="N472" t="s">
        <v>35</v>
      </c>
      <c r="O472">
        <v>0.82679488043959304</v>
      </c>
      <c r="P472" t="s">
        <v>36</v>
      </c>
    </row>
    <row r="473" spans="1:16">
      <c r="A473">
        <v>472</v>
      </c>
      <c r="B473" t="s">
        <v>527</v>
      </c>
      <c r="C473">
        <v>107</v>
      </c>
      <c r="D473">
        <v>68</v>
      </c>
      <c r="E473">
        <v>64.424177191989003</v>
      </c>
      <c r="F473">
        <v>1.5760000000000001</v>
      </c>
      <c r="G473">
        <v>3259.7751334593599</v>
      </c>
      <c r="H473">
        <v>880.50452786238304</v>
      </c>
      <c r="I473">
        <v>0.687811871436392</v>
      </c>
      <c r="J473">
        <v>5.2836533820986298E-2</v>
      </c>
      <c r="K473">
        <v>0.50899301445844602</v>
      </c>
      <c r="L473" t="s">
        <v>33</v>
      </c>
      <c r="M473" t="s">
        <v>34</v>
      </c>
      <c r="N473" t="s">
        <v>35</v>
      </c>
      <c r="O473">
        <v>0.95300027304202795</v>
      </c>
      <c r="P473" t="s">
        <v>36</v>
      </c>
    </row>
    <row r="474" spans="1:16">
      <c r="A474">
        <v>473</v>
      </c>
      <c r="B474" t="s">
        <v>528</v>
      </c>
      <c r="C474">
        <v>86</v>
      </c>
      <c r="D474">
        <v>277</v>
      </c>
      <c r="E474">
        <v>66.036697681803702</v>
      </c>
      <c r="F474">
        <v>0.31018518805880901</v>
      </c>
      <c r="G474">
        <v>3425</v>
      </c>
      <c r="H474">
        <v>735.26911377906799</v>
      </c>
      <c r="I474">
        <v>0.90692888015425899</v>
      </c>
      <c r="J474">
        <v>7.9611864229790705E-2</v>
      </c>
      <c r="K474">
        <v>0.209480122324159</v>
      </c>
      <c r="L474" t="s">
        <v>169</v>
      </c>
      <c r="M474" t="s">
        <v>34</v>
      </c>
      <c r="N474" t="s">
        <v>35</v>
      </c>
      <c r="O474">
        <v>0.86856959178648696</v>
      </c>
      <c r="P474" t="s">
        <v>36</v>
      </c>
    </row>
    <row r="475" spans="1:16">
      <c r="A475">
        <v>474</v>
      </c>
      <c r="B475" t="s">
        <v>529</v>
      </c>
      <c r="C475">
        <v>75</v>
      </c>
      <c r="D475">
        <v>60</v>
      </c>
      <c r="E475">
        <v>65.916082608182506</v>
      </c>
      <c r="F475">
        <v>1.25</v>
      </c>
      <c r="G475">
        <v>3412.5</v>
      </c>
      <c r="H475">
        <v>237.78174459934201</v>
      </c>
      <c r="I475">
        <v>0.64151041975281198</v>
      </c>
      <c r="J475">
        <v>0.75844746794701101</v>
      </c>
      <c r="K475">
        <v>0.94137931034482802</v>
      </c>
      <c r="L475" t="s">
        <v>45</v>
      </c>
      <c r="M475" t="s">
        <v>34</v>
      </c>
      <c r="N475" t="s">
        <v>35</v>
      </c>
      <c r="O475">
        <v>0.67129807619585802</v>
      </c>
      <c r="P475" t="s">
        <v>36</v>
      </c>
    </row>
    <row r="476" spans="1:16">
      <c r="A476">
        <v>475</v>
      </c>
      <c r="B476" t="s">
        <v>530</v>
      </c>
      <c r="C476">
        <v>68</v>
      </c>
      <c r="D476">
        <v>39</v>
      </c>
      <c r="E476">
        <v>50.3685408189735</v>
      </c>
      <c r="F476">
        <v>1.7361111111111101</v>
      </c>
      <c r="G476">
        <v>1992.5472113421599</v>
      </c>
      <c r="H476">
        <v>224.597465497722</v>
      </c>
      <c r="I476">
        <v>0.82332700581117801</v>
      </c>
      <c r="J476">
        <v>0.49637372231241</v>
      </c>
      <c r="K476">
        <v>0.888756298064174</v>
      </c>
      <c r="L476" t="s">
        <v>33</v>
      </c>
      <c r="M476" t="s">
        <v>34</v>
      </c>
      <c r="N476" t="s">
        <v>35</v>
      </c>
      <c r="O476">
        <v>0.935470806254178</v>
      </c>
      <c r="P476" t="s">
        <v>36</v>
      </c>
    </row>
    <row r="477" spans="1:16">
      <c r="A477">
        <v>476</v>
      </c>
      <c r="B477" t="s">
        <v>531</v>
      </c>
      <c r="C477">
        <v>79</v>
      </c>
      <c r="D477">
        <v>63</v>
      </c>
      <c r="E477">
        <v>52.524113956468099</v>
      </c>
      <c r="F477">
        <v>1.2413793103448301</v>
      </c>
      <c r="G477">
        <v>2166.7427455576599</v>
      </c>
      <c r="H477">
        <v>603.41120343540001</v>
      </c>
      <c r="I477">
        <v>0.35914246765765501</v>
      </c>
      <c r="J477">
        <v>7.47808636297915E-2</v>
      </c>
      <c r="K477">
        <v>0.549677613966291</v>
      </c>
      <c r="L477" t="s">
        <v>169</v>
      </c>
      <c r="M477" t="s">
        <v>34</v>
      </c>
      <c r="N477" t="s">
        <v>35</v>
      </c>
      <c r="O477">
        <v>0.79270361194054595</v>
      </c>
      <c r="P477" t="s">
        <v>36</v>
      </c>
    </row>
    <row r="478" spans="1:16">
      <c r="A478">
        <v>477</v>
      </c>
      <c r="B478" t="s">
        <v>532</v>
      </c>
      <c r="C478">
        <v>114</v>
      </c>
      <c r="D478">
        <v>71</v>
      </c>
      <c r="E478">
        <v>59.5708173762211</v>
      </c>
      <c r="F478">
        <v>1.6104545750925401</v>
      </c>
      <c r="G478">
        <v>2787.1285474480201</v>
      </c>
      <c r="H478">
        <v>480.06918335624403</v>
      </c>
      <c r="I478">
        <v>0.65770968111884098</v>
      </c>
      <c r="J478">
        <v>0.15197046994633701</v>
      </c>
      <c r="K478">
        <v>0.54296965485290705</v>
      </c>
      <c r="L478" t="s">
        <v>45</v>
      </c>
      <c r="M478" t="s">
        <v>34</v>
      </c>
      <c r="N478" t="s">
        <v>35</v>
      </c>
      <c r="O478">
        <v>0.71713444090101097</v>
      </c>
      <c r="P478" t="s">
        <v>36</v>
      </c>
    </row>
    <row r="479" spans="1:16">
      <c r="A479">
        <v>478</v>
      </c>
      <c r="B479" t="s">
        <v>533</v>
      </c>
      <c r="C479">
        <v>58</v>
      </c>
      <c r="D479">
        <v>140</v>
      </c>
      <c r="E479">
        <v>65.087563093671804</v>
      </c>
      <c r="F479">
        <v>0.41106294424398199</v>
      </c>
      <c r="G479">
        <v>3327.2536083175801</v>
      </c>
      <c r="H479">
        <v>390.04135973453498</v>
      </c>
      <c r="I479">
        <v>0.62101224980965997</v>
      </c>
      <c r="J479">
        <v>0.27483652275315401</v>
      </c>
      <c r="K479">
        <v>0.58907425924951295</v>
      </c>
      <c r="L479" t="s">
        <v>321</v>
      </c>
      <c r="M479" t="s">
        <v>34</v>
      </c>
      <c r="N479" t="s">
        <v>35</v>
      </c>
      <c r="O479">
        <v>0.69252501502002395</v>
      </c>
      <c r="P479" t="s">
        <v>36</v>
      </c>
    </row>
    <row r="480" spans="1:16">
      <c r="A480">
        <v>479</v>
      </c>
      <c r="B480" t="s">
        <v>534</v>
      </c>
      <c r="C480">
        <v>112</v>
      </c>
      <c r="D480">
        <v>126</v>
      </c>
      <c r="E480">
        <v>100.203088326184</v>
      </c>
      <c r="F480">
        <v>0.88793101974106103</v>
      </c>
      <c r="G480">
        <v>7885.9150672967899</v>
      </c>
      <c r="H480">
        <v>608.78426643630701</v>
      </c>
      <c r="I480">
        <v>0.67637024972193605</v>
      </c>
      <c r="J480">
        <v>0.26738381752435703</v>
      </c>
      <c r="K480">
        <v>0.62610778725764404</v>
      </c>
      <c r="L480" t="s">
        <v>331</v>
      </c>
      <c r="M480" t="s">
        <v>34</v>
      </c>
      <c r="N480" t="s">
        <v>35</v>
      </c>
      <c r="O480">
        <v>0.68436365578385405</v>
      </c>
      <c r="P480" t="s">
        <v>36</v>
      </c>
    </row>
    <row r="481" spans="1:16">
      <c r="A481">
        <v>480</v>
      </c>
      <c r="B481" t="s">
        <v>535</v>
      </c>
      <c r="C481">
        <v>111</v>
      </c>
      <c r="D481">
        <v>152</v>
      </c>
      <c r="E481">
        <v>103.153084323286</v>
      </c>
      <c r="F481">
        <v>0.73381300097414803</v>
      </c>
      <c r="G481">
        <v>8357.0753432892307</v>
      </c>
      <c r="H481">
        <v>1037.64840997229</v>
      </c>
      <c r="I481">
        <v>0.64119128333442299</v>
      </c>
      <c r="J481">
        <v>9.7535728422710105E-2</v>
      </c>
      <c r="K481">
        <v>0.55243662802122195</v>
      </c>
      <c r="L481" t="s">
        <v>33</v>
      </c>
      <c r="M481" t="s">
        <v>34</v>
      </c>
      <c r="N481" t="s">
        <v>35</v>
      </c>
      <c r="O481">
        <v>0.94524712389631804</v>
      </c>
      <c r="P481" t="s">
        <v>36</v>
      </c>
    </row>
    <row r="482" spans="1:16">
      <c r="A482">
        <v>481</v>
      </c>
      <c r="B482" t="s">
        <v>536</v>
      </c>
      <c r="C482">
        <v>103</v>
      </c>
      <c r="D482">
        <v>44</v>
      </c>
      <c r="E482">
        <v>50.548562983273101</v>
      </c>
      <c r="F482">
        <v>2.31940990857662</v>
      </c>
      <c r="G482">
        <v>2006.81578752363</v>
      </c>
      <c r="H482">
        <v>379.29751050679602</v>
      </c>
      <c r="I482">
        <v>0.67748006906272995</v>
      </c>
      <c r="J482">
        <v>0.175290099869785</v>
      </c>
      <c r="K482">
        <v>0.61205802357207595</v>
      </c>
      <c r="L482" t="s">
        <v>33</v>
      </c>
      <c r="M482" t="s">
        <v>34</v>
      </c>
      <c r="N482" t="s">
        <v>35</v>
      </c>
      <c r="O482">
        <v>0.95324927450355701</v>
      </c>
      <c r="P482" t="s">
        <v>36</v>
      </c>
    </row>
    <row r="483" spans="1:16">
      <c r="A483">
        <v>482</v>
      </c>
      <c r="B483" t="s">
        <v>537</v>
      </c>
      <c r="C483">
        <v>161</v>
      </c>
      <c r="D483">
        <v>142</v>
      </c>
      <c r="E483">
        <v>96.9139455408407</v>
      </c>
      <c r="F483">
        <v>1.13846157096548</v>
      </c>
      <c r="G483">
        <v>7376.7052548204201</v>
      </c>
      <c r="H483">
        <v>1298.2192048275001</v>
      </c>
      <c r="I483">
        <v>0.59298222333390305</v>
      </c>
      <c r="J483">
        <v>5.5001715606411601E-2</v>
      </c>
      <c r="K483">
        <v>0.39979217347875801</v>
      </c>
      <c r="L483" t="s">
        <v>33</v>
      </c>
      <c r="M483" t="s">
        <v>34</v>
      </c>
      <c r="N483" t="s">
        <v>35</v>
      </c>
      <c r="O483">
        <v>0.94687200331168597</v>
      </c>
      <c r="P483" t="s">
        <v>36</v>
      </c>
    </row>
    <row r="484" spans="1:16">
      <c r="A484">
        <v>483</v>
      </c>
      <c r="B484" t="s">
        <v>538</v>
      </c>
      <c r="C484">
        <v>83</v>
      </c>
      <c r="D484">
        <v>83</v>
      </c>
      <c r="E484">
        <v>59.645424784492597</v>
      </c>
      <c r="F484">
        <v>1</v>
      </c>
      <c r="G484">
        <v>2794.1142045368601</v>
      </c>
      <c r="H484">
        <v>429.247723941907</v>
      </c>
      <c r="I484">
        <v>0.57356316446140698</v>
      </c>
      <c r="J484">
        <v>0.19056275161787101</v>
      </c>
      <c r="K484">
        <v>0.60419746737802904</v>
      </c>
      <c r="L484" t="s">
        <v>33</v>
      </c>
      <c r="M484" t="s">
        <v>34</v>
      </c>
      <c r="N484" t="s">
        <v>35</v>
      </c>
      <c r="O484">
        <v>0.95692180105102997</v>
      </c>
      <c r="P484" t="s">
        <v>36</v>
      </c>
    </row>
    <row r="485" spans="1:16">
      <c r="A485">
        <v>484</v>
      </c>
      <c r="B485" t="s">
        <v>539</v>
      </c>
      <c r="C485">
        <v>44</v>
      </c>
      <c r="D485">
        <v>93</v>
      </c>
      <c r="E485">
        <v>50.9382859873851</v>
      </c>
      <c r="F485">
        <v>0.47647058823529398</v>
      </c>
      <c r="G485">
        <v>2037.87966691871</v>
      </c>
      <c r="H485">
        <v>341.561268483763</v>
      </c>
      <c r="I485">
        <v>0.61087708952027797</v>
      </c>
      <c r="J485">
        <v>0.21950841033204099</v>
      </c>
      <c r="K485">
        <v>0.68972282307963195</v>
      </c>
      <c r="L485" t="s">
        <v>45</v>
      </c>
      <c r="M485" t="s">
        <v>34</v>
      </c>
      <c r="N485" t="s">
        <v>35</v>
      </c>
      <c r="O485">
        <v>0.77118385483117302</v>
      </c>
      <c r="P485" t="s">
        <v>36</v>
      </c>
    </row>
    <row r="486" spans="1:16">
      <c r="A486">
        <v>485</v>
      </c>
      <c r="B486" t="s">
        <v>540</v>
      </c>
      <c r="C486">
        <v>133</v>
      </c>
      <c r="D486">
        <v>94</v>
      </c>
      <c r="E486">
        <v>86.362260045336896</v>
      </c>
      <c r="F486">
        <v>1.4044600160417899</v>
      </c>
      <c r="G486">
        <v>5857.84504650284</v>
      </c>
      <c r="H486">
        <v>719.78002322051805</v>
      </c>
      <c r="I486">
        <v>0.53032214502040598</v>
      </c>
      <c r="J486">
        <v>0.14208497829964001</v>
      </c>
      <c r="K486">
        <v>0.55266995737042901</v>
      </c>
      <c r="L486" t="s">
        <v>96</v>
      </c>
      <c r="M486" t="s">
        <v>34</v>
      </c>
      <c r="N486" t="s">
        <v>35</v>
      </c>
      <c r="O486">
        <v>0.75288761458544196</v>
      </c>
      <c r="P486" t="s">
        <v>36</v>
      </c>
    </row>
    <row r="487" spans="1:16">
      <c r="A487">
        <v>486</v>
      </c>
      <c r="B487" t="s">
        <v>541</v>
      </c>
      <c r="C487">
        <v>63</v>
      </c>
      <c r="D487">
        <v>93</v>
      </c>
      <c r="E487">
        <v>63.971689410444803</v>
      </c>
      <c r="F487">
        <v>0.682352973911595</v>
      </c>
      <c r="G487">
        <v>3214.1454158790202</v>
      </c>
      <c r="H487">
        <v>592.93583097758506</v>
      </c>
      <c r="I487">
        <v>0.73401615514457297</v>
      </c>
      <c r="J487">
        <v>0.114884118041452</v>
      </c>
      <c r="K487">
        <v>0.65649666059502099</v>
      </c>
      <c r="L487" t="s">
        <v>33</v>
      </c>
      <c r="M487" t="s">
        <v>34</v>
      </c>
      <c r="N487" t="s">
        <v>35</v>
      </c>
      <c r="O487">
        <v>0.93912476668066003</v>
      </c>
      <c r="P487" t="s">
        <v>36</v>
      </c>
    </row>
    <row r="488" spans="1:16">
      <c r="A488">
        <v>487</v>
      </c>
      <c r="B488" t="s">
        <v>542</v>
      </c>
      <c r="C488">
        <v>83</v>
      </c>
      <c r="D488">
        <v>58</v>
      </c>
      <c r="E488">
        <v>53.443826814141602</v>
      </c>
      <c r="F488">
        <v>1.42056074766355</v>
      </c>
      <c r="G488">
        <v>2243.2877115311899</v>
      </c>
      <c r="H488">
        <v>490.91873398148499</v>
      </c>
      <c r="I488">
        <v>0.68393764454838102</v>
      </c>
      <c r="J488">
        <v>0.116970307131594</v>
      </c>
      <c r="K488">
        <v>0.60989210813431904</v>
      </c>
      <c r="L488" t="s">
        <v>33</v>
      </c>
      <c r="M488" t="s">
        <v>34</v>
      </c>
      <c r="N488" t="s">
        <v>35</v>
      </c>
      <c r="O488">
        <v>0.92962369913032505</v>
      </c>
      <c r="P488" t="s">
        <v>36</v>
      </c>
    </row>
    <row r="489" spans="1:16">
      <c r="A489">
        <v>488</v>
      </c>
      <c r="B489" t="s">
        <v>543</v>
      </c>
      <c r="C489">
        <v>63</v>
      </c>
      <c r="D489">
        <v>146</v>
      </c>
      <c r="E489">
        <v>78.596787330374994</v>
      </c>
      <c r="F489">
        <v>0.42875974338717199</v>
      </c>
      <c r="G489">
        <v>4851.7617947069903</v>
      </c>
      <c r="H489">
        <v>447.23163400349398</v>
      </c>
      <c r="I489">
        <v>0.69082998730196499</v>
      </c>
      <c r="J489">
        <v>0.30482059365601</v>
      </c>
      <c r="K489">
        <v>0.70695629575085595</v>
      </c>
      <c r="L489" t="s">
        <v>52</v>
      </c>
      <c r="M489" t="s">
        <v>34</v>
      </c>
      <c r="N489" t="s">
        <v>35</v>
      </c>
      <c r="O489">
        <v>0.68043637743530205</v>
      </c>
      <c r="P489" t="s">
        <v>36</v>
      </c>
    </row>
    <row r="490" spans="1:16">
      <c r="A490">
        <v>489</v>
      </c>
      <c r="B490" t="s">
        <v>544</v>
      </c>
      <c r="C490">
        <v>154</v>
      </c>
      <c r="D490">
        <v>68</v>
      </c>
      <c r="E490">
        <v>82.769445492887598</v>
      </c>
      <c r="F490">
        <v>2.2580096922558699</v>
      </c>
      <c r="G490">
        <v>5380.5908994328902</v>
      </c>
      <c r="H490">
        <v>483.29347651160299</v>
      </c>
      <c r="I490">
        <v>0.51584220050829599</v>
      </c>
      <c r="J490">
        <v>0.28947960450502003</v>
      </c>
      <c r="K490">
        <v>0.71787499008487299</v>
      </c>
      <c r="L490" t="s">
        <v>33</v>
      </c>
      <c r="M490" t="s">
        <v>34</v>
      </c>
      <c r="N490" t="s">
        <v>35</v>
      </c>
      <c r="O490">
        <v>0.95793272709765398</v>
      </c>
      <c r="P490" t="s">
        <v>36</v>
      </c>
    </row>
    <row r="491" spans="1:16">
      <c r="A491">
        <v>490</v>
      </c>
      <c r="B491" t="s">
        <v>545</v>
      </c>
      <c r="C491">
        <v>115</v>
      </c>
      <c r="D491">
        <v>99</v>
      </c>
      <c r="E491">
        <v>77.918481306080295</v>
      </c>
      <c r="F491">
        <v>1.16071132789701</v>
      </c>
      <c r="G491">
        <v>4768.3798026465001</v>
      </c>
      <c r="H491">
        <v>646.004636170553</v>
      </c>
      <c r="I491">
        <v>0.686441288649702</v>
      </c>
      <c r="J491">
        <v>0.14358511957806799</v>
      </c>
      <c r="K491">
        <v>0.57134207152016003</v>
      </c>
      <c r="L491" t="s">
        <v>33</v>
      </c>
      <c r="M491" t="s">
        <v>34</v>
      </c>
      <c r="N491" t="s">
        <v>35</v>
      </c>
      <c r="O491">
        <v>0.94422376440629896</v>
      </c>
      <c r="P491" t="s">
        <v>36</v>
      </c>
    </row>
    <row r="492" spans="1:16">
      <c r="A492">
        <v>491</v>
      </c>
      <c r="B492" t="s">
        <v>546</v>
      </c>
      <c r="C492">
        <v>79</v>
      </c>
      <c r="D492">
        <v>49</v>
      </c>
      <c r="E492">
        <v>55.365657180099603</v>
      </c>
      <c r="F492">
        <v>1.6</v>
      </c>
      <c r="G492">
        <v>2407.52496862004</v>
      </c>
      <c r="H492">
        <v>359.560090018148</v>
      </c>
      <c r="I492">
        <v>0.71243023680025996</v>
      </c>
      <c r="J492">
        <v>0.23401177079341401</v>
      </c>
      <c r="K492">
        <v>0.78017532029669601</v>
      </c>
      <c r="L492" t="s">
        <v>33</v>
      </c>
      <c r="M492" t="s">
        <v>34</v>
      </c>
      <c r="N492" t="s">
        <v>35</v>
      </c>
      <c r="O492">
        <v>0.93375312444533298</v>
      </c>
      <c r="P492" t="s">
        <v>36</v>
      </c>
    </row>
    <row r="493" spans="1:16">
      <c r="A493">
        <v>492</v>
      </c>
      <c r="B493" t="s">
        <v>547</v>
      </c>
      <c r="C493">
        <v>90</v>
      </c>
      <c r="D493">
        <v>42</v>
      </c>
      <c r="E493">
        <v>55.874319797821798</v>
      </c>
      <c r="F493">
        <v>2.1421161801017901</v>
      </c>
      <c r="G493">
        <v>2451.9656381852601</v>
      </c>
      <c r="H493">
        <v>228.26013625984601</v>
      </c>
      <c r="I493">
        <v>0.63678059552622102</v>
      </c>
      <c r="J493">
        <v>0.59137655000563505</v>
      </c>
      <c r="K493">
        <v>0.90063875088715395</v>
      </c>
      <c r="L493" t="s">
        <v>83</v>
      </c>
      <c r="M493" t="s">
        <v>34</v>
      </c>
      <c r="N493" t="s">
        <v>35</v>
      </c>
      <c r="O493">
        <v>0.74826725041030695</v>
      </c>
      <c r="P493" t="s">
        <v>36</v>
      </c>
    </row>
    <row r="494" spans="1:16">
      <c r="A494">
        <v>493</v>
      </c>
      <c r="B494" t="s">
        <v>548</v>
      </c>
      <c r="C494">
        <v>73</v>
      </c>
      <c r="D494">
        <v>78</v>
      </c>
      <c r="E494">
        <v>76.821474051147604</v>
      </c>
      <c r="F494">
        <v>0.93706293706293697</v>
      </c>
      <c r="G494">
        <v>4635.0577939508503</v>
      </c>
      <c r="H494">
        <v>540.81415021575003</v>
      </c>
      <c r="I494">
        <v>0.52683261006142801</v>
      </c>
      <c r="J494">
        <v>0.19914477911675799</v>
      </c>
      <c r="K494">
        <v>0.83718120805369101</v>
      </c>
      <c r="L494" t="s">
        <v>33</v>
      </c>
      <c r="M494" t="s">
        <v>34</v>
      </c>
      <c r="N494" t="s">
        <v>35</v>
      </c>
      <c r="O494">
        <v>0.93904259717586802</v>
      </c>
      <c r="P494" t="s">
        <v>36</v>
      </c>
    </row>
    <row r="495" spans="1:16">
      <c r="A495">
        <v>494</v>
      </c>
      <c r="B495" t="s">
        <v>549</v>
      </c>
      <c r="C495">
        <v>105</v>
      </c>
      <c r="D495">
        <v>97</v>
      </c>
      <c r="E495">
        <v>88.2437849428253</v>
      </c>
      <c r="F495">
        <v>1.0871230927576201</v>
      </c>
      <c r="G495">
        <v>6115.8684657844997</v>
      </c>
      <c r="H495">
        <v>433.59455159954399</v>
      </c>
      <c r="I495">
        <v>0.67811143327415802</v>
      </c>
      <c r="J495">
        <v>0.40879009825200102</v>
      </c>
      <c r="K495">
        <v>0.82520455639338997</v>
      </c>
      <c r="L495" t="s">
        <v>45</v>
      </c>
      <c r="M495" t="s">
        <v>34</v>
      </c>
      <c r="N495" t="s">
        <v>35</v>
      </c>
      <c r="O495">
        <v>0.78682550647656102</v>
      </c>
      <c r="P495" t="s">
        <v>36</v>
      </c>
    </row>
    <row r="496" spans="1:16">
      <c r="A496">
        <v>495</v>
      </c>
      <c r="B496" t="s">
        <v>550</v>
      </c>
      <c r="C496">
        <v>63</v>
      </c>
      <c r="D496">
        <v>68</v>
      </c>
      <c r="E496">
        <v>61.945763845247797</v>
      </c>
      <c r="F496">
        <v>0.92</v>
      </c>
      <c r="G496">
        <v>3013.7908253308101</v>
      </c>
      <c r="H496">
        <v>445.49465127934599</v>
      </c>
      <c r="I496">
        <v>0.66393703014453398</v>
      </c>
      <c r="J496">
        <v>0.19082619124080599</v>
      </c>
      <c r="K496">
        <v>0.79944015139567903</v>
      </c>
      <c r="L496" t="s">
        <v>33</v>
      </c>
      <c r="M496" t="s">
        <v>34</v>
      </c>
      <c r="N496" t="s">
        <v>35</v>
      </c>
      <c r="O496">
        <v>0.94517514870117503</v>
      </c>
      <c r="P496" t="s">
        <v>36</v>
      </c>
    </row>
    <row r="497" spans="1:16">
      <c r="A497">
        <v>496</v>
      </c>
      <c r="B497" t="s">
        <v>551</v>
      </c>
      <c r="C497">
        <v>92</v>
      </c>
      <c r="D497">
        <v>75</v>
      </c>
      <c r="E497">
        <v>66.405853188118598</v>
      </c>
      <c r="F497">
        <v>1.2254704534560501</v>
      </c>
      <c r="G497">
        <v>3463.39960604915</v>
      </c>
      <c r="H497">
        <v>426.27148684936998</v>
      </c>
      <c r="I497">
        <v>0.67832876844621603</v>
      </c>
      <c r="J497">
        <v>0.23951896128431599</v>
      </c>
      <c r="K497">
        <v>0.64462764191656496</v>
      </c>
      <c r="L497" t="s">
        <v>33</v>
      </c>
      <c r="M497" t="s">
        <v>34</v>
      </c>
      <c r="N497" t="s">
        <v>35</v>
      </c>
      <c r="O497">
        <v>0.87621518092260398</v>
      </c>
      <c r="P497" t="s">
        <v>36</v>
      </c>
    </row>
    <row r="498" spans="1:16">
      <c r="A498">
        <v>497</v>
      </c>
      <c r="B498" t="s">
        <v>552</v>
      </c>
      <c r="C498">
        <v>88</v>
      </c>
      <c r="D498">
        <v>78</v>
      </c>
      <c r="E498">
        <v>73.104162847643906</v>
      </c>
      <c r="F498">
        <v>1.1258741527368801</v>
      </c>
      <c r="G498">
        <v>4197.3394933837399</v>
      </c>
      <c r="H498">
        <v>695.38190334195701</v>
      </c>
      <c r="I498">
        <v>0.464388727396087</v>
      </c>
      <c r="J498">
        <v>0.10907800667513699</v>
      </c>
      <c r="K498">
        <v>0.70750344482024297</v>
      </c>
      <c r="L498" t="s">
        <v>33</v>
      </c>
      <c r="M498" t="s">
        <v>34</v>
      </c>
      <c r="N498" t="s">
        <v>35</v>
      </c>
      <c r="O498">
        <v>0.93720737403256704</v>
      </c>
      <c r="P498" t="s">
        <v>36</v>
      </c>
    </row>
    <row r="499" spans="1:16">
      <c r="A499">
        <v>498</v>
      </c>
      <c r="B499" t="s">
        <v>553</v>
      </c>
      <c r="C499">
        <v>76</v>
      </c>
      <c r="D499">
        <v>147</v>
      </c>
      <c r="E499">
        <v>86.107697765580397</v>
      </c>
      <c r="F499">
        <v>0.51451567981306101</v>
      </c>
      <c r="G499">
        <v>5823.3626540642699</v>
      </c>
      <c r="H499">
        <v>488.316675056375</v>
      </c>
      <c r="I499">
        <v>0.64397871780157101</v>
      </c>
      <c r="J499">
        <v>0.30688848362117499</v>
      </c>
      <c r="K499">
        <v>0.72219866914895603</v>
      </c>
      <c r="L499" t="s">
        <v>33</v>
      </c>
      <c r="M499" t="s">
        <v>34</v>
      </c>
      <c r="N499" t="s">
        <v>35</v>
      </c>
      <c r="O499">
        <v>0.93755846146043598</v>
      </c>
      <c r="P499" t="s">
        <v>36</v>
      </c>
    </row>
    <row r="500" spans="1:16">
      <c r="A500">
        <v>499</v>
      </c>
      <c r="B500" t="s">
        <v>554</v>
      </c>
      <c r="C500">
        <v>78</v>
      </c>
      <c r="D500">
        <v>53</v>
      </c>
      <c r="E500">
        <v>63.455654280961902</v>
      </c>
      <c r="F500">
        <v>1.4666667625741701</v>
      </c>
      <c r="G500">
        <v>3162.5</v>
      </c>
      <c r="H500">
        <v>224.35028612613701</v>
      </c>
      <c r="I500">
        <v>0.60517808037777898</v>
      </c>
      <c r="J500">
        <v>0.78956364395247702</v>
      </c>
      <c r="K500">
        <v>0.96564885496183195</v>
      </c>
      <c r="L500" t="s">
        <v>33</v>
      </c>
      <c r="M500" t="s">
        <v>34</v>
      </c>
      <c r="N500" t="s">
        <v>35</v>
      </c>
      <c r="O500">
        <v>0.93947281387089099</v>
      </c>
      <c r="P500" t="s">
        <v>36</v>
      </c>
    </row>
    <row r="501" spans="1:16">
      <c r="A501">
        <v>500</v>
      </c>
      <c r="B501" t="s">
        <v>555</v>
      </c>
      <c r="C501">
        <v>55</v>
      </c>
      <c r="D501">
        <v>106</v>
      </c>
      <c r="E501">
        <v>60.610086425694497</v>
      </c>
      <c r="F501">
        <v>0.51323157047617296</v>
      </c>
      <c r="G501">
        <v>2885.2250086956501</v>
      </c>
      <c r="H501">
        <v>497.96781272743101</v>
      </c>
      <c r="I501">
        <v>0.90523786814271301</v>
      </c>
      <c r="J501">
        <v>0.14621334332312</v>
      </c>
      <c r="K501">
        <v>0.60385105919681503</v>
      </c>
      <c r="L501" t="s">
        <v>33</v>
      </c>
      <c r="M501" t="s">
        <v>34</v>
      </c>
      <c r="N501" t="s">
        <v>35</v>
      </c>
      <c r="O501">
        <v>0.95460928930378597</v>
      </c>
      <c r="P501" t="s">
        <v>36</v>
      </c>
    </row>
    <row r="502" spans="1:16">
      <c r="A502">
        <v>501</v>
      </c>
      <c r="B502" t="s">
        <v>556</v>
      </c>
      <c r="C502">
        <v>53</v>
      </c>
      <c r="D502">
        <v>83</v>
      </c>
      <c r="E502">
        <v>57.905139289518502</v>
      </c>
      <c r="F502">
        <v>0.64473687116459699</v>
      </c>
      <c r="G502">
        <v>2633.4440914933798</v>
      </c>
      <c r="H502">
        <v>522.51864519596097</v>
      </c>
      <c r="I502">
        <v>0.75047573686989399</v>
      </c>
      <c r="J502">
        <v>0.121207748042945</v>
      </c>
      <c r="K502">
        <v>0.64602931524830498</v>
      </c>
      <c r="L502" t="s">
        <v>45</v>
      </c>
      <c r="M502" t="s">
        <v>34</v>
      </c>
      <c r="N502" t="s">
        <v>35</v>
      </c>
      <c r="O502">
        <v>0.80441021635154897</v>
      </c>
      <c r="P502" t="s">
        <v>36</v>
      </c>
    </row>
    <row r="503" spans="1:16">
      <c r="A503">
        <v>502</v>
      </c>
      <c r="B503" t="s">
        <v>557</v>
      </c>
      <c r="C503">
        <v>40</v>
      </c>
      <c r="D503">
        <v>86</v>
      </c>
      <c r="E503">
        <v>52.062708489580501</v>
      </c>
      <c r="F503">
        <v>0.47085203811522602</v>
      </c>
      <c r="G503">
        <v>2128.84184007561</v>
      </c>
      <c r="H503">
        <v>285.23283795553698</v>
      </c>
      <c r="I503">
        <v>0.74372326538451095</v>
      </c>
      <c r="J503">
        <v>0.328816964059302</v>
      </c>
      <c r="K503">
        <v>0.734437493590401</v>
      </c>
      <c r="L503" t="s">
        <v>331</v>
      </c>
      <c r="M503" t="s">
        <v>34</v>
      </c>
      <c r="N503" t="s">
        <v>35</v>
      </c>
      <c r="O503">
        <v>0.65830500853487395</v>
      </c>
      <c r="P503" t="s">
        <v>36</v>
      </c>
    </row>
    <row r="504" spans="1:16">
      <c r="A504">
        <v>503</v>
      </c>
      <c r="B504" t="s">
        <v>558</v>
      </c>
      <c r="C504">
        <v>53</v>
      </c>
      <c r="D504">
        <v>88</v>
      </c>
      <c r="E504">
        <v>63.173909710779398</v>
      </c>
      <c r="F504">
        <v>0.60869567277719705</v>
      </c>
      <c r="G504">
        <v>3134.4791988657798</v>
      </c>
      <c r="H504">
        <v>650.38679600808905</v>
      </c>
      <c r="I504">
        <v>0.72147093847545896</v>
      </c>
      <c r="J504">
        <v>9.31176108598855E-2</v>
      </c>
      <c r="K504">
        <v>0.67117532860189</v>
      </c>
      <c r="L504" t="s">
        <v>83</v>
      </c>
      <c r="M504" t="s">
        <v>34</v>
      </c>
      <c r="N504" t="s">
        <v>35</v>
      </c>
      <c r="O504">
        <v>0.87377400687378504</v>
      </c>
      <c r="P504" t="s">
        <v>36</v>
      </c>
    </row>
    <row r="505" spans="1:16">
      <c r="A505">
        <v>504</v>
      </c>
      <c r="B505" t="s">
        <v>559</v>
      </c>
      <c r="C505">
        <v>220</v>
      </c>
      <c r="D505">
        <v>181</v>
      </c>
      <c r="E505">
        <v>123.65913149158899</v>
      </c>
      <c r="F505">
        <v>1.2168675097486199</v>
      </c>
      <c r="G505">
        <v>12009.9794767486</v>
      </c>
      <c r="H505">
        <v>1429.71403367789</v>
      </c>
      <c r="I505">
        <v>0.641054996459961</v>
      </c>
      <c r="J505">
        <v>7.3833553190578702E-2</v>
      </c>
      <c r="K505">
        <v>0.37463373020288598</v>
      </c>
      <c r="L505" t="s">
        <v>33</v>
      </c>
      <c r="M505" t="s">
        <v>34</v>
      </c>
      <c r="N505" t="s">
        <v>35</v>
      </c>
      <c r="O505">
        <v>0.93265197877448403</v>
      </c>
      <c r="P505" t="s">
        <v>36</v>
      </c>
    </row>
    <row r="506" spans="1:16">
      <c r="A506">
        <v>505</v>
      </c>
      <c r="B506" t="s">
        <v>560</v>
      </c>
      <c r="C506">
        <v>85</v>
      </c>
      <c r="D506">
        <v>65</v>
      </c>
      <c r="E506">
        <v>66.244644262193603</v>
      </c>
      <c r="F506">
        <v>1.3109243697479001</v>
      </c>
      <c r="G506">
        <v>3446.6043028355398</v>
      </c>
      <c r="H506">
        <v>349.298397129411</v>
      </c>
      <c r="I506">
        <v>0.55080582323212501</v>
      </c>
      <c r="J506">
        <v>0.35498344878170301</v>
      </c>
      <c r="K506">
        <v>0.833027984337393</v>
      </c>
      <c r="L506" t="s">
        <v>83</v>
      </c>
      <c r="M506" t="s">
        <v>34</v>
      </c>
      <c r="N506" t="s">
        <v>35</v>
      </c>
      <c r="O506">
        <v>0.85945327405432603</v>
      </c>
      <c r="P506" t="s">
        <v>36</v>
      </c>
    </row>
    <row r="507" spans="1:16">
      <c r="A507">
        <v>506</v>
      </c>
      <c r="B507" t="s">
        <v>561</v>
      </c>
      <c r="C507">
        <v>49</v>
      </c>
      <c r="D507">
        <v>59</v>
      </c>
      <c r="E507">
        <v>50.469882297944302</v>
      </c>
      <c r="F507">
        <v>0.82407407407407396</v>
      </c>
      <c r="G507">
        <v>2000.5732854442299</v>
      </c>
      <c r="H507">
        <v>325.78871147694798</v>
      </c>
      <c r="I507">
        <v>0.56310000202176302</v>
      </c>
      <c r="J507">
        <v>0.236860294646698</v>
      </c>
      <c r="K507">
        <v>0.75626474884818495</v>
      </c>
      <c r="L507" t="s">
        <v>132</v>
      </c>
      <c r="M507" t="s">
        <v>34</v>
      </c>
      <c r="N507" t="s">
        <v>35</v>
      </c>
      <c r="O507">
        <v>0.84359181447030795</v>
      </c>
      <c r="P507" t="s">
        <v>36</v>
      </c>
    </row>
    <row r="508" spans="1:16">
      <c r="A508">
        <v>507</v>
      </c>
      <c r="B508" t="s">
        <v>562</v>
      </c>
      <c r="C508">
        <v>70</v>
      </c>
      <c r="D508">
        <v>97</v>
      </c>
      <c r="E508">
        <v>70.054516816944997</v>
      </c>
      <c r="F508">
        <v>0.722583635703408</v>
      </c>
      <c r="G508">
        <v>3854.4477720226801</v>
      </c>
      <c r="H508">
        <v>393.129468002838</v>
      </c>
      <c r="I508">
        <v>0.76124614366231702</v>
      </c>
      <c r="J508">
        <v>0.31340132771810197</v>
      </c>
      <c r="K508">
        <v>0.67190900611462301</v>
      </c>
      <c r="L508" t="s">
        <v>33</v>
      </c>
      <c r="M508" t="s">
        <v>34</v>
      </c>
      <c r="N508" t="s">
        <v>35</v>
      </c>
      <c r="O508">
        <v>0.95027452713262905</v>
      </c>
      <c r="P508" t="s">
        <v>36</v>
      </c>
    </row>
    <row r="509" spans="1:16">
      <c r="A509">
        <v>508</v>
      </c>
      <c r="B509" t="s">
        <v>563</v>
      </c>
      <c r="C509">
        <v>99</v>
      </c>
      <c r="D509">
        <v>110</v>
      </c>
      <c r="E509">
        <v>80.452929434406798</v>
      </c>
      <c r="F509">
        <v>0.90099009900990101</v>
      </c>
      <c r="G509">
        <v>5083.62615765596</v>
      </c>
      <c r="H509">
        <v>561.43060269200305</v>
      </c>
      <c r="I509">
        <v>0.55706483648558902</v>
      </c>
      <c r="J509">
        <v>0.20267085815878599</v>
      </c>
      <c r="K509">
        <v>0.66225845176780396</v>
      </c>
      <c r="L509" t="s">
        <v>83</v>
      </c>
      <c r="M509" t="s">
        <v>34</v>
      </c>
      <c r="N509" t="s">
        <v>35</v>
      </c>
      <c r="O509">
        <v>0.82515544351849701</v>
      </c>
      <c r="P509" t="s">
        <v>36</v>
      </c>
    </row>
    <row r="510" spans="1:16">
      <c r="A510">
        <v>509</v>
      </c>
      <c r="B510" t="s">
        <v>564</v>
      </c>
      <c r="C510">
        <v>65</v>
      </c>
      <c r="D510">
        <v>65</v>
      </c>
      <c r="E510">
        <v>62.825493143142197</v>
      </c>
      <c r="F510">
        <v>1</v>
      </c>
      <c r="G510">
        <v>3100</v>
      </c>
      <c r="H510">
        <v>228.99494767189</v>
      </c>
      <c r="I510">
        <v>0.74001542356448502</v>
      </c>
      <c r="J510">
        <v>0.74288186512713905</v>
      </c>
      <c r="K510">
        <v>0.92883895131086103</v>
      </c>
      <c r="L510" t="s">
        <v>33</v>
      </c>
      <c r="M510" t="s">
        <v>34</v>
      </c>
      <c r="N510" t="s">
        <v>35</v>
      </c>
      <c r="O510">
        <v>0.93855980215023904</v>
      </c>
      <c r="P510" t="s">
        <v>36</v>
      </c>
    </row>
    <row r="511" spans="1:16">
      <c r="A511">
        <v>510</v>
      </c>
      <c r="B511" t="s">
        <v>565</v>
      </c>
      <c r="C511">
        <v>73</v>
      </c>
      <c r="D511">
        <v>88</v>
      </c>
      <c r="E511">
        <v>67.290520364162106</v>
      </c>
      <c r="F511">
        <v>0.83229813664596297</v>
      </c>
      <c r="G511">
        <v>3556.2939822306198</v>
      </c>
      <c r="H511">
        <v>744.209582274789</v>
      </c>
      <c r="I511">
        <v>0.63685506213383603</v>
      </c>
      <c r="J511">
        <v>8.0689496168056096E-2</v>
      </c>
      <c r="K511">
        <v>0.64983704508419304</v>
      </c>
      <c r="L511" t="s">
        <v>33</v>
      </c>
      <c r="M511" t="s">
        <v>34</v>
      </c>
      <c r="N511" t="s">
        <v>35</v>
      </c>
      <c r="O511">
        <v>0.94172959891140096</v>
      </c>
      <c r="P511" t="s">
        <v>36</v>
      </c>
    </row>
    <row r="512" spans="1:16">
      <c r="A512">
        <v>511</v>
      </c>
      <c r="B512" t="s">
        <v>566</v>
      </c>
      <c r="C512">
        <v>87</v>
      </c>
      <c r="D512">
        <v>112</v>
      </c>
      <c r="E512">
        <v>76.573501021475394</v>
      </c>
      <c r="F512">
        <v>0.78048780487804903</v>
      </c>
      <c r="G512">
        <v>4605.1829625708897</v>
      </c>
      <c r="H512">
        <v>528.78565165727002</v>
      </c>
      <c r="I512">
        <v>0.53218696863202197</v>
      </c>
      <c r="J512">
        <v>0.20696524825763499</v>
      </c>
      <c r="K512">
        <v>0.63204275631349205</v>
      </c>
      <c r="L512" t="s">
        <v>132</v>
      </c>
      <c r="M512" t="s">
        <v>34</v>
      </c>
      <c r="N512" t="s">
        <v>35</v>
      </c>
      <c r="O512">
        <v>0.78575327012245699</v>
      </c>
      <c r="P512" t="s">
        <v>36</v>
      </c>
    </row>
    <row r="513" spans="1:16">
      <c r="A513">
        <v>512</v>
      </c>
      <c r="B513" t="s">
        <v>567</v>
      </c>
      <c r="C513">
        <v>64</v>
      </c>
      <c r="D513">
        <v>117</v>
      </c>
      <c r="E513">
        <v>71.242499615178104</v>
      </c>
      <c r="F513">
        <v>0.548257358981461</v>
      </c>
      <c r="G513">
        <v>3986.2834706994299</v>
      </c>
      <c r="H513">
        <v>433.63994656189601</v>
      </c>
      <c r="I513">
        <v>0.73048416418766304</v>
      </c>
      <c r="J513">
        <v>0.26639095720254502</v>
      </c>
      <c r="K513">
        <v>0.70053545775107695</v>
      </c>
      <c r="L513" t="s">
        <v>178</v>
      </c>
      <c r="M513" t="s">
        <v>34</v>
      </c>
      <c r="N513" t="s">
        <v>35</v>
      </c>
      <c r="O513">
        <v>0.69118952795587596</v>
      </c>
      <c r="P513" t="s">
        <v>36</v>
      </c>
    </row>
    <row r="514" spans="1:16">
      <c r="A514">
        <v>513</v>
      </c>
      <c r="B514" t="s">
        <v>568</v>
      </c>
      <c r="C514">
        <v>50</v>
      </c>
      <c r="D514">
        <v>76</v>
      </c>
      <c r="E514">
        <v>59.037912942149603</v>
      </c>
      <c r="F514">
        <v>0.65656566372128899</v>
      </c>
      <c r="G514">
        <v>2737.4857928166398</v>
      </c>
      <c r="H514">
        <v>226.398647661209</v>
      </c>
      <c r="I514">
        <v>0.73615290218597096</v>
      </c>
      <c r="J514">
        <v>0.67114147988790196</v>
      </c>
      <c r="K514">
        <v>0.91518012422360295</v>
      </c>
      <c r="L514" t="s">
        <v>33</v>
      </c>
      <c r="M514" t="s">
        <v>34</v>
      </c>
      <c r="N514" t="s">
        <v>35</v>
      </c>
      <c r="O514">
        <v>0.94171028831542603</v>
      </c>
      <c r="P514" t="s">
        <v>36</v>
      </c>
    </row>
    <row r="515" spans="1:16">
      <c r="A515">
        <v>514</v>
      </c>
      <c r="B515" t="s">
        <v>569</v>
      </c>
      <c r="C515">
        <v>61</v>
      </c>
      <c r="D515">
        <v>118</v>
      </c>
      <c r="E515">
        <v>57.710356563671198</v>
      </c>
      <c r="F515">
        <v>0.52013311014276697</v>
      </c>
      <c r="G515">
        <v>2615.7570022684299</v>
      </c>
      <c r="H515">
        <v>522.82700769393296</v>
      </c>
      <c r="I515">
        <v>0.60973465209722999</v>
      </c>
      <c r="J515">
        <v>0.12025170226442999</v>
      </c>
      <c r="K515">
        <v>0.50425489240996002</v>
      </c>
      <c r="L515" t="s">
        <v>570</v>
      </c>
      <c r="M515" t="s">
        <v>34</v>
      </c>
      <c r="N515" t="s">
        <v>35</v>
      </c>
      <c r="O515">
        <v>0.88346712014274797</v>
      </c>
      <c r="P515" t="s">
        <v>36</v>
      </c>
    </row>
    <row r="516" spans="1:16">
      <c r="A516">
        <v>515</v>
      </c>
      <c r="B516" t="s">
        <v>571</v>
      </c>
      <c r="C516">
        <v>122</v>
      </c>
      <c r="D516">
        <v>83</v>
      </c>
      <c r="E516">
        <v>80.492907216286895</v>
      </c>
      <c r="F516">
        <v>1.4750309732073601</v>
      </c>
      <c r="G516">
        <v>5088.6796117202302</v>
      </c>
      <c r="H516">
        <v>503.76044885811598</v>
      </c>
      <c r="I516">
        <v>0.74279470589097896</v>
      </c>
      <c r="J516">
        <v>0.25198044445862899</v>
      </c>
      <c r="K516">
        <v>0.65893606374379299</v>
      </c>
      <c r="L516" t="s">
        <v>33</v>
      </c>
      <c r="M516" t="s">
        <v>34</v>
      </c>
      <c r="N516" t="s">
        <v>35</v>
      </c>
      <c r="O516">
        <v>0.94019917233295103</v>
      </c>
      <c r="P516" t="s">
        <v>36</v>
      </c>
    </row>
    <row r="517" spans="1:16">
      <c r="A517">
        <v>516</v>
      </c>
      <c r="B517" t="s">
        <v>572</v>
      </c>
      <c r="C517">
        <v>55</v>
      </c>
      <c r="D517">
        <v>91</v>
      </c>
      <c r="E517">
        <v>68.577507551692307</v>
      </c>
      <c r="F517">
        <v>0.60151801362186297</v>
      </c>
      <c r="G517">
        <v>3693.6290279773202</v>
      </c>
      <c r="H517">
        <v>272.78087326308997</v>
      </c>
      <c r="I517">
        <v>0.69776496217626705</v>
      </c>
      <c r="J517">
        <v>0.623785546879978</v>
      </c>
      <c r="K517">
        <v>0.88928251923420998</v>
      </c>
      <c r="L517" t="s">
        <v>279</v>
      </c>
      <c r="M517" t="s">
        <v>34</v>
      </c>
      <c r="N517" t="s">
        <v>35</v>
      </c>
      <c r="O517">
        <v>0.89625939170478397</v>
      </c>
      <c r="P517" t="s">
        <v>36</v>
      </c>
    </row>
    <row r="518" spans="1:16">
      <c r="A518">
        <v>517</v>
      </c>
      <c r="B518" t="s">
        <v>573</v>
      </c>
      <c r="C518">
        <v>78</v>
      </c>
      <c r="D518">
        <v>68</v>
      </c>
      <c r="E518">
        <v>62.8134108255746</v>
      </c>
      <c r="F518">
        <v>1.1439999999999999</v>
      </c>
      <c r="G518">
        <v>3098.8077584121002</v>
      </c>
      <c r="H518">
        <v>633.88858014759796</v>
      </c>
      <c r="I518">
        <v>0.62738408909090904</v>
      </c>
      <c r="J518">
        <v>9.6912242507904103E-2</v>
      </c>
      <c r="K518">
        <v>0.65813314814230295</v>
      </c>
      <c r="L518" t="s">
        <v>33</v>
      </c>
      <c r="M518" t="s">
        <v>34</v>
      </c>
      <c r="N518" t="s">
        <v>35</v>
      </c>
      <c r="O518">
        <v>0.93341965229698498</v>
      </c>
      <c r="P518" t="s">
        <v>36</v>
      </c>
    </row>
    <row r="519" spans="1:16">
      <c r="A519">
        <v>518</v>
      </c>
      <c r="B519" t="s">
        <v>574</v>
      </c>
      <c r="C519">
        <v>76</v>
      </c>
      <c r="D519">
        <v>55</v>
      </c>
      <c r="E519">
        <v>59.406988371280903</v>
      </c>
      <c r="F519">
        <v>1.3819850614867299</v>
      </c>
      <c r="G519">
        <v>2771.8195542533099</v>
      </c>
      <c r="H519">
        <v>252.24970147723701</v>
      </c>
      <c r="I519">
        <v>0.65916721832893699</v>
      </c>
      <c r="J519">
        <v>0.54741097005066597</v>
      </c>
      <c r="K519">
        <v>0.84076461836707095</v>
      </c>
      <c r="L519" t="s">
        <v>33</v>
      </c>
      <c r="M519" t="s">
        <v>34</v>
      </c>
      <c r="N519" t="s">
        <v>35</v>
      </c>
      <c r="O519">
        <v>0.94441289522163796</v>
      </c>
      <c r="P519" t="s">
        <v>36</v>
      </c>
    </row>
    <row r="520" spans="1:16">
      <c r="A520">
        <v>519</v>
      </c>
      <c r="B520" t="s">
        <v>575</v>
      </c>
      <c r="C520">
        <v>103</v>
      </c>
      <c r="D520">
        <v>96</v>
      </c>
      <c r="E520">
        <v>77.858954709501106</v>
      </c>
      <c r="F520">
        <v>1.06980659141937</v>
      </c>
      <c r="G520">
        <v>4761.0968835538797</v>
      </c>
      <c r="H520">
        <v>461.03310800998099</v>
      </c>
      <c r="I520">
        <v>0.63942516827156703</v>
      </c>
      <c r="J520">
        <v>0.28148331326410603</v>
      </c>
      <c r="K520">
        <v>0.64646525801699295</v>
      </c>
      <c r="L520" t="s">
        <v>33</v>
      </c>
      <c r="M520" t="s">
        <v>34</v>
      </c>
      <c r="N520" t="s">
        <v>35</v>
      </c>
      <c r="O520">
        <v>0.86403283631564798</v>
      </c>
      <c r="P520" t="s">
        <v>36</v>
      </c>
    </row>
    <row r="521" spans="1:16">
      <c r="A521">
        <v>520</v>
      </c>
      <c r="B521" t="s">
        <v>576</v>
      </c>
      <c r="C521">
        <v>137</v>
      </c>
      <c r="D521">
        <v>135</v>
      </c>
      <c r="E521">
        <v>106.690062041095</v>
      </c>
      <c r="F521">
        <v>1.01619433198381</v>
      </c>
      <c r="G521">
        <v>8940.0061327032108</v>
      </c>
      <c r="H521">
        <v>1328.44140001245</v>
      </c>
      <c r="I521">
        <v>0.58099641686864001</v>
      </c>
      <c r="J521">
        <v>6.3659449316232505E-2</v>
      </c>
      <c r="K521">
        <v>0.54308647994654802</v>
      </c>
      <c r="L521" t="s">
        <v>83</v>
      </c>
      <c r="M521" t="s">
        <v>34</v>
      </c>
      <c r="N521" t="s">
        <v>35</v>
      </c>
      <c r="O521">
        <v>0.82433859135965404</v>
      </c>
      <c r="P521" t="s">
        <v>36</v>
      </c>
    </row>
    <row r="522" spans="1:16">
      <c r="A522">
        <v>521</v>
      </c>
      <c r="B522" t="s">
        <v>577</v>
      </c>
      <c r="C522">
        <v>91</v>
      </c>
      <c r="D522">
        <v>68</v>
      </c>
      <c r="E522">
        <v>72.544158614171593</v>
      </c>
      <c r="F522">
        <v>1.3326162424078301</v>
      </c>
      <c r="G522">
        <v>4133.279531569</v>
      </c>
      <c r="H522">
        <v>307.61058686722902</v>
      </c>
      <c r="I522">
        <v>0.56873327466370505</v>
      </c>
      <c r="J522">
        <v>0.54891119071072603</v>
      </c>
      <c r="K522">
        <v>0.88869359580723495</v>
      </c>
      <c r="L522" t="s">
        <v>132</v>
      </c>
      <c r="M522" t="s">
        <v>34</v>
      </c>
      <c r="N522" t="s">
        <v>35</v>
      </c>
      <c r="O522">
        <v>0.88535328591769402</v>
      </c>
      <c r="P522" t="s">
        <v>36</v>
      </c>
    </row>
    <row r="523" spans="1:16">
      <c r="A523">
        <v>522</v>
      </c>
      <c r="B523" t="s">
        <v>578</v>
      </c>
      <c r="C523">
        <v>65</v>
      </c>
      <c r="D523">
        <v>84</v>
      </c>
      <c r="E523">
        <v>61.205086352575798</v>
      </c>
      <c r="F523">
        <v>0.77611292788891995</v>
      </c>
      <c r="G523">
        <v>2942.1506824196599</v>
      </c>
      <c r="H523">
        <v>302.82927460701598</v>
      </c>
      <c r="I523">
        <v>0.76995475863489904</v>
      </c>
      <c r="J523">
        <v>0.40316150977922999</v>
      </c>
      <c r="K523">
        <v>0.72305219709975499</v>
      </c>
      <c r="L523" t="s">
        <v>33</v>
      </c>
      <c r="M523" t="s">
        <v>34</v>
      </c>
      <c r="N523" t="s">
        <v>35</v>
      </c>
      <c r="O523">
        <v>0.81247451454160002</v>
      </c>
      <c r="P523" t="s">
        <v>36</v>
      </c>
    </row>
    <row r="524" spans="1:16">
      <c r="A524">
        <v>523</v>
      </c>
      <c r="B524" t="s">
        <v>579</v>
      </c>
      <c r="C524">
        <v>58</v>
      </c>
      <c r="D524">
        <v>64</v>
      </c>
      <c r="E524">
        <v>50.116178622900101</v>
      </c>
      <c r="F524">
        <v>0.91452990338316098</v>
      </c>
      <c r="G524">
        <v>1972.6306570888501</v>
      </c>
      <c r="H524">
        <v>329.16961022646501</v>
      </c>
      <c r="I524">
        <v>0.61265920454855105</v>
      </c>
      <c r="J524">
        <v>0.228779009764706</v>
      </c>
      <c r="K524">
        <v>0.70196223620881204</v>
      </c>
      <c r="L524" t="s">
        <v>132</v>
      </c>
      <c r="M524" t="s">
        <v>34</v>
      </c>
      <c r="N524" t="s">
        <v>35</v>
      </c>
      <c r="O524">
        <v>0.85343049977013297</v>
      </c>
      <c r="P524" t="s">
        <v>36</v>
      </c>
    </row>
    <row r="525" spans="1:16">
      <c r="A525">
        <v>524</v>
      </c>
      <c r="B525" t="s">
        <v>580</v>
      </c>
      <c r="C525">
        <v>97</v>
      </c>
      <c r="D525">
        <v>68</v>
      </c>
      <c r="E525">
        <v>68.734621764355296</v>
      </c>
      <c r="F525">
        <v>1.4159999999999999</v>
      </c>
      <c r="G525">
        <v>3710.5729621928199</v>
      </c>
      <c r="H525">
        <v>335.45152816057202</v>
      </c>
      <c r="I525">
        <v>0.63801184949432899</v>
      </c>
      <c r="J525">
        <v>0.41437284808675401</v>
      </c>
      <c r="K525">
        <v>0.80239771156751205</v>
      </c>
      <c r="L525" t="s">
        <v>33</v>
      </c>
      <c r="M525" t="s">
        <v>34</v>
      </c>
      <c r="N525" t="s">
        <v>35</v>
      </c>
      <c r="O525">
        <v>0.92324249262641001</v>
      </c>
      <c r="P525" t="s">
        <v>36</v>
      </c>
    </row>
    <row r="526" spans="1:16">
      <c r="A526">
        <v>525</v>
      </c>
      <c r="B526" t="s">
        <v>581</v>
      </c>
      <c r="C526">
        <v>76</v>
      </c>
      <c r="D526">
        <v>157</v>
      </c>
      <c r="E526">
        <v>90.199387092176394</v>
      </c>
      <c r="F526">
        <v>0.483889100712738</v>
      </c>
      <c r="G526">
        <v>6389.9440332703198</v>
      </c>
      <c r="H526">
        <v>683.87317007645299</v>
      </c>
      <c r="I526">
        <v>0.52501744995501798</v>
      </c>
      <c r="J526">
        <v>0.171694264245325</v>
      </c>
      <c r="K526">
        <v>0.65796360631150397</v>
      </c>
      <c r="L526" t="s">
        <v>83</v>
      </c>
      <c r="M526" t="s">
        <v>34</v>
      </c>
      <c r="N526" t="s">
        <v>35</v>
      </c>
      <c r="O526">
        <v>0.84984163232876397</v>
      </c>
      <c r="P526" t="s">
        <v>36</v>
      </c>
    </row>
    <row r="527" spans="1:16">
      <c r="A527">
        <v>526</v>
      </c>
      <c r="B527" t="s">
        <v>582</v>
      </c>
      <c r="C527">
        <v>60</v>
      </c>
      <c r="D527">
        <v>148</v>
      </c>
      <c r="E527">
        <v>79.943235705666098</v>
      </c>
      <c r="F527">
        <v>0.40494857322234801</v>
      </c>
      <c r="G527">
        <v>5019.4175648393202</v>
      </c>
      <c r="H527">
        <v>427.60380791653802</v>
      </c>
      <c r="I527">
        <v>0.78793548529897395</v>
      </c>
      <c r="J527">
        <v>0.34496899385041202</v>
      </c>
      <c r="K527">
        <v>0.683236222384074</v>
      </c>
      <c r="L527" t="s">
        <v>75</v>
      </c>
      <c r="M527" t="s">
        <v>34</v>
      </c>
      <c r="N527" t="s">
        <v>35</v>
      </c>
      <c r="O527">
        <v>0.81152807257512305</v>
      </c>
      <c r="P527" t="s">
        <v>36</v>
      </c>
    </row>
    <row r="528" spans="1:16">
      <c r="A528">
        <v>527</v>
      </c>
      <c r="B528" t="s">
        <v>583</v>
      </c>
      <c r="C528">
        <v>148</v>
      </c>
      <c r="D528">
        <v>127</v>
      </c>
      <c r="E528">
        <v>93.374501170715504</v>
      </c>
      <c r="F528">
        <v>1.16738197424893</v>
      </c>
      <c r="G528">
        <v>6847.7275190926302</v>
      </c>
      <c r="H528">
        <v>842.54748080585296</v>
      </c>
      <c r="I528">
        <v>0.49725001070807601</v>
      </c>
      <c r="J528">
        <v>0.121218126104795</v>
      </c>
      <c r="K528">
        <v>0.48801982924814102</v>
      </c>
      <c r="L528" t="s">
        <v>33</v>
      </c>
      <c r="M528" t="s">
        <v>34</v>
      </c>
      <c r="N528" t="s">
        <v>35</v>
      </c>
      <c r="O528">
        <v>0.93454699646626505</v>
      </c>
      <c r="P528" t="s">
        <v>36</v>
      </c>
    </row>
    <row r="529" spans="1:16">
      <c r="A529">
        <v>528</v>
      </c>
      <c r="B529" t="s">
        <v>584</v>
      </c>
      <c r="C529">
        <v>90</v>
      </c>
      <c r="D529">
        <v>100</v>
      </c>
      <c r="E529">
        <v>71.368563275372097</v>
      </c>
      <c r="F529">
        <v>0.89714974510727497</v>
      </c>
      <c r="G529">
        <v>4000.40341587902</v>
      </c>
      <c r="H529">
        <v>393.83242937533799</v>
      </c>
      <c r="I529">
        <v>0.74661378073679097</v>
      </c>
      <c r="J529">
        <v>0.32410871174325701</v>
      </c>
      <c r="K529">
        <v>0.66881196729866099</v>
      </c>
      <c r="L529" t="s">
        <v>52</v>
      </c>
      <c r="M529" t="s">
        <v>34</v>
      </c>
      <c r="N529" t="s">
        <v>35</v>
      </c>
      <c r="O529">
        <v>0.79642788553315702</v>
      </c>
      <c r="P529" t="s">
        <v>36</v>
      </c>
    </row>
    <row r="530" spans="1:16">
      <c r="A530">
        <v>529</v>
      </c>
      <c r="B530" t="s">
        <v>585</v>
      </c>
      <c r="C530">
        <v>72</v>
      </c>
      <c r="D530">
        <v>122</v>
      </c>
      <c r="E530">
        <v>79.5528756936626</v>
      </c>
      <c r="F530">
        <v>0.58460728101908499</v>
      </c>
      <c r="G530">
        <v>4970.5179652173902</v>
      </c>
      <c r="H530">
        <v>454.24861302977001</v>
      </c>
      <c r="I530">
        <v>0.75914622618775196</v>
      </c>
      <c r="J530">
        <v>0.302708274124799</v>
      </c>
      <c r="K530">
        <v>0.70004814636494905</v>
      </c>
      <c r="L530" t="s">
        <v>45</v>
      </c>
      <c r="M530" t="s">
        <v>34</v>
      </c>
      <c r="N530" t="s">
        <v>35</v>
      </c>
      <c r="O530">
        <v>0.741563159216862</v>
      </c>
      <c r="P530" t="s">
        <v>36</v>
      </c>
    </row>
    <row r="531" spans="1:16">
      <c r="A531">
        <v>530</v>
      </c>
      <c r="B531" t="s">
        <v>586</v>
      </c>
      <c r="C531">
        <v>68</v>
      </c>
      <c r="D531">
        <v>49</v>
      </c>
      <c r="E531">
        <v>50.906697501964899</v>
      </c>
      <c r="F531">
        <v>1.40449438202247</v>
      </c>
      <c r="G531">
        <v>2035.3529398865801</v>
      </c>
      <c r="H531">
        <v>375.60663302919102</v>
      </c>
      <c r="I531">
        <v>0.610479297670248</v>
      </c>
      <c r="J531">
        <v>0.181293856184742</v>
      </c>
      <c r="K531">
        <v>0.69597479162431397</v>
      </c>
      <c r="L531" t="s">
        <v>33</v>
      </c>
      <c r="M531" t="s">
        <v>34</v>
      </c>
      <c r="N531" t="s">
        <v>35</v>
      </c>
      <c r="O531">
        <v>0.93297110665268801</v>
      </c>
      <c r="P531" t="s">
        <v>36</v>
      </c>
    </row>
    <row r="532" spans="1:16">
      <c r="A532">
        <v>531</v>
      </c>
      <c r="B532" t="s">
        <v>587</v>
      </c>
      <c r="C532">
        <v>123</v>
      </c>
      <c r="D532">
        <v>81</v>
      </c>
      <c r="E532">
        <v>82.992068697498297</v>
      </c>
      <c r="F532">
        <v>1.51520565977601</v>
      </c>
      <c r="G532">
        <v>5409.5739448015102</v>
      </c>
      <c r="H532">
        <v>546.18721321665703</v>
      </c>
      <c r="I532">
        <v>0.74757383458986004</v>
      </c>
      <c r="J532">
        <v>0.227871425073326</v>
      </c>
      <c r="K532">
        <v>0.66366404697215597</v>
      </c>
      <c r="L532" t="s">
        <v>33</v>
      </c>
      <c r="M532" t="s">
        <v>34</v>
      </c>
      <c r="N532" t="s">
        <v>35</v>
      </c>
      <c r="O532">
        <v>0.93610701660616702</v>
      </c>
      <c r="P532" t="s">
        <v>36</v>
      </c>
    </row>
    <row r="533" spans="1:16">
      <c r="A533">
        <v>532</v>
      </c>
      <c r="B533" t="s">
        <v>588</v>
      </c>
      <c r="C533">
        <v>66</v>
      </c>
      <c r="D533">
        <v>97</v>
      </c>
      <c r="E533">
        <v>62.496268504723702</v>
      </c>
      <c r="F533">
        <v>0.67657018417133596</v>
      </c>
      <c r="G533">
        <v>3067.59524801512</v>
      </c>
      <c r="H533">
        <v>376.385472853598</v>
      </c>
      <c r="I533">
        <v>0.60896082697347598</v>
      </c>
      <c r="J533">
        <v>0.27210856665056399</v>
      </c>
      <c r="K533">
        <v>0.61778615900383105</v>
      </c>
      <c r="L533" t="s">
        <v>70</v>
      </c>
      <c r="M533" t="s">
        <v>34</v>
      </c>
      <c r="N533" t="s">
        <v>35</v>
      </c>
      <c r="O533">
        <v>0.81621740582796998</v>
      </c>
      <c r="P533" t="s">
        <v>36</v>
      </c>
    </row>
    <row r="534" spans="1:16">
      <c r="A534">
        <v>533</v>
      </c>
      <c r="B534" t="s">
        <v>589</v>
      </c>
      <c r="C534">
        <v>138</v>
      </c>
      <c r="D534">
        <v>82</v>
      </c>
      <c r="E534">
        <v>87.742682908590893</v>
      </c>
      <c r="F534">
        <v>1.6823912306630699</v>
      </c>
      <c r="G534">
        <v>6046.6064189035897</v>
      </c>
      <c r="H534">
        <v>567.85421474747</v>
      </c>
      <c r="I534">
        <v>0.61227802133646403</v>
      </c>
      <c r="J534">
        <v>0.23563937255069101</v>
      </c>
      <c r="K534">
        <v>0.68838200954346995</v>
      </c>
      <c r="L534" t="s">
        <v>33</v>
      </c>
      <c r="M534" t="s">
        <v>34</v>
      </c>
      <c r="N534" t="s">
        <v>35</v>
      </c>
      <c r="O534">
        <v>0.93333026902411698</v>
      </c>
      <c r="P534" t="s">
        <v>36</v>
      </c>
    </row>
    <row r="535" spans="1:16">
      <c r="A535">
        <v>534</v>
      </c>
      <c r="B535" t="s">
        <v>590</v>
      </c>
      <c r="C535">
        <v>78</v>
      </c>
      <c r="D535">
        <v>58</v>
      </c>
      <c r="E535">
        <v>59.753202531971702</v>
      </c>
      <c r="F535">
        <v>1.3534875494811101</v>
      </c>
      <c r="G535">
        <v>2804.2211126654101</v>
      </c>
      <c r="H535">
        <v>242.28079906971601</v>
      </c>
      <c r="I535">
        <v>0.693044395672751</v>
      </c>
      <c r="J535">
        <v>0.60032181315643995</v>
      </c>
      <c r="K535">
        <v>0.86371543673319895</v>
      </c>
      <c r="L535" t="s">
        <v>33</v>
      </c>
      <c r="M535" t="s">
        <v>34</v>
      </c>
      <c r="N535" t="s">
        <v>35</v>
      </c>
      <c r="O535">
        <v>0.93839374442364598</v>
      </c>
      <c r="P535" t="s">
        <v>36</v>
      </c>
    </row>
    <row r="536" spans="1:16">
      <c r="A536">
        <v>535</v>
      </c>
      <c r="B536" t="s">
        <v>591</v>
      </c>
      <c r="C536">
        <v>97</v>
      </c>
      <c r="D536">
        <v>103</v>
      </c>
      <c r="E536">
        <v>74.629798893261807</v>
      </c>
      <c r="F536">
        <v>0.94668820796388597</v>
      </c>
      <c r="G536">
        <v>4374.3590166351596</v>
      </c>
      <c r="H536">
        <v>487.965194370125</v>
      </c>
      <c r="I536">
        <v>0.58151798579052405</v>
      </c>
      <c r="J536">
        <v>0.230858886505868</v>
      </c>
      <c r="K536">
        <v>0.617468110104062</v>
      </c>
      <c r="L536" t="s">
        <v>144</v>
      </c>
      <c r="M536" t="s">
        <v>34</v>
      </c>
      <c r="N536" t="s">
        <v>35</v>
      </c>
      <c r="O536">
        <v>0.80566720061754005</v>
      </c>
      <c r="P536" t="s">
        <v>36</v>
      </c>
    </row>
    <row r="537" spans="1:16">
      <c r="A537">
        <v>536</v>
      </c>
      <c r="B537" t="s">
        <v>592</v>
      </c>
      <c r="C537">
        <v>78</v>
      </c>
      <c r="D537">
        <v>58</v>
      </c>
      <c r="E537">
        <v>50.123730220716297</v>
      </c>
      <c r="F537">
        <v>1.33644850350474</v>
      </c>
      <c r="G537">
        <v>1973.2251810964101</v>
      </c>
      <c r="H537">
        <v>555.94794528940497</v>
      </c>
      <c r="I537">
        <v>0.43479007917618701</v>
      </c>
      <c r="J537">
        <v>8.0226575410788897E-2</v>
      </c>
      <c r="K537">
        <v>0.44842261703708702</v>
      </c>
      <c r="L537" t="s">
        <v>321</v>
      </c>
      <c r="M537" t="s">
        <v>34</v>
      </c>
      <c r="N537" t="s">
        <v>35</v>
      </c>
      <c r="O537">
        <v>0.73557393318034703</v>
      </c>
      <c r="P537" t="s">
        <v>36</v>
      </c>
    </row>
    <row r="538" spans="1:16">
      <c r="A538">
        <v>537</v>
      </c>
      <c r="B538" t="s">
        <v>593</v>
      </c>
      <c r="C538">
        <v>58</v>
      </c>
      <c r="D538">
        <v>88</v>
      </c>
      <c r="E538">
        <v>69.737740822795601</v>
      </c>
      <c r="F538">
        <v>0.66459627329192505</v>
      </c>
      <c r="G538">
        <v>3819.6681175803401</v>
      </c>
      <c r="H538">
        <v>428.26688356098902</v>
      </c>
      <c r="I538">
        <v>0.64176406439228695</v>
      </c>
      <c r="J538">
        <v>0.26170167804796401</v>
      </c>
      <c r="K538">
        <v>0.82215752767291606</v>
      </c>
      <c r="L538" t="s">
        <v>83</v>
      </c>
      <c r="M538" t="s">
        <v>34</v>
      </c>
      <c r="N538" t="s">
        <v>35</v>
      </c>
      <c r="O538">
        <v>0.79829747877552004</v>
      </c>
      <c r="P538" t="s">
        <v>36</v>
      </c>
    </row>
    <row r="539" spans="1:16">
      <c r="A539">
        <v>538</v>
      </c>
      <c r="B539" t="s">
        <v>594</v>
      </c>
      <c r="C539">
        <v>65</v>
      </c>
      <c r="D539">
        <v>59</v>
      </c>
      <c r="E539">
        <v>56.418658789575403</v>
      </c>
      <c r="F539">
        <v>1.0951205876333101</v>
      </c>
      <c r="G539">
        <v>2499.97345179584</v>
      </c>
      <c r="H539">
        <v>234.21878022318299</v>
      </c>
      <c r="I539">
        <v>0.71523478079305602</v>
      </c>
      <c r="J539">
        <v>0.57266656933802795</v>
      </c>
      <c r="K539">
        <v>0.83685755510224402</v>
      </c>
      <c r="L539" t="s">
        <v>83</v>
      </c>
      <c r="M539" t="s">
        <v>34</v>
      </c>
      <c r="N539" t="s">
        <v>35</v>
      </c>
      <c r="O539">
        <v>0.69978977761473504</v>
      </c>
      <c r="P539" t="s">
        <v>36</v>
      </c>
    </row>
    <row r="540" spans="1:16">
      <c r="A540">
        <v>539</v>
      </c>
      <c r="B540" t="s">
        <v>595</v>
      </c>
      <c r="C540">
        <v>67</v>
      </c>
      <c r="D540">
        <v>104</v>
      </c>
      <c r="E540">
        <v>60.320582272817802</v>
      </c>
      <c r="F540">
        <v>0.64736842105263204</v>
      </c>
      <c r="G540">
        <v>2857.7282733459401</v>
      </c>
      <c r="H540">
        <v>706.87249267443406</v>
      </c>
      <c r="I540">
        <v>0.64583694627586397</v>
      </c>
      <c r="J540">
        <v>7.1870163362099795E-2</v>
      </c>
      <c r="K540">
        <v>0.53396467451677398</v>
      </c>
      <c r="L540" t="s">
        <v>178</v>
      </c>
      <c r="M540" t="s">
        <v>34</v>
      </c>
      <c r="N540" t="s">
        <v>35</v>
      </c>
      <c r="O540">
        <v>0.68405725374982296</v>
      </c>
      <c r="P540" t="s">
        <v>36</v>
      </c>
    </row>
    <row r="541" spans="1:16">
      <c r="A541">
        <v>540</v>
      </c>
      <c r="B541" t="s">
        <v>596</v>
      </c>
      <c r="C541">
        <v>88</v>
      </c>
      <c r="D541">
        <v>59</v>
      </c>
      <c r="E541">
        <v>61.633368503258097</v>
      </c>
      <c r="F541">
        <v>1.49074074074074</v>
      </c>
      <c r="G541">
        <v>2983.4701009451801</v>
      </c>
      <c r="H541">
        <v>431.95776103859401</v>
      </c>
      <c r="I541">
        <v>0.52940952541879904</v>
      </c>
      <c r="J541">
        <v>0.20093194632126199</v>
      </c>
      <c r="K541">
        <v>0.69229177444387002</v>
      </c>
      <c r="L541" t="s">
        <v>75</v>
      </c>
      <c r="M541" t="s">
        <v>34</v>
      </c>
      <c r="N541" t="s">
        <v>35</v>
      </c>
      <c r="O541">
        <v>0.833242228168114</v>
      </c>
      <c r="P541" t="s">
        <v>36</v>
      </c>
    </row>
    <row r="542" spans="1:16">
      <c r="A542">
        <v>541</v>
      </c>
      <c r="B542" t="s">
        <v>597</v>
      </c>
      <c r="C542">
        <v>157</v>
      </c>
      <c r="D542">
        <v>66</v>
      </c>
      <c r="E542">
        <v>70.355074346367203</v>
      </c>
      <c r="F542">
        <v>2.3941177165004999</v>
      </c>
      <c r="G542">
        <v>3887.5924854442401</v>
      </c>
      <c r="H542">
        <v>481.77406636072197</v>
      </c>
      <c r="I542">
        <v>0.513639085560602</v>
      </c>
      <c r="J542">
        <v>0.21047657163681899</v>
      </c>
      <c r="K542">
        <v>0.58182627071516002</v>
      </c>
      <c r="L542" t="s">
        <v>33</v>
      </c>
      <c r="M542" t="s">
        <v>34</v>
      </c>
      <c r="N542" t="s">
        <v>35</v>
      </c>
      <c r="O542">
        <v>0.94481321893954595</v>
      </c>
      <c r="P542" t="s">
        <v>36</v>
      </c>
    </row>
    <row r="543" spans="1:16">
      <c r="A543">
        <v>542</v>
      </c>
      <c r="B543" t="s">
        <v>598</v>
      </c>
      <c r="C543">
        <v>85</v>
      </c>
      <c r="D543">
        <v>123</v>
      </c>
      <c r="E543">
        <v>86.271274489232098</v>
      </c>
      <c r="F543">
        <v>0.68584070796460195</v>
      </c>
      <c r="G543">
        <v>5845.5086733459402</v>
      </c>
      <c r="H543">
        <v>600.40286662319397</v>
      </c>
      <c r="I543">
        <v>0.62524628755607703</v>
      </c>
      <c r="J543">
        <v>0.20377300925856101</v>
      </c>
      <c r="K543">
        <v>0.67560510538883101</v>
      </c>
      <c r="L543" t="s">
        <v>33</v>
      </c>
      <c r="M543" t="s">
        <v>34</v>
      </c>
      <c r="N543" t="s">
        <v>35</v>
      </c>
      <c r="O543">
        <v>0.95206051042819795</v>
      </c>
      <c r="P543" t="s">
        <v>36</v>
      </c>
    </row>
    <row r="544" spans="1:16">
      <c r="A544">
        <v>543</v>
      </c>
      <c r="B544" t="s">
        <v>599</v>
      </c>
      <c r="C544">
        <v>69</v>
      </c>
      <c r="D544">
        <v>114</v>
      </c>
      <c r="E544">
        <v>71.4719019460575</v>
      </c>
      <c r="F544">
        <v>0.60537057544581796</v>
      </c>
      <c r="G544">
        <v>4011.99663402647</v>
      </c>
      <c r="H544">
        <v>398.03917914172899</v>
      </c>
      <c r="I544">
        <v>0.67619039855194096</v>
      </c>
      <c r="J544">
        <v>0.31821363171412897</v>
      </c>
      <c r="K544">
        <v>0.64593553327430697</v>
      </c>
      <c r="L544" t="s">
        <v>75</v>
      </c>
      <c r="M544" t="s">
        <v>34</v>
      </c>
      <c r="N544" t="s">
        <v>35</v>
      </c>
      <c r="O544">
        <v>0.70854634110429804</v>
      </c>
      <c r="P544" t="s">
        <v>36</v>
      </c>
    </row>
    <row r="545" spans="1:16">
      <c r="A545">
        <v>544</v>
      </c>
      <c r="B545" t="s">
        <v>600</v>
      </c>
      <c r="C545">
        <v>74</v>
      </c>
      <c r="D545">
        <v>94</v>
      </c>
      <c r="E545">
        <v>66.772464368858707</v>
      </c>
      <c r="F545">
        <v>0.78315707587143701</v>
      </c>
      <c r="G545">
        <v>3501.7464045368602</v>
      </c>
      <c r="H545">
        <v>506.07361030620098</v>
      </c>
      <c r="I545">
        <v>0.55986209283535004</v>
      </c>
      <c r="J545">
        <v>0.171817411939064</v>
      </c>
      <c r="K545">
        <v>0.64126292868807799</v>
      </c>
      <c r="L545" t="s">
        <v>33</v>
      </c>
      <c r="M545" t="s">
        <v>34</v>
      </c>
      <c r="N545" t="s">
        <v>35</v>
      </c>
      <c r="O545">
        <v>0.93439192091414502</v>
      </c>
      <c r="P545" t="s">
        <v>36</v>
      </c>
    </row>
    <row r="546" spans="1:16">
      <c r="A546">
        <v>545</v>
      </c>
      <c r="B546" t="s">
        <v>601</v>
      </c>
      <c r="C546">
        <v>78</v>
      </c>
      <c r="D546">
        <v>63</v>
      </c>
      <c r="E546">
        <v>54.184073974415298</v>
      </c>
      <c r="F546">
        <v>1.2327586206896599</v>
      </c>
      <c r="G546">
        <v>2305.8613633270302</v>
      </c>
      <c r="H546">
        <v>480.63045060738301</v>
      </c>
      <c r="I546">
        <v>0.43951241527540702</v>
      </c>
      <c r="J546">
        <v>0.125435507656219</v>
      </c>
      <c r="K546">
        <v>0.61514670896114199</v>
      </c>
      <c r="L546" t="s">
        <v>570</v>
      </c>
      <c r="M546" t="s">
        <v>34</v>
      </c>
      <c r="N546" t="s">
        <v>35</v>
      </c>
      <c r="O546">
        <v>0.83317106090241999</v>
      </c>
      <c r="P546" t="s">
        <v>36</v>
      </c>
    </row>
    <row r="547" spans="1:16">
      <c r="A547">
        <v>546</v>
      </c>
      <c r="B547" t="s">
        <v>602</v>
      </c>
      <c r="C547">
        <v>58</v>
      </c>
      <c r="D547">
        <v>83</v>
      </c>
      <c r="E547">
        <v>52.049984776047502</v>
      </c>
      <c r="F547">
        <v>0.70394736842105299</v>
      </c>
      <c r="G547">
        <v>2127.8014230623799</v>
      </c>
      <c r="H547">
        <v>474.99118761062601</v>
      </c>
      <c r="I547">
        <v>0.69356105621870501</v>
      </c>
      <c r="J547">
        <v>0.118514054023933</v>
      </c>
      <c r="K547">
        <v>0.628942975133995</v>
      </c>
      <c r="L547" t="s">
        <v>33</v>
      </c>
      <c r="M547" t="s">
        <v>34</v>
      </c>
      <c r="N547" t="s">
        <v>35</v>
      </c>
      <c r="O547">
        <v>0.94177020610576601</v>
      </c>
      <c r="P547" t="s">
        <v>36</v>
      </c>
    </row>
    <row r="548" spans="1:16">
      <c r="A548">
        <v>547</v>
      </c>
      <c r="B548" t="s">
        <v>603</v>
      </c>
      <c r="C548">
        <v>156</v>
      </c>
      <c r="D548">
        <v>66</v>
      </c>
      <c r="E548">
        <v>72.587188702422097</v>
      </c>
      <c r="F548">
        <v>2.3670870357806701</v>
      </c>
      <c r="G548">
        <v>4138.1843546313803</v>
      </c>
      <c r="H548">
        <v>508.551163356823</v>
      </c>
      <c r="I548">
        <v>0.716316615395169</v>
      </c>
      <c r="J548">
        <v>0.20107144276771999</v>
      </c>
      <c r="K548">
        <v>0.564654822746816</v>
      </c>
      <c r="L548" t="s">
        <v>45</v>
      </c>
      <c r="M548" t="s">
        <v>34</v>
      </c>
      <c r="N548" t="s">
        <v>35</v>
      </c>
      <c r="O548">
        <v>0.75615800732622895</v>
      </c>
      <c r="P548" t="s">
        <v>36</v>
      </c>
    </row>
    <row r="549" spans="1:16">
      <c r="A549">
        <v>548</v>
      </c>
      <c r="B549" t="s">
        <v>604</v>
      </c>
      <c r="C549">
        <v>166</v>
      </c>
      <c r="D549">
        <v>100</v>
      </c>
      <c r="E549">
        <v>89.449362820245</v>
      </c>
      <c r="F549">
        <v>1.6656616040352401</v>
      </c>
      <c r="G549">
        <v>6284.1187599243904</v>
      </c>
      <c r="H549">
        <v>788.94238261699695</v>
      </c>
      <c r="I549">
        <v>0.58707608491006302</v>
      </c>
      <c r="J549">
        <v>0.12687138277427501</v>
      </c>
      <c r="K549">
        <v>0.505318513206645</v>
      </c>
      <c r="L549" t="s">
        <v>45</v>
      </c>
      <c r="M549" t="s">
        <v>34</v>
      </c>
      <c r="N549" t="s">
        <v>35</v>
      </c>
      <c r="O549">
        <v>0.70341971112678603</v>
      </c>
      <c r="P549" t="s">
        <v>36</v>
      </c>
    </row>
    <row r="550" spans="1:16">
      <c r="A550">
        <v>549</v>
      </c>
      <c r="B550" t="s">
        <v>605</v>
      </c>
      <c r="C550">
        <v>92</v>
      </c>
      <c r="D550">
        <v>91</v>
      </c>
      <c r="E550">
        <v>71.994256326336895</v>
      </c>
      <c r="F550">
        <v>1.00893673554149</v>
      </c>
      <c r="G550">
        <v>4070.8545107750501</v>
      </c>
      <c r="H550">
        <v>423.36495843047697</v>
      </c>
      <c r="I550">
        <v>0.68145294565137804</v>
      </c>
      <c r="J550">
        <v>0.28540766164280401</v>
      </c>
      <c r="K550">
        <v>0.68809667370113603</v>
      </c>
      <c r="L550" t="s">
        <v>83</v>
      </c>
      <c r="M550" t="s">
        <v>34</v>
      </c>
      <c r="N550" t="s">
        <v>35</v>
      </c>
      <c r="O550">
        <v>0.86109657052049904</v>
      </c>
      <c r="P550" t="s">
        <v>36</v>
      </c>
    </row>
    <row r="551" spans="1:16">
      <c r="A551">
        <v>550</v>
      </c>
      <c r="B551" t="s">
        <v>606</v>
      </c>
      <c r="C551">
        <v>79</v>
      </c>
      <c r="D551">
        <v>73</v>
      </c>
      <c r="E551">
        <v>54.895386407501299</v>
      </c>
      <c r="F551">
        <v>1.0746268826673999</v>
      </c>
      <c r="G551">
        <v>2366.8000741020801</v>
      </c>
      <c r="H551">
        <v>577.87953058595201</v>
      </c>
      <c r="I551">
        <v>0.58055258447065194</v>
      </c>
      <c r="J551">
        <v>8.9062896586008397E-2</v>
      </c>
      <c r="K551">
        <v>0.53434448508439303</v>
      </c>
      <c r="L551" t="s">
        <v>33</v>
      </c>
      <c r="M551" t="s">
        <v>34</v>
      </c>
      <c r="N551" t="s">
        <v>35</v>
      </c>
      <c r="O551">
        <v>0.95032179714402298</v>
      </c>
      <c r="P551" t="s">
        <v>36</v>
      </c>
    </row>
    <row r="552" spans="1:16">
      <c r="A552">
        <v>551</v>
      </c>
      <c r="B552" t="s">
        <v>607</v>
      </c>
      <c r="C552">
        <v>106</v>
      </c>
      <c r="D552">
        <v>104</v>
      </c>
      <c r="E552">
        <v>86.957330477894303</v>
      </c>
      <c r="F552">
        <v>1.0121872795354601</v>
      </c>
      <c r="G552">
        <v>5938.8489425330799</v>
      </c>
      <c r="H552">
        <v>420.23534820401198</v>
      </c>
      <c r="I552">
        <v>0.53315049274658599</v>
      </c>
      <c r="J552">
        <v>0.42259755704934299</v>
      </c>
      <c r="K552">
        <v>0.78170791352831803</v>
      </c>
      <c r="L552" t="s">
        <v>75</v>
      </c>
      <c r="M552" t="s">
        <v>34</v>
      </c>
      <c r="N552" t="s">
        <v>35</v>
      </c>
      <c r="O552">
        <v>0.75371619766128495</v>
      </c>
      <c r="P552" t="s">
        <v>36</v>
      </c>
    </row>
    <row r="553" spans="1:16">
      <c r="A553">
        <v>552</v>
      </c>
      <c r="B553" t="s">
        <v>608</v>
      </c>
      <c r="C553">
        <v>79</v>
      </c>
      <c r="D553">
        <v>70</v>
      </c>
      <c r="E553">
        <v>63.627609576162399</v>
      </c>
      <c r="F553">
        <v>1.1271768298127101</v>
      </c>
      <c r="G553">
        <v>3179.6630234404502</v>
      </c>
      <c r="H553">
        <v>332.19351905542902</v>
      </c>
      <c r="I553">
        <v>0.60472390585807201</v>
      </c>
      <c r="J553">
        <v>0.36208342931426102</v>
      </c>
      <c r="K553">
        <v>0.78356896930627795</v>
      </c>
      <c r="L553" t="s">
        <v>331</v>
      </c>
      <c r="M553" t="s">
        <v>34</v>
      </c>
      <c r="N553" t="s">
        <v>35</v>
      </c>
      <c r="O553">
        <v>0.65356056348116098</v>
      </c>
      <c r="P553" t="s">
        <v>36</v>
      </c>
    </row>
    <row r="554" spans="1:16">
      <c r="A554">
        <v>553</v>
      </c>
      <c r="B554" t="s">
        <v>609</v>
      </c>
      <c r="C554">
        <v>115</v>
      </c>
      <c r="D554">
        <v>55</v>
      </c>
      <c r="E554">
        <v>67.732013366439602</v>
      </c>
      <c r="F554">
        <v>2.0913596480789201</v>
      </c>
      <c r="G554">
        <v>3603.1127478260901</v>
      </c>
      <c r="H554">
        <v>361.28377749961402</v>
      </c>
      <c r="I554">
        <v>0.67668903983974005</v>
      </c>
      <c r="J554">
        <v>0.34688921207317502</v>
      </c>
      <c r="K554">
        <v>0.74264007597340898</v>
      </c>
      <c r="L554" t="s">
        <v>132</v>
      </c>
      <c r="M554" t="s">
        <v>34</v>
      </c>
      <c r="N554" t="s">
        <v>35</v>
      </c>
      <c r="O554">
        <v>0.721017665483218</v>
      </c>
      <c r="P554" t="s">
        <v>36</v>
      </c>
    </row>
    <row r="555" spans="1:16">
      <c r="A555">
        <v>554</v>
      </c>
      <c r="B555" t="s">
        <v>610</v>
      </c>
      <c r="C555">
        <v>102</v>
      </c>
      <c r="D555">
        <v>64</v>
      </c>
      <c r="E555">
        <v>70.035604704229499</v>
      </c>
      <c r="F555">
        <v>1.60465693788047</v>
      </c>
      <c r="G555">
        <v>3852.3669379962198</v>
      </c>
      <c r="H555">
        <v>438.13397757519903</v>
      </c>
      <c r="I555">
        <v>0.528628504787373</v>
      </c>
      <c r="J555">
        <v>0.25218754993246101</v>
      </c>
      <c r="K555">
        <v>0.78879454639520397</v>
      </c>
      <c r="L555" t="s">
        <v>33</v>
      </c>
      <c r="M555" t="s">
        <v>34</v>
      </c>
      <c r="N555" t="s">
        <v>35</v>
      </c>
      <c r="O555">
        <v>0.87663796942652095</v>
      </c>
      <c r="P555" t="s">
        <v>36</v>
      </c>
    </row>
    <row r="556" spans="1:16">
      <c r="A556">
        <v>555</v>
      </c>
      <c r="B556" t="s">
        <v>611</v>
      </c>
      <c r="C556">
        <v>99</v>
      </c>
      <c r="D556">
        <v>44</v>
      </c>
      <c r="E556">
        <v>51.428186237368301</v>
      </c>
      <c r="F556">
        <v>2.2465947712983501</v>
      </c>
      <c r="G556">
        <v>2077.2668824196599</v>
      </c>
      <c r="H556">
        <v>316.72315476832199</v>
      </c>
      <c r="I556">
        <v>0.46142330499311701</v>
      </c>
      <c r="J556">
        <v>0.26022111418308103</v>
      </c>
      <c r="K556">
        <v>0.66249525976488399</v>
      </c>
      <c r="L556" t="s">
        <v>33</v>
      </c>
      <c r="M556" t="s">
        <v>34</v>
      </c>
      <c r="N556" t="s">
        <v>35</v>
      </c>
      <c r="O556">
        <v>0.93999261190102601</v>
      </c>
      <c r="P556" t="s">
        <v>36</v>
      </c>
    </row>
    <row r="557" spans="1:16">
      <c r="A557">
        <v>556</v>
      </c>
      <c r="B557" t="s">
        <v>612</v>
      </c>
      <c r="C557">
        <v>85</v>
      </c>
      <c r="D557">
        <v>97</v>
      </c>
      <c r="E557">
        <v>75.510844574841101</v>
      </c>
      <c r="F557">
        <v>0.87758593287243902</v>
      </c>
      <c r="G557">
        <v>4478.2520869565196</v>
      </c>
      <c r="H557">
        <v>466.77256316993498</v>
      </c>
      <c r="I557">
        <v>0.637445344850606</v>
      </c>
      <c r="J557">
        <v>0.25829009991837398</v>
      </c>
      <c r="K557">
        <v>0.69454369424402396</v>
      </c>
      <c r="L557" t="s">
        <v>70</v>
      </c>
      <c r="M557" t="s">
        <v>34</v>
      </c>
      <c r="N557" t="s">
        <v>35</v>
      </c>
      <c r="O557">
        <v>0.81777331550344901</v>
      </c>
      <c r="P557" t="s">
        <v>36</v>
      </c>
    </row>
    <row r="558" spans="1:16">
      <c r="A558">
        <v>557</v>
      </c>
      <c r="B558" t="s">
        <v>613</v>
      </c>
      <c r="C558">
        <v>88</v>
      </c>
      <c r="D558">
        <v>119</v>
      </c>
      <c r="E558">
        <v>80.794452343642604</v>
      </c>
      <c r="F558">
        <v>0.74241084159596504</v>
      </c>
      <c r="G558">
        <v>5126.87777920605</v>
      </c>
      <c r="H558">
        <v>564.44121627828304</v>
      </c>
      <c r="I558">
        <v>0.44539186241697998</v>
      </c>
      <c r="J558">
        <v>0.20222059798058101</v>
      </c>
      <c r="K558">
        <v>0.59305744201640198</v>
      </c>
      <c r="L558" t="s">
        <v>75</v>
      </c>
      <c r="M558" t="s">
        <v>34</v>
      </c>
      <c r="N558" t="s">
        <v>35</v>
      </c>
      <c r="O558">
        <v>0.72266059014449502</v>
      </c>
      <c r="P558" t="s">
        <v>36</v>
      </c>
    </row>
    <row r="559" spans="1:16">
      <c r="A559">
        <v>558</v>
      </c>
      <c r="B559" t="s">
        <v>614</v>
      </c>
      <c r="C559">
        <v>86</v>
      </c>
      <c r="D559">
        <v>55</v>
      </c>
      <c r="E559">
        <v>64.588464977989702</v>
      </c>
      <c r="F559">
        <v>1.5544554455445501</v>
      </c>
      <c r="G559">
        <v>3276.4218056710802</v>
      </c>
      <c r="H559">
        <v>328.77662758205298</v>
      </c>
      <c r="I559">
        <v>0.70606041334464498</v>
      </c>
      <c r="J559">
        <v>0.38089721644736602</v>
      </c>
      <c r="K559">
        <v>0.86514913657770798</v>
      </c>
      <c r="L559" t="s">
        <v>169</v>
      </c>
      <c r="M559" t="s">
        <v>34</v>
      </c>
      <c r="N559" t="s">
        <v>35</v>
      </c>
      <c r="O559">
        <v>0.73519306769423398</v>
      </c>
      <c r="P559" t="s">
        <v>36</v>
      </c>
    </row>
    <row r="560" spans="1:16">
      <c r="A560">
        <v>559</v>
      </c>
      <c r="B560" t="s">
        <v>615</v>
      </c>
      <c r="C560">
        <v>63</v>
      </c>
      <c r="D560">
        <v>78</v>
      </c>
      <c r="E560">
        <v>74.786850439278993</v>
      </c>
      <c r="F560">
        <v>0.81118887759951697</v>
      </c>
      <c r="G560">
        <v>4392.7892608695702</v>
      </c>
      <c r="H560">
        <v>397.20554211647601</v>
      </c>
      <c r="I560">
        <v>0.52232678905778995</v>
      </c>
      <c r="J560">
        <v>0.34988041586003998</v>
      </c>
      <c r="K560">
        <v>0.89400768323300805</v>
      </c>
      <c r="L560" t="s">
        <v>33</v>
      </c>
      <c r="M560" t="s">
        <v>34</v>
      </c>
      <c r="N560" t="s">
        <v>35</v>
      </c>
      <c r="O560">
        <v>0.95481941760278699</v>
      </c>
      <c r="P560" t="s">
        <v>36</v>
      </c>
    </row>
    <row r="561" spans="1:16">
      <c r="A561">
        <v>560</v>
      </c>
      <c r="B561" t="s">
        <v>616</v>
      </c>
      <c r="C561">
        <v>77</v>
      </c>
      <c r="D561">
        <v>135</v>
      </c>
      <c r="E561">
        <v>81.248747717243702</v>
      </c>
      <c r="F561">
        <v>0.57158253727279595</v>
      </c>
      <c r="G561">
        <v>5184.6952389414</v>
      </c>
      <c r="H561">
        <v>464.22691767578499</v>
      </c>
      <c r="I561">
        <v>0.64267519394907402</v>
      </c>
      <c r="J561">
        <v>0.30232388471792698</v>
      </c>
      <c r="K561">
        <v>0.67710314841414698</v>
      </c>
      <c r="L561" t="s">
        <v>33</v>
      </c>
      <c r="M561" t="s">
        <v>34</v>
      </c>
      <c r="N561" t="s">
        <v>35</v>
      </c>
      <c r="O561">
        <v>0.95307201632489602</v>
      </c>
      <c r="P561" t="s">
        <v>36</v>
      </c>
    </row>
    <row r="562" spans="1:16">
      <c r="A562">
        <v>561</v>
      </c>
      <c r="B562" t="s">
        <v>617</v>
      </c>
      <c r="C562">
        <v>77</v>
      </c>
      <c r="D562">
        <v>58</v>
      </c>
      <c r="E562">
        <v>54.760775241342301</v>
      </c>
      <c r="F562">
        <v>1.3271028037383199</v>
      </c>
      <c r="G562">
        <v>2355.2068559546301</v>
      </c>
      <c r="H562">
        <v>420.46944848019098</v>
      </c>
      <c r="I562">
        <v>0.74655295637365804</v>
      </c>
      <c r="J562">
        <v>0.16740561875888699</v>
      </c>
      <c r="K562">
        <v>0.65909658098327895</v>
      </c>
      <c r="L562" t="s">
        <v>33</v>
      </c>
      <c r="M562" t="s">
        <v>34</v>
      </c>
      <c r="N562" t="s">
        <v>35</v>
      </c>
      <c r="O562">
        <v>0.89778856881689195</v>
      </c>
      <c r="P562" t="s">
        <v>36</v>
      </c>
    </row>
    <row r="563" spans="1:16">
      <c r="A563">
        <v>562</v>
      </c>
      <c r="B563" t="s">
        <v>618</v>
      </c>
      <c r="C563">
        <v>88</v>
      </c>
      <c r="D563">
        <v>49</v>
      </c>
      <c r="E563">
        <v>55.0021500190499</v>
      </c>
      <c r="F563">
        <v>1.7888888888888901</v>
      </c>
      <c r="G563">
        <v>2376.0151962192799</v>
      </c>
      <c r="H563">
        <v>514.32433446656103</v>
      </c>
      <c r="I563">
        <v>0.81379805981138598</v>
      </c>
      <c r="J563">
        <v>0.112871665231945</v>
      </c>
      <c r="K563">
        <v>0.65350339301774196</v>
      </c>
      <c r="L563" t="s">
        <v>33</v>
      </c>
      <c r="M563" t="s">
        <v>34</v>
      </c>
      <c r="N563" t="s">
        <v>35</v>
      </c>
      <c r="O563">
        <v>0.944819103628325</v>
      </c>
      <c r="P563" t="s">
        <v>36</v>
      </c>
    </row>
    <row r="564" spans="1:16">
      <c r="A564">
        <v>563</v>
      </c>
      <c r="B564" t="s">
        <v>619</v>
      </c>
      <c r="C564">
        <v>68</v>
      </c>
      <c r="D564">
        <v>68</v>
      </c>
      <c r="E564">
        <v>58.640704087495997</v>
      </c>
      <c r="F564">
        <v>1</v>
      </c>
      <c r="G564">
        <v>2700.77393534972</v>
      </c>
      <c r="H564">
        <v>495.919235045081</v>
      </c>
      <c r="I564">
        <v>0.40754586000981902</v>
      </c>
      <c r="J564">
        <v>0.13799907990778201</v>
      </c>
      <c r="K564">
        <v>0.64231177094379599</v>
      </c>
      <c r="L564" t="s">
        <v>178</v>
      </c>
      <c r="M564" t="s">
        <v>34</v>
      </c>
      <c r="N564" t="s">
        <v>35</v>
      </c>
      <c r="O564">
        <v>0.66579324961311004</v>
      </c>
      <c r="P564" t="s">
        <v>36</v>
      </c>
    </row>
    <row r="565" spans="1:16">
      <c r="A565">
        <v>564</v>
      </c>
      <c r="B565" t="s">
        <v>620</v>
      </c>
      <c r="C565">
        <v>96</v>
      </c>
      <c r="D565">
        <v>50</v>
      </c>
      <c r="E565">
        <v>55.177343895610498</v>
      </c>
      <c r="F565">
        <v>1.9365724203801</v>
      </c>
      <c r="G565">
        <v>2391.1755584121001</v>
      </c>
      <c r="H565">
        <v>447.99490181114402</v>
      </c>
      <c r="I565">
        <v>0.63189109770836105</v>
      </c>
      <c r="J565">
        <v>0.14971840211137699</v>
      </c>
      <c r="K565">
        <v>0.62748157104411295</v>
      </c>
      <c r="L565" t="s">
        <v>33</v>
      </c>
      <c r="M565" t="s">
        <v>34</v>
      </c>
      <c r="N565" t="s">
        <v>35</v>
      </c>
      <c r="O565">
        <v>0.95557163272544499</v>
      </c>
      <c r="P565" t="s">
        <v>36</v>
      </c>
    </row>
    <row r="566" spans="1:16">
      <c r="A566">
        <v>565</v>
      </c>
      <c r="B566" t="s">
        <v>621</v>
      </c>
      <c r="C566">
        <v>130</v>
      </c>
      <c r="D566">
        <v>76</v>
      </c>
      <c r="E566">
        <v>77.727592260307802</v>
      </c>
      <c r="F566">
        <v>1.69962642274269</v>
      </c>
      <c r="G566">
        <v>4745.0447353497202</v>
      </c>
      <c r="H566">
        <v>477.731708196868</v>
      </c>
      <c r="I566">
        <v>0.48059741754753499</v>
      </c>
      <c r="J566">
        <v>0.26126548515928</v>
      </c>
      <c r="K566">
        <v>0.627456761006289</v>
      </c>
      <c r="L566" t="s">
        <v>83</v>
      </c>
      <c r="M566" t="s">
        <v>34</v>
      </c>
      <c r="N566" t="s">
        <v>35</v>
      </c>
      <c r="O566">
        <v>0.81407793496529202</v>
      </c>
      <c r="P566" t="s">
        <v>36</v>
      </c>
    </row>
    <row r="567" spans="1:16">
      <c r="A567">
        <v>566</v>
      </c>
      <c r="B567" t="s">
        <v>622</v>
      </c>
      <c r="C567">
        <v>129</v>
      </c>
      <c r="D567">
        <v>83</v>
      </c>
      <c r="E567">
        <v>75.789767173629997</v>
      </c>
      <c r="F567">
        <v>1.5526315789473699</v>
      </c>
      <c r="G567">
        <v>4511.3968003780701</v>
      </c>
      <c r="H567">
        <v>682.23087028119903</v>
      </c>
      <c r="I567">
        <v>0.76782611533992196</v>
      </c>
      <c r="J567">
        <v>0.121803048325758</v>
      </c>
      <c r="K567">
        <v>0.57742647338583897</v>
      </c>
      <c r="L567" t="s">
        <v>33</v>
      </c>
      <c r="M567" t="s">
        <v>34</v>
      </c>
      <c r="N567" t="s">
        <v>35</v>
      </c>
      <c r="O567">
        <v>0.89450077060116895</v>
      </c>
      <c r="P567" t="s">
        <v>36</v>
      </c>
    </row>
    <row r="568" spans="1:16">
      <c r="A568">
        <v>567</v>
      </c>
      <c r="B568" t="s">
        <v>623</v>
      </c>
      <c r="C568">
        <v>86</v>
      </c>
      <c r="D568">
        <v>97</v>
      </c>
      <c r="E568">
        <v>75.132719535382904</v>
      </c>
      <c r="F568">
        <v>0.88202247191011196</v>
      </c>
      <c r="G568">
        <v>4433.5141553875201</v>
      </c>
      <c r="H568">
        <v>420.892914614159</v>
      </c>
      <c r="I568">
        <v>0.63695188793219804</v>
      </c>
      <c r="J568">
        <v>0.31449571590013697</v>
      </c>
      <c r="K568">
        <v>0.68534601599117695</v>
      </c>
      <c r="L568" t="s">
        <v>75</v>
      </c>
      <c r="M568" t="s">
        <v>34</v>
      </c>
      <c r="N568" t="s">
        <v>35</v>
      </c>
      <c r="O568">
        <v>0.70530356395382898</v>
      </c>
      <c r="P568" t="s">
        <v>36</v>
      </c>
    </row>
    <row r="569" spans="1:16">
      <c r="A569">
        <v>568</v>
      </c>
      <c r="B569" t="s">
        <v>624</v>
      </c>
      <c r="C569">
        <v>68</v>
      </c>
      <c r="D569">
        <v>72</v>
      </c>
      <c r="E569">
        <v>61.979359479533102</v>
      </c>
      <c r="F569">
        <v>0.93970924256016697</v>
      </c>
      <c r="G569">
        <v>3017.0607073724</v>
      </c>
      <c r="H569">
        <v>260.44401220663701</v>
      </c>
      <c r="I569">
        <v>0.60666479881338498</v>
      </c>
      <c r="J569">
        <v>0.55893995881774705</v>
      </c>
      <c r="K569">
        <v>0.83462851034085805</v>
      </c>
      <c r="L569" t="s">
        <v>52</v>
      </c>
      <c r="M569" t="s">
        <v>34</v>
      </c>
      <c r="N569" t="s">
        <v>35</v>
      </c>
      <c r="O569">
        <v>0.716322760128144</v>
      </c>
      <c r="P569" t="s">
        <v>36</v>
      </c>
    </row>
    <row r="570" spans="1:16">
      <c r="A570">
        <v>569</v>
      </c>
      <c r="B570" t="s">
        <v>625</v>
      </c>
      <c r="C570">
        <v>79</v>
      </c>
      <c r="D570">
        <v>136</v>
      </c>
      <c r="E570">
        <v>77.782353575202194</v>
      </c>
      <c r="F570">
        <v>0.58279128096774002</v>
      </c>
      <c r="G570">
        <v>4751.7331304347799</v>
      </c>
      <c r="H570">
        <v>524.456012246505</v>
      </c>
      <c r="I570">
        <v>0.64766132928583398</v>
      </c>
      <c r="J570">
        <v>0.21709197452856699</v>
      </c>
      <c r="K570">
        <v>0.60401670161915</v>
      </c>
      <c r="L570" t="s">
        <v>83</v>
      </c>
      <c r="M570" t="s">
        <v>34</v>
      </c>
      <c r="N570" t="s">
        <v>35</v>
      </c>
      <c r="O570">
        <v>0.79916230776034103</v>
      </c>
      <c r="P570" t="s">
        <v>36</v>
      </c>
    </row>
    <row r="571" spans="1:16">
      <c r="A571">
        <v>570</v>
      </c>
      <c r="B571" t="s">
        <v>626</v>
      </c>
      <c r="C571">
        <v>59</v>
      </c>
      <c r="D571">
        <v>68</v>
      </c>
      <c r="E571">
        <v>57.317154578467601</v>
      </c>
      <c r="F571">
        <v>0.86399999999999999</v>
      </c>
      <c r="G571">
        <v>2580.2341928166402</v>
      </c>
      <c r="H571">
        <v>364.32810703567799</v>
      </c>
      <c r="I571">
        <v>0.62158638822537204</v>
      </c>
      <c r="J571">
        <v>0.24427759498721699</v>
      </c>
      <c r="K571">
        <v>0.76617530232147601</v>
      </c>
      <c r="L571" t="s">
        <v>33</v>
      </c>
      <c r="M571" t="s">
        <v>34</v>
      </c>
      <c r="N571" t="s">
        <v>35</v>
      </c>
      <c r="O571">
        <v>0.94106019292225995</v>
      </c>
      <c r="P571" t="s">
        <v>36</v>
      </c>
    </row>
    <row r="572" spans="1:16">
      <c r="A572">
        <v>571</v>
      </c>
      <c r="B572" t="s">
        <v>627</v>
      </c>
      <c r="C572">
        <v>67</v>
      </c>
      <c r="D572">
        <v>88</v>
      </c>
      <c r="E572">
        <v>60.564796155224698</v>
      </c>
      <c r="F572">
        <v>0.76775538049868497</v>
      </c>
      <c r="G572">
        <v>2880.9147096408301</v>
      </c>
      <c r="H572">
        <v>411.46647498079</v>
      </c>
      <c r="I572">
        <v>0.48037242811132302</v>
      </c>
      <c r="J572">
        <v>0.21383133779438901</v>
      </c>
      <c r="K572">
        <v>0.68932038834951503</v>
      </c>
      <c r="L572" t="s">
        <v>83</v>
      </c>
      <c r="M572" t="s">
        <v>34</v>
      </c>
      <c r="N572" t="s">
        <v>35</v>
      </c>
      <c r="O572">
        <v>0.83963545429316</v>
      </c>
      <c r="P572" t="s">
        <v>36</v>
      </c>
    </row>
    <row r="573" spans="1:16">
      <c r="A573">
        <v>572</v>
      </c>
      <c r="B573" t="s">
        <v>628</v>
      </c>
      <c r="C573">
        <v>54</v>
      </c>
      <c r="D573">
        <v>61</v>
      </c>
      <c r="E573">
        <v>51.951725671540899</v>
      </c>
      <c r="F573">
        <v>0.87845907124408995</v>
      </c>
      <c r="G573">
        <v>2119.7753489603001</v>
      </c>
      <c r="H573">
        <v>260.80878813557001</v>
      </c>
      <c r="I573">
        <v>0.65875210371332504</v>
      </c>
      <c r="J573">
        <v>0.39161133981443302</v>
      </c>
      <c r="K573">
        <v>0.77616326530612201</v>
      </c>
      <c r="L573" t="s">
        <v>83</v>
      </c>
      <c r="M573" t="s">
        <v>34</v>
      </c>
      <c r="N573" t="s">
        <v>35</v>
      </c>
      <c r="O573">
        <v>0.83328509202961498</v>
      </c>
      <c r="P573" t="s">
        <v>36</v>
      </c>
    </row>
    <row r="574" spans="1:16">
      <c r="A574">
        <v>573</v>
      </c>
      <c r="B574" t="s">
        <v>629</v>
      </c>
      <c r="C574">
        <v>67</v>
      </c>
      <c r="D574">
        <v>114</v>
      </c>
      <c r="E574">
        <v>69.657642551164201</v>
      </c>
      <c r="F574">
        <v>0.591384639667487</v>
      </c>
      <c r="G574">
        <v>3810.8988884688101</v>
      </c>
      <c r="H574">
        <v>407.87578966638301</v>
      </c>
      <c r="I574">
        <v>0.67108708035541798</v>
      </c>
      <c r="J574">
        <v>0.28786007548255699</v>
      </c>
      <c r="K574">
        <v>0.67509215376513998</v>
      </c>
      <c r="L574" t="s">
        <v>33</v>
      </c>
      <c r="M574" t="s">
        <v>34</v>
      </c>
      <c r="N574" t="s">
        <v>35</v>
      </c>
      <c r="O574">
        <v>0.94626553660457602</v>
      </c>
      <c r="P574" t="s">
        <v>36</v>
      </c>
    </row>
    <row r="575" spans="1:16">
      <c r="A575">
        <v>574</v>
      </c>
      <c r="B575" t="s">
        <v>630</v>
      </c>
      <c r="C575">
        <v>92</v>
      </c>
      <c r="D575">
        <v>114</v>
      </c>
      <c r="E575">
        <v>78.028910220131806</v>
      </c>
      <c r="F575">
        <v>0.80417969429879399</v>
      </c>
      <c r="G575">
        <v>4781.9052238185304</v>
      </c>
      <c r="H575">
        <v>489.04233391005101</v>
      </c>
      <c r="I575">
        <v>0.58592365593145201</v>
      </c>
      <c r="J575">
        <v>0.25125685388138502</v>
      </c>
      <c r="K575">
        <v>0.60409703706485396</v>
      </c>
      <c r="L575" t="s">
        <v>33</v>
      </c>
      <c r="M575" t="s">
        <v>34</v>
      </c>
      <c r="N575" t="s">
        <v>35</v>
      </c>
      <c r="O575">
        <v>0.94297162580285998</v>
      </c>
      <c r="P575" t="s">
        <v>36</v>
      </c>
    </row>
    <row r="576" spans="1:16">
      <c r="A576">
        <v>575</v>
      </c>
      <c r="B576" t="s">
        <v>631</v>
      </c>
      <c r="C576">
        <v>105</v>
      </c>
      <c r="D576">
        <v>137</v>
      </c>
      <c r="E576">
        <v>100.209698184304</v>
      </c>
      <c r="F576">
        <v>0.76892427469373903</v>
      </c>
      <c r="G576">
        <v>7886.9554843100204</v>
      </c>
      <c r="H576">
        <v>651.25642575720099</v>
      </c>
      <c r="I576">
        <v>0.68271670820441199</v>
      </c>
      <c r="J576">
        <v>0.23367659236742899</v>
      </c>
      <c r="K576">
        <v>0.61506363446693102</v>
      </c>
      <c r="L576" t="s">
        <v>241</v>
      </c>
      <c r="M576" t="s">
        <v>34</v>
      </c>
      <c r="N576" t="s">
        <v>35</v>
      </c>
      <c r="O576">
        <v>0.83898065687240497</v>
      </c>
      <c r="P576" t="s">
        <v>36</v>
      </c>
    </row>
    <row r="577" spans="1:16">
      <c r="A577">
        <v>576</v>
      </c>
      <c r="B577" t="s">
        <v>632</v>
      </c>
      <c r="C577">
        <v>36</v>
      </c>
      <c r="D577">
        <v>89</v>
      </c>
      <c r="E577">
        <v>54.009162051885902</v>
      </c>
      <c r="F577">
        <v>0.402070704587835</v>
      </c>
      <c r="G577">
        <v>2290.9982631379999</v>
      </c>
      <c r="H577">
        <v>222.365691735848</v>
      </c>
      <c r="I577">
        <v>0.79617925256119104</v>
      </c>
      <c r="J577">
        <v>0.58223600760509997</v>
      </c>
      <c r="K577">
        <v>0.91914132379248703</v>
      </c>
      <c r="L577" t="s">
        <v>75</v>
      </c>
      <c r="M577" t="s">
        <v>34</v>
      </c>
      <c r="N577" t="s">
        <v>35</v>
      </c>
      <c r="O577">
        <v>0.72893693709306595</v>
      </c>
      <c r="P577" t="s">
        <v>36</v>
      </c>
    </row>
    <row r="578" spans="1:16">
      <c r="A578">
        <v>577</v>
      </c>
      <c r="B578" t="s">
        <v>633</v>
      </c>
      <c r="C578">
        <v>84</v>
      </c>
      <c r="D578">
        <v>110</v>
      </c>
      <c r="E578">
        <v>71.072291817300794</v>
      </c>
      <c r="F578">
        <v>0.76273952334178896</v>
      </c>
      <c r="G578">
        <v>3967.25870245747</v>
      </c>
      <c r="H578">
        <v>429.994464046644</v>
      </c>
      <c r="I578">
        <v>0.70142921605145503</v>
      </c>
      <c r="J578">
        <v>0.26963400149128403</v>
      </c>
      <c r="K578">
        <v>0.61634377814210195</v>
      </c>
      <c r="L578" t="s">
        <v>83</v>
      </c>
      <c r="M578" t="s">
        <v>34</v>
      </c>
      <c r="N578" t="s">
        <v>35</v>
      </c>
      <c r="O578">
        <v>0.76584249479727995</v>
      </c>
      <c r="P578" t="s">
        <v>36</v>
      </c>
    </row>
    <row r="579" spans="1:16">
      <c r="A579">
        <v>578</v>
      </c>
      <c r="B579" t="s">
        <v>634</v>
      </c>
      <c r="C579">
        <v>73</v>
      </c>
      <c r="D579">
        <v>59</v>
      </c>
      <c r="E579">
        <v>64.708482623886297</v>
      </c>
      <c r="F579">
        <v>1.2337663020087399</v>
      </c>
      <c r="G579">
        <v>3288.60954782609</v>
      </c>
      <c r="H579">
        <v>243.17474253011801</v>
      </c>
      <c r="I579">
        <v>0.66078328521825902</v>
      </c>
      <c r="J579">
        <v>0.69885205718363996</v>
      </c>
      <c r="K579">
        <v>0.92907831198824298</v>
      </c>
      <c r="L579" t="s">
        <v>83</v>
      </c>
      <c r="M579" t="s">
        <v>34</v>
      </c>
      <c r="N579" t="s">
        <v>35</v>
      </c>
      <c r="O579">
        <v>0.83622362421016805</v>
      </c>
      <c r="P579" t="s">
        <v>36</v>
      </c>
    </row>
    <row r="580" spans="1:16">
      <c r="A580">
        <v>579</v>
      </c>
      <c r="B580" t="s">
        <v>635</v>
      </c>
      <c r="C580">
        <v>160</v>
      </c>
      <c r="D580">
        <v>181</v>
      </c>
      <c r="E580">
        <v>112.927846292797</v>
      </c>
      <c r="F580">
        <v>0.88253009888616296</v>
      </c>
      <c r="G580">
        <v>10015.9459553875</v>
      </c>
      <c r="H580">
        <v>1059.14551066627</v>
      </c>
      <c r="I580">
        <v>0.61808317000903101</v>
      </c>
      <c r="J580">
        <v>0.112199410991496</v>
      </c>
      <c r="K580">
        <v>0.44728527810965102</v>
      </c>
      <c r="L580" t="s">
        <v>52</v>
      </c>
      <c r="M580" t="s">
        <v>34</v>
      </c>
      <c r="N580" t="s">
        <v>35</v>
      </c>
      <c r="O580">
        <v>0.71214167174093501</v>
      </c>
      <c r="P580" t="s">
        <v>36</v>
      </c>
    </row>
    <row r="581" spans="1:16">
      <c r="A581">
        <v>580</v>
      </c>
      <c r="B581" t="s">
        <v>636</v>
      </c>
      <c r="C581">
        <v>120</v>
      </c>
      <c r="D581">
        <v>121</v>
      </c>
      <c r="E581">
        <v>103.01080603841601</v>
      </c>
      <c r="F581">
        <v>0.99099099099099097</v>
      </c>
      <c r="G581">
        <v>8334.0375379962206</v>
      </c>
      <c r="H581">
        <v>587.70122963780898</v>
      </c>
      <c r="I581">
        <v>0.53230009430066805</v>
      </c>
      <c r="J581">
        <v>0.30321600227081202</v>
      </c>
      <c r="K581">
        <v>0.77317227875679095</v>
      </c>
      <c r="L581" t="s">
        <v>83</v>
      </c>
      <c r="M581" t="s">
        <v>34</v>
      </c>
      <c r="N581" t="s">
        <v>35</v>
      </c>
      <c r="O581">
        <v>0.76591360253516805</v>
      </c>
      <c r="P581" t="s">
        <v>36</v>
      </c>
    </row>
    <row r="582" spans="1:16">
      <c r="A582">
        <v>581</v>
      </c>
      <c r="B582" t="s">
        <v>637</v>
      </c>
      <c r="C582">
        <v>62</v>
      </c>
      <c r="D582">
        <v>140</v>
      </c>
      <c r="E582">
        <v>79.201220853741404</v>
      </c>
      <c r="F582">
        <v>0.44352273400005499</v>
      </c>
      <c r="G582">
        <v>4926.6718196597403</v>
      </c>
      <c r="H582">
        <v>484.42930625656402</v>
      </c>
      <c r="I582">
        <v>0.70771451005472696</v>
      </c>
      <c r="J582">
        <v>0.26381694112296</v>
      </c>
      <c r="K582">
        <v>0.70084150879566998</v>
      </c>
      <c r="L582" t="s">
        <v>144</v>
      </c>
      <c r="M582" t="s">
        <v>34</v>
      </c>
      <c r="N582" t="s">
        <v>35</v>
      </c>
      <c r="O582">
        <v>0.72339521086085101</v>
      </c>
      <c r="P582" t="s">
        <v>36</v>
      </c>
    </row>
    <row r="583" spans="1:16">
      <c r="A583">
        <v>582</v>
      </c>
      <c r="B583" t="s">
        <v>638</v>
      </c>
      <c r="C583">
        <v>55</v>
      </c>
      <c r="D583">
        <v>119</v>
      </c>
      <c r="E583">
        <v>67.793453378003207</v>
      </c>
      <c r="F583">
        <v>0.46466580688356901</v>
      </c>
      <c r="G583">
        <v>3609.6525119092598</v>
      </c>
      <c r="H583">
        <v>432.36242269557499</v>
      </c>
      <c r="I583">
        <v>0.62291690482370699</v>
      </c>
      <c r="J583">
        <v>0.242649486503761</v>
      </c>
      <c r="K583">
        <v>0.65164077383348096</v>
      </c>
      <c r="L583" t="s">
        <v>570</v>
      </c>
      <c r="M583" t="s">
        <v>34</v>
      </c>
      <c r="N583" t="s">
        <v>35</v>
      </c>
      <c r="O583">
        <v>0.78068635688002497</v>
      </c>
      <c r="P583" t="s">
        <v>36</v>
      </c>
    </row>
    <row r="584" spans="1:16">
      <c r="A584">
        <v>583</v>
      </c>
      <c r="B584" t="s">
        <v>639</v>
      </c>
      <c r="C584">
        <v>106</v>
      </c>
      <c r="D584">
        <v>105</v>
      </c>
      <c r="E584">
        <v>78.724295632220901</v>
      </c>
      <c r="F584">
        <v>1.00518134715026</v>
      </c>
      <c r="G584">
        <v>4867.5166809073698</v>
      </c>
      <c r="H584">
        <v>543.79655708655105</v>
      </c>
      <c r="I584">
        <v>0.570789471062633</v>
      </c>
      <c r="J584">
        <v>0.206844703745965</v>
      </c>
      <c r="K584">
        <v>0.636892259821081</v>
      </c>
      <c r="L584" t="s">
        <v>45</v>
      </c>
      <c r="M584" t="s">
        <v>34</v>
      </c>
      <c r="N584" t="s">
        <v>35</v>
      </c>
      <c r="O584">
        <v>0.81137542368668203</v>
      </c>
      <c r="P584" t="s">
        <v>36</v>
      </c>
    </row>
    <row r="585" spans="1:16">
      <c r="A585">
        <v>584</v>
      </c>
      <c r="B585" t="s">
        <v>640</v>
      </c>
      <c r="C585">
        <v>161</v>
      </c>
      <c r="D585">
        <v>74</v>
      </c>
      <c r="E585">
        <v>72.318157696873499</v>
      </c>
      <c r="F585">
        <v>2.19259259259259</v>
      </c>
      <c r="G585">
        <v>4107.5663682419699</v>
      </c>
      <c r="H585">
        <v>1003.10046838076</v>
      </c>
      <c r="I585">
        <v>0.86978340249738395</v>
      </c>
      <c r="J585">
        <v>5.12986087489887E-2</v>
      </c>
      <c r="K585">
        <v>0.42214924005193599</v>
      </c>
      <c r="L585" t="s">
        <v>70</v>
      </c>
      <c r="M585" t="s">
        <v>34</v>
      </c>
      <c r="N585" t="s">
        <v>35</v>
      </c>
      <c r="O585">
        <v>0.69547207004187395</v>
      </c>
      <c r="P585" t="s">
        <v>36</v>
      </c>
    </row>
    <row r="586" spans="1:16">
      <c r="A586">
        <v>585</v>
      </c>
      <c r="B586" t="s">
        <v>641</v>
      </c>
      <c r="C586">
        <v>92</v>
      </c>
      <c r="D586">
        <v>108</v>
      </c>
      <c r="E586">
        <v>84.999495643031693</v>
      </c>
      <c r="F586">
        <v>0.84848484848484895</v>
      </c>
      <c r="G586">
        <v>5674.4343901701304</v>
      </c>
      <c r="H586">
        <v>530.87573129778298</v>
      </c>
      <c r="I586">
        <v>0.68357914039323597</v>
      </c>
      <c r="J586">
        <v>0.25301525012195097</v>
      </c>
      <c r="K586">
        <v>0.66545815830297494</v>
      </c>
      <c r="L586" t="s">
        <v>96</v>
      </c>
      <c r="M586" t="s">
        <v>34</v>
      </c>
      <c r="N586" t="s">
        <v>35</v>
      </c>
      <c r="O586">
        <v>0.72570482076175602</v>
      </c>
      <c r="P586" t="s">
        <v>36</v>
      </c>
    </row>
    <row r="587" spans="1:16">
      <c r="A587">
        <v>586</v>
      </c>
      <c r="B587" t="s">
        <v>642</v>
      </c>
      <c r="C587">
        <v>78</v>
      </c>
      <c r="D587">
        <v>167</v>
      </c>
      <c r="E587">
        <v>86.826655927428604</v>
      </c>
      <c r="F587">
        <v>0.46820812504835702</v>
      </c>
      <c r="G587">
        <v>5921.0132223062401</v>
      </c>
      <c r="H587">
        <v>565.30856925332</v>
      </c>
      <c r="I587">
        <v>0.66709722449909103</v>
      </c>
      <c r="J587">
        <v>0.23282775864765901</v>
      </c>
      <c r="K587">
        <v>0.63795339899111203</v>
      </c>
      <c r="L587" t="s">
        <v>643</v>
      </c>
      <c r="M587" t="s">
        <v>34</v>
      </c>
      <c r="N587" t="s">
        <v>35</v>
      </c>
      <c r="O587">
        <v>0.85739128417494903</v>
      </c>
      <c r="P587" t="s">
        <v>36</v>
      </c>
    </row>
    <row r="588" spans="1:16">
      <c r="A588">
        <v>587</v>
      </c>
      <c r="B588" t="s">
        <v>644</v>
      </c>
      <c r="C588">
        <v>57</v>
      </c>
      <c r="D588">
        <v>60</v>
      </c>
      <c r="E588">
        <v>55.283562993566697</v>
      </c>
      <c r="F588">
        <v>0.94024795943384498</v>
      </c>
      <c r="G588">
        <v>2400.3906805293</v>
      </c>
      <c r="H588">
        <v>217.28769599023099</v>
      </c>
      <c r="I588">
        <v>0.62993083329383803</v>
      </c>
      <c r="J588">
        <v>0.63888328539300998</v>
      </c>
      <c r="K588">
        <v>0.86996336996336998</v>
      </c>
      <c r="L588" t="s">
        <v>83</v>
      </c>
      <c r="M588" t="s">
        <v>34</v>
      </c>
      <c r="N588" t="s">
        <v>35</v>
      </c>
      <c r="O588">
        <v>0.73973678412988297</v>
      </c>
      <c r="P588" t="s">
        <v>36</v>
      </c>
    </row>
    <row r="589" spans="1:16">
      <c r="A589">
        <v>588</v>
      </c>
      <c r="B589" t="s">
        <v>645</v>
      </c>
      <c r="C589">
        <v>73</v>
      </c>
      <c r="D589">
        <v>83</v>
      </c>
      <c r="E589">
        <v>56.7314152489718</v>
      </c>
      <c r="F589">
        <v>0.87581699346405195</v>
      </c>
      <c r="G589">
        <v>2527.7674491493399</v>
      </c>
      <c r="H589">
        <v>593.49709822872398</v>
      </c>
      <c r="I589">
        <v>0.52680858521954199</v>
      </c>
      <c r="J589">
        <v>9.0179906607060101E-2</v>
      </c>
      <c r="K589">
        <v>0.49585981689894498</v>
      </c>
      <c r="L589" t="s">
        <v>33</v>
      </c>
      <c r="M589" t="s">
        <v>34</v>
      </c>
      <c r="N589" t="s">
        <v>35</v>
      </c>
      <c r="O589">
        <v>0.931969155013461</v>
      </c>
      <c r="P589" t="s">
        <v>36</v>
      </c>
    </row>
    <row r="590" spans="1:16">
      <c r="A590">
        <v>589</v>
      </c>
      <c r="B590" t="s">
        <v>646</v>
      </c>
      <c r="C590">
        <v>73</v>
      </c>
      <c r="D590">
        <v>53</v>
      </c>
      <c r="E590">
        <v>58.803449776900699</v>
      </c>
      <c r="F590">
        <v>1.3673469387755099</v>
      </c>
      <c r="G590">
        <v>2715.7856665406398</v>
      </c>
      <c r="H590">
        <v>569.29774644644397</v>
      </c>
      <c r="I590">
        <v>0.61183928857950498</v>
      </c>
      <c r="J590">
        <v>0.10529952849799699</v>
      </c>
      <c r="K590">
        <v>0.69828409829174198</v>
      </c>
      <c r="L590" t="s">
        <v>33</v>
      </c>
      <c r="M590" t="s">
        <v>34</v>
      </c>
      <c r="N590" t="s">
        <v>35</v>
      </c>
      <c r="O590">
        <v>0.94212959959776899</v>
      </c>
      <c r="P590" t="s">
        <v>36</v>
      </c>
    </row>
    <row r="591" spans="1:16">
      <c r="A591">
        <v>590</v>
      </c>
      <c r="B591" t="s">
        <v>647</v>
      </c>
      <c r="C591">
        <v>63</v>
      </c>
      <c r="D591">
        <v>112</v>
      </c>
      <c r="E591">
        <v>62.420520933067401</v>
      </c>
      <c r="F591">
        <v>0.56310679611650505</v>
      </c>
      <c r="G591">
        <v>3060.16369792061</v>
      </c>
      <c r="H591">
        <v>572.88843176085004</v>
      </c>
      <c r="I591">
        <v>0.67495782784158498</v>
      </c>
      <c r="J591">
        <v>0.11716945706642599</v>
      </c>
      <c r="K591">
        <v>0.62844148708869996</v>
      </c>
      <c r="L591" t="s">
        <v>33</v>
      </c>
      <c r="M591" t="s">
        <v>34</v>
      </c>
      <c r="N591" t="s">
        <v>35</v>
      </c>
      <c r="O591">
        <v>0.81740942712231301</v>
      </c>
      <c r="P591" t="s">
        <v>36</v>
      </c>
    </row>
    <row r="592" spans="1:16">
      <c r="A592">
        <v>591</v>
      </c>
      <c r="B592" t="s">
        <v>648</v>
      </c>
      <c r="C592">
        <v>68</v>
      </c>
      <c r="D592">
        <v>48</v>
      </c>
      <c r="E592">
        <v>55.694522789374297</v>
      </c>
      <c r="F592">
        <v>1.4204545454545501</v>
      </c>
      <c r="G592">
        <v>2436.2107519848801</v>
      </c>
      <c r="H592">
        <v>309.67407602237603</v>
      </c>
      <c r="I592">
        <v>0.59670207828802302</v>
      </c>
      <c r="J592">
        <v>0.319238321489901</v>
      </c>
      <c r="K592">
        <v>0.79267820872424799</v>
      </c>
      <c r="L592" t="s">
        <v>83</v>
      </c>
      <c r="M592" t="s">
        <v>34</v>
      </c>
      <c r="N592" t="s">
        <v>35</v>
      </c>
      <c r="O592">
        <v>0.82438575550739401</v>
      </c>
      <c r="P592" t="s">
        <v>36</v>
      </c>
    </row>
    <row r="593" spans="1:16">
      <c r="A593">
        <v>592</v>
      </c>
      <c r="B593" t="s">
        <v>649</v>
      </c>
      <c r="C593">
        <v>81</v>
      </c>
      <c r="D593">
        <v>100</v>
      </c>
      <c r="E593">
        <v>60.0832503488746</v>
      </c>
      <c r="F593">
        <v>0.808743169398907</v>
      </c>
      <c r="G593">
        <v>2835.2849920604899</v>
      </c>
      <c r="H593">
        <v>486.76127218163498</v>
      </c>
      <c r="I593">
        <v>0.50849857701518497</v>
      </c>
      <c r="J593">
        <v>0.15037462180650801</v>
      </c>
      <c r="K593">
        <v>0.50604838709677402</v>
      </c>
      <c r="L593" t="s">
        <v>83</v>
      </c>
      <c r="M593" t="s">
        <v>34</v>
      </c>
      <c r="N593" t="s">
        <v>35</v>
      </c>
      <c r="O593">
        <v>0.73973359824135498</v>
      </c>
      <c r="P593" t="s">
        <v>36</v>
      </c>
    </row>
    <row r="594" spans="1:16">
      <c r="A594">
        <v>593</v>
      </c>
      <c r="B594" t="s">
        <v>650</v>
      </c>
      <c r="C594">
        <v>104</v>
      </c>
      <c r="D594">
        <v>52</v>
      </c>
      <c r="E594">
        <v>65.232776703055805</v>
      </c>
      <c r="F594">
        <v>1.9895833333333299</v>
      </c>
      <c r="G594">
        <v>3342.1167085066199</v>
      </c>
      <c r="H594">
        <v>321.29857346783501</v>
      </c>
      <c r="I594">
        <v>0.69128467657385595</v>
      </c>
      <c r="J594">
        <v>0.406830852721699</v>
      </c>
      <c r="K594">
        <v>0.77987028751777498</v>
      </c>
      <c r="L594" t="s">
        <v>33</v>
      </c>
      <c r="M594" t="s">
        <v>34</v>
      </c>
      <c r="N594" t="s">
        <v>35</v>
      </c>
      <c r="O594">
        <v>0.93441755651602998</v>
      </c>
      <c r="P594" t="s">
        <v>36</v>
      </c>
    </row>
    <row r="595" spans="1:16">
      <c r="A595">
        <v>594</v>
      </c>
      <c r="B595" t="s">
        <v>651</v>
      </c>
      <c r="C595">
        <v>89</v>
      </c>
      <c r="D595">
        <v>155</v>
      </c>
      <c r="E595">
        <v>91.821284611606899</v>
      </c>
      <c r="F595">
        <v>0.56963654281593801</v>
      </c>
      <c r="G595">
        <v>6621.8083962192804</v>
      </c>
      <c r="H595">
        <v>684.69902109332702</v>
      </c>
      <c r="I595">
        <v>0.59510972786303595</v>
      </c>
      <c r="J595">
        <v>0.17749538282687699</v>
      </c>
      <c r="K595">
        <v>0.67444782536294401</v>
      </c>
      <c r="L595" t="s">
        <v>75</v>
      </c>
      <c r="M595" t="s">
        <v>34</v>
      </c>
      <c r="N595" t="s">
        <v>35</v>
      </c>
      <c r="O595">
        <v>0.68802720125609096</v>
      </c>
      <c r="P595" t="s">
        <v>36</v>
      </c>
    </row>
    <row r="596" spans="1:16">
      <c r="A596">
        <v>595</v>
      </c>
      <c r="B596" t="s">
        <v>652</v>
      </c>
      <c r="C596">
        <v>95</v>
      </c>
      <c r="D596">
        <v>109</v>
      </c>
      <c r="E596">
        <v>93.190903577325003</v>
      </c>
      <c r="F596">
        <v>0.87775449310894305</v>
      </c>
      <c r="G596">
        <v>6820.8253077504696</v>
      </c>
      <c r="H596">
        <v>518.68445736688102</v>
      </c>
      <c r="I596">
        <v>0.51773638226782204</v>
      </c>
      <c r="J596">
        <v>0.31859600230315299</v>
      </c>
      <c r="K596">
        <v>0.70821630297231397</v>
      </c>
      <c r="L596" t="s">
        <v>45</v>
      </c>
      <c r="M596" t="s">
        <v>34</v>
      </c>
      <c r="N596" t="s">
        <v>35</v>
      </c>
      <c r="O596">
        <v>0.73093656097137905</v>
      </c>
      <c r="P596" t="s">
        <v>36</v>
      </c>
    </row>
    <row r="597" spans="1:16">
      <c r="A597">
        <v>596</v>
      </c>
      <c r="B597" t="s">
        <v>653</v>
      </c>
      <c r="C597">
        <v>66</v>
      </c>
      <c r="D597">
        <v>109</v>
      </c>
      <c r="E597">
        <v>69.894954523859099</v>
      </c>
      <c r="F597">
        <v>0.60351496336643995</v>
      </c>
      <c r="G597">
        <v>3836.9093137996201</v>
      </c>
      <c r="H597">
        <v>347.272516928237</v>
      </c>
      <c r="I597">
        <v>0.71425256292392203</v>
      </c>
      <c r="J597">
        <v>0.39980716167918701</v>
      </c>
      <c r="K597">
        <v>0.74259989068837595</v>
      </c>
      <c r="L597" t="s">
        <v>241</v>
      </c>
      <c r="M597" t="s">
        <v>34</v>
      </c>
      <c r="N597" t="s">
        <v>35</v>
      </c>
      <c r="O597">
        <v>0.92673660335587904</v>
      </c>
      <c r="P597" t="s">
        <v>36</v>
      </c>
    </row>
    <row r="598" spans="1:16">
      <c r="A598">
        <v>597</v>
      </c>
      <c r="B598" t="s">
        <v>654</v>
      </c>
      <c r="C598">
        <v>58</v>
      </c>
      <c r="D598">
        <v>78</v>
      </c>
      <c r="E598">
        <v>64.191699101474896</v>
      </c>
      <c r="F598">
        <v>0.74825180123107504</v>
      </c>
      <c r="G598">
        <v>3236.2914351606801</v>
      </c>
      <c r="H598">
        <v>559.21924963723097</v>
      </c>
      <c r="I598">
        <v>0.58027172011318695</v>
      </c>
      <c r="J598">
        <v>0.130044881433861</v>
      </c>
      <c r="K598">
        <v>0.71341043871432797</v>
      </c>
      <c r="L598" t="s">
        <v>33</v>
      </c>
      <c r="M598" t="s">
        <v>34</v>
      </c>
      <c r="N598" t="s">
        <v>35</v>
      </c>
      <c r="O598">
        <v>0.94784543184695202</v>
      </c>
      <c r="P598" t="s">
        <v>36</v>
      </c>
    </row>
    <row r="599" spans="1:16">
      <c r="A599">
        <v>598</v>
      </c>
      <c r="B599" t="s">
        <v>655</v>
      </c>
      <c r="C599">
        <v>78</v>
      </c>
      <c r="D599">
        <v>63</v>
      </c>
      <c r="E599">
        <v>61.438084838905098</v>
      </c>
      <c r="F599">
        <v>1.2327586206896599</v>
      </c>
      <c r="G599">
        <v>2964.5939637051001</v>
      </c>
      <c r="H599">
        <v>643.71189542956995</v>
      </c>
      <c r="I599">
        <v>0.70756536991726904</v>
      </c>
      <c r="J599">
        <v>8.9906691155950999E-2</v>
      </c>
      <c r="K599">
        <v>0.64477129465007299</v>
      </c>
      <c r="L599" t="s">
        <v>45</v>
      </c>
      <c r="M599" t="s">
        <v>34</v>
      </c>
      <c r="N599" t="s">
        <v>35</v>
      </c>
      <c r="O599">
        <v>0.73382712455158905</v>
      </c>
      <c r="P599" t="s">
        <v>36</v>
      </c>
    </row>
    <row r="600" spans="1:16">
      <c r="A600">
        <v>599</v>
      </c>
      <c r="B600" t="s">
        <v>656</v>
      </c>
      <c r="C600">
        <v>33</v>
      </c>
      <c r="D600">
        <v>163</v>
      </c>
      <c r="E600">
        <v>57.133617516248101</v>
      </c>
      <c r="F600">
        <v>0.20042920543435799</v>
      </c>
      <c r="G600">
        <v>2563.7361516068099</v>
      </c>
      <c r="H600">
        <v>489.82829919887598</v>
      </c>
      <c r="I600">
        <v>0.82528306674128504</v>
      </c>
      <c r="J600">
        <v>0.134275088368909</v>
      </c>
      <c r="K600">
        <v>0.61804435845067895</v>
      </c>
      <c r="L600" t="s">
        <v>45</v>
      </c>
      <c r="M600" t="s">
        <v>34</v>
      </c>
      <c r="N600" t="s">
        <v>35</v>
      </c>
      <c r="O600">
        <v>0.84064895004048801</v>
      </c>
      <c r="P600" t="s">
        <v>36</v>
      </c>
    </row>
    <row r="601" spans="1:16">
      <c r="A601">
        <v>600</v>
      </c>
      <c r="B601" t="s">
        <v>657</v>
      </c>
      <c r="C601">
        <v>61</v>
      </c>
      <c r="D601">
        <v>74</v>
      </c>
      <c r="E601">
        <v>65.084655516752505</v>
      </c>
      <c r="F601">
        <v>0.831716359607381</v>
      </c>
      <c r="G601">
        <v>3326.9563463138002</v>
      </c>
      <c r="H601">
        <v>241.21306176828301</v>
      </c>
      <c r="I601">
        <v>0.70095356934561304</v>
      </c>
      <c r="J601">
        <v>0.718547237193356</v>
      </c>
      <c r="K601">
        <v>0.91767792718924202</v>
      </c>
      <c r="L601" t="s">
        <v>33</v>
      </c>
      <c r="M601" t="s">
        <v>34</v>
      </c>
      <c r="N601" t="s">
        <v>35</v>
      </c>
      <c r="O601">
        <v>0.90016235425680902</v>
      </c>
      <c r="P601" t="s">
        <v>36</v>
      </c>
    </row>
    <row r="602" spans="1:16">
      <c r="A602">
        <v>601</v>
      </c>
      <c r="B602" t="s">
        <v>658</v>
      </c>
      <c r="C602">
        <v>83</v>
      </c>
      <c r="D602">
        <v>63</v>
      </c>
      <c r="E602">
        <v>68.033095581595603</v>
      </c>
      <c r="F602">
        <v>1.31034482758621</v>
      </c>
      <c r="G602">
        <v>3635.2170442344</v>
      </c>
      <c r="H602">
        <v>684.74213928160498</v>
      </c>
      <c r="I602">
        <v>0.57227846375103997</v>
      </c>
      <c r="J602">
        <v>9.7428518635088404E-2</v>
      </c>
      <c r="K602">
        <v>0.73321941421590697</v>
      </c>
      <c r="L602" t="s">
        <v>33</v>
      </c>
      <c r="M602" t="s">
        <v>34</v>
      </c>
      <c r="N602" t="s">
        <v>35</v>
      </c>
      <c r="O602">
        <v>0.93851290690839395</v>
      </c>
      <c r="P602" t="s">
        <v>36</v>
      </c>
    </row>
    <row r="603" spans="1:16">
      <c r="A603">
        <v>602</v>
      </c>
      <c r="B603" t="s">
        <v>659</v>
      </c>
      <c r="C603">
        <v>60</v>
      </c>
      <c r="D603">
        <v>50</v>
      </c>
      <c r="E603">
        <v>56.840525549694497</v>
      </c>
      <c r="F603">
        <v>1.2</v>
      </c>
      <c r="G603">
        <v>2537.5</v>
      </c>
      <c r="H603">
        <v>193.63960921764399</v>
      </c>
      <c r="I603">
        <v>0.73186239544649001</v>
      </c>
      <c r="J603">
        <v>0.85040835803479997</v>
      </c>
      <c r="K603">
        <v>0.97129186602870798</v>
      </c>
      <c r="L603" t="s">
        <v>570</v>
      </c>
      <c r="M603" t="s">
        <v>34</v>
      </c>
      <c r="N603" t="s">
        <v>35</v>
      </c>
      <c r="O603">
        <v>0.68741548028587396</v>
      </c>
      <c r="P603" t="s">
        <v>36</v>
      </c>
    </row>
    <row r="604" spans="1:16">
      <c r="A604">
        <v>603</v>
      </c>
      <c r="B604" t="s">
        <v>660</v>
      </c>
      <c r="C604">
        <v>122</v>
      </c>
      <c r="D604">
        <v>102</v>
      </c>
      <c r="E604">
        <v>81.077372329465604</v>
      </c>
      <c r="F604">
        <v>1.1970915618537501</v>
      </c>
      <c r="G604">
        <v>5162.8464816635196</v>
      </c>
      <c r="H604">
        <v>635.05489338211396</v>
      </c>
      <c r="I604">
        <v>0.59658054067088795</v>
      </c>
      <c r="J604">
        <v>0.16087054821430599</v>
      </c>
      <c r="K604">
        <v>0.55148763217222896</v>
      </c>
      <c r="L604" t="s">
        <v>83</v>
      </c>
      <c r="M604" t="s">
        <v>34</v>
      </c>
      <c r="N604" t="s">
        <v>35</v>
      </c>
      <c r="O604">
        <v>0.80122335151868196</v>
      </c>
      <c r="P604" t="s">
        <v>36</v>
      </c>
    </row>
    <row r="605" spans="1:16">
      <c r="A605">
        <v>604</v>
      </c>
      <c r="B605" t="s">
        <v>661</v>
      </c>
      <c r="C605">
        <v>101</v>
      </c>
      <c r="D605">
        <v>114</v>
      </c>
      <c r="E605">
        <v>92.108344183505196</v>
      </c>
      <c r="F605">
        <v>0.88995213704117604</v>
      </c>
      <c r="G605">
        <v>6663.2764457466901</v>
      </c>
      <c r="H605">
        <v>470.31785352199</v>
      </c>
      <c r="I605">
        <v>0.70112699740944395</v>
      </c>
      <c r="J605">
        <v>0.378542604095783</v>
      </c>
      <c r="K605">
        <v>0.76541291765549502</v>
      </c>
      <c r="L605" t="s">
        <v>83</v>
      </c>
      <c r="M605" t="s">
        <v>34</v>
      </c>
      <c r="N605" t="s">
        <v>35</v>
      </c>
      <c r="O605">
        <v>0.81464050042552105</v>
      </c>
      <c r="P605" t="s">
        <v>36</v>
      </c>
    </row>
    <row r="606" spans="1:16">
      <c r="A606">
        <v>605</v>
      </c>
      <c r="B606" t="s">
        <v>662</v>
      </c>
      <c r="C606">
        <v>109</v>
      </c>
      <c r="D606">
        <v>75</v>
      </c>
      <c r="E606">
        <v>67.101829978097797</v>
      </c>
      <c r="F606">
        <v>1.44386116913865</v>
      </c>
      <c r="G606">
        <v>3536.3774279773202</v>
      </c>
      <c r="H606">
        <v>483.83593928575499</v>
      </c>
      <c r="I606">
        <v>0.70997766469604995</v>
      </c>
      <c r="J606">
        <v>0.189833224521477</v>
      </c>
      <c r="K606">
        <v>0.58781530251747904</v>
      </c>
      <c r="L606" t="s">
        <v>45</v>
      </c>
      <c r="M606" t="s">
        <v>34</v>
      </c>
      <c r="N606" t="s">
        <v>35</v>
      </c>
      <c r="O606">
        <v>0.68314421408526904</v>
      </c>
      <c r="P606" t="s">
        <v>36</v>
      </c>
    </row>
    <row r="607" spans="1:16">
      <c r="A607">
        <v>606</v>
      </c>
      <c r="B607" t="s">
        <v>663</v>
      </c>
      <c r="C607">
        <v>73</v>
      </c>
      <c r="D607">
        <v>82</v>
      </c>
      <c r="E607">
        <v>66.788050349231597</v>
      </c>
      <c r="F607">
        <v>0.88741719578970502</v>
      </c>
      <c r="G607">
        <v>3503.3813455576601</v>
      </c>
      <c r="H607">
        <v>443.04919794839401</v>
      </c>
      <c r="I607">
        <v>0.59393689313466003</v>
      </c>
      <c r="J607">
        <v>0.22428145651037701</v>
      </c>
      <c r="K607">
        <v>0.74052780395853002</v>
      </c>
      <c r="L607" t="s">
        <v>70</v>
      </c>
      <c r="M607" t="s">
        <v>34</v>
      </c>
      <c r="N607" t="s">
        <v>35</v>
      </c>
      <c r="O607">
        <v>0.68455874485891999</v>
      </c>
      <c r="P607" t="s">
        <v>36</v>
      </c>
    </row>
    <row r="608" spans="1:16">
      <c r="A608">
        <v>607</v>
      </c>
      <c r="B608" t="s">
        <v>664</v>
      </c>
      <c r="C608">
        <v>81</v>
      </c>
      <c r="D608">
        <v>117</v>
      </c>
      <c r="E608">
        <v>71.1175429954923</v>
      </c>
      <c r="F608">
        <v>0.69302325581395396</v>
      </c>
      <c r="G608">
        <v>3972.3121565217398</v>
      </c>
      <c r="H608">
        <v>591.06332391034005</v>
      </c>
      <c r="I608">
        <v>0.76330930637468897</v>
      </c>
      <c r="J608">
        <v>0.14288452975503599</v>
      </c>
      <c r="K608">
        <v>0.567780586773172</v>
      </c>
      <c r="L608" t="s">
        <v>33</v>
      </c>
      <c r="M608" t="s">
        <v>34</v>
      </c>
      <c r="N608" t="s">
        <v>35</v>
      </c>
      <c r="O608">
        <v>0.93590135985612699</v>
      </c>
      <c r="P608" t="s">
        <v>36</v>
      </c>
    </row>
    <row r="609" spans="1:16">
      <c r="A609">
        <v>608</v>
      </c>
      <c r="B609" t="s">
        <v>665</v>
      </c>
      <c r="C609">
        <v>63</v>
      </c>
      <c r="D609">
        <v>63</v>
      </c>
      <c r="E609">
        <v>53.703457303133497</v>
      </c>
      <c r="F609">
        <v>1</v>
      </c>
      <c r="G609">
        <v>2265.1364688090698</v>
      </c>
      <c r="H609">
        <v>470.41025967680901</v>
      </c>
      <c r="I609">
        <v>0.63254719705844398</v>
      </c>
      <c r="J609">
        <v>0.12863248686959999</v>
      </c>
      <c r="K609">
        <v>0.70266033473189204</v>
      </c>
      <c r="L609" t="s">
        <v>83</v>
      </c>
      <c r="M609" t="s">
        <v>34</v>
      </c>
      <c r="N609" t="s">
        <v>35</v>
      </c>
      <c r="O609">
        <v>0.760485115764447</v>
      </c>
      <c r="P609" t="s">
        <v>36</v>
      </c>
    </row>
    <row r="610" spans="1:16">
      <c r="A610">
        <v>609</v>
      </c>
      <c r="B610" t="s">
        <v>666</v>
      </c>
      <c r="C610">
        <v>55</v>
      </c>
      <c r="D610">
        <v>70</v>
      </c>
      <c r="E610">
        <v>56.418958354775597</v>
      </c>
      <c r="F610">
        <v>0.78571428571428603</v>
      </c>
      <c r="G610">
        <v>2500</v>
      </c>
      <c r="H610">
        <v>224.85281229019199</v>
      </c>
      <c r="I610">
        <v>0.65777785550025503</v>
      </c>
      <c r="J610">
        <v>0.62137421166471396</v>
      </c>
      <c r="K610">
        <v>0.87719298245613997</v>
      </c>
      <c r="L610" t="s">
        <v>75</v>
      </c>
      <c r="M610" t="s">
        <v>34</v>
      </c>
      <c r="N610" t="s">
        <v>35</v>
      </c>
      <c r="O610">
        <v>0.63738727965100295</v>
      </c>
      <c r="P610" t="s">
        <v>36</v>
      </c>
    </row>
    <row r="611" spans="1:16">
      <c r="A611">
        <v>610</v>
      </c>
      <c r="B611" t="s">
        <v>667</v>
      </c>
      <c r="C611">
        <v>83</v>
      </c>
      <c r="D611">
        <v>138</v>
      </c>
      <c r="E611">
        <v>78.747129073406498</v>
      </c>
      <c r="F611">
        <v>0.60079051383399196</v>
      </c>
      <c r="G611">
        <v>4870.3406699432899</v>
      </c>
      <c r="H611">
        <v>755.65477664491402</v>
      </c>
      <c r="I611">
        <v>0.68915388093497298</v>
      </c>
      <c r="J611">
        <v>0.10718211937717601</v>
      </c>
      <c r="K611">
        <v>0.55375671747726996</v>
      </c>
      <c r="L611" t="s">
        <v>33</v>
      </c>
      <c r="M611" t="s">
        <v>34</v>
      </c>
      <c r="N611" t="s">
        <v>35</v>
      </c>
      <c r="O611">
        <v>0.94926841462929401</v>
      </c>
      <c r="P611" t="s">
        <v>36</v>
      </c>
    </row>
    <row r="612" spans="1:16">
      <c r="A612">
        <v>611</v>
      </c>
      <c r="B612" t="s">
        <v>668</v>
      </c>
      <c r="C612">
        <v>68</v>
      </c>
      <c r="D612">
        <v>58</v>
      </c>
      <c r="E612">
        <v>53.463298589789098</v>
      </c>
      <c r="F612">
        <v>1.1682243230551399</v>
      </c>
      <c r="G612">
        <v>2244.9226525519898</v>
      </c>
      <c r="H612">
        <v>490.25727456714799</v>
      </c>
      <c r="I612">
        <v>0.53657007060190098</v>
      </c>
      <c r="J612">
        <v>0.117371634660198</v>
      </c>
      <c r="K612">
        <v>0.62946447176495102</v>
      </c>
      <c r="L612" t="s">
        <v>33</v>
      </c>
      <c r="M612" t="s">
        <v>34</v>
      </c>
      <c r="N612" t="s">
        <v>35</v>
      </c>
      <c r="O612">
        <v>0.95350648121908499</v>
      </c>
      <c r="P612" t="s">
        <v>36</v>
      </c>
    </row>
    <row r="613" spans="1:16">
      <c r="A613">
        <v>612</v>
      </c>
      <c r="B613" t="s">
        <v>669</v>
      </c>
      <c r="C613">
        <v>115</v>
      </c>
      <c r="D613">
        <v>64</v>
      </c>
      <c r="E613">
        <v>73.842093616684593</v>
      </c>
      <c r="F613">
        <v>1.7932271476672099</v>
      </c>
      <c r="G613">
        <v>4282.5050574669203</v>
      </c>
      <c r="H613">
        <v>376.088789368194</v>
      </c>
      <c r="I613">
        <v>0.719759864517869</v>
      </c>
      <c r="J613">
        <v>0.38047574196142703</v>
      </c>
      <c r="K613">
        <v>0.70490519877675795</v>
      </c>
      <c r="L613" t="s">
        <v>33</v>
      </c>
      <c r="M613" t="s">
        <v>34</v>
      </c>
      <c r="N613" t="s">
        <v>35</v>
      </c>
      <c r="O613">
        <v>0.90733896247687496</v>
      </c>
      <c r="P613" t="s">
        <v>36</v>
      </c>
    </row>
    <row r="614" spans="1:16">
      <c r="A614">
        <v>613</v>
      </c>
      <c r="B614" t="s">
        <v>670</v>
      </c>
      <c r="C614">
        <v>103</v>
      </c>
      <c r="D614">
        <v>118</v>
      </c>
      <c r="E614">
        <v>94.596714065896407</v>
      </c>
      <c r="F614">
        <v>0.87096774193548399</v>
      </c>
      <c r="G614">
        <v>7028.1655553875198</v>
      </c>
      <c r="H614">
        <v>598.76056682794001</v>
      </c>
      <c r="I614">
        <v>0.64472319779767295</v>
      </c>
      <c r="J614">
        <v>0.24634597198919</v>
      </c>
      <c r="K614">
        <v>0.75752138669058999</v>
      </c>
      <c r="L614" t="s">
        <v>33</v>
      </c>
      <c r="M614" t="s">
        <v>34</v>
      </c>
      <c r="N614" t="s">
        <v>35</v>
      </c>
      <c r="O614">
        <v>0.94611574123059194</v>
      </c>
      <c r="P614" t="s">
        <v>36</v>
      </c>
    </row>
    <row r="615" spans="1:16">
      <c r="A615">
        <v>614</v>
      </c>
      <c r="B615" t="s">
        <v>671</v>
      </c>
      <c r="C615">
        <v>147</v>
      </c>
      <c r="D615">
        <v>161</v>
      </c>
      <c r="E615">
        <v>98.834904873503604</v>
      </c>
      <c r="F615">
        <v>0.90878378378378399</v>
      </c>
      <c r="G615">
        <v>7672.0350555765599</v>
      </c>
      <c r="H615">
        <v>1210.52885636516</v>
      </c>
      <c r="I615">
        <v>0.58427596627119105</v>
      </c>
      <c r="J615">
        <v>6.5791554750286294E-2</v>
      </c>
      <c r="K615">
        <v>0.399084590346449</v>
      </c>
      <c r="L615" t="s">
        <v>33</v>
      </c>
      <c r="M615" t="s">
        <v>34</v>
      </c>
      <c r="N615" t="s">
        <v>35</v>
      </c>
      <c r="O615">
        <v>0.95686781773190699</v>
      </c>
      <c r="P615" t="s">
        <v>36</v>
      </c>
    </row>
    <row r="616" spans="1:16">
      <c r="A616">
        <v>615</v>
      </c>
      <c r="B616" t="s">
        <v>672</v>
      </c>
      <c r="C616">
        <v>53</v>
      </c>
      <c r="D616">
        <v>58</v>
      </c>
      <c r="E616">
        <v>53.168693606454099</v>
      </c>
      <c r="F616">
        <v>0.91588783847243205</v>
      </c>
      <c r="G616">
        <v>2220.2499062381899</v>
      </c>
      <c r="H616">
        <v>358.68884403892201</v>
      </c>
      <c r="I616">
        <v>0.59101506229127498</v>
      </c>
      <c r="J616">
        <v>0.21685826835532199</v>
      </c>
      <c r="K616">
        <v>0.799764428739694</v>
      </c>
      <c r="L616" t="s">
        <v>33</v>
      </c>
      <c r="M616" t="s">
        <v>34</v>
      </c>
      <c r="N616" t="s">
        <v>35</v>
      </c>
      <c r="O616">
        <v>0.88669499898464899</v>
      </c>
      <c r="P616" t="s">
        <v>36</v>
      </c>
    </row>
    <row r="617" spans="1:16">
      <c r="A617">
        <v>616</v>
      </c>
      <c r="B617" t="s">
        <v>673</v>
      </c>
      <c r="C617">
        <v>106</v>
      </c>
      <c r="D617">
        <v>65</v>
      </c>
      <c r="E617">
        <v>68.614751325573494</v>
      </c>
      <c r="F617">
        <v>1.6224391491614401</v>
      </c>
      <c r="G617">
        <v>3697.6420650283599</v>
      </c>
      <c r="H617">
        <v>349.32109461058701</v>
      </c>
      <c r="I617">
        <v>0.61771222653021496</v>
      </c>
      <c r="J617">
        <v>0.38078962586239101</v>
      </c>
      <c r="K617">
        <v>0.68929402637703696</v>
      </c>
      <c r="L617" t="s">
        <v>52</v>
      </c>
      <c r="M617" t="s">
        <v>34</v>
      </c>
      <c r="N617" t="s">
        <v>35</v>
      </c>
      <c r="O617">
        <v>0.80667663148318203</v>
      </c>
      <c r="P617" t="s">
        <v>36</v>
      </c>
    </row>
    <row r="618" spans="1:16">
      <c r="A618">
        <v>617</v>
      </c>
      <c r="B618" t="s">
        <v>674</v>
      </c>
      <c r="C618">
        <v>49</v>
      </c>
      <c r="D618">
        <v>69</v>
      </c>
      <c r="E618">
        <v>50.934570711789299</v>
      </c>
      <c r="F618">
        <v>0.70634920634920595</v>
      </c>
      <c r="G618">
        <v>2037.5824049149301</v>
      </c>
      <c r="H618">
        <v>395.70882944677197</v>
      </c>
      <c r="I618">
        <v>0.59989689955612102</v>
      </c>
      <c r="J618">
        <v>0.16352101122790999</v>
      </c>
      <c r="K618">
        <v>0.72362100818157804</v>
      </c>
      <c r="L618" t="s">
        <v>83</v>
      </c>
      <c r="M618" t="s">
        <v>34</v>
      </c>
      <c r="N618" t="s">
        <v>35</v>
      </c>
      <c r="O618">
        <v>0.78641886355440305</v>
      </c>
      <c r="P618" t="s">
        <v>36</v>
      </c>
    </row>
    <row r="619" spans="1:16">
      <c r="A619">
        <v>618</v>
      </c>
      <c r="B619" t="s">
        <v>675</v>
      </c>
      <c r="C619">
        <v>78</v>
      </c>
      <c r="D619">
        <v>117</v>
      </c>
      <c r="E619">
        <v>78.144026660478303</v>
      </c>
      <c r="F619">
        <v>0.67286538590534595</v>
      </c>
      <c r="G619">
        <v>4796.0251689981096</v>
      </c>
      <c r="H619">
        <v>468.50175988570498</v>
      </c>
      <c r="I619">
        <v>0.59033781017540798</v>
      </c>
      <c r="J619">
        <v>0.27457997702720099</v>
      </c>
      <c r="K619">
        <v>0.63302860281712203</v>
      </c>
      <c r="L619" t="s">
        <v>52</v>
      </c>
      <c r="M619" t="s">
        <v>34</v>
      </c>
      <c r="N619" t="s">
        <v>35</v>
      </c>
      <c r="O619">
        <v>0.73773450482869096</v>
      </c>
      <c r="P619" t="s">
        <v>36</v>
      </c>
    </row>
    <row r="620" spans="1:16">
      <c r="A620">
        <v>619</v>
      </c>
      <c r="B620" t="s">
        <v>676</v>
      </c>
      <c r="C620">
        <v>61</v>
      </c>
      <c r="D620">
        <v>50</v>
      </c>
      <c r="E620">
        <v>53.742205662137202</v>
      </c>
      <c r="F620">
        <v>1.2230404742824501</v>
      </c>
      <c r="G620">
        <v>2268.4063508506601</v>
      </c>
      <c r="H620">
        <v>195.588594739748</v>
      </c>
      <c r="I620">
        <v>0.78626071149154098</v>
      </c>
      <c r="J620">
        <v>0.74514993129653495</v>
      </c>
      <c r="K620">
        <v>0.94601128122481903</v>
      </c>
      <c r="L620" t="s">
        <v>83</v>
      </c>
      <c r="M620" t="s">
        <v>34</v>
      </c>
      <c r="N620" t="s">
        <v>35</v>
      </c>
      <c r="O620">
        <v>0.78132719182791899</v>
      </c>
      <c r="P620" t="s">
        <v>36</v>
      </c>
    </row>
    <row r="621" spans="1:16">
      <c r="A621">
        <v>620</v>
      </c>
      <c r="B621" t="s">
        <v>677</v>
      </c>
      <c r="C621">
        <v>113</v>
      </c>
      <c r="D621">
        <v>86</v>
      </c>
      <c r="E621">
        <v>74.185990062172394</v>
      </c>
      <c r="F621">
        <v>1.3028495308922301</v>
      </c>
      <c r="G621">
        <v>4322.4867969754296</v>
      </c>
      <c r="H621">
        <v>533.37987483377003</v>
      </c>
      <c r="I621">
        <v>0.64048406490149901</v>
      </c>
      <c r="J621">
        <v>0.19092829274201101</v>
      </c>
      <c r="K621">
        <v>0.58264214448852003</v>
      </c>
      <c r="L621" t="s">
        <v>33</v>
      </c>
      <c r="M621" t="s">
        <v>34</v>
      </c>
      <c r="N621" t="s">
        <v>35</v>
      </c>
      <c r="O621">
        <v>0.94766551271312505</v>
      </c>
      <c r="P621" t="s">
        <v>36</v>
      </c>
    </row>
    <row r="622" spans="1:16">
      <c r="A622">
        <v>621</v>
      </c>
      <c r="B622" t="s">
        <v>678</v>
      </c>
      <c r="C622">
        <v>58</v>
      </c>
      <c r="D622">
        <v>63</v>
      </c>
      <c r="E622">
        <v>58.542192996652098</v>
      </c>
      <c r="F622">
        <v>0.92241379310344795</v>
      </c>
      <c r="G622">
        <v>2691.7074442344101</v>
      </c>
      <c r="H622">
        <v>349.59118761062598</v>
      </c>
      <c r="I622">
        <v>0.59742466176226505</v>
      </c>
      <c r="J622">
        <v>0.27676856789962101</v>
      </c>
      <c r="K622">
        <v>0.824718794116308</v>
      </c>
      <c r="L622" t="s">
        <v>83</v>
      </c>
      <c r="M622" t="s">
        <v>34</v>
      </c>
      <c r="N622" t="s">
        <v>35</v>
      </c>
      <c r="O622">
        <v>0.79749472983425096</v>
      </c>
      <c r="P622" t="s">
        <v>36</v>
      </c>
    </row>
    <row r="623" spans="1:16">
      <c r="A623">
        <v>622</v>
      </c>
      <c r="B623" t="s">
        <v>679</v>
      </c>
      <c r="C623">
        <v>91</v>
      </c>
      <c r="D623">
        <v>57</v>
      </c>
      <c r="E623">
        <v>53.174032275393003</v>
      </c>
      <c r="F623">
        <v>1.5967289254694399</v>
      </c>
      <c r="G623">
        <v>2220.6957992438602</v>
      </c>
      <c r="H623">
        <v>325.08964310863701</v>
      </c>
      <c r="I623">
        <v>0.46801562993177298</v>
      </c>
      <c r="J623">
        <v>0.26405394946433602</v>
      </c>
      <c r="K623">
        <v>0.59728163102138698</v>
      </c>
      <c r="L623" t="s">
        <v>321</v>
      </c>
      <c r="M623" t="s">
        <v>34</v>
      </c>
      <c r="N623" t="s">
        <v>35</v>
      </c>
      <c r="O623">
        <v>0.82838340776841002</v>
      </c>
      <c r="P623" t="s">
        <v>36</v>
      </c>
    </row>
    <row r="624" spans="1:16">
      <c r="A624">
        <v>623</v>
      </c>
      <c r="B624" t="s">
        <v>680</v>
      </c>
      <c r="C624">
        <v>49</v>
      </c>
      <c r="D624">
        <v>59</v>
      </c>
      <c r="E624">
        <v>51.082970970066903</v>
      </c>
      <c r="F624">
        <v>0.82936006942858498</v>
      </c>
      <c r="G624">
        <v>2049.47288506616</v>
      </c>
      <c r="H624">
        <v>216.51664217420199</v>
      </c>
      <c r="I624">
        <v>0.71930988613777203</v>
      </c>
      <c r="J624">
        <v>0.54937573618425095</v>
      </c>
      <c r="K624">
        <v>0.87766533002354996</v>
      </c>
      <c r="L624" t="s">
        <v>83</v>
      </c>
      <c r="M624" t="s">
        <v>34</v>
      </c>
      <c r="N624" t="s">
        <v>35</v>
      </c>
      <c r="O624">
        <v>0.77921193482680695</v>
      </c>
      <c r="P624" t="s">
        <v>36</v>
      </c>
    </row>
    <row r="625" spans="1:16">
      <c r="A625">
        <v>624</v>
      </c>
      <c r="B625" t="s">
        <v>681</v>
      </c>
      <c r="C625">
        <v>85</v>
      </c>
      <c r="D625">
        <v>151</v>
      </c>
      <c r="E625">
        <v>92.430348528769002</v>
      </c>
      <c r="F625">
        <v>0.56487345144303802</v>
      </c>
      <c r="G625">
        <v>6709.94658034027</v>
      </c>
      <c r="H625">
        <v>672.86863008716796</v>
      </c>
      <c r="I625">
        <v>0.68708774020236596</v>
      </c>
      <c r="J625">
        <v>0.18623802770828801</v>
      </c>
      <c r="K625">
        <v>0.67887218045112796</v>
      </c>
      <c r="L625" t="s">
        <v>33</v>
      </c>
      <c r="M625" t="s">
        <v>34</v>
      </c>
      <c r="N625" t="s">
        <v>35</v>
      </c>
      <c r="O625">
        <v>0.95446127634837197</v>
      </c>
      <c r="P625" t="s">
        <v>36</v>
      </c>
    </row>
    <row r="626" spans="1:16">
      <c r="A626">
        <v>625</v>
      </c>
      <c r="B626" t="s">
        <v>682</v>
      </c>
      <c r="C626">
        <v>78</v>
      </c>
      <c r="D626">
        <v>54</v>
      </c>
      <c r="E626">
        <v>51.190292141588401</v>
      </c>
      <c r="F626">
        <v>1.4444443588171101</v>
      </c>
      <c r="G626">
        <v>2058.0934831758</v>
      </c>
      <c r="H626">
        <v>530.73565340653704</v>
      </c>
      <c r="I626">
        <v>0.62308189128701497</v>
      </c>
      <c r="J626">
        <v>9.1816013989942505E-2</v>
      </c>
      <c r="K626">
        <v>0.54720410985971202</v>
      </c>
      <c r="L626" t="s">
        <v>33</v>
      </c>
      <c r="M626" t="s">
        <v>34</v>
      </c>
      <c r="N626" t="s">
        <v>35</v>
      </c>
      <c r="O626">
        <v>0.93859092169396596</v>
      </c>
      <c r="P626" t="s">
        <v>36</v>
      </c>
    </row>
    <row r="627" spans="1:16">
      <c r="A627">
        <v>626</v>
      </c>
      <c r="B627" t="s">
        <v>683</v>
      </c>
      <c r="C627">
        <v>73</v>
      </c>
      <c r="D627">
        <v>137</v>
      </c>
      <c r="E627">
        <v>80.437638561051102</v>
      </c>
      <c r="F627">
        <v>0.53087926953260001</v>
      </c>
      <c r="G627">
        <v>5081.6939546313797</v>
      </c>
      <c r="H627">
        <v>566.38960179743594</v>
      </c>
      <c r="I627">
        <v>0.61268741146178995</v>
      </c>
      <c r="J627">
        <v>0.19906175415493299</v>
      </c>
      <c r="K627">
        <v>0.59754967929112002</v>
      </c>
      <c r="L627" t="s">
        <v>33</v>
      </c>
      <c r="M627" t="s">
        <v>34</v>
      </c>
      <c r="N627" t="s">
        <v>35</v>
      </c>
      <c r="O627">
        <v>0.95582391693999103</v>
      </c>
      <c r="P627" t="s">
        <v>36</v>
      </c>
    </row>
    <row r="628" spans="1:16">
      <c r="A628">
        <v>627</v>
      </c>
      <c r="B628" t="s">
        <v>684</v>
      </c>
      <c r="C628">
        <v>98</v>
      </c>
      <c r="D628">
        <v>56</v>
      </c>
      <c r="E628">
        <v>62.789303974765701</v>
      </c>
      <c r="F628">
        <v>1.7592338822871201</v>
      </c>
      <c r="G628">
        <v>3096.42966238185</v>
      </c>
      <c r="H628">
        <v>301.81633450642897</v>
      </c>
      <c r="I628">
        <v>0.78419208358015002</v>
      </c>
      <c r="J628">
        <v>0.42715510631364501</v>
      </c>
      <c r="K628">
        <v>0.81021273285886497</v>
      </c>
      <c r="L628" t="s">
        <v>83</v>
      </c>
      <c r="M628" t="s">
        <v>34</v>
      </c>
      <c r="N628" t="s">
        <v>35</v>
      </c>
      <c r="O628">
        <v>0.89122589650713602</v>
      </c>
      <c r="P628" t="s">
        <v>36</v>
      </c>
    </row>
    <row r="629" spans="1:16">
      <c r="A629">
        <v>628</v>
      </c>
      <c r="B629" t="s">
        <v>685</v>
      </c>
      <c r="C629">
        <v>64</v>
      </c>
      <c r="D629">
        <v>64</v>
      </c>
      <c r="E629">
        <v>51.955368211469697</v>
      </c>
      <c r="F629">
        <v>1</v>
      </c>
      <c r="G629">
        <v>2120.07261096408</v>
      </c>
      <c r="H629">
        <v>458.2283879844</v>
      </c>
      <c r="I629">
        <v>0.62195010147719998</v>
      </c>
      <c r="J629">
        <v>0.12688100724225801</v>
      </c>
      <c r="K629">
        <v>0.604483620799254</v>
      </c>
      <c r="L629" t="s">
        <v>70</v>
      </c>
      <c r="M629" t="s">
        <v>34</v>
      </c>
      <c r="N629" t="s">
        <v>35</v>
      </c>
      <c r="O629">
        <v>0.87689441903038701</v>
      </c>
      <c r="P629" t="s">
        <v>36</v>
      </c>
    </row>
    <row r="630" spans="1:16">
      <c r="A630">
        <v>629</v>
      </c>
      <c r="B630" t="s">
        <v>686</v>
      </c>
      <c r="C630">
        <v>53</v>
      </c>
      <c r="D630">
        <v>88</v>
      </c>
      <c r="E630">
        <v>62.900720710933598</v>
      </c>
      <c r="F630">
        <v>0.60869565217391297</v>
      </c>
      <c r="G630">
        <v>3107.4283565217402</v>
      </c>
      <c r="H630">
        <v>475.04598481147201</v>
      </c>
      <c r="I630">
        <v>0.73804438376464598</v>
      </c>
      <c r="J630">
        <v>0.17303728215959299</v>
      </c>
      <c r="K630">
        <v>0.73860665583268603</v>
      </c>
      <c r="L630" t="s">
        <v>33</v>
      </c>
      <c r="M630" t="s">
        <v>34</v>
      </c>
      <c r="N630" t="s">
        <v>35</v>
      </c>
      <c r="O630">
        <v>0.943319580292168</v>
      </c>
      <c r="P630" t="s">
        <v>36</v>
      </c>
    </row>
    <row r="631" spans="1:16">
      <c r="A631">
        <v>630</v>
      </c>
      <c r="B631" t="s">
        <v>687</v>
      </c>
      <c r="C631">
        <v>63</v>
      </c>
      <c r="D631">
        <v>73</v>
      </c>
      <c r="E631">
        <v>58.286258994095299</v>
      </c>
      <c r="F631">
        <v>0.86567172507026402</v>
      </c>
      <c r="G631">
        <v>2668.2237459357302</v>
      </c>
      <c r="H631">
        <v>655.25500518881802</v>
      </c>
      <c r="I631">
        <v>0.53310416427642104</v>
      </c>
      <c r="J631">
        <v>7.80928755651977E-2</v>
      </c>
      <c r="K631">
        <v>0.57917150600077405</v>
      </c>
      <c r="L631" t="s">
        <v>70</v>
      </c>
      <c r="M631" t="s">
        <v>34</v>
      </c>
      <c r="N631" t="s">
        <v>35</v>
      </c>
      <c r="O631">
        <v>0.68325574557277702</v>
      </c>
      <c r="P631" t="s">
        <v>36</v>
      </c>
    </row>
    <row r="632" spans="1:16">
      <c r="A632">
        <v>631</v>
      </c>
      <c r="B632" t="s">
        <v>688</v>
      </c>
      <c r="C632">
        <v>109</v>
      </c>
      <c r="D632">
        <v>69</v>
      </c>
      <c r="E632">
        <v>72.008712080853698</v>
      </c>
      <c r="F632">
        <v>1.587912146321</v>
      </c>
      <c r="G632">
        <v>4072.4894517958401</v>
      </c>
      <c r="H632">
        <v>349.06980608753503</v>
      </c>
      <c r="I632">
        <v>0.69185018498087203</v>
      </c>
      <c r="J632">
        <v>0.41999610483418798</v>
      </c>
      <c r="K632">
        <v>0.78149510852514203</v>
      </c>
      <c r="L632" t="s">
        <v>52</v>
      </c>
      <c r="M632" t="s">
        <v>34</v>
      </c>
      <c r="N632" t="s">
        <v>35</v>
      </c>
      <c r="O632">
        <v>0.78432084005462099</v>
      </c>
      <c r="P632" t="s">
        <v>36</v>
      </c>
    </row>
    <row r="633" spans="1:16">
      <c r="A633">
        <v>632</v>
      </c>
      <c r="B633" t="s">
        <v>689</v>
      </c>
      <c r="C633">
        <v>93</v>
      </c>
      <c r="D633">
        <v>94</v>
      </c>
      <c r="E633">
        <v>74.809620840319198</v>
      </c>
      <c r="F633">
        <v>0.98434637700668803</v>
      </c>
      <c r="G633">
        <v>4395.4646189035902</v>
      </c>
      <c r="H633">
        <v>487.887699688103</v>
      </c>
      <c r="I633">
        <v>0.64743430063162299</v>
      </c>
      <c r="J633">
        <v>0.232046442369191</v>
      </c>
      <c r="K633">
        <v>0.63781650347237195</v>
      </c>
      <c r="L633" t="s">
        <v>45</v>
      </c>
      <c r="M633" t="s">
        <v>34</v>
      </c>
      <c r="N633" t="s">
        <v>35</v>
      </c>
      <c r="O633">
        <v>0.76455312563195799</v>
      </c>
      <c r="P633" t="s">
        <v>36</v>
      </c>
    </row>
    <row r="634" spans="1:16">
      <c r="A634">
        <v>633</v>
      </c>
      <c r="B634" t="s">
        <v>690</v>
      </c>
      <c r="C634">
        <v>44</v>
      </c>
      <c r="D634">
        <v>78</v>
      </c>
      <c r="E634">
        <v>55.909871338807797</v>
      </c>
      <c r="F634">
        <v>0.562227549263971</v>
      </c>
      <c r="G634">
        <v>2455.08688922495</v>
      </c>
      <c r="H634">
        <v>208.641712411383</v>
      </c>
      <c r="I634">
        <v>0.79103962603989597</v>
      </c>
      <c r="J634">
        <v>0.70871961715947296</v>
      </c>
      <c r="K634">
        <v>0.94556070753906896</v>
      </c>
      <c r="L634" t="s">
        <v>83</v>
      </c>
      <c r="M634" t="s">
        <v>34</v>
      </c>
      <c r="N634" t="s">
        <v>35</v>
      </c>
      <c r="O634">
        <v>0.737336182046051</v>
      </c>
      <c r="P634" t="s">
        <v>36</v>
      </c>
    </row>
    <row r="635" spans="1:16">
      <c r="A635">
        <v>634</v>
      </c>
      <c r="B635" t="s">
        <v>691</v>
      </c>
      <c r="C635">
        <v>64</v>
      </c>
      <c r="D635">
        <v>68</v>
      </c>
      <c r="E635">
        <v>52.109940797027697</v>
      </c>
      <c r="F635">
        <v>0.93599999218749896</v>
      </c>
      <c r="G635">
        <v>2132.7062461247601</v>
      </c>
      <c r="H635">
        <v>458.57986867065</v>
      </c>
      <c r="I635">
        <v>0.47564469330888098</v>
      </c>
      <c r="J635">
        <v>0.127441517371992</v>
      </c>
      <c r="K635">
        <v>0.65854330166597796</v>
      </c>
      <c r="L635" t="s">
        <v>33</v>
      </c>
      <c r="M635" t="s">
        <v>34</v>
      </c>
      <c r="N635" t="s">
        <v>35</v>
      </c>
      <c r="O635">
        <v>0.93201293207375302</v>
      </c>
      <c r="P635" t="s">
        <v>36</v>
      </c>
    </row>
    <row r="636" spans="1:16">
      <c r="A636">
        <v>635</v>
      </c>
      <c r="B636" t="s">
        <v>692</v>
      </c>
      <c r="C636">
        <v>76</v>
      </c>
      <c r="D636">
        <v>82</v>
      </c>
      <c r="E636">
        <v>58.326829669169101</v>
      </c>
      <c r="F636">
        <v>0.93333333333333302</v>
      </c>
      <c r="G636">
        <v>2671.93952098299</v>
      </c>
      <c r="H636">
        <v>408.27266531498498</v>
      </c>
      <c r="I636">
        <v>0.55445846023301304</v>
      </c>
      <c r="J636">
        <v>0.201435439173241</v>
      </c>
      <c r="K636">
        <v>0.59300676232888005</v>
      </c>
      <c r="L636" t="s">
        <v>144</v>
      </c>
      <c r="M636" t="s">
        <v>34</v>
      </c>
      <c r="N636" t="s">
        <v>35</v>
      </c>
      <c r="O636">
        <v>0.69589592072572404</v>
      </c>
      <c r="P636" t="s">
        <v>36</v>
      </c>
    </row>
    <row r="637" spans="1:16">
      <c r="A637">
        <v>636</v>
      </c>
      <c r="B637" t="s">
        <v>693</v>
      </c>
      <c r="C637">
        <v>113</v>
      </c>
      <c r="D637">
        <v>105</v>
      </c>
      <c r="E637">
        <v>73.771582820828002</v>
      </c>
      <c r="F637">
        <v>1.0725388601036301</v>
      </c>
      <c r="G637">
        <v>4274.3303523629502</v>
      </c>
      <c r="H637">
        <v>663.03201956251405</v>
      </c>
      <c r="I637">
        <v>0.57831089043408801</v>
      </c>
      <c r="J637">
        <v>0.12218248237304399</v>
      </c>
      <c r="K637">
        <v>0.49900227308219502</v>
      </c>
      <c r="L637" t="s">
        <v>178</v>
      </c>
      <c r="M637" t="s">
        <v>34</v>
      </c>
      <c r="N637" t="s">
        <v>35</v>
      </c>
      <c r="O637">
        <v>0.65264206674285996</v>
      </c>
      <c r="P637" t="s">
        <v>36</v>
      </c>
    </row>
    <row r="638" spans="1:16">
      <c r="A638">
        <v>637</v>
      </c>
      <c r="B638" t="s">
        <v>694</v>
      </c>
      <c r="C638">
        <v>73</v>
      </c>
      <c r="D638">
        <v>68</v>
      </c>
      <c r="E638">
        <v>52.224211153717803</v>
      </c>
      <c r="F638">
        <v>1.0719998867187399</v>
      </c>
      <c r="G638">
        <v>2142.0699992438599</v>
      </c>
      <c r="H638">
        <v>513.65347281373101</v>
      </c>
      <c r="I638">
        <v>0.48375695842518301</v>
      </c>
      <c r="J638">
        <v>0.102024168819837</v>
      </c>
      <c r="K638">
        <v>0.53429228145621699</v>
      </c>
      <c r="L638" t="s">
        <v>33</v>
      </c>
      <c r="M638" t="s">
        <v>34</v>
      </c>
      <c r="N638" t="s">
        <v>35</v>
      </c>
      <c r="O638">
        <v>0.94646484487817795</v>
      </c>
      <c r="P638" t="s">
        <v>36</v>
      </c>
    </row>
    <row r="639" spans="1:16">
      <c r="A639">
        <v>638</v>
      </c>
      <c r="B639" t="s">
        <v>695</v>
      </c>
      <c r="C639">
        <v>70</v>
      </c>
      <c r="D639">
        <v>56</v>
      </c>
      <c r="E639">
        <v>57.029185069879503</v>
      </c>
      <c r="F639">
        <v>1.2432818517611799</v>
      </c>
      <c r="G639">
        <v>2554.3723984877101</v>
      </c>
      <c r="H639">
        <v>339.77727456714803</v>
      </c>
      <c r="I639">
        <v>0.56634033092743097</v>
      </c>
      <c r="J639">
        <v>0.27803880923472202</v>
      </c>
      <c r="K639">
        <v>0.81698041452747705</v>
      </c>
      <c r="L639" t="s">
        <v>33</v>
      </c>
      <c r="M639" t="s">
        <v>34</v>
      </c>
      <c r="N639" t="s">
        <v>35</v>
      </c>
      <c r="O639">
        <v>0.938751291397525</v>
      </c>
      <c r="P639" t="s">
        <v>36</v>
      </c>
    </row>
    <row r="640" spans="1:16">
      <c r="A640">
        <v>639</v>
      </c>
      <c r="B640" t="s">
        <v>696</v>
      </c>
      <c r="C640">
        <v>59</v>
      </c>
      <c r="D640">
        <v>62</v>
      </c>
      <c r="E640">
        <v>50.136942779984203</v>
      </c>
      <c r="F640">
        <v>0.95031071010462798</v>
      </c>
      <c r="G640">
        <v>1974.26559810964</v>
      </c>
      <c r="H640">
        <v>349.34930132606797</v>
      </c>
      <c r="I640">
        <v>0.58677843390362905</v>
      </c>
      <c r="J640">
        <v>0.20328048297783</v>
      </c>
      <c r="K640">
        <v>0.74711738567973496</v>
      </c>
      <c r="L640" t="s">
        <v>83</v>
      </c>
      <c r="M640" t="s">
        <v>34</v>
      </c>
      <c r="N640" t="s">
        <v>35</v>
      </c>
      <c r="O640">
        <v>0.87630670021950596</v>
      </c>
      <c r="P640" t="s">
        <v>36</v>
      </c>
    </row>
    <row r="641" spans="1:16">
      <c r="A641">
        <v>640</v>
      </c>
      <c r="B641" t="s">
        <v>697</v>
      </c>
      <c r="C641">
        <v>131</v>
      </c>
      <c r="D641">
        <v>104</v>
      </c>
      <c r="E641">
        <v>100.14830414786201</v>
      </c>
      <c r="F641">
        <v>1.2616426156165901</v>
      </c>
      <c r="G641">
        <v>7877.2944691871498</v>
      </c>
      <c r="H641">
        <v>664.33224091001205</v>
      </c>
      <c r="I641">
        <v>0.69336843943307402</v>
      </c>
      <c r="J641">
        <v>0.224293291857557</v>
      </c>
      <c r="K641">
        <v>0.69475905825599105</v>
      </c>
      <c r="L641" t="s">
        <v>52</v>
      </c>
      <c r="M641" t="s">
        <v>34</v>
      </c>
      <c r="N641" t="s">
        <v>35</v>
      </c>
      <c r="O641">
        <v>0.80856997316514501</v>
      </c>
      <c r="P641" t="s">
        <v>36</v>
      </c>
    </row>
    <row r="642" spans="1:16">
      <c r="A642">
        <v>641</v>
      </c>
      <c r="B642" t="s">
        <v>698</v>
      </c>
      <c r="C642">
        <v>83</v>
      </c>
      <c r="D642">
        <v>175</v>
      </c>
      <c r="E642">
        <v>78.319404484103998</v>
      </c>
      <c r="F642">
        <v>0.47344765127254401</v>
      </c>
      <c r="G642">
        <v>4817.5766642722101</v>
      </c>
      <c r="H642">
        <v>700.12949965238602</v>
      </c>
      <c r="I642">
        <v>0.61446555210750997</v>
      </c>
      <c r="J642">
        <v>0.12350420510788999</v>
      </c>
      <c r="K642">
        <v>0.485449834504036</v>
      </c>
      <c r="L642" t="s">
        <v>33</v>
      </c>
      <c r="M642" t="s">
        <v>34</v>
      </c>
      <c r="N642" t="s">
        <v>35</v>
      </c>
      <c r="O642">
        <v>0.77486619122370204</v>
      </c>
      <c r="P642" t="s">
        <v>36</v>
      </c>
    </row>
    <row r="643" spans="1:16">
      <c r="A643">
        <v>642</v>
      </c>
      <c r="B643" t="s">
        <v>699</v>
      </c>
      <c r="C643">
        <v>53</v>
      </c>
      <c r="D643">
        <v>64</v>
      </c>
      <c r="E643">
        <v>54.408473067246199</v>
      </c>
      <c r="F643">
        <v>0.83333343323698605</v>
      </c>
      <c r="G643">
        <v>2325</v>
      </c>
      <c r="H643">
        <v>237.27921843528699</v>
      </c>
      <c r="I643">
        <v>0.69295348842524096</v>
      </c>
      <c r="J643">
        <v>0.51893553991558705</v>
      </c>
      <c r="K643">
        <v>0.81578947368421095</v>
      </c>
      <c r="L643" t="s">
        <v>45</v>
      </c>
      <c r="M643" t="s">
        <v>34</v>
      </c>
      <c r="N643" t="s">
        <v>35</v>
      </c>
      <c r="O643">
        <v>0.70171535104737903</v>
      </c>
      <c r="P643" t="s">
        <v>36</v>
      </c>
    </row>
    <row r="644" spans="1:16">
      <c r="A644">
        <v>643</v>
      </c>
      <c r="B644" t="s">
        <v>700</v>
      </c>
      <c r="C644">
        <v>73</v>
      </c>
      <c r="D644">
        <v>156</v>
      </c>
      <c r="E644">
        <v>85.125194295150706</v>
      </c>
      <c r="F644">
        <v>0.47017220041037899</v>
      </c>
      <c r="G644">
        <v>5691.2296933837397</v>
      </c>
      <c r="H644">
        <v>738.68219045379897</v>
      </c>
      <c r="I644">
        <v>0.62160964030182997</v>
      </c>
      <c r="J644">
        <v>0.13106922184627401</v>
      </c>
      <c r="K644">
        <v>0.65501727736152404</v>
      </c>
      <c r="L644" t="s">
        <v>83</v>
      </c>
      <c r="M644" t="s">
        <v>34</v>
      </c>
      <c r="N644" t="s">
        <v>35</v>
      </c>
      <c r="O644">
        <v>0.87039234050742698</v>
      </c>
      <c r="P644" t="s">
        <v>36</v>
      </c>
    </row>
    <row r="645" spans="1:16">
      <c r="A645">
        <v>644</v>
      </c>
      <c r="B645" t="s">
        <v>701</v>
      </c>
      <c r="C645">
        <v>65</v>
      </c>
      <c r="D645">
        <v>120</v>
      </c>
      <c r="E645">
        <v>71.869290183013305</v>
      </c>
      <c r="F645">
        <v>0.53713294067252404</v>
      </c>
      <c r="G645">
        <v>4056.73456559546</v>
      </c>
      <c r="H645">
        <v>392.81008703625702</v>
      </c>
      <c r="I645">
        <v>0.62328065487288697</v>
      </c>
      <c r="J645">
        <v>0.33038566330935698</v>
      </c>
      <c r="K645">
        <v>0.70922980979108197</v>
      </c>
      <c r="L645" t="s">
        <v>33</v>
      </c>
      <c r="M645" t="s">
        <v>34</v>
      </c>
      <c r="N645" t="s">
        <v>35</v>
      </c>
      <c r="O645">
        <v>0.92899156306400998</v>
      </c>
      <c r="P645" t="s">
        <v>36</v>
      </c>
    </row>
    <row r="646" spans="1:16">
      <c r="A646">
        <v>645</v>
      </c>
      <c r="B646" t="s">
        <v>702</v>
      </c>
      <c r="C646">
        <v>70</v>
      </c>
      <c r="D646">
        <v>99</v>
      </c>
      <c r="E646">
        <v>59.7484517307293</v>
      </c>
      <c r="F646">
        <v>0.70329670329670302</v>
      </c>
      <c r="G646">
        <v>2803.7752196597398</v>
      </c>
      <c r="H646">
        <v>506.77657167870098</v>
      </c>
      <c r="I646">
        <v>0.64060187467901497</v>
      </c>
      <c r="J646">
        <v>0.137189223713966</v>
      </c>
      <c r="K646">
        <v>0.52214348981399505</v>
      </c>
      <c r="L646" t="s">
        <v>144</v>
      </c>
      <c r="M646" t="s">
        <v>34</v>
      </c>
      <c r="N646" t="s">
        <v>35</v>
      </c>
      <c r="O646">
        <v>0.69882530310578395</v>
      </c>
      <c r="P646" t="s">
        <v>36</v>
      </c>
    </row>
    <row r="647" spans="1:16">
      <c r="A647">
        <v>646</v>
      </c>
      <c r="B647" t="s">
        <v>703</v>
      </c>
      <c r="C647">
        <v>95</v>
      </c>
      <c r="D647">
        <v>137</v>
      </c>
      <c r="E647">
        <v>79.246606323248798</v>
      </c>
      <c r="F647">
        <v>0.69322709163346596</v>
      </c>
      <c r="G647">
        <v>4932.3197977315704</v>
      </c>
      <c r="H647">
        <v>769.68484169327701</v>
      </c>
      <c r="I647">
        <v>0.48954765475606998</v>
      </c>
      <c r="J647">
        <v>0.104624940530276</v>
      </c>
      <c r="K647">
        <v>0.52853297657158305</v>
      </c>
      <c r="L647" t="s">
        <v>33</v>
      </c>
      <c r="M647" t="s">
        <v>34</v>
      </c>
      <c r="N647" t="s">
        <v>35</v>
      </c>
      <c r="O647">
        <v>0.94462440248755197</v>
      </c>
      <c r="P647" t="s">
        <v>36</v>
      </c>
    </row>
    <row r="648" spans="1:16">
      <c r="A648">
        <v>647</v>
      </c>
      <c r="B648" t="s">
        <v>704</v>
      </c>
      <c r="C648">
        <v>39</v>
      </c>
      <c r="D648">
        <v>87</v>
      </c>
      <c r="E648">
        <v>52.597923006031699</v>
      </c>
      <c r="F648">
        <v>0.44525978068477701</v>
      </c>
      <c r="G648">
        <v>2172.8366166351602</v>
      </c>
      <c r="H648">
        <v>226.67263366543699</v>
      </c>
      <c r="I648">
        <v>0.71673438133246703</v>
      </c>
      <c r="J648">
        <v>0.53142105120536298</v>
      </c>
      <c r="K648">
        <v>0.87355841051688099</v>
      </c>
      <c r="L648" t="s">
        <v>45</v>
      </c>
      <c r="M648" t="s">
        <v>34</v>
      </c>
      <c r="N648" t="s">
        <v>35</v>
      </c>
      <c r="O648">
        <v>0.64976793461984905</v>
      </c>
      <c r="P648" t="s">
        <v>36</v>
      </c>
    </row>
    <row r="649" spans="1:16">
      <c r="A649">
        <v>648</v>
      </c>
      <c r="B649" t="s">
        <v>705</v>
      </c>
      <c r="C649">
        <v>142</v>
      </c>
      <c r="D649">
        <v>137</v>
      </c>
      <c r="E649">
        <v>109.759742401415</v>
      </c>
      <c r="F649">
        <v>1.0358565737051799</v>
      </c>
      <c r="G649">
        <v>9461.8495803402693</v>
      </c>
      <c r="H649">
        <v>1348.53030118735</v>
      </c>
      <c r="I649">
        <v>0.64811190630523696</v>
      </c>
      <c r="J649">
        <v>6.5382945974505197E-2</v>
      </c>
      <c r="K649">
        <v>0.58232178629906395</v>
      </c>
      <c r="L649" t="s">
        <v>33</v>
      </c>
      <c r="M649" t="s">
        <v>34</v>
      </c>
      <c r="N649" t="s">
        <v>35</v>
      </c>
      <c r="O649">
        <v>0.93689608263081703</v>
      </c>
      <c r="P649" t="s">
        <v>36</v>
      </c>
    </row>
    <row r="650" spans="1:16">
      <c r="A650">
        <v>649</v>
      </c>
      <c r="B650" t="s">
        <v>706</v>
      </c>
      <c r="C650">
        <v>49</v>
      </c>
      <c r="D650">
        <v>68</v>
      </c>
      <c r="E650">
        <v>55.7030168220899</v>
      </c>
      <c r="F650">
        <v>0.71199999999999997</v>
      </c>
      <c r="G650">
        <v>2436.9539069943298</v>
      </c>
      <c r="H650">
        <v>374.51619824658297</v>
      </c>
      <c r="I650">
        <v>0.67227304724341197</v>
      </c>
      <c r="J650">
        <v>0.218331282879932</v>
      </c>
      <c r="K650">
        <v>0.73875822294313798</v>
      </c>
      <c r="L650" t="s">
        <v>33</v>
      </c>
      <c r="M650" t="s">
        <v>34</v>
      </c>
      <c r="N650" t="s">
        <v>35</v>
      </c>
      <c r="O650">
        <v>0.93544017995309503</v>
      </c>
      <c r="P650" t="s">
        <v>36</v>
      </c>
    </row>
    <row r="651" spans="1:16">
      <c r="A651">
        <v>650</v>
      </c>
      <c r="B651" t="s">
        <v>707</v>
      </c>
      <c r="C651">
        <v>182</v>
      </c>
      <c r="D651">
        <v>63</v>
      </c>
      <c r="E651">
        <v>78.851597744893198</v>
      </c>
      <c r="F651">
        <v>2.8817048427871899</v>
      </c>
      <c r="G651">
        <v>4883.2715671077503</v>
      </c>
      <c r="H651">
        <v>555.49465620984199</v>
      </c>
      <c r="I651">
        <v>0.80213772565170405</v>
      </c>
      <c r="J651">
        <v>0.198866197613113</v>
      </c>
      <c r="K651">
        <v>0.59454226307884395</v>
      </c>
      <c r="L651" t="s">
        <v>83</v>
      </c>
      <c r="M651" t="s">
        <v>34</v>
      </c>
      <c r="N651" t="s">
        <v>35</v>
      </c>
      <c r="O651">
        <v>0.75350240846469596</v>
      </c>
      <c r="P651" t="s">
        <v>36</v>
      </c>
    </row>
    <row r="652" spans="1:16">
      <c r="A652">
        <v>651</v>
      </c>
      <c r="B652" t="s">
        <v>708</v>
      </c>
      <c r="C652">
        <v>105</v>
      </c>
      <c r="D652">
        <v>95</v>
      </c>
      <c r="E652">
        <v>82.831154900410695</v>
      </c>
      <c r="F652">
        <v>1.0971428571428601</v>
      </c>
      <c r="G652">
        <v>5388.6169735349704</v>
      </c>
      <c r="H652">
        <v>514.72899612354195</v>
      </c>
      <c r="I652">
        <v>0.62828440707345901</v>
      </c>
      <c r="J652">
        <v>0.25558179200159697</v>
      </c>
      <c r="K652">
        <v>0.741213992190215</v>
      </c>
      <c r="L652" t="s">
        <v>83</v>
      </c>
      <c r="M652" t="s">
        <v>34</v>
      </c>
      <c r="N652" t="s">
        <v>35</v>
      </c>
      <c r="O652">
        <v>0.90750249861156795</v>
      </c>
      <c r="P652" t="s">
        <v>36</v>
      </c>
    </row>
    <row r="653" spans="1:16">
      <c r="A653">
        <v>652</v>
      </c>
      <c r="B653" t="s">
        <v>709</v>
      </c>
      <c r="C653">
        <v>141</v>
      </c>
      <c r="D653">
        <v>90</v>
      </c>
      <c r="E653">
        <v>100.971631333883</v>
      </c>
      <c r="F653">
        <v>1.5701787541924801</v>
      </c>
      <c r="G653">
        <v>8007.3465958412098</v>
      </c>
      <c r="H653">
        <v>556.15611562417905</v>
      </c>
      <c r="I653">
        <v>0.63142870182683397</v>
      </c>
      <c r="J653">
        <v>0.32531572523317998</v>
      </c>
      <c r="K653">
        <v>0.77677490051329401</v>
      </c>
      <c r="L653" t="s">
        <v>33</v>
      </c>
      <c r="M653" t="s">
        <v>34</v>
      </c>
      <c r="N653" t="s">
        <v>35</v>
      </c>
      <c r="O653">
        <v>0.95077595382160396</v>
      </c>
      <c r="P653" t="s">
        <v>36</v>
      </c>
    </row>
    <row r="654" spans="1:16">
      <c r="A654">
        <v>653</v>
      </c>
      <c r="B654" t="s">
        <v>710</v>
      </c>
      <c r="C654">
        <v>110</v>
      </c>
      <c r="D654">
        <v>56</v>
      </c>
      <c r="E654">
        <v>56.275922166892997</v>
      </c>
      <c r="F654">
        <v>1.9644735540220399</v>
      </c>
      <c r="G654">
        <v>2487.3398166351599</v>
      </c>
      <c r="H654">
        <v>348.47254611253697</v>
      </c>
      <c r="I654">
        <v>0.43576602003243797</v>
      </c>
      <c r="J654">
        <v>0.25739958888672498</v>
      </c>
      <c r="K654">
        <v>0.59542446452714703</v>
      </c>
      <c r="L654" t="s">
        <v>33</v>
      </c>
      <c r="M654" t="s">
        <v>34</v>
      </c>
      <c r="N654" t="s">
        <v>35</v>
      </c>
      <c r="O654">
        <v>0.947547828091029</v>
      </c>
      <c r="P654" t="s">
        <v>36</v>
      </c>
    </row>
    <row r="655" spans="1:16">
      <c r="A655">
        <v>654</v>
      </c>
      <c r="B655" t="s">
        <v>711</v>
      </c>
      <c r="C655">
        <v>137</v>
      </c>
      <c r="D655">
        <v>88</v>
      </c>
      <c r="E655">
        <v>88.259867573395496</v>
      </c>
      <c r="F655">
        <v>1.5590062111801199</v>
      </c>
      <c r="G655">
        <v>6118.0979308128599</v>
      </c>
      <c r="H655">
        <v>624.64372036363795</v>
      </c>
      <c r="I655">
        <v>0.67394884754361795</v>
      </c>
      <c r="J655">
        <v>0.19704323624323899</v>
      </c>
      <c r="K655">
        <v>0.67950411040311698</v>
      </c>
      <c r="L655" t="s">
        <v>33</v>
      </c>
      <c r="M655" t="s">
        <v>34</v>
      </c>
      <c r="N655" t="s">
        <v>35</v>
      </c>
      <c r="O655">
        <v>0.87780260922239295</v>
      </c>
      <c r="P655" t="s">
        <v>36</v>
      </c>
    </row>
    <row r="656" spans="1:16">
      <c r="A656">
        <v>655</v>
      </c>
      <c r="B656" t="s">
        <v>712</v>
      </c>
      <c r="C656">
        <v>140</v>
      </c>
      <c r="D656">
        <v>99</v>
      </c>
      <c r="E656">
        <v>89.348813290248501</v>
      </c>
      <c r="F656">
        <v>1.4143646408839801</v>
      </c>
      <c r="G656">
        <v>6269.9988147448003</v>
      </c>
      <c r="H656">
        <v>670.61026583992896</v>
      </c>
      <c r="I656">
        <v>0.68396837630266005</v>
      </c>
      <c r="J656">
        <v>0.175201140087937</v>
      </c>
      <c r="K656">
        <v>0.66600884117461301</v>
      </c>
      <c r="L656" t="s">
        <v>331</v>
      </c>
      <c r="M656" t="s">
        <v>34</v>
      </c>
      <c r="N656" t="s">
        <v>35</v>
      </c>
      <c r="O656">
        <v>0.641928794447438</v>
      </c>
      <c r="P656" t="s">
        <v>36</v>
      </c>
    </row>
    <row r="657" spans="1:16">
      <c r="A657">
        <v>656</v>
      </c>
      <c r="B657" t="s">
        <v>713</v>
      </c>
      <c r="C657">
        <v>110</v>
      </c>
      <c r="D657">
        <v>132</v>
      </c>
      <c r="E657">
        <v>82.289053615979199</v>
      </c>
      <c r="F657">
        <v>0.834710743801653</v>
      </c>
      <c r="G657">
        <v>5318.3145096408298</v>
      </c>
      <c r="H657">
        <v>533.60457287145698</v>
      </c>
      <c r="I657">
        <v>0.51171764403287001</v>
      </c>
      <c r="J657">
        <v>0.23471713487737</v>
      </c>
      <c r="K657">
        <v>0.57256696642877702</v>
      </c>
      <c r="L657" t="s">
        <v>132</v>
      </c>
      <c r="M657" t="s">
        <v>34</v>
      </c>
      <c r="N657" t="s">
        <v>35</v>
      </c>
      <c r="O657">
        <v>0.85415441789337299</v>
      </c>
      <c r="P657" t="s">
        <v>36</v>
      </c>
    </row>
    <row r="658" spans="1:16">
      <c r="A658">
        <v>657</v>
      </c>
      <c r="B658" t="s">
        <v>714</v>
      </c>
      <c r="C658">
        <v>92</v>
      </c>
      <c r="D658">
        <v>114</v>
      </c>
      <c r="E658">
        <v>78.862396950289707</v>
      </c>
      <c r="F658">
        <v>0.81268783932161104</v>
      </c>
      <c r="G658">
        <v>4884.6092461247599</v>
      </c>
      <c r="H658">
        <v>522.83640993242705</v>
      </c>
      <c r="I658">
        <v>0.60959213414166802</v>
      </c>
      <c r="J658">
        <v>0.22454740652959301</v>
      </c>
      <c r="K658">
        <v>0.58936193106416601</v>
      </c>
      <c r="L658" t="s">
        <v>52</v>
      </c>
      <c r="M658" t="s">
        <v>34</v>
      </c>
      <c r="N658" t="s">
        <v>35</v>
      </c>
      <c r="O658">
        <v>0.67545875208534001</v>
      </c>
      <c r="P658" t="s">
        <v>36</v>
      </c>
    </row>
    <row r="659" spans="1:16">
      <c r="A659">
        <v>658</v>
      </c>
      <c r="B659" t="s">
        <v>715</v>
      </c>
      <c r="C659">
        <v>58</v>
      </c>
      <c r="D659">
        <v>68</v>
      </c>
      <c r="E659">
        <v>51.940796519075001</v>
      </c>
      <c r="F659">
        <v>0.86290322580645196</v>
      </c>
      <c r="G659">
        <v>2118.8835629489599</v>
      </c>
      <c r="H659">
        <v>381.13630162425699</v>
      </c>
      <c r="I659">
        <v>0.67493262247488495</v>
      </c>
      <c r="J659">
        <v>0.183297408599191</v>
      </c>
      <c r="K659">
        <v>0.61845473081428104</v>
      </c>
      <c r="L659" t="s">
        <v>33</v>
      </c>
      <c r="M659" t="s">
        <v>34</v>
      </c>
      <c r="N659" t="s">
        <v>35</v>
      </c>
      <c r="O659">
        <v>0.95441111666404999</v>
      </c>
      <c r="P659" t="s">
        <v>36</v>
      </c>
    </row>
    <row r="660" spans="1:16">
      <c r="A660">
        <v>659</v>
      </c>
      <c r="B660" t="s">
        <v>716</v>
      </c>
      <c r="C660">
        <v>73</v>
      </c>
      <c r="D660">
        <v>53</v>
      </c>
      <c r="E660">
        <v>53.689360057240698</v>
      </c>
      <c r="F660">
        <v>1.36734684027019</v>
      </c>
      <c r="G660">
        <v>2263.9474207939502</v>
      </c>
      <c r="H660">
        <v>394.221519015561</v>
      </c>
      <c r="I660">
        <v>0.57395264350907804</v>
      </c>
      <c r="J660">
        <v>0.18306088022758699</v>
      </c>
      <c r="K660">
        <v>0.68901252996788298</v>
      </c>
      <c r="L660" t="s">
        <v>33</v>
      </c>
      <c r="M660" t="s">
        <v>34</v>
      </c>
      <c r="N660" t="s">
        <v>35</v>
      </c>
      <c r="O660">
        <v>0.93549328754444605</v>
      </c>
      <c r="P660" t="s">
        <v>36</v>
      </c>
    </row>
    <row r="661" spans="1:16">
      <c r="A661">
        <v>660</v>
      </c>
      <c r="B661" t="s">
        <v>717</v>
      </c>
      <c r="C661">
        <v>49</v>
      </c>
      <c r="D661">
        <v>68</v>
      </c>
      <c r="E661">
        <v>51.363750245130298</v>
      </c>
      <c r="F661">
        <v>0.71199999999999997</v>
      </c>
      <c r="G661">
        <v>2072.0647973535001</v>
      </c>
      <c r="H661">
        <v>382.28153360771103</v>
      </c>
      <c r="I661">
        <v>0.65243079856784103</v>
      </c>
      <c r="J661">
        <v>0.178174913772116</v>
      </c>
      <c r="K661">
        <v>0.71309462915600996</v>
      </c>
      <c r="L661" t="s">
        <v>33</v>
      </c>
      <c r="M661" t="s">
        <v>34</v>
      </c>
      <c r="N661" t="s">
        <v>35</v>
      </c>
      <c r="O661">
        <v>0.90111044183189404</v>
      </c>
      <c r="P661" t="s">
        <v>36</v>
      </c>
    </row>
    <row r="662" spans="1:16">
      <c r="A662">
        <v>661</v>
      </c>
      <c r="B662" t="s">
        <v>718</v>
      </c>
      <c r="C662">
        <v>64</v>
      </c>
      <c r="D662">
        <v>94</v>
      </c>
      <c r="E662">
        <v>64.644110615290103</v>
      </c>
      <c r="F662">
        <v>0.68163268487727002</v>
      </c>
      <c r="G662">
        <v>3282.0697837429102</v>
      </c>
      <c r="H662">
        <v>318.52433693180899</v>
      </c>
      <c r="I662">
        <v>0.57379285334887398</v>
      </c>
      <c r="J662">
        <v>0.40651112385807697</v>
      </c>
      <c r="K662">
        <v>0.69307303600012604</v>
      </c>
      <c r="L662" t="s">
        <v>178</v>
      </c>
      <c r="M662" t="s">
        <v>34</v>
      </c>
      <c r="N662" t="s">
        <v>35</v>
      </c>
      <c r="O662">
        <v>0.65977867888564101</v>
      </c>
      <c r="P662" t="s">
        <v>36</v>
      </c>
    </row>
    <row r="663" spans="1:16">
      <c r="A663">
        <v>662</v>
      </c>
      <c r="B663" t="s">
        <v>719</v>
      </c>
      <c r="C663">
        <v>140</v>
      </c>
      <c r="D663">
        <v>45</v>
      </c>
      <c r="E663">
        <v>62.537134044361203</v>
      </c>
      <c r="F663">
        <v>3.0843373493975901</v>
      </c>
      <c r="G663">
        <v>3071.6082850661601</v>
      </c>
      <c r="H663">
        <v>394.13851509923501</v>
      </c>
      <c r="I663">
        <v>0.82400572787997595</v>
      </c>
      <c r="J663">
        <v>0.24847227834455099</v>
      </c>
      <c r="K663">
        <v>0.70742477664053705</v>
      </c>
      <c r="L663" t="s">
        <v>96</v>
      </c>
      <c r="M663" t="s">
        <v>34</v>
      </c>
      <c r="N663" t="s">
        <v>35</v>
      </c>
      <c r="O663">
        <v>0.79734253604472505</v>
      </c>
      <c r="P663" t="s">
        <v>36</v>
      </c>
    </row>
    <row r="664" spans="1:16">
      <c r="A664">
        <v>663</v>
      </c>
      <c r="B664" t="s">
        <v>720</v>
      </c>
      <c r="C664">
        <v>69</v>
      </c>
      <c r="D664">
        <v>121</v>
      </c>
      <c r="E664">
        <v>68.997055133552195</v>
      </c>
      <c r="F664">
        <v>0.57042510413982495</v>
      </c>
      <c r="G664">
        <v>3738.96148355388</v>
      </c>
      <c r="H664">
        <v>463.64295294346999</v>
      </c>
      <c r="I664">
        <v>0.62226981167960504</v>
      </c>
      <c r="J664">
        <v>0.21857149811798801</v>
      </c>
      <c r="K664">
        <v>0.62755076585341496</v>
      </c>
      <c r="L664" t="s">
        <v>33</v>
      </c>
      <c r="M664" t="s">
        <v>34</v>
      </c>
      <c r="N664" t="s">
        <v>35</v>
      </c>
      <c r="O664">
        <v>0.944443891627057</v>
      </c>
      <c r="P664" t="s">
        <v>36</v>
      </c>
    </row>
    <row r="665" spans="1:16">
      <c r="A665">
        <v>664</v>
      </c>
      <c r="B665" t="s">
        <v>721</v>
      </c>
      <c r="C665">
        <v>64</v>
      </c>
      <c r="D665">
        <v>105</v>
      </c>
      <c r="E665">
        <v>63.606786589231397</v>
      </c>
      <c r="F665">
        <v>0.60955460106328596</v>
      </c>
      <c r="G665">
        <v>3177.5821894139899</v>
      </c>
      <c r="H665">
        <v>354.49928251940298</v>
      </c>
      <c r="I665">
        <v>0.66246320970626404</v>
      </c>
      <c r="J665">
        <v>0.31774295892189802</v>
      </c>
      <c r="K665">
        <v>0.67869841269841302</v>
      </c>
      <c r="L665" t="s">
        <v>83</v>
      </c>
      <c r="M665" t="s">
        <v>34</v>
      </c>
      <c r="N665" t="s">
        <v>35</v>
      </c>
      <c r="O665">
        <v>0.77430642431998697</v>
      </c>
      <c r="P665" t="s">
        <v>36</v>
      </c>
    </row>
    <row r="666" spans="1:16">
      <c r="A666">
        <v>665</v>
      </c>
      <c r="B666" t="s">
        <v>722</v>
      </c>
      <c r="C666">
        <v>137</v>
      </c>
      <c r="D666">
        <v>103</v>
      </c>
      <c r="E666">
        <v>102.051034177692</v>
      </c>
      <c r="F666">
        <v>1.3280423280423299</v>
      </c>
      <c r="G666">
        <v>8179.4612960302502</v>
      </c>
      <c r="H666">
        <v>771.88840873967104</v>
      </c>
      <c r="I666">
        <v>0.59616254087689702</v>
      </c>
      <c r="J666">
        <v>0.172514469571005</v>
      </c>
      <c r="K666">
        <v>0.70364403528960495</v>
      </c>
      <c r="L666" t="s">
        <v>33</v>
      </c>
      <c r="M666" t="s">
        <v>34</v>
      </c>
      <c r="N666" t="s">
        <v>35</v>
      </c>
      <c r="O666">
        <v>0.94920007698008102</v>
      </c>
      <c r="P666" t="s">
        <v>36</v>
      </c>
    </row>
    <row r="667" spans="1:16">
      <c r="A667">
        <v>666</v>
      </c>
      <c r="B667" t="s">
        <v>723</v>
      </c>
      <c r="C667">
        <v>154</v>
      </c>
      <c r="D667">
        <v>53</v>
      </c>
      <c r="E667">
        <v>74.433018467114096</v>
      </c>
      <c r="F667">
        <v>2.90875334329847</v>
      </c>
      <c r="G667">
        <v>4351.3212113421596</v>
      </c>
      <c r="H667">
        <v>511.69957806027497</v>
      </c>
      <c r="I667">
        <v>0.61586100585762404</v>
      </c>
      <c r="J667">
        <v>0.20883384759498499</v>
      </c>
      <c r="K667">
        <v>0.726325452154713</v>
      </c>
      <c r="L667" t="s">
        <v>83</v>
      </c>
      <c r="M667" t="s">
        <v>34</v>
      </c>
      <c r="N667" t="s">
        <v>35</v>
      </c>
      <c r="O667">
        <v>0.77369046335497405</v>
      </c>
      <c r="P667" t="s">
        <v>36</v>
      </c>
    </row>
    <row r="668" spans="1:16">
      <c r="A668">
        <v>667</v>
      </c>
      <c r="B668" t="s">
        <v>724</v>
      </c>
      <c r="C668">
        <v>50</v>
      </c>
      <c r="D668">
        <v>55</v>
      </c>
      <c r="E668">
        <v>53.225538860924097</v>
      </c>
      <c r="F668">
        <v>0.90909090909090895</v>
      </c>
      <c r="G668">
        <v>2225</v>
      </c>
      <c r="H668">
        <v>180.71067690849301</v>
      </c>
      <c r="I668">
        <v>0.70928043213732495</v>
      </c>
      <c r="J668">
        <v>0.85619414564955498</v>
      </c>
      <c r="K668">
        <v>0.97267759562841505</v>
      </c>
      <c r="L668" t="s">
        <v>321</v>
      </c>
      <c r="M668" t="s">
        <v>34</v>
      </c>
      <c r="N668" t="s">
        <v>35</v>
      </c>
      <c r="O668">
        <v>0.79861039775064901</v>
      </c>
      <c r="P668" t="s">
        <v>36</v>
      </c>
    </row>
    <row r="669" spans="1:16">
      <c r="A669">
        <v>668</v>
      </c>
      <c r="B669" t="s">
        <v>725</v>
      </c>
      <c r="C669">
        <v>57</v>
      </c>
      <c r="D669">
        <v>70</v>
      </c>
      <c r="E669">
        <v>58.606809123381602</v>
      </c>
      <c r="F669">
        <v>0.82156608844979695</v>
      </c>
      <c r="G669">
        <v>2697.65268431002</v>
      </c>
      <c r="H669">
        <v>228.57951722642699</v>
      </c>
      <c r="I669">
        <v>0.68956641967840904</v>
      </c>
      <c r="J669">
        <v>0.64881558956047003</v>
      </c>
      <c r="K669">
        <v>0.88282504012841101</v>
      </c>
      <c r="L669" t="s">
        <v>33</v>
      </c>
      <c r="M669" t="s">
        <v>34</v>
      </c>
      <c r="N669" t="s">
        <v>35</v>
      </c>
      <c r="O669">
        <v>0.94751201811596497</v>
      </c>
      <c r="P669" t="s">
        <v>36</v>
      </c>
    </row>
    <row r="670" spans="1:16">
      <c r="A670">
        <v>669</v>
      </c>
      <c r="B670" t="s">
        <v>726</v>
      </c>
      <c r="C670">
        <v>101</v>
      </c>
      <c r="D670">
        <v>124</v>
      </c>
      <c r="E670">
        <v>86.656484419505105</v>
      </c>
      <c r="F670">
        <v>0.81184506237112597</v>
      </c>
      <c r="G670">
        <v>5897.8267860113401</v>
      </c>
      <c r="H670">
        <v>494.32071398206398</v>
      </c>
      <c r="I670">
        <v>0.58198039901337095</v>
      </c>
      <c r="J670">
        <v>0.30330827465084498</v>
      </c>
      <c r="K670">
        <v>0.663173727751316</v>
      </c>
      <c r="L670" t="s">
        <v>331</v>
      </c>
      <c r="M670" t="s">
        <v>34</v>
      </c>
      <c r="N670" t="s">
        <v>35</v>
      </c>
      <c r="O670">
        <v>0.82596375973843805</v>
      </c>
      <c r="P670" t="s">
        <v>36</v>
      </c>
    </row>
    <row r="671" spans="1:16">
      <c r="A671">
        <v>670</v>
      </c>
      <c r="B671" t="s">
        <v>727</v>
      </c>
      <c r="C671">
        <v>112</v>
      </c>
      <c r="D671">
        <v>134</v>
      </c>
      <c r="E671">
        <v>95.090554380071097</v>
      </c>
      <c r="F671">
        <v>0.83333333333333304</v>
      </c>
      <c r="G671">
        <v>7101.7379013232503</v>
      </c>
      <c r="H671">
        <v>811.786715850934</v>
      </c>
      <c r="I671">
        <v>0.62365789542624295</v>
      </c>
      <c r="J671">
        <v>0.13542243662088299</v>
      </c>
      <c r="K671">
        <v>0.60831094758552196</v>
      </c>
      <c r="L671" t="s">
        <v>178</v>
      </c>
      <c r="M671" t="s">
        <v>34</v>
      </c>
      <c r="N671" t="s">
        <v>35</v>
      </c>
      <c r="O671">
        <v>0.68994365345150699</v>
      </c>
      <c r="P671" t="s">
        <v>36</v>
      </c>
    </row>
    <row r="672" spans="1:16">
      <c r="A672">
        <v>671</v>
      </c>
      <c r="B672" t="s">
        <v>728</v>
      </c>
      <c r="C672">
        <v>77</v>
      </c>
      <c r="D672">
        <v>131</v>
      </c>
      <c r="E672">
        <v>74.426662049159802</v>
      </c>
      <c r="F672">
        <v>0.59202826071722103</v>
      </c>
      <c r="G672">
        <v>4350.5780563326998</v>
      </c>
      <c r="H672">
        <v>582.45884228965497</v>
      </c>
      <c r="I672">
        <v>0.66306287388146001</v>
      </c>
      <c r="J672">
        <v>0.161148528320012</v>
      </c>
      <c r="K672">
        <v>0.54275913220841798</v>
      </c>
      <c r="L672" t="s">
        <v>75</v>
      </c>
      <c r="M672" t="s">
        <v>34</v>
      </c>
      <c r="N672" t="s">
        <v>35</v>
      </c>
      <c r="O672">
        <v>0.75675136725294101</v>
      </c>
      <c r="P672" t="s">
        <v>36</v>
      </c>
    </row>
    <row r="673" spans="1:16">
      <c r="A673">
        <v>672</v>
      </c>
      <c r="B673" t="s">
        <v>729</v>
      </c>
      <c r="C673">
        <v>64</v>
      </c>
      <c r="D673">
        <v>105</v>
      </c>
      <c r="E673">
        <v>66.007110049907695</v>
      </c>
      <c r="F673">
        <v>0.61589776869693302</v>
      </c>
      <c r="G673">
        <v>3421.9315565217398</v>
      </c>
      <c r="H673">
        <v>358.93851633185898</v>
      </c>
      <c r="I673">
        <v>0.65282631278464698</v>
      </c>
      <c r="J673">
        <v>0.33376520240167301</v>
      </c>
      <c r="K673">
        <v>0.68111354357730303</v>
      </c>
      <c r="L673" t="s">
        <v>33</v>
      </c>
      <c r="M673" t="s">
        <v>34</v>
      </c>
      <c r="N673" t="s">
        <v>35</v>
      </c>
      <c r="O673">
        <v>0.94220761229057803</v>
      </c>
      <c r="P673" t="s">
        <v>36</v>
      </c>
    </row>
    <row r="674" spans="1:16">
      <c r="A674">
        <v>673</v>
      </c>
      <c r="B674" t="s">
        <v>730</v>
      </c>
      <c r="C674">
        <v>111</v>
      </c>
      <c r="D674">
        <v>82</v>
      </c>
      <c r="E674">
        <v>71.696611185937698</v>
      </c>
      <c r="F674">
        <v>1.34437093052561</v>
      </c>
      <c r="G674">
        <v>4037.2639043478298</v>
      </c>
      <c r="H674">
        <v>432.82349778351602</v>
      </c>
      <c r="I674">
        <v>0.67821789668062604</v>
      </c>
      <c r="J674">
        <v>0.27081663791136501</v>
      </c>
      <c r="K674">
        <v>0.59287148594377503</v>
      </c>
      <c r="L674" t="s">
        <v>33</v>
      </c>
      <c r="M674" t="s">
        <v>34</v>
      </c>
      <c r="N674" t="s">
        <v>35</v>
      </c>
      <c r="O674">
        <v>0.94463626785196997</v>
      </c>
      <c r="P674" t="s">
        <v>36</v>
      </c>
    </row>
    <row r="675" spans="1:16">
      <c r="A675">
        <v>674</v>
      </c>
      <c r="B675" t="s">
        <v>731</v>
      </c>
      <c r="C675">
        <v>106</v>
      </c>
      <c r="D675">
        <v>64</v>
      </c>
      <c r="E675">
        <v>74.043000480508198</v>
      </c>
      <c r="F675">
        <v>1.6535403712078101</v>
      </c>
      <c r="G675">
        <v>4305.8401247637103</v>
      </c>
      <c r="H675">
        <v>382.672900022009</v>
      </c>
      <c r="I675">
        <v>0.58343893737477803</v>
      </c>
      <c r="J675">
        <v>0.36949821888428902</v>
      </c>
      <c r="K675">
        <v>0.76327229614016601</v>
      </c>
      <c r="L675" t="s">
        <v>33</v>
      </c>
      <c r="M675" t="s">
        <v>34</v>
      </c>
      <c r="N675" t="s">
        <v>35</v>
      </c>
      <c r="O675">
        <v>0.87817206231419798</v>
      </c>
      <c r="P675" t="s">
        <v>36</v>
      </c>
    </row>
    <row r="676" spans="1:16">
      <c r="A676">
        <v>675</v>
      </c>
      <c r="B676" t="s">
        <v>732</v>
      </c>
      <c r="C676">
        <v>52</v>
      </c>
      <c r="D676">
        <v>124</v>
      </c>
      <c r="E676">
        <v>59.065152952827397</v>
      </c>
      <c r="F676">
        <v>0.42290748898678399</v>
      </c>
      <c r="G676">
        <v>2740.0125198487699</v>
      </c>
      <c r="H676">
        <v>593.81486296518995</v>
      </c>
      <c r="I676">
        <v>0.85505744042127596</v>
      </c>
      <c r="J676">
        <v>9.7647310047721397E-2</v>
      </c>
      <c r="K676">
        <v>0.550758843212237</v>
      </c>
      <c r="L676" t="s">
        <v>45</v>
      </c>
      <c r="M676" t="s">
        <v>34</v>
      </c>
      <c r="N676" t="s">
        <v>35</v>
      </c>
      <c r="O676">
        <v>0.75727643050308402</v>
      </c>
      <c r="P676" t="s">
        <v>36</v>
      </c>
    </row>
    <row r="677" spans="1:16">
      <c r="A677">
        <v>676</v>
      </c>
      <c r="B677" t="s">
        <v>733</v>
      </c>
      <c r="C677">
        <v>102</v>
      </c>
      <c r="D677">
        <v>90</v>
      </c>
      <c r="E677">
        <v>80.060327123617</v>
      </c>
      <c r="F677">
        <v>1.1349053321765299</v>
      </c>
      <c r="G677">
        <v>5034.1320340264701</v>
      </c>
      <c r="H677">
        <v>462.80380668391399</v>
      </c>
      <c r="I677">
        <v>0.47010194666126698</v>
      </c>
      <c r="J677">
        <v>0.29535247940418402</v>
      </c>
      <c r="K677">
        <v>0.666404328578455</v>
      </c>
      <c r="L677" t="s">
        <v>83</v>
      </c>
      <c r="M677" t="s">
        <v>34</v>
      </c>
      <c r="N677" t="s">
        <v>35</v>
      </c>
      <c r="O677">
        <v>0.78385775997523099</v>
      </c>
      <c r="P677" t="s">
        <v>36</v>
      </c>
    </row>
    <row r="678" spans="1:16">
      <c r="A678">
        <v>677</v>
      </c>
      <c r="B678" t="s">
        <v>734</v>
      </c>
      <c r="C678">
        <v>63</v>
      </c>
      <c r="D678">
        <v>67</v>
      </c>
      <c r="E678">
        <v>60.132050534054898</v>
      </c>
      <c r="F678">
        <v>0.94308943089430897</v>
      </c>
      <c r="G678">
        <v>2839.8925531190898</v>
      </c>
      <c r="H678">
        <v>271.45795443441602</v>
      </c>
      <c r="I678">
        <v>0.62624042530463797</v>
      </c>
      <c r="J678">
        <v>0.48429125688202401</v>
      </c>
      <c r="K678">
        <v>0.86332007952286305</v>
      </c>
      <c r="L678" t="s">
        <v>83</v>
      </c>
      <c r="M678" t="s">
        <v>34</v>
      </c>
      <c r="N678" t="s">
        <v>35</v>
      </c>
      <c r="O678">
        <v>0.74081874437041195</v>
      </c>
      <c r="P678" t="s">
        <v>36</v>
      </c>
    </row>
    <row r="679" spans="1:16">
      <c r="A679">
        <v>678</v>
      </c>
      <c r="B679" t="s">
        <v>735</v>
      </c>
      <c r="C679">
        <v>58</v>
      </c>
      <c r="D679">
        <v>105</v>
      </c>
      <c r="E679">
        <v>70.830909247601099</v>
      </c>
      <c r="F679">
        <v>0.54758613866479899</v>
      </c>
      <c r="G679">
        <v>3940.3564911153098</v>
      </c>
      <c r="H679">
        <v>377.92758048565503</v>
      </c>
      <c r="I679">
        <v>0.78901248201473995</v>
      </c>
      <c r="J679">
        <v>0.34667953453630002</v>
      </c>
      <c r="K679">
        <v>0.77968943003352698</v>
      </c>
      <c r="L679" t="s">
        <v>331</v>
      </c>
      <c r="M679" t="s">
        <v>34</v>
      </c>
      <c r="N679" t="s">
        <v>35</v>
      </c>
      <c r="O679">
        <v>0.72454534728118503</v>
      </c>
      <c r="P679" t="s">
        <v>36</v>
      </c>
    </row>
    <row r="680" spans="1:16">
      <c r="A680">
        <v>679</v>
      </c>
      <c r="B680" t="s">
        <v>736</v>
      </c>
      <c r="C680">
        <v>58</v>
      </c>
      <c r="D680">
        <v>73</v>
      </c>
      <c r="E680">
        <v>55.365657180099603</v>
      </c>
      <c r="F680">
        <v>0.79850746268656703</v>
      </c>
      <c r="G680">
        <v>2407.52496862004</v>
      </c>
      <c r="H680">
        <v>455.44085620569098</v>
      </c>
      <c r="I680">
        <v>0.800402891843222</v>
      </c>
      <c r="J680">
        <v>0.14585344432492101</v>
      </c>
      <c r="K680">
        <v>0.717551165057145</v>
      </c>
      <c r="L680" t="s">
        <v>96</v>
      </c>
      <c r="M680" t="s">
        <v>34</v>
      </c>
      <c r="N680" t="s">
        <v>35</v>
      </c>
      <c r="O680">
        <v>0.80512551595034798</v>
      </c>
      <c r="P680" t="s">
        <v>36</v>
      </c>
    </row>
    <row r="681" spans="1:16">
      <c r="A681">
        <v>680</v>
      </c>
      <c r="B681" t="s">
        <v>737</v>
      </c>
      <c r="C681">
        <v>76</v>
      </c>
      <c r="D681">
        <v>128</v>
      </c>
      <c r="E681">
        <v>84.853541138287994</v>
      </c>
      <c r="F681">
        <v>0.592565895204476</v>
      </c>
      <c r="G681">
        <v>5654.9637289225002</v>
      </c>
      <c r="H681">
        <v>479.41550995028501</v>
      </c>
      <c r="I681">
        <v>0.62831126459771802</v>
      </c>
      <c r="J681">
        <v>0.30918294350049302</v>
      </c>
      <c r="K681">
        <v>0.74171475358702399</v>
      </c>
      <c r="L681" t="s">
        <v>33</v>
      </c>
      <c r="M681" t="s">
        <v>34</v>
      </c>
      <c r="N681" t="s">
        <v>35</v>
      </c>
      <c r="O681">
        <v>0.84628571371425898</v>
      </c>
      <c r="P681" t="s">
        <v>36</v>
      </c>
    </row>
    <row r="682" spans="1:16">
      <c r="A682">
        <v>681</v>
      </c>
      <c r="B682" t="s">
        <v>738</v>
      </c>
      <c r="C682">
        <v>136</v>
      </c>
      <c r="D682">
        <v>76</v>
      </c>
      <c r="E682">
        <v>81.855561974747104</v>
      </c>
      <c r="F682">
        <v>1.7943115578862101</v>
      </c>
      <c r="G682">
        <v>5262.4292529300601</v>
      </c>
      <c r="H682">
        <v>468.12758171827898</v>
      </c>
      <c r="I682">
        <v>0.77270169128797095</v>
      </c>
      <c r="J682">
        <v>0.30176417102563602</v>
      </c>
      <c r="K682">
        <v>0.69392234874468395</v>
      </c>
      <c r="L682" t="s">
        <v>33</v>
      </c>
      <c r="M682" t="s">
        <v>34</v>
      </c>
      <c r="N682" t="s">
        <v>35</v>
      </c>
      <c r="O682">
        <v>0.94177337071630696</v>
      </c>
      <c r="P682" t="s">
        <v>36</v>
      </c>
    </row>
    <row r="683" spans="1:16">
      <c r="A683">
        <v>682</v>
      </c>
      <c r="B683" t="s">
        <v>739</v>
      </c>
      <c r="C683">
        <v>63</v>
      </c>
      <c r="D683">
        <v>53</v>
      </c>
      <c r="E683">
        <v>50.964285332977603</v>
      </c>
      <c r="F683">
        <v>1.1958763194725299</v>
      </c>
      <c r="G683">
        <v>2039.96050094518</v>
      </c>
      <c r="H683">
        <v>339.83207176799402</v>
      </c>
      <c r="I683">
        <v>0.66562010324760301</v>
      </c>
      <c r="J683">
        <v>0.221974402740475</v>
      </c>
      <c r="K683">
        <v>0.74402341844202302</v>
      </c>
      <c r="L683" t="s">
        <v>45</v>
      </c>
      <c r="M683" t="s">
        <v>34</v>
      </c>
      <c r="N683" t="s">
        <v>35</v>
      </c>
      <c r="O683">
        <v>0.74494676074181299</v>
      </c>
      <c r="P683" t="s">
        <v>36</v>
      </c>
    </row>
    <row r="684" spans="1:16">
      <c r="A684">
        <v>683</v>
      </c>
      <c r="B684" t="s">
        <v>740</v>
      </c>
      <c r="C684">
        <v>53</v>
      </c>
      <c r="D684">
        <v>73</v>
      </c>
      <c r="E684">
        <v>54.255624870618803</v>
      </c>
      <c r="F684">
        <v>0.73134328358209</v>
      </c>
      <c r="G684">
        <v>2311.9552344045401</v>
      </c>
      <c r="H684">
        <v>347.09093707882801</v>
      </c>
      <c r="I684">
        <v>0.56324382364644399</v>
      </c>
      <c r="J684">
        <v>0.24115859052212399</v>
      </c>
      <c r="K684">
        <v>0.76141759263791697</v>
      </c>
      <c r="L684" t="s">
        <v>33</v>
      </c>
      <c r="M684" t="s">
        <v>34</v>
      </c>
      <c r="N684" t="s">
        <v>35</v>
      </c>
      <c r="O684">
        <v>0.94621346052275401</v>
      </c>
      <c r="P684" t="s">
        <v>36</v>
      </c>
    </row>
    <row r="685" spans="1:16">
      <c r="A685">
        <v>684</v>
      </c>
      <c r="B685" t="s">
        <v>741</v>
      </c>
      <c r="C685">
        <v>115</v>
      </c>
      <c r="D685">
        <v>55</v>
      </c>
      <c r="E685">
        <v>64.148937561958604</v>
      </c>
      <c r="F685">
        <v>2.0895848318575299</v>
      </c>
      <c r="G685">
        <v>3231.9811361058601</v>
      </c>
      <c r="H685">
        <v>294.38918458886798</v>
      </c>
      <c r="I685">
        <v>0.39939846659698403</v>
      </c>
      <c r="J685">
        <v>0.468635279785932</v>
      </c>
      <c r="K685">
        <v>0.79147557690907799</v>
      </c>
      <c r="L685" t="s">
        <v>331</v>
      </c>
      <c r="M685" t="s">
        <v>34</v>
      </c>
      <c r="N685" t="s">
        <v>35</v>
      </c>
      <c r="O685">
        <v>0.70647739274778898</v>
      </c>
      <c r="P685" t="s">
        <v>36</v>
      </c>
    </row>
    <row r="686" spans="1:16">
      <c r="A686">
        <v>685</v>
      </c>
      <c r="B686" t="s">
        <v>742</v>
      </c>
      <c r="C686">
        <v>57</v>
      </c>
      <c r="D686">
        <v>50</v>
      </c>
      <c r="E686">
        <v>50.357268065469199</v>
      </c>
      <c r="F686">
        <v>1.13540106533998</v>
      </c>
      <c r="G686">
        <v>1991.65542533081</v>
      </c>
      <c r="H686">
        <v>187.316789328326</v>
      </c>
      <c r="I686">
        <v>0.81204677205221298</v>
      </c>
      <c r="J686">
        <v>0.71329742665665097</v>
      </c>
      <c r="K686">
        <v>0.94472645234066599</v>
      </c>
      <c r="L686" t="s">
        <v>83</v>
      </c>
      <c r="M686" t="s">
        <v>34</v>
      </c>
      <c r="N686" t="s">
        <v>35</v>
      </c>
      <c r="O686">
        <v>0.79968300917784096</v>
      </c>
      <c r="P686" t="s">
        <v>36</v>
      </c>
    </row>
    <row r="687" spans="1:16">
      <c r="A687">
        <v>686</v>
      </c>
      <c r="B687" t="s">
        <v>743</v>
      </c>
      <c r="C687">
        <v>63</v>
      </c>
      <c r="D687">
        <v>63</v>
      </c>
      <c r="E687">
        <v>57.926378390487102</v>
      </c>
      <c r="F687">
        <v>1</v>
      </c>
      <c r="G687">
        <v>2635.3762945179601</v>
      </c>
      <c r="H687">
        <v>382.99779022289403</v>
      </c>
      <c r="I687">
        <v>0.66218142684299597</v>
      </c>
      <c r="J687">
        <v>0.225766740362565</v>
      </c>
      <c r="K687">
        <v>0.76344456404736305</v>
      </c>
      <c r="L687" t="s">
        <v>33</v>
      </c>
      <c r="M687" t="s">
        <v>34</v>
      </c>
      <c r="N687" t="s">
        <v>35</v>
      </c>
      <c r="O687">
        <v>0.90479916598209797</v>
      </c>
      <c r="P687" t="s">
        <v>36</v>
      </c>
    </row>
    <row r="688" spans="1:16">
      <c r="A688">
        <v>687</v>
      </c>
      <c r="B688" t="s">
        <v>744</v>
      </c>
      <c r="C688">
        <v>50</v>
      </c>
      <c r="D688">
        <v>50</v>
      </c>
      <c r="E688">
        <v>52.015709478601003</v>
      </c>
      <c r="F688">
        <v>1</v>
      </c>
      <c r="G688">
        <v>2125</v>
      </c>
      <c r="H688">
        <v>176.56854152679401</v>
      </c>
      <c r="I688">
        <v>0.66869122230161004</v>
      </c>
      <c r="J688">
        <v>0.85652913266530095</v>
      </c>
      <c r="K688">
        <v>0.97142857142857097</v>
      </c>
      <c r="L688" t="s">
        <v>279</v>
      </c>
      <c r="M688" t="s">
        <v>34</v>
      </c>
      <c r="N688" t="s">
        <v>35</v>
      </c>
      <c r="O688">
        <v>0.86919051391605995</v>
      </c>
      <c r="P688" t="s">
        <v>36</v>
      </c>
    </row>
    <row r="689" spans="1:16">
      <c r="A689">
        <v>688</v>
      </c>
      <c r="B689" t="s">
        <v>745</v>
      </c>
      <c r="C689">
        <v>63</v>
      </c>
      <c r="D689">
        <v>58</v>
      </c>
      <c r="E689">
        <v>52.0572558502991</v>
      </c>
      <c r="F689">
        <v>1.0943396226415101</v>
      </c>
      <c r="G689">
        <v>2128.3959470699401</v>
      </c>
      <c r="H689">
        <v>502.82661966966498</v>
      </c>
      <c r="I689">
        <v>0.63809135794239702</v>
      </c>
      <c r="J689">
        <v>0.10578540787327199</v>
      </c>
      <c r="K689">
        <v>0.64673471231144397</v>
      </c>
      <c r="L689" t="s">
        <v>83</v>
      </c>
      <c r="M689" t="s">
        <v>34</v>
      </c>
      <c r="N689" t="s">
        <v>35</v>
      </c>
      <c r="O689">
        <v>0.78676002460366701</v>
      </c>
      <c r="P689" t="s">
        <v>36</v>
      </c>
    </row>
    <row r="690" spans="1:16">
      <c r="A690">
        <v>689</v>
      </c>
      <c r="B690" t="s">
        <v>746</v>
      </c>
      <c r="C690">
        <v>75</v>
      </c>
      <c r="D690">
        <v>104</v>
      </c>
      <c r="E690">
        <v>66.729938646870494</v>
      </c>
      <c r="F690">
        <v>0.72118484717384901</v>
      </c>
      <c r="G690">
        <v>3497.2874744801502</v>
      </c>
      <c r="H690">
        <v>642.34585841261799</v>
      </c>
      <c r="I690">
        <v>0.64779453462618797</v>
      </c>
      <c r="J690">
        <v>0.106513177284011</v>
      </c>
      <c r="K690">
        <v>0.56713827761575397</v>
      </c>
      <c r="L690" t="s">
        <v>70</v>
      </c>
      <c r="M690" t="s">
        <v>34</v>
      </c>
      <c r="N690" t="s">
        <v>35</v>
      </c>
      <c r="O690">
        <v>0.74046258515103602</v>
      </c>
      <c r="P690" t="s">
        <v>36</v>
      </c>
    </row>
    <row r="691" spans="1:16">
      <c r="A691">
        <v>690</v>
      </c>
      <c r="B691" t="s">
        <v>747</v>
      </c>
      <c r="C691">
        <v>135</v>
      </c>
      <c r="D691">
        <v>63</v>
      </c>
      <c r="E691">
        <v>86.805947751439504</v>
      </c>
      <c r="F691">
        <v>2.1454522805632199</v>
      </c>
      <c r="G691">
        <v>5918.1892332703201</v>
      </c>
      <c r="H691">
        <v>394.60348319136602</v>
      </c>
      <c r="I691">
        <v>0.55856815455058495</v>
      </c>
      <c r="J691">
        <v>0.47761381755722898</v>
      </c>
      <c r="K691">
        <v>0.82973181354060299</v>
      </c>
      <c r="L691" t="s">
        <v>144</v>
      </c>
      <c r="M691" t="s">
        <v>34</v>
      </c>
      <c r="N691" t="s">
        <v>35</v>
      </c>
      <c r="O691">
        <v>0.70963503498574998</v>
      </c>
      <c r="P691" t="s">
        <v>36</v>
      </c>
    </row>
    <row r="692" spans="1:16">
      <c r="A692">
        <v>691</v>
      </c>
      <c r="B692" t="s">
        <v>748</v>
      </c>
      <c r="C692">
        <v>110</v>
      </c>
      <c r="D692">
        <v>104</v>
      </c>
      <c r="E692">
        <v>81.540535721716907</v>
      </c>
      <c r="F692">
        <v>1.05759162303665</v>
      </c>
      <c r="G692">
        <v>5222.0016204158801</v>
      </c>
      <c r="H692">
        <v>511.106211089466</v>
      </c>
      <c r="I692">
        <v>0.53836866617466805</v>
      </c>
      <c r="J692">
        <v>0.251202842276189</v>
      </c>
      <c r="K692">
        <v>0.58237331963069205</v>
      </c>
      <c r="L692" t="s">
        <v>33</v>
      </c>
      <c r="M692" t="s">
        <v>34</v>
      </c>
      <c r="N692" t="s">
        <v>35</v>
      </c>
      <c r="O692">
        <v>0.93019292068563497</v>
      </c>
      <c r="P692" t="s">
        <v>36</v>
      </c>
    </row>
    <row r="693" spans="1:16">
      <c r="A693">
        <v>692</v>
      </c>
      <c r="B693" t="s">
        <v>749</v>
      </c>
      <c r="C693">
        <v>105</v>
      </c>
      <c r="D693">
        <v>103</v>
      </c>
      <c r="E693">
        <v>84.891446573016196</v>
      </c>
      <c r="F693">
        <v>1.0265957489980699</v>
      </c>
      <c r="G693">
        <v>5660.0171829867704</v>
      </c>
      <c r="H693">
        <v>540.52525273872504</v>
      </c>
      <c r="I693">
        <v>0.60351192887778604</v>
      </c>
      <c r="J693">
        <v>0.24344207248694899</v>
      </c>
      <c r="K693">
        <v>0.63927546206919705</v>
      </c>
      <c r="L693" t="s">
        <v>33</v>
      </c>
      <c r="M693" t="s">
        <v>34</v>
      </c>
      <c r="N693" t="s">
        <v>35</v>
      </c>
      <c r="O693">
        <v>0.93888034099020701</v>
      </c>
      <c r="P693" t="s">
        <v>36</v>
      </c>
    </row>
    <row r="694" spans="1:16">
      <c r="A694">
        <v>693</v>
      </c>
      <c r="B694" t="s">
        <v>750</v>
      </c>
      <c r="C694">
        <v>62</v>
      </c>
      <c r="D694">
        <v>108</v>
      </c>
      <c r="E694">
        <v>69.631828579115606</v>
      </c>
      <c r="F694">
        <v>0.56938890693937905</v>
      </c>
      <c r="G694">
        <v>3808.0748994328901</v>
      </c>
      <c r="H694">
        <v>353.73763094186802</v>
      </c>
      <c r="I694">
        <v>0.569726228759592</v>
      </c>
      <c r="J694">
        <v>0.38243076296142398</v>
      </c>
      <c r="K694">
        <v>0.79669765850928198</v>
      </c>
      <c r="L694" t="s">
        <v>279</v>
      </c>
      <c r="M694" t="s">
        <v>34</v>
      </c>
      <c r="N694" t="s">
        <v>35</v>
      </c>
      <c r="O694">
        <v>0.85991428201658104</v>
      </c>
      <c r="P694" t="s">
        <v>36</v>
      </c>
    </row>
    <row r="695" spans="1:16">
      <c r="A695">
        <v>694</v>
      </c>
      <c r="B695" t="s">
        <v>751</v>
      </c>
      <c r="C695">
        <v>78</v>
      </c>
      <c r="D695">
        <v>73</v>
      </c>
      <c r="E695">
        <v>67.808804682551894</v>
      </c>
      <c r="F695">
        <v>1.06716419440066</v>
      </c>
      <c r="G695">
        <v>3611.2874529300602</v>
      </c>
      <c r="H695">
        <v>635.57238190101498</v>
      </c>
      <c r="I695">
        <v>0.682803798448962</v>
      </c>
      <c r="J695">
        <v>0.112341932078473</v>
      </c>
      <c r="K695">
        <v>0.64767820013861499</v>
      </c>
      <c r="L695" t="s">
        <v>144</v>
      </c>
      <c r="M695" t="s">
        <v>34</v>
      </c>
      <c r="N695" t="s">
        <v>35</v>
      </c>
      <c r="O695">
        <v>0.74828982619005902</v>
      </c>
      <c r="P695" t="s">
        <v>36</v>
      </c>
    </row>
    <row r="696" spans="1:16">
      <c r="A696">
        <v>695</v>
      </c>
      <c r="B696" t="s">
        <v>752</v>
      </c>
      <c r="C696">
        <v>59</v>
      </c>
      <c r="D696">
        <v>68</v>
      </c>
      <c r="E696">
        <v>58.960932038462303</v>
      </c>
      <c r="F696">
        <v>0.87096774193548399</v>
      </c>
      <c r="G696">
        <v>2730.3515047259002</v>
      </c>
      <c r="H696">
        <v>231.99251569561301</v>
      </c>
      <c r="I696">
        <v>0.70377469333536302</v>
      </c>
      <c r="J696">
        <v>0.63750042246681904</v>
      </c>
      <c r="K696">
        <v>0.90501527244063495</v>
      </c>
      <c r="L696" t="s">
        <v>33</v>
      </c>
      <c r="M696" t="s">
        <v>34</v>
      </c>
      <c r="N696" t="s">
        <v>35</v>
      </c>
      <c r="O696">
        <v>0.95474622373671103</v>
      </c>
      <c r="P696" t="s">
        <v>36</v>
      </c>
    </row>
    <row r="697" spans="1:16">
      <c r="A697">
        <v>696</v>
      </c>
      <c r="B697" t="s">
        <v>753</v>
      </c>
      <c r="C697">
        <v>40</v>
      </c>
      <c r="D697">
        <v>111</v>
      </c>
      <c r="E697">
        <v>58.399785858934301</v>
      </c>
      <c r="F697">
        <v>0.35848406722220399</v>
      </c>
      <c r="G697">
        <v>2678.6279160680501</v>
      </c>
      <c r="H697">
        <v>285.70169905185702</v>
      </c>
      <c r="I697">
        <v>0.69577493289475201</v>
      </c>
      <c r="J697">
        <v>0.41237906389036399</v>
      </c>
      <c r="K697">
        <v>0.822772096420745</v>
      </c>
      <c r="L697" t="s">
        <v>75</v>
      </c>
      <c r="M697" t="s">
        <v>34</v>
      </c>
      <c r="N697" t="s">
        <v>35</v>
      </c>
      <c r="O697">
        <v>0.71805473165033895</v>
      </c>
      <c r="P697" t="s">
        <v>36</v>
      </c>
    </row>
    <row r="698" spans="1:16">
      <c r="A698">
        <v>697</v>
      </c>
      <c r="B698" t="s">
        <v>754</v>
      </c>
      <c r="C698">
        <v>115</v>
      </c>
      <c r="D698">
        <v>67</v>
      </c>
      <c r="E698">
        <v>70.316061060590002</v>
      </c>
      <c r="F698">
        <v>1.7247052866880499</v>
      </c>
      <c r="G698">
        <v>3883.2821863894101</v>
      </c>
      <c r="H698">
        <v>383.63104292175001</v>
      </c>
      <c r="I698">
        <v>0.47750856510148798</v>
      </c>
      <c r="J698">
        <v>0.331574657474838</v>
      </c>
      <c r="K698">
        <v>0.68789657986888197</v>
      </c>
      <c r="L698" t="s">
        <v>144</v>
      </c>
      <c r="M698" t="s">
        <v>34</v>
      </c>
      <c r="N698" t="s">
        <v>35</v>
      </c>
      <c r="O698">
        <v>0.79982032075092402</v>
      </c>
      <c r="P698" t="s">
        <v>36</v>
      </c>
    </row>
    <row r="699" spans="1:16">
      <c r="A699">
        <v>698</v>
      </c>
      <c r="B699" t="s">
        <v>755</v>
      </c>
      <c r="C699">
        <v>50</v>
      </c>
      <c r="D699">
        <v>50</v>
      </c>
      <c r="E699">
        <v>50.933540740830999</v>
      </c>
      <c r="F699">
        <v>1</v>
      </c>
      <c r="G699">
        <v>2037.5</v>
      </c>
      <c r="H699">
        <v>173.63960921764399</v>
      </c>
      <c r="I699">
        <v>0.68758152383409599</v>
      </c>
      <c r="J699">
        <v>0.84919979741775198</v>
      </c>
      <c r="K699">
        <v>0.95882352941176496</v>
      </c>
      <c r="L699" t="s">
        <v>279</v>
      </c>
      <c r="M699" t="s">
        <v>34</v>
      </c>
      <c r="N699" t="s">
        <v>35</v>
      </c>
      <c r="O699">
        <v>0.77193354565633499</v>
      </c>
      <c r="P699" t="s">
        <v>36</v>
      </c>
    </row>
    <row r="700" spans="1:16">
      <c r="A700">
        <v>699</v>
      </c>
      <c r="B700" t="s">
        <v>756</v>
      </c>
      <c r="C700">
        <v>42</v>
      </c>
      <c r="D700">
        <v>89</v>
      </c>
      <c r="E700">
        <v>56.696378860545202</v>
      </c>
      <c r="F700">
        <v>0.475638774532395</v>
      </c>
      <c r="G700">
        <v>2524.64619810964</v>
      </c>
      <c r="H700">
        <v>248.92359992856601</v>
      </c>
      <c r="I700">
        <v>0.79262729988716596</v>
      </c>
      <c r="J700">
        <v>0.51200976376333796</v>
      </c>
      <c r="K700">
        <v>0.87197125256673502</v>
      </c>
      <c r="L700" t="s">
        <v>144</v>
      </c>
      <c r="M700" t="s">
        <v>34</v>
      </c>
      <c r="N700" t="s">
        <v>35</v>
      </c>
      <c r="O700">
        <v>0.71523195726014399</v>
      </c>
      <c r="P700" t="s">
        <v>36</v>
      </c>
    </row>
    <row r="701" spans="1:16">
      <c r="A701">
        <v>700</v>
      </c>
      <c r="B701" t="s">
        <v>757</v>
      </c>
      <c r="C701">
        <v>75</v>
      </c>
      <c r="D701">
        <v>61</v>
      </c>
      <c r="E701">
        <v>66.078746360684306</v>
      </c>
      <c r="F701">
        <v>1.21785952525584</v>
      </c>
      <c r="G701">
        <v>3429.3631066162602</v>
      </c>
      <c r="H701">
        <v>251.42385046036301</v>
      </c>
      <c r="I701">
        <v>0.59378626273202095</v>
      </c>
      <c r="J701">
        <v>0.68172683418580704</v>
      </c>
      <c r="K701">
        <v>0.91635887048731102</v>
      </c>
      <c r="L701" t="s">
        <v>132</v>
      </c>
      <c r="M701" t="s">
        <v>34</v>
      </c>
      <c r="N701" t="s">
        <v>35</v>
      </c>
      <c r="O701">
        <v>0.74264739553024195</v>
      </c>
      <c r="P701" t="s">
        <v>36</v>
      </c>
    </row>
    <row r="702" spans="1:16">
      <c r="A702">
        <v>701</v>
      </c>
      <c r="B702" t="s">
        <v>758</v>
      </c>
      <c r="C702">
        <v>90</v>
      </c>
      <c r="D702">
        <v>102</v>
      </c>
      <c r="E702">
        <v>84.056955474962706</v>
      </c>
      <c r="F702">
        <v>0.88235292197698501</v>
      </c>
      <c r="G702">
        <v>5549.2870865784498</v>
      </c>
      <c r="H702">
        <v>413.57925210247902</v>
      </c>
      <c r="I702">
        <v>0.45619378146773898</v>
      </c>
      <c r="J702">
        <v>0.40768954107982902</v>
      </c>
      <c r="K702">
        <v>0.77502387179806498</v>
      </c>
      <c r="L702" t="s">
        <v>331</v>
      </c>
      <c r="M702" t="s">
        <v>34</v>
      </c>
      <c r="N702" t="s">
        <v>35</v>
      </c>
      <c r="O702">
        <v>0.74133501042627803</v>
      </c>
      <c r="P702" t="s">
        <v>36</v>
      </c>
    </row>
    <row r="703" spans="1:16">
      <c r="A703">
        <v>702</v>
      </c>
      <c r="B703" t="s">
        <v>759</v>
      </c>
      <c r="C703">
        <v>93</v>
      </c>
      <c r="D703">
        <v>123</v>
      </c>
      <c r="E703">
        <v>88.457979599760705</v>
      </c>
      <c r="F703">
        <v>0.75481424732756697</v>
      </c>
      <c r="G703">
        <v>6145.5946661625703</v>
      </c>
      <c r="H703">
        <v>548.08469453915302</v>
      </c>
      <c r="I703">
        <v>0.59931946454468199</v>
      </c>
      <c r="J703">
        <v>0.25708600056360997</v>
      </c>
      <c r="K703">
        <v>0.68438824152542399</v>
      </c>
      <c r="L703" t="s">
        <v>33</v>
      </c>
      <c r="M703" t="s">
        <v>34</v>
      </c>
      <c r="N703" t="s">
        <v>35</v>
      </c>
      <c r="O703">
        <v>0.91749105290476196</v>
      </c>
      <c r="P703" t="s">
        <v>36</v>
      </c>
    </row>
    <row r="704" spans="1:16">
      <c r="A704">
        <v>703</v>
      </c>
      <c r="B704" t="s">
        <v>760</v>
      </c>
      <c r="C704">
        <v>102</v>
      </c>
      <c r="D704">
        <v>75</v>
      </c>
      <c r="E704">
        <v>69.924731039985502</v>
      </c>
      <c r="F704">
        <v>1.34916042599232</v>
      </c>
      <c r="G704">
        <v>3840.17919584121</v>
      </c>
      <c r="H704">
        <v>473.71204751418998</v>
      </c>
      <c r="I704">
        <v>0.72094969682350696</v>
      </c>
      <c r="J704">
        <v>0.215046557506958</v>
      </c>
      <c r="K704">
        <v>0.61411389998098498</v>
      </c>
      <c r="L704" t="s">
        <v>83</v>
      </c>
      <c r="M704" t="s">
        <v>34</v>
      </c>
      <c r="N704" t="s">
        <v>35</v>
      </c>
      <c r="O704">
        <v>0.77837687189803295</v>
      </c>
      <c r="P704" t="s">
        <v>36</v>
      </c>
    </row>
    <row r="705" spans="1:16">
      <c r="A705">
        <v>704</v>
      </c>
      <c r="B705" t="s">
        <v>761</v>
      </c>
      <c r="C705">
        <v>74</v>
      </c>
      <c r="D705">
        <v>109</v>
      </c>
      <c r="E705">
        <v>66.360240851191804</v>
      </c>
      <c r="F705">
        <v>0.67999995117186796</v>
      </c>
      <c r="G705">
        <v>3458.6434139886601</v>
      </c>
      <c r="H705">
        <v>586.501200453509</v>
      </c>
      <c r="I705">
        <v>0.67987792912282097</v>
      </c>
      <c r="J705">
        <v>0.12635075514615801</v>
      </c>
      <c r="K705">
        <v>0.64424141749723096</v>
      </c>
      <c r="L705" t="s">
        <v>33</v>
      </c>
      <c r="M705" t="s">
        <v>34</v>
      </c>
      <c r="N705" t="s">
        <v>35</v>
      </c>
      <c r="O705">
        <v>0.89294892812184501</v>
      </c>
      <c r="P705" t="s">
        <v>36</v>
      </c>
    </row>
    <row r="706" spans="1:16">
      <c r="A706">
        <v>705</v>
      </c>
      <c r="B706" t="s">
        <v>762</v>
      </c>
      <c r="C706">
        <v>72</v>
      </c>
      <c r="D706">
        <v>108</v>
      </c>
      <c r="E706">
        <v>69.502614905478197</v>
      </c>
      <c r="F706">
        <v>0.66755796789765398</v>
      </c>
      <c r="G706">
        <v>3793.95495425331</v>
      </c>
      <c r="H706">
        <v>358.65123508494798</v>
      </c>
      <c r="I706">
        <v>0.69507163208969402</v>
      </c>
      <c r="J706">
        <v>0.370644340157955</v>
      </c>
      <c r="K706">
        <v>0.67502313896601895</v>
      </c>
      <c r="L706" t="s">
        <v>83</v>
      </c>
      <c r="M706" t="s">
        <v>34</v>
      </c>
      <c r="N706" t="s">
        <v>35</v>
      </c>
      <c r="O706">
        <v>0.819002486268673</v>
      </c>
      <c r="P706" t="s">
        <v>36</v>
      </c>
    </row>
    <row r="707" spans="1:16">
      <c r="A707">
        <v>706</v>
      </c>
      <c r="B707" t="s">
        <v>763</v>
      </c>
      <c r="C707">
        <v>132</v>
      </c>
      <c r="D707">
        <v>103</v>
      </c>
      <c r="E707">
        <v>83.640547254261193</v>
      </c>
      <c r="F707">
        <v>1.2872340425531901</v>
      </c>
      <c r="G707">
        <v>5494.4422468809098</v>
      </c>
      <c r="H707">
        <v>753.68369364458601</v>
      </c>
      <c r="I707">
        <v>0.58161172766639402</v>
      </c>
      <c r="J707">
        <v>0.121550077045763</v>
      </c>
      <c r="K707">
        <v>0.53258896412620704</v>
      </c>
      <c r="L707" t="s">
        <v>83</v>
      </c>
      <c r="M707" t="s">
        <v>34</v>
      </c>
      <c r="N707" t="s">
        <v>35</v>
      </c>
      <c r="O707">
        <v>0.81140132733834103</v>
      </c>
      <c r="P707" t="s">
        <v>36</v>
      </c>
    </row>
    <row r="708" spans="1:16">
      <c r="A708">
        <v>707</v>
      </c>
      <c r="B708" t="s">
        <v>764</v>
      </c>
      <c r="C708">
        <v>74</v>
      </c>
      <c r="D708">
        <v>190</v>
      </c>
      <c r="E708">
        <v>86.286628177052705</v>
      </c>
      <c r="F708">
        <v>0.39072355852108298</v>
      </c>
      <c r="G708">
        <v>5847.5895073723996</v>
      </c>
      <c r="H708">
        <v>584.87219590093798</v>
      </c>
      <c r="I708">
        <v>0.52206577189695103</v>
      </c>
      <c r="J708">
        <v>0.21481509215637701</v>
      </c>
      <c r="K708">
        <v>0.60106025421657305</v>
      </c>
      <c r="L708" t="s">
        <v>75</v>
      </c>
      <c r="M708" t="s">
        <v>34</v>
      </c>
      <c r="N708" t="s">
        <v>35</v>
      </c>
      <c r="O708">
        <v>0.75880451136021598</v>
      </c>
      <c r="P708" t="s">
        <v>36</v>
      </c>
    </row>
    <row r="709" spans="1:16">
      <c r="A709">
        <v>708</v>
      </c>
      <c r="B709" t="s">
        <v>765</v>
      </c>
      <c r="C709">
        <v>85</v>
      </c>
      <c r="D709">
        <v>262</v>
      </c>
      <c r="E709">
        <v>98.369485257380603</v>
      </c>
      <c r="F709">
        <v>0.32437550164413897</v>
      </c>
      <c r="G709">
        <v>7599.9490196597399</v>
      </c>
      <c r="H709">
        <v>879.23868300862898</v>
      </c>
      <c r="I709">
        <v>0.83952830667595302</v>
      </c>
      <c r="J709">
        <v>0.123539821340044</v>
      </c>
      <c r="K709">
        <v>0.51631762828927397</v>
      </c>
      <c r="L709" t="s">
        <v>45</v>
      </c>
      <c r="M709" t="s">
        <v>34</v>
      </c>
      <c r="N709" t="s">
        <v>35</v>
      </c>
      <c r="O709">
        <v>0.82271434174117197</v>
      </c>
      <c r="P709" t="s">
        <v>36</v>
      </c>
    </row>
    <row r="710" spans="1:16">
      <c r="A710">
        <v>709</v>
      </c>
      <c r="B710" t="s">
        <v>766</v>
      </c>
      <c r="C710">
        <v>109</v>
      </c>
      <c r="D710">
        <v>87</v>
      </c>
      <c r="E710">
        <v>68.6726459369076</v>
      </c>
      <c r="F710">
        <v>1.25</v>
      </c>
      <c r="G710">
        <v>3703.8845671077502</v>
      </c>
      <c r="H710">
        <v>771.38583169356605</v>
      </c>
      <c r="I710">
        <v>0.63343546285601005</v>
      </c>
      <c r="J710">
        <v>7.8221113102977594E-2</v>
      </c>
      <c r="K710">
        <v>0.43280419604710102</v>
      </c>
      <c r="L710" t="s">
        <v>83</v>
      </c>
      <c r="M710" t="s">
        <v>34</v>
      </c>
      <c r="N710" t="s">
        <v>35</v>
      </c>
      <c r="O710">
        <v>0.68625099144332502</v>
      </c>
      <c r="P710" t="s">
        <v>36</v>
      </c>
    </row>
    <row r="711" spans="1:16">
      <c r="A711">
        <v>710</v>
      </c>
      <c r="B711" t="s">
        <v>767</v>
      </c>
      <c r="C711">
        <v>108</v>
      </c>
      <c r="D711">
        <v>80</v>
      </c>
      <c r="E711">
        <v>69.407250902600694</v>
      </c>
      <c r="F711">
        <v>1.3554333633229401</v>
      </c>
      <c r="G711">
        <v>3783.5507841209801</v>
      </c>
      <c r="H711">
        <v>497.00805359757499</v>
      </c>
      <c r="I711">
        <v>0.67199953882021402</v>
      </c>
      <c r="J711">
        <v>0.19247865678683601</v>
      </c>
      <c r="K711">
        <v>0.55324697904894404</v>
      </c>
      <c r="L711" t="s">
        <v>33</v>
      </c>
      <c r="M711" t="s">
        <v>34</v>
      </c>
      <c r="N711" t="s">
        <v>35</v>
      </c>
      <c r="O711">
        <v>0.94225702711264603</v>
      </c>
      <c r="P711" t="s">
        <v>36</v>
      </c>
    </row>
    <row r="712" spans="1:16">
      <c r="A712">
        <v>711</v>
      </c>
      <c r="B712" t="s">
        <v>768</v>
      </c>
      <c r="C712">
        <v>49</v>
      </c>
      <c r="D712">
        <v>63</v>
      </c>
      <c r="E712">
        <v>50.428619612739503</v>
      </c>
      <c r="F712">
        <v>0.76724137931034497</v>
      </c>
      <c r="G712">
        <v>1997.30340340265</v>
      </c>
      <c r="H712">
        <v>370.87071573133102</v>
      </c>
      <c r="I712">
        <v>0.61372046104800904</v>
      </c>
      <c r="J712">
        <v>0.182477289449505</v>
      </c>
      <c r="K712">
        <v>0.74502411709264305</v>
      </c>
      <c r="L712" t="s">
        <v>75</v>
      </c>
      <c r="M712" t="s">
        <v>34</v>
      </c>
      <c r="N712" t="s">
        <v>35</v>
      </c>
      <c r="O712">
        <v>0.80774673141519504</v>
      </c>
      <c r="P712" t="s">
        <v>36</v>
      </c>
    </row>
    <row r="713" spans="1:16">
      <c r="A713">
        <v>712</v>
      </c>
      <c r="B713" t="s">
        <v>769</v>
      </c>
      <c r="C713">
        <v>68</v>
      </c>
      <c r="D713">
        <v>169</v>
      </c>
      <c r="E713">
        <v>78.232369465354296</v>
      </c>
      <c r="F713">
        <v>0.40105048805641602</v>
      </c>
      <c r="G713">
        <v>4806.8752321361098</v>
      </c>
      <c r="H713">
        <v>596.86697850963299</v>
      </c>
      <c r="I713">
        <v>0.75145546095484606</v>
      </c>
      <c r="J713">
        <v>0.169557735977725</v>
      </c>
      <c r="K713">
        <v>0.58271022143745199</v>
      </c>
      <c r="L713" t="s">
        <v>96</v>
      </c>
      <c r="M713" t="s">
        <v>34</v>
      </c>
      <c r="N713" t="s">
        <v>35</v>
      </c>
      <c r="O713">
        <v>0.66481520682463202</v>
      </c>
      <c r="P713" t="s">
        <v>36</v>
      </c>
    </row>
    <row r="714" spans="1:16">
      <c r="A714">
        <v>713</v>
      </c>
      <c r="B714" t="s">
        <v>770</v>
      </c>
      <c r="C714">
        <v>97</v>
      </c>
      <c r="D714">
        <v>75</v>
      </c>
      <c r="E714">
        <v>61.782106401197701</v>
      </c>
      <c r="F714">
        <v>1.29593687824398</v>
      </c>
      <c r="G714">
        <v>2997.8873081285401</v>
      </c>
      <c r="H714">
        <v>434.99496511024</v>
      </c>
      <c r="I714">
        <v>0.68694775969872302</v>
      </c>
      <c r="J714">
        <v>0.19909332840933</v>
      </c>
      <c r="K714">
        <v>0.62889748066849605</v>
      </c>
      <c r="L714" t="s">
        <v>83</v>
      </c>
      <c r="M714" t="s">
        <v>34</v>
      </c>
      <c r="N714" t="s">
        <v>35</v>
      </c>
      <c r="O714">
        <v>0.85471996328517097</v>
      </c>
      <c r="P714" t="s">
        <v>36</v>
      </c>
    </row>
    <row r="715" spans="1:16">
      <c r="A715">
        <v>714</v>
      </c>
      <c r="B715" t="s">
        <v>771</v>
      </c>
      <c r="C715">
        <v>49</v>
      </c>
      <c r="D715">
        <v>134</v>
      </c>
      <c r="E715">
        <v>63.771696376112303</v>
      </c>
      <c r="F715">
        <v>0.36319192487844398</v>
      </c>
      <c r="G715">
        <v>3194.0802306238202</v>
      </c>
      <c r="H715">
        <v>388.91882523225701</v>
      </c>
      <c r="I715">
        <v>0.76465028762363496</v>
      </c>
      <c r="J715">
        <v>0.26536140276196901</v>
      </c>
      <c r="K715">
        <v>0.639335971201618</v>
      </c>
      <c r="L715" t="s">
        <v>83</v>
      </c>
      <c r="M715" t="s">
        <v>34</v>
      </c>
      <c r="N715" t="s">
        <v>35</v>
      </c>
      <c r="O715">
        <v>0.7952134229708</v>
      </c>
      <c r="P715" t="s">
        <v>36</v>
      </c>
    </row>
    <row r="716" spans="1:16">
      <c r="A716">
        <v>715</v>
      </c>
      <c r="B716" t="s">
        <v>772</v>
      </c>
      <c r="C716">
        <v>111</v>
      </c>
      <c r="D716">
        <v>46</v>
      </c>
      <c r="E716">
        <v>62.046496176151003</v>
      </c>
      <c r="F716">
        <v>2.4166666666666701</v>
      </c>
      <c r="G716">
        <v>3023.6004714555802</v>
      </c>
      <c r="H716">
        <v>310.82320101002</v>
      </c>
      <c r="I716">
        <v>0.93244272463852096</v>
      </c>
      <c r="J716">
        <v>0.39328502569961499</v>
      </c>
      <c r="K716">
        <v>0.82554175797419005</v>
      </c>
      <c r="L716" t="s">
        <v>75</v>
      </c>
      <c r="M716" t="s">
        <v>34</v>
      </c>
      <c r="N716" t="s">
        <v>35</v>
      </c>
      <c r="O716">
        <v>0.83985644042224605</v>
      </c>
      <c r="P716" t="s">
        <v>36</v>
      </c>
    </row>
    <row r="717" spans="1:16">
      <c r="A717">
        <v>716</v>
      </c>
      <c r="B717" t="s">
        <v>773</v>
      </c>
      <c r="C717">
        <v>102</v>
      </c>
      <c r="D717">
        <v>139</v>
      </c>
      <c r="E717">
        <v>84.796651215593002</v>
      </c>
      <c r="F717">
        <v>0.72954713594990195</v>
      </c>
      <c r="G717">
        <v>5647.3835478260899</v>
      </c>
      <c r="H717">
        <v>821.40413757220597</v>
      </c>
      <c r="I717">
        <v>0.562554184384355</v>
      </c>
      <c r="J717">
        <v>0.10518247263550801</v>
      </c>
      <c r="K717">
        <v>0.56272863257356998</v>
      </c>
      <c r="L717" t="s">
        <v>83</v>
      </c>
      <c r="M717" t="s">
        <v>34</v>
      </c>
      <c r="N717" t="s">
        <v>35</v>
      </c>
      <c r="O717">
        <v>0.84483418561590096</v>
      </c>
      <c r="P717" t="s">
        <v>36</v>
      </c>
    </row>
    <row r="718" spans="1:16">
      <c r="A718">
        <v>717</v>
      </c>
      <c r="B718" t="s">
        <v>774</v>
      </c>
      <c r="C718">
        <v>125</v>
      </c>
      <c r="D718">
        <v>55</v>
      </c>
      <c r="E718">
        <v>73.6611942961881</v>
      </c>
      <c r="F718">
        <v>2.2849678261470099</v>
      </c>
      <c r="G718">
        <v>4261.5480862003797</v>
      </c>
      <c r="H718">
        <v>383.54414600123499</v>
      </c>
      <c r="I718">
        <v>0.55856807472916403</v>
      </c>
      <c r="J718">
        <v>0.364037849541753</v>
      </c>
      <c r="K718">
        <v>0.73435098862821402</v>
      </c>
      <c r="L718" t="s">
        <v>33</v>
      </c>
      <c r="M718" t="s">
        <v>34</v>
      </c>
      <c r="N718" t="s">
        <v>35</v>
      </c>
      <c r="O718">
        <v>0.94723251496266903</v>
      </c>
      <c r="P718" t="s">
        <v>36</v>
      </c>
    </row>
  </sheetData>
  <sortState xmlns:xlrd2="http://schemas.microsoft.com/office/spreadsheetml/2017/richdata2" ref="A2:P718">
    <sortCondition ref="A2:A71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1071-184E-4BCA-ACD2-9F00930B7F85}">
  <dimension ref="A1:AW718"/>
  <sheetViews>
    <sheetView topLeftCell="AD1" workbookViewId="0">
      <selection activeCell="V3" sqref="V3"/>
    </sheetView>
  </sheetViews>
  <sheetFormatPr defaultRowHeight="15"/>
  <sheetData>
    <row r="1" spans="1:4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49">
      <c r="A2">
        <v>1</v>
      </c>
      <c r="B2" t="s">
        <v>32</v>
      </c>
      <c r="C2">
        <v>953</v>
      </c>
      <c r="D2">
        <v>477</v>
      </c>
      <c r="E2">
        <v>498.64593409800102</v>
      </c>
      <c r="F2">
        <v>1.9981132386237399</v>
      </c>
      <c r="G2">
        <v>195287.5</v>
      </c>
      <c r="H2">
        <v>4639.5183533430099</v>
      </c>
      <c r="I2">
        <v>0.74150155862212297</v>
      </c>
      <c r="J2">
        <v>0.114008837044517</v>
      </c>
      <c r="K2">
        <v>0.61334013819095501</v>
      </c>
      <c r="L2" t="s">
        <v>33</v>
      </c>
      <c r="M2" t="s">
        <v>34</v>
      </c>
      <c r="N2" t="s">
        <v>35</v>
      </c>
      <c r="O2">
        <v>0.89063731401171298</v>
      </c>
      <c r="P2" t="s">
        <v>36</v>
      </c>
      <c r="R2" t="s">
        <v>144</v>
      </c>
      <c r="S2">
        <f>COUNTIF($L$2:$L$4000, "Rubber")</f>
        <v>18</v>
      </c>
      <c r="V2" t="s">
        <v>144</v>
      </c>
      <c r="W2" t="s">
        <v>241</v>
      </c>
      <c r="X2" t="s">
        <v>99</v>
      </c>
      <c r="Y2" t="s">
        <v>75</v>
      </c>
      <c r="Z2" t="s">
        <v>340</v>
      </c>
      <c r="AA2" t="s">
        <v>512</v>
      </c>
      <c r="AB2" t="s">
        <v>775</v>
      </c>
      <c r="AC2" t="s">
        <v>776</v>
      </c>
      <c r="AD2" t="s">
        <v>33</v>
      </c>
      <c r="AE2" t="s">
        <v>643</v>
      </c>
      <c r="AF2" t="s">
        <v>777</v>
      </c>
      <c r="AG2" t="s">
        <v>778</v>
      </c>
      <c r="AH2" t="s">
        <v>779</v>
      </c>
      <c r="AI2" t="s">
        <v>169</v>
      </c>
      <c r="AJ2" t="s">
        <v>321</v>
      </c>
      <c r="AK2" t="s">
        <v>52</v>
      </c>
      <c r="AL2" t="s">
        <v>780</v>
      </c>
      <c r="AM2" t="s">
        <v>781</v>
      </c>
      <c r="AN2" t="s">
        <v>185</v>
      </c>
      <c r="AO2" t="s">
        <v>782</v>
      </c>
      <c r="AP2" t="s">
        <v>331</v>
      </c>
      <c r="AQ2" t="s">
        <v>783</v>
      </c>
      <c r="AR2" t="s">
        <v>784</v>
      </c>
      <c r="AS2" t="s">
        <v>785</v>
      </c>
      <c r="AT2" t="s">
        <v>786</v>
      </c>
      <c r="AU2" t="s">
        <v>201</v>
      </c>
      <c r="AV2" t="s">
        <v>325</v>
      </c>
      <c r="AW2" t="s">
        <v>70</v>
      </c>
    </row>
    <row r="3" spans="1:49">
      <c r="A3">
        <v>2</v>
      </c>
      <c r="B3" t="s">
        <v>37</v>
      </c>
      <c r="C3">
        <v>1000</v>
      </c>
      <c r="D3">
        <v>547</v>
      </c>
      <c r="E3">
        <v>479.67728863054703</v>
      </c>
      <c r="F3">
        <v>1.82881655270081</v>
      </c>
      <c r="G3">
        <v>180712.5</v>
      </c>
      <c r="H3">
        <v>7037.4577254056903</v>
      </c>
      <c r="I3">
        <v>0.60949591436177297</v>
      </c>
      <c r="J3">
        <v>4.5852863243089799E-2</v>
      </c>
      <c r="K3">
        <v>0.46636988289944797</v>
      </c>
      <c r="L3" t="s">
        <v>33</v>
      </c>
      <c r="M3" t="s">
        <v>34</v>
      </c>
      <c r="N3" t="s">
        <v>35</v>
      </c>
      <c r="O3">
        <v>0.90414445421604095</v>
      </c>
      <c r="P3" t="s">
        <v>36</v>
      </c>
      <c r="R3" t="s">
        <v>241</v>
      </c>
      <c r="S3">
        <f>COUNTIF($L$2:$L$4000, "Polyvinylchloride (PVC)")</f>
        <v>5</v>
      </c>
      <c r="V3">
        <f>COUNTIF($L$2:$L$4000, "Rubber")</f>
        <v>18</v>
      </c>
      <c r="W3">
        <f>COUNTIF($L$2:$L$4000, "Polyvinylchloride (PVC)")</f>
        <v>5</v>
      </c>
      <c r="X3">
        <f>COUNTIF($L$2:$L$4000, "Polyvinyl alcohol")</f>
        <v>1</v>
      </c>
      <c r="Y3">
        <f>COUNTIF($L$2:$L$4000, "Polyurethane (PU)")</f>
        <v>41</v>
      </c>
      <c r="Z3">
        <f>COUNTIF($L$2:$L$4000, "Polytetrafluoroethylene (PTFE)")</f>
        <v>1</v>
      </c>
      <c r="AA3">
        <f>COUNTIF($L$2:$L$4000, "Polysulfones")</f>
        <v>1</v>
      </c>
      <c r="AB3">
        <f>COUNTIF($L$2:$L$4000, "Polysulfone")</f>
        <v>0</v>
      </c>
      <c r="AC3">
        <f>COUNTIF($L$2:$L$4000, "Polystyrene (PS)")</f>
        <v>0</v>
      </c>
      <c r="AD3">
        <f>COUNTIF($L$2:$L$4000, "Polypropylene (PP)")</f>
        <v>385</v>
      </c>
      <c r="AE3">
        <f>COUNTIF($L$2:$L$4000, "Polymethylmethacrylate (PMMA)")</f>
        <v>1</v>
      </c>
      <c r="AF3">
        <f>COUNTIF($L$2:$L$4000, "Polylactic acid (PLA)")</f>
        <v>0</v>
      </c>
      <c r="AG3">
        <f>COUNTIF($L$2:$L$4000, "Polyisoprene Chlorinated")</f>
        <v>0</v>
      </c>
      <c r="AH3">
        <f>COUNTIF($L$2:$L$4000, "Polyimide")</f>
        <v>0</v>
      </c>
      <c r="AI3">
        <f>COUNTIF($L$2:$L$4000, "Polyethylene Terephthalate (PET)")</f>
        <v>7</v>
      </c>
      <c r="AJ3">
        <f>COUNTIF($L$2:$L$4000, "Polyethylene Chlorinated")</f>
        <v>12</v>
      </c>
      <c r="AK3">
        <f>COUNTIF($L$2:$L$4000, "Polyethylene (PE)")</f>
        <v>32</v>
      </c>
      <c r="AL3">
        <f>COUNTIF($L$2:$L$4000, "Polyether")</f>
        <v>0</v>
      </c>
      <c r="AM3">
        <f>COUNTIF($L$2:$L$4000, "Polycarbonate (PC)")</f>
        <v>0</v>
      </c>
      <c r="AN3">
        <f>COUNTIF($L$2:$L$4000, "Polycaprolactone")</f>
        <v>1</v>
      </c>
      <c r="AO3">
        <f>COUNTIF($L$2:$L$4000, "Polybutadiene")</f>
        <v>0</v>
      </c>
      <c r="AP3">
        <f>COUNTIF($L$2:$L$4000, "Polyamide (PA)")</f>
        <v>11</v>
      </c>
      <c r="AQ3">
        <f>COUNTIF($L$2:$L$4000, "Polyacetal")</f>
        <v>0</v>
      </c>
      <c r="AR3">
        <f>COUNTIF($L$2:$L$4000, "Ethylene Vinyl Acetate (EVA)")</f>
        <v>0</v>
      </c>
      <c r="AS3">
        <f>COUNTIF($L$2:$L$4000, "Cellulose chemically modified")</f>
        <v>0</v>
      </c>
      <c r="AT3">
        <f>COUNTIF($L$2:$L$4000, "Cellulose Acetate")</f>
        <v>0</v>
      </c>
      <c r="AU3">
        <f>COUNTIF($L$2:$L$4000, "Alkyd Varnish")</f>
        <v>1</v>
      </c>
      <c r="AV3">
        <f>COUNTIF($L$2:$L$4000, "Acrylonitrile Butadiene")</f>
        <v>1</v>
      </c>
      <c r="AW3">
        <f>COUNTIF($L$2:$L$4000, "Acrylates")</f>
        <v>11</v>
      </c>
    </row>
    <row r="4" spans="1:49">
      <c r="A4">
        <v>3</v>
      </c>
      <c r="B4" t="s">
        <v>38</v>
      </c>
      <c r="C4">
        <v>430</v>
      </c>
      <c r="D4">
        <v>1179</v>
      </c>
      <c r="E4">
        <v>455.73808348098697</v>
      </c>
      <c r="F4">
        <v>0.36463916144442399</v>
      </c>
      <c r="G4">
        <v>163125</v>
      </c>
      <c r="H4">
        <v>6429.9703562259701</v>
      </c>
      <c r="I4">
        <v>0.79572097917999496</v>
      </c>
      <c r="J4">
        <v>4.9580676395791903E-2</v>
      </c>
      <c r="K4">
        <v>0.44489141922067299</v>
      </c>
      <c r="L4" t="s">
        <v>33</v>
      </c>
      <c r="M4" t="s">
        <v>34</v>
      </c>
      <c r="N4" t="s">
        <v>35</v>
      </c>
      <c r="O4">
        <v>0.87093358073418004</v>
      </c>
      <c r="P4" t="s">
        <v>36</v>
      </c>
      <c r="R4" t="s">
        <v>99</v>
      </c>
      <c r="S4">
        <f>COUNTIF($L$2:$L$4000, "Polyvinyl alcohol")</f>
        <v>1</v>
      </c>
    </row>
    <row r="5" spans="1:49">
      <c r="A5">
        <v>4</v>
      </c>
      <c r="B5" t="s">
        <v>39</v>
      </c>
      <c r="C5">
        <v>506</v>
      </c>
      <c r="D5">
        <v>603</v>
      </c>
      <c r="E5">
        <v>443.615922993222</v>
      </c>
      <c r="F5">
        <v>0.83914307152140699</v>
      </c>
      <c r="G5">
        <v>154562.5</v>
      </c>
      <c r="H5">
        <v>3756.2593442201601</v>
      </c>
      <c r="I5">
        <v>0.80069018403329195</v>
      </c>
      <c r="J5">
        <v>0.13765844464243701</v>
      </c>
      <c r="K5">
        <v>0.64897916338634298</v>
      </c>
      <c r="L5" t="s">
        <v>33</v>
      </c>
      <c r="M5" t="s">
        <v>34</v>
      </c>
      <c r="N5" t="s">
        <v>35</v>
      </c>
      <c r="O5">
        <v>0.84601803440938195</v>
      </c>
      <c r="P5" t="s">
        <v>36</v>
      </c>
      <c r="R5" t="s">
        <v>75</v>
      </c>
      <c r="S5">
        <f>COUNTIF($L$2:$L$4000, "Polyurethane (PU)")</f>
        <v>41</v>
      </c>
    </row>
    <row r="6" spans="1:49">
      <c r="A6">
        <v>5</v>
      </c>
      <c r="B6" t="s">
        <v>40</v>
      </c>
      <c r="C6">
        <v>378</v>
      </c>
      <c r="D6">
        <v>704</v>
      </c>
      <c r="E6">
        <v>430.91306792126198</v>
      </c>
      <c r="F6">
        <v>0.53719004590531105</v>
      </c>
      <c r="G6">
        <v>145837.5</v>
      </c>
      <c r="H6">
        <v>3249.2745012044902</v>
      </c>
      <c r="I6">
        <v>0.87452114666792902</v>
      </c>
      <c r="J6">
        <v>0.17358263233572299</v>
      </c>
      <c r="K6">
        <v>0.76938802426800301</v>
      </c>
      <c r="L6" t="s">
        <v>33</v>
      </c>
      <c r="M6" t="s">
        <v>34</v>
      </c>
      <c r="N6" t="s">
        <v>35</v>
      </c>
      <c r="O6">
        <v>0.93548111920196597</v>
      </c>
      <c r="P6" t="s">
        <v>36</v>
      </c>
      <c r="R6" t="s">
        <v>340</v>
      </c>
      <c r="S6">
        <f>COUNTIF($L$2:$L$4000, "Polytetrafluoroethylene (PTFE)")</f>
        <v>1</v>
      </c>
    </row>
    <row r="7" spans="1:49">
      <c r="A7">
        <v>6</v>
      </c>
      <c r="B7" t="s">
        <v>41</v>
      </c>
      <c r="C7">
        <v>700</v>
      </c>
      <c r="D7">
        <v>449</v>
      </c>
      <c r="E7">
        <v>429.84063725453098</v>
      </c>
      <c r="F7">
        <v>1.5601611355076801</v>
      </c>
      <c r="G7">
        <v>145112.5</v>
      </c>
      <c r="H7">
        <v>4398.0969995260202</v>
      </c>
      <c r="I7">
        <v>0.63449423039522501</v>
      </c>
      <c r="J7">
        <v>9.42725123952214E-2</v>
      </c>
      <c r="K7">
        <v>0.60215778826702604</v>
      </c>
      <c r="L7" t="s">
        <v>33</v>
      </c>
      <c r="M7" t="s">
        <v>34</v>
      </c>
      <c r="N7" t="s">
        <v>35</v>
      </c>
      <c r="O7">
        <v>0.86459004686364704</v>
      </c>
      <c r="P7" t="s">
        <v>36</v>
      </c>
      <c r="R7" t="s">
        <v>512</v>
      </c>
      <c r="S7">
        <f>COUNTIF($L$2:$L$4000, "Polysulfones")</f>
        <v>1</v>
      </c>
    </row>
    <row r="8" spans="1:49">
      <c r="A8">
        <v>7</v>
      </c>
      <c r="B8" t="s">
        <v>42</v>
      </c>
      <c r="C8">
        <v>508</v>
      </c>
      <c r="D8">
        <v>453</v>
      </c>
      <c r="E8">
        <v>426.924162854293</v>
      </c>
      <c r="F8">
        <v>1.1217747701217999</v>
      </c>
      <c r="G8">
        <v>143150</v>
      </c>
      <c r="H8">
        <v>2631.78713202477</v>
      </c>
      <c r="I8">
        <v>0.70946207178717902</v>
      </c>
      <c r="J8">
        <v>0.25971659360468002</v>
      </c>
      <c r="K8">
        <v>0.81975662133142402</v>
      </c>
      <c r="L8" t="s">
        <v>33</v>
      </c>
      <c r="M8" t="s">
        <v>34</v>
      </c>
      <c r="N8" t="s">
        <v>35</v>
      </c>
      <c r="O8">
        <v>0.74820019724389097</v>
      </c>
      <c r="P8" t="s">
        <v>36</v>
      </c>
      <c r="R8" t="s">
        <v>775</v>
      </c>
      <c r="S8">
        <f>COUNTIF($L$2:$L$4000, "Polysulfone")</f>
        <v>0</v>
      </c>
    </row>
    <row r="9" spans="1:49">
      <c r="A9">
        <v>8</v>
      </c>
      <c r="B9" t="s">
        <v>43</v>
      </c>
      <c r="C9">
        <v>457</v>
      </c>
      <c r="D9">
        <v>616</v>
      </c>
      <c r="E9">
        <v>423.085764940697</v>
      </c>
      <c r="F9">
        <v>0.74276117601823999</v>
      </c>
      <c r="G9">
        <v>140587.5</v>
      </c>
      <c r="H9">
        <v>3648.9801257848699</v>
      </c>
      <c r="I9">
        <v>0.76918191960632398</v>
      </c>
      <c r="J9">
        <v>0.13268247871202299</v>
      </c>
      <c r="K9">
        <v>0.62407058040173102</v>
      </c>
      <c r="L9" t="s">
        <v>33</v>
      </c>
      <c r="M9" t="s">
        <v>34</v>
      </c>
      <c r="N9" t="s">
        <v>35</v>
      </c>
      <c r="O9">
        <v>0.93471601796302295</v>
      </c>
      <c r="P9" t="s">
        <v>36</v>
      </c>
      <c r="R9" t="s">
        <v>776</v>
      </c>
      <c r="S9">
        <f>COUNTIF($L$2:$L$4000, "Polystyrene (PS)")</f>
        <v>0</v>
      </c>
    </row>
    <row r="10" spans="1:49">
      <c r="A10">
        <v>9</v>
      </c>
      <c r="B10" t="s">
        <v>44</v>
      </c>
      <c r="C10">
        <v>480</v>
      </c>
      <c r="D10">
        <v>597</v>
      </c>
      <c r="E10">
        <v>390.67837209798</v>
      </c>
      <c r="F10">
        <v>0.80437641641675395</v>
      </c>
      <c r="G10">
        <v>119875</v>
      </c>
      <c r="H10">
        <v>4311.7366087436703</v>
      </c>
      <c r="I10">
        <v>0.65191965427187204</v>
      </c>
      <c r="J10">
        <v>8.1027798189501204E-2</v>
      </c>
      <c r="K10">
        <v>0.54960169637228495</v>
      </c>
      <c r="L10" t="s">
        <v>45</v>
      </c>
      <c r="M10" t="s">
        <v>34</v>
      </c>
      <c r="N10" t="s">
        <v>35</v>
      </c>
      <c r="O10">
        <v>0.78016659905215902</v>
      </c>
      <c r="P10" t="s">
        <v>36</v>
      </c>
      <c r="R10" t="s">
        <v>33</v>
      </c>
      <c r="S10">
        <f>COUNTIF($L$2:$L$4000, "Polypropylene (PP)")</f>
        <v>385</v>
      </c>
    </row>
    <row r="11" spans="1:49">
      <c r="A11">
        <v>10</v>
      </c>
      <c r="B11" t="s">
        <v>46</v>
      </c>
      <c r="C11">
        <v>357</v>
      </c>
      <c r="D11">
        <v>692</v>
      </c>
      <c r="E11">
        <v>342.114812818416</v>
      </c>
      <c r="F11">
        <v>0.51531393028004102</v>
      </c>
      <c r="G11">
        <v>91925</v>
      </c>
      <c r="H11">
        <v>3327.7669227123301</v>
      </c>
      <c r="I11">
        <v>0.89514033880227395</v>
      </c>
      <c r="J11">
        <v>0.10431282359949</v>
      </c>
      <c r="K11">
        <v>0.53942639184332097</v>
      </c>
      <c r="L11" t="s">
        <v>33</v>
      </c>
      <c r="M11" t="s">
        <v>34</v>
      </c>
      <c r="N11" t="s">
        <v>35</v>
      </c>
      <c r="O11">
        <v>0.87303672348531203</v>
      </c>
      <c r="P11" t="s">
        <v>36</v>
      </c>
      <c r="R11" t="s">
        <v>643</v>
      </c>
      <c r="S11">
        <f>COUNTIF($L$2:$L$4000, "Polymethylmethacrylate (PMMA)")</f>
        <v>1</v>
      </c>
    </row>
    <row r="12" spans="1:49">
      <c r="A12">
        <v>11</v>
      </c>
      <c r="B12" t="s">
        <v>47</v>
      </c>
      <c r="C12">
        <v>290</v>
      </c>
      <c r="D12">
        <v>454</v>
      </c>
      <c r="E12">
        <v>340.97314546548898</v>
      </c>
      <c r="F12">
        <v>0.63947607489212999</v>
      </c>
      <c r="G12">
        <v>91312.5</v>
      </c>
      <c r="H12">
        <v>1675.5991905927699</v>
      </c>
      <c r="I12">
        <v>0.81854444790090797</v>
      </c>
      <c r="J12">
        <v>0.40869546011983698</v>
      </c>
      <c r="K12">
        <v>0.84217200830066896</v>
      </c>
      <c r="L12" t="s">
        <v>33</v>
      </c>
      <c r="M12" t="s">
        <v>34</v>
      </c>
      <c r="N12" t="s">
        <v>35</v>
      </c>
      <c r="O12">
        <v>0.85381691627904499</v>
      </c>
      <c r="P12" t="s">
        <v>36</v>
      </c>
      <c r="R12" t="s">
        <v>777</v>
      </c>
      <c r="S12">
        <f>COUNTIF($L$2:$L$4000, "Polylactic acid (PLA)")</f>
        <v>0</v>
      </c>
    </row>
    <row r="13" spans="1:49">
      <c r="A13">
        <v>12</v>
      </c>
      <c r="B13" t="s">
        <v>48</v>
      </c>
      <c r="C13">
        <v>412</v>
      </c>
      <c r="D13">
        <v>465</v>
      </c>
      <c r="E13">
        <v>337.73709851593401</v>
      </c>
      <c r="F13">
        <v>0.88667785814615097</v>
      </c>
      <c r="G13">
        <v>89587.5</v>
      </c>
      <c r="H13">
        <v>2697.1424704790102</v>
      </c>
      <c r="I13">
        <v>0.61635761539072298</v>
      </c>
      <c r="J13">
        <v>0.154756716314566</v>
      </c>
      <c r="K13">
        <v>0.63797400747730104</v>
      </c>
      <c r="L13" t="s">
        <v>45</v>
      </c>
      <c r="M13" t="s">
        <v>34</v>
      </c>
      <c r="N13" t="s">
        <v>35</v>
      </c>
      <c r="O13">
        <v>0.81750249983534395</v>
      </c>
      <c r="P13" t="s">
        <v>36</v>
      </c>
      <c r="R13" t="s">
        <v>778</v>
      </c>
      <c r="S13">
        <f>COUNTIF($L$2:$L$4000, "Polyisoprene Chlorinated")</f>
        <v>0</v>
      </c>
    </row>
    <row r="14" spans="1:49">
      <c r="A14">
        <v>13</v>
      </c>
      <c r="B14" t="s">
        <v>49</v>
      </c>
      <c r="C14">
        <v>480</v>
      </c>
      <c r="D14">
        <v>338</v>
      </c>
      <c r="E14">
        <v>331.314298288619</v>
      </c>
      <c r="F14">
        <v>1.4203296483133501</v>
      </c>
      <c r="G14">
        <v>86212.5</v>
      </c>
      <c r="H14">
        <v>2481.57898128033</v>
      </c>
      <c r="I14">
        <v>0.58198078783446705</v>
      </c>
      <c r="J14">
        <v>0.17592351708466</v>
      </c>
      <c r="K14">
        <v>0.68654190722675701</v>
      </c>
      <c r="L14" t="s">
        <v>33</v>
      </c>
      <c r="M14" t="s">
        <v>34</v>
      </c>
      <c r="N14" t="s">
        <v>35</v>
      </c>
      <c r="O14">
        <v>0.87540578749404296</v>
      </c>
      <c r="P14" t="s">
        <v>36</v>
      </c>
      <c r="R14" t="s">
        <v>779</v>
      </c>
      <c r="S14">
        <f>COUNTIF($L$2:$L$4000, "Polyimide")</f>
        <v>0</v>
      </c>
    </row>
    <row r="15" spans="1:49">
      <c r="A15">
        <v>14</v>
      </c>
      <c r="B15" t="s">
        <v>50</v>
      </c>
      <c r="C15">
        <v>344</v>
      </c>
      <c r="D15">
        <v>557</v>
      </c>
      <c r="E15">
        <v>329.36303558753502</v>
      </c>
      <c r="F15">
        <v>0.61737864303038903</v>
      </c>
      <c r="G15">
        <v>85200</v>
      </c>
      <c r="H15">
        <v>2547.64499664307</v>
      </c>
      <c r="I15">
        <v>0.61083030800781601</v>
      </c>
      <c r="J15">
        <v>0.16495733708642599</v>
      </c>
      <c r="K15">
        <v>0.59228362877997898</v>
      </c>
      <c r="L15" t="s">
        <v>33</v>
      </c>
      <c r="M15" t="s">
        <v>34</v>
      </c>
      <c r="N15" t="s">
        <v>35</v>
      </c>
      <c r="O15">
        <v>0.90834402906783196</v>
      </c>
      <c r="P15" t="s">
        <v>36</v>
      </c>
      <c r="R15" t="s">
        <v>169</v>
      </c>
      <c r="S15">
        <f>COUNTIF($L$2:$L$4000, "Polyethylene Terephthalate (PET)")</f>
        <v>7</v>
      </c>
    </row>
    <row r="16" spans="1:49">
      <c r="A16">
        <v>15</v>
      </c>
      <c r="B16" t="s">
        <v>51</v>
      </c>
      <c r="C16">
        <v>328</v>
      </c>
      <c r="D16">
        <v>377</v>
      </c>
      <c r="E16">
        <v>276.19830512232801</v>
      </c>
      <c r="F16">
        <v>0.86994219653179194</v>
      </c>
      <c r="G16">
        <v>59914.494541020802</v>
      </c>
      <c r="H16">
        <v>4651.82203363802</v>
      </c>
      <c r="I16">
        <v>0.52013511225767195</v>
      </c>
      <c r="J16">
        <v>3.4793296736596403E-2</v>
      </c>
      <c r="K16">
        <v>0.60936966189884501</v>
      </c>
      <c r="L16" t="s">
        <v>52</v>
      </c>
      <c r="M16" t="s">
        <v>34</v>
      </c>
      <c r="N16" t="s">
        <v>35</v>
      </c>
      <c r="O16">
        <v>0.80555390072541599</v>
      </c>
      <c r="P16" t="s">
        <v>36</v>
      </c>
      <c r="R16" t="s">
        <v>321</v>
      </c>
      <c r="S16">
        <f>COUNTIF($L$2:$L$4000, "Polyethylene Chlorinated")</f>
        <v>12</v>
      </c>
    </row>
    <row r="17" spans="1:19">
      <c r="A17">
        <v>16</v>
      </c>
      <c r="B17" t="s">
        <v>53</v>
      </c>
      <c r="C17">
        <v>341</v>
      </c>
      <c r="D17">
        <v>631</v>
      </c>
      <c r="E17">
        <v>321.21667081033598</v>
      </c>
      <c r="F17">
        <v>0.540377680025667</v>
      </c>
      <c r="G17">
        <v>81037.5</v>
      </c>
      <c r="H17">
        <v>3403.1222611665698</v>
      </c>
      <c r="I17">
        <v>0.64624429880358303</v>
      </c>
      <c r="J17">
        <v>8.7930753510644499E-2</v>
      </c>
      <c r="K17">
        <v>0.490207939508507</v>
      </c>
      <c r="L17" t="s">
        <v>33</v>
      </c>
      <c r="M17" t="s">
        <v>34</v>
      </c>
      <c r="N17" t="s">
        <v>35</v>
      </c>
      <c r="O17">
        <v>0.88790335531127096</v>
      </c>
      <c r="P17" t="s">
        <v>36</v>
      </c>
      <c r="R17" t="s">
        <v>52</v>
      </c>
      <c r="S17">
        <f>COUNTIF($L$2:$L$4000, "Polyethylene (PE)")</f>
        <v>32</v>
      </c>
    </row>
    <row r="18" spans="1:19">
      <c r="A18">
        <v>17</v>
      </c>
      <c r="B18" t="s">
        <v>54</v>
      </c>
      <c r="C18">
        <v>351</v>
      </c>
      <c r="D18">
        <v>627</v>
      </c>
      <c r="E18">
        <v>305.86153002529801</v>
      </c>
      <c r="F18">
        <v>0.56089329763191398</v>
      </c>
      <c r="G18">
        <v>73475</v>
      </c>
      <c r="H18">
        <v>3079.7770273685501</v>
      </c>
      <c r="I18">
        <v>0.79255133262676902</v>
      </c>
      <c r="J18">
        <v>9.7344385612530004E-2</v>
      </c>
      <c r="K18">
        <v>0.50192127060029001</v>
      </c>
      <c r="L18" t="s">
        <v>33</v>
      </c>
      <c r="M18" t="s">
        <v>34</v>
      </c>
      <c r="N18" t="s">
        <v>35</v>
      </c>
      <c r="O18">
        <v>0.80354426174166305</v>
      </c>
      <c r="P18" t="s">
        <v>36</v>
      </c>
      <c r="R18" t="s">
        <v>780</v>
      </c>
      <c r="S18">
        <f>COUNTIF($L$2:$L$4000, "Polyether")</f>
        <v>0</v>
      </c>
    </row>
    <row r="19" spans="1:19">
      <c r="A19">
        <v>18</v>
      </c>
      <c r="B19" t="s">
        <v>55</v>
      </c>
      <c r="C19">
        <v>274</v>
      </c>
      <c r="D19">
        <v>244</v>
      </c>
      <c r="E19">
        <v>211.31970643136901</v>
      </c>
      <c r="F19">
        <v>1.1244749656520501</v>
      </c>
      <c r="G19">
        <v>35072.754778071801</v>
      </c>
      <c r="H19">
        <v>1674.66432357228</v>
      </c>
      <c r="I19">
        <v>0.68855298023483202</v>
      </c>
      <c r="J19">
        <v>0.157153553661179</v>
      </c>
      <c r="K19">
        <v>0.681826587457525</v>
      </c>
      <c r="L19" t="s">
        <v>33</v>
      </c>
      <c r="M19" t="s">
        <v>34</v>
      </c>
      <c r="N19" t="s">
        <v>35</v>
      </c>
      <c r="O19">
        <v>0.88994403223002405</v>
      </c>
      <c r="P19" t="s">
        <v>36</v>
      </c>
      <c r="R19" t="s">
        <v>781</v>
      </c>
      <c r="S19">
        <f>COUNTIF($L$2:$L$4000, "Polycarbonate (PC)")</f>
        <v>0</v>
      </c>
    </row>
    <row r="20" spans="1:19">
      <c r="A20">
        <v>19</v>
      </c>
      <c r="B20" t="s">
        <v>56</v>
      </c>
      <c r="C20">
        <v>338</v>
      </c>
      <c r="D20">
        <v>742</v>
      </c>
      <c r="E20">
        <v>289.693633848513</v>
      </c>
      <c r="F20">
        <v>0.45521767551958803</v>
      </c>
      <c r="G20">
        <v>65912.5</v>
      </c>
      <c r="H20">
        <v>3218.5638242959999</v>
      </c>
      <c r="I20">
        <v>0.67056864408054495</v>
      </c>
      <c r="J20">
        <v>7.9956430399045805E-2</v>
      </c>
      <c r="K20">
        <v>0.36910261794764099</v>
      </c>
      <c r="L20" t="s">
        <v>33</v>
      </c>
      <c r="M20" t="s">
        <v>34</v>
      </c>
      <c r="N20" t="s">
        <v>35</v>
      </c>
      <c r="O20">
        <v>0.83500443517012102</v>
      </c>
      <c r="P20" t="s">
        <v>36</v>
      </c>
      <c r="R20" t="s">
        <v>185</v>
      </c>
      <c r="S20">
        <f>COUNTIF($L$2:$L$4000, "Polycaprolactone")</f>
        <v>1</v>
      </c>
    </row>
    <row r="21" spans="1:19">
      <c r="A21">
        <v>20</v>
      </c>
      <c r="B21" t="s">
        <v>57</v>
      </c>
      <c r="C21">
        <v>443</v>
      </c>
      <c r="D21">
        <v>344</v>
      </c>
      <c r="E21">
        <v>275.58798748031899</v>
      </c>
      <c r="F21">
        <v>1.2871354057492199</v>
      </c>
      <c r="G21">
        <v>59650</v>
      </c>
      <c r="H21">
        <v>2843.5028612613701</v>
      </c>
      <c r="I21">
        <v>0.65366245142337998</v>
      </c>
      <c r="J21">
        <v>9.2707095058625094E-2</v>
      </c>
      <c r="K21">
        <v>0.50438642849593096</v>
      </c>
      <c r="L21" t="s">
        <v>33</v>
      </c>
      <c r="M21" t="s">
        <v>34</v>
      </c>
      <c r="N21" t="s">
        <v>35</v>
      </c>
      <c r="O21">
        <v>0.843018194028884</v>
      </c>
      <c r="P21" t="s">
        <v>36</v>
      </c>
      <c r="R21" t="s">
        <v>782</v>
      </c>
      <c r="S21">
        <f>COUNTIF($L$2:$L$4000, "Polybutadiene")</f>
        <v>0</v>
      </c>
    </row>
    <row r="22" spans="1:19">
      <c r="A22">
        <v>21</v>
      </c>
      <c r="B22" t="s">
        <v>58</v>
      </c>
      <c r="C22">
        <v>287</v>
      </c>
      <c r="D22">
        <v>211</v>
      </c>
      <c r="E22">
        <v>196.34564190500299</v>
      </c>
      <c r="F22">
        <v>1.36022261284019</v>
      </c>
      <c r="G22">
        <v>30278.364550094499</v>
      </c>
      <c r="H22">
        <v>1324.1149930619199</v>
      </c>
      <c r="I22">
        <v>0.52743569955806902</v>
      </c>
      <c r="J22">
        <v>0.217015558725593</v>
      </c>
      <c r="K22">
        <v>0.68036082852963398</v>
      </c>
      <c r="L22" t="s">
        <v>33</v>
      </c>
      <c r="M22" t="s">
        <v>34</v>
      </c>
      <c r="N22" t="s">
        <v>35</v>
      </c>
      <c r="O22">
        <v>0.88137991871674604</v>
      </c>
      <c r="P22" t="s">
        <v>36</v>
      </c>
      <c r="R22" t="s">
        <v>331</v>
      </c>
      <c r="S22">
        <f>COUNTIF($L$2:$L$4000, "Polyamide (PA)")</f>
        <v>11</v>
      </c>
    </row>
    <row r="23" spans="1:19">
      <c r="A23">
        <v>22</v>
      </c>
      <c r="B23" t="s">
        <v>59</v>
      </c>
      <c r="C23">
        <v>156</v>
      </c>
      <c r="D23">
        <v>258</v>
      </c>
      <c r="E23">
        <v>151.372771142083</v>
      </c>
      <c r="F23">
        <v>0.60579158646144204</v>
      </c>
      <c r="G23">
        <v>17996.390339886599</v>
      </c>
      <c r="H23">
        <v>1231.2730471761299</v>
      </c>
      <c r="I23">
        <v>0.74479944375790497</v>
      </c>
      <c r="J23">
        <v>0.14917172877413801</v>
      </c>
      <c r="K23">
        <v>0.60702880204547205</v>
      </c>
      <c r="L23" t="s">
        <v>52</v>
      </c>
      <c r="M23" t="s">
        <v>34</v>
      </c>
      <c r="N23" t="s">
        <v>35</v>
      </c>
      <c r="O23">
        <v>0.75019749874563002</v>
      </c>
      <c r="P23" t="s">
        <v>36</v>
      </c>
      <c r="R23" t="s">
        <v>783</v>
      </c>
      <c r="S23">
        <f>COUNTIF($L$2:$L$4000, "Polyacetal")</f>
        <v>0</v>
      </c>
    </row>
    <row r="24" spans="1:19">
      <c r="A24">
        <v>23</v>
      </c>
      <c r="B24" t="s">
        <v>60</v>
      </c>
      <c r="C24">
        <v>358</v>
      </c>
      <c r="D24">
        <v>187</v>
      </c>
      <c r="E24">
        <v>180.92775637002001</v>
      </c>
      <c r="F24">
        <v>1.9173426032529199</v>
      </c>
      <c r="G24">
        <v>25709.893444990601</v>
      </c>
      <c r="H24">
        <v>1809.87823661576</v>
      </c>
      <c r="I24">
        <v>0.52144213154979002</v>
      </c>
      <c r="J24">
        <v>9.8630543247864202E-2</v>
      </c>
      <c r="K24">
        <v>0.56982570339600003</v>
      </c>
      <c r="L24" t="s">
        <v>33</v>
      </c>
      <c r="M24" t="s">
        <v>34</v>
      </c>
      <c r="N24" t="s">
        <v>35</v>
      </c>
      <c r="O24">
        <v>0.94315060980097398</v>
      </c>
      <c r="P24" t="s">
        <v>36</v>
      </c>
      <c r="R24" t="s">
        <v>784</v>
      </c>
      <c r="S24">
        <f>COUNTIF($L$2:$L$4000, "Ethylene Vinyl Acetate (EVA)")</f>
        <v>0</v>
      </c>
    </row>
    <row r="25" spans="1:19">
      <c r="A25">
        <v>24</v>
      </c>
      <c r="B25" t="s">
        <v>61</v>
      </c>
      <c r="C25">
        <v>354</v>
      </c>
      <c r="D25">
        <v>149</v>
      </c>
      <c r="E25">
        <v>157.048439607505</v>
      </c>
      <c r="F25">
        <v>2.36690964333284</v>
      </c>
      <c r="G25">
        <v>19371.2271073724</v>
      </c>
      <c r="H25">
        <v>1925.90659418324</v>
      </c>
      <c r="I25">
        <v>0.61189886307695396</v>
      </c>
      <c r="J25">
        <v>6.5629116300393406E-2</v>
      </c>
      <c r="K25">
        <v>0.50446283422873905</v>
      </c>
      <c r="L25" t="s">
        <v>45</v>
      </c>
      <c r="M25" t="s">
        <v>34</v>
      </c>
      <c r="N25" t="s">
        <v>35</v>
      </c>
      <c r="O25">
        <v>0.72421484018641902</v>
      </c>
      <c r="P25" t="s">
        <v>36</v>
      </c>
      <c r="R25" t="s">
        <v>785</v>
      </c>
      <c r="S25">
        <f>COUNTIF($L$2:$L$4000, "Cellulose chemically modified")</f>
        <v>0</v>
      </c>
    </row>
    <row r="26" spans="1:19">
      <c r="A26">
        <v>25</v>
      </c>
      <c r="B26" t="s">
        <v>62</v>
      </c>
      <c r="C26">
        <v>147</v>
      </c>
      <c r="D26">
        <v>196</v>
      </c>
      <c r="E26">
        <v>148.55871784142701</v>
      </c>
      <c r="F26">
        <v>0.74870873482715705</v>
      </c>
      <c r="G26">
        <v>17333.4960714556</v>
      </c>
      <c r="H26">
        <v>888.00527945777696</v>
      </c>
      <c r="I26">
        <v>0.65518289457512002</v>
      </c>
      <c r="J26">
        <v>0.27622624188877198</v>
      </c>
      <c r="K26">
        <v>0.84798004769937796</v>
      </c>
      <c r="L26" t="s">
        <v>33</v>
      </c>
      <c r="M26" t="s">
        <v>34</v>
      </c>
      <c r="N26" t="s">
        <v>35</v>
      </c>
      <c r="O26">
        <v>0.79038415934638995</v>
      </c>
      <c r="P26" t="s">
        <v>36</v>
      </c>
      <c r="R26" t="s">
        <v>786</v>
      </c>
      <c r="S26">
        <f>COUNTIF($L$2:$L$4000, "Cellulose Acetate")</f>
        <v>0</v>
      </c>
    </row>
    <row r="27" spans="1:19">
      <c r="A27">
        <v>26</v>
      </c>
      <c r="B27" t="s">
        <v>63</v>
      </c>
      <c r="C27">
        <v>258</v>
      </c>
      <c r="D27">
        <v>493</v>
      </c>
      <c r="E27">
        <v>255.94564770010101</v>
      </c>
      <c r="F27">
        <v>0.52443284333879003</v>
      </c>
      <c r="G27">
        <v>51450</v>
      </c>
      <c r="H27">
        <v>2243.7972366809799</v>
      </c>
      <c r="I27">
        <v>0.80448820817835698</v>
      </c>
      <c r="J27">
        <v>0.12841862792929401</v>
      </c>
      <c r="K27">
        <v>0.58275520317145701</v>
      </c>
      <c r="L27" t="s">
        <v>33</v>
      </c>
      <c r="M27" t="s">
        <v>34</v>
      </c>
      <c r="N27" t="s">
        <v>35</v>
      </c>
      <c r="O27">
        <v>0.94181822401792004</v>
      </c>
      <c r="P27" t="s">
        <v>36</v>
      </c>
      <c r="R27" t="s">
        <v>201</v>
      </c>
      <c r="S27">
        <f>COUNTIF($L$2:$L$4000, "Alkyd Varnish")</f>
        <v>1</v>
      </c>
    </row>
    <row r="28" spans="1:19">
      <c r="A28">
        <v>27</v>
      </c>
      <c r="B28" t="s">
        <v>64</v>
      </c>
      <c r="C28">
        <v>123</v>
      </c>
      <c r="D28">
        <v>178</v>
      </c>
      <c r="E28">
        <v>134.19096830261299</v>
      </c>
      <c r="F28">
        <v>0.69160663216366702</v>
      </c>
      <c r="G28">
        <v>14142.8343538752</v>
      </c>
      <c r="H28">
        <v>692.93645001100504</v>
      </c>
      <c r="I28">
        <v>0.78645718431830203</v>
      </c>
      <c r="J28">
        <v>0.37013444709089799</v>
      </c>
      <c r="K28">
        <v>0.81276799289338397</v>
      </c>
      <c r="L28" t="s">
        <v>33</v>
      </c>
      <c r="M28" t="s">
        <v>34</v>
      </c>
      <c r="N28" t="s">
        <v>35</v>
      </c>
      <c r="O28">
        <v>0.83755450213008298</v>
      </c>
      <c r="P28" t="s">
        <v>36</v>
      </c>
      <c r="R28" t="s">
        <v>325</v>
      </c>
      <c r="S28">
        <f>COUNTIF($L$2:$L$4000, "Acrylonitrile Butadiene")</f>
        <v>1</v>
      </c>
    </row>
    <row r="29" spans="1:19">
      <c r="A29">
        <v>28</v>
      </c>
      <c r="B29" t="s">
        <v>65</v>
      </c>
      <c r="C29">
        <v>286</v>
      </c>
      <c r="D29">
        <v>449</v>
      </c>
      <c r="E29">
        <v>250.79480359432699</v>
      </c>
      <c r="F29">
        <v>0.63780773474009</v>
      </c>
      <c r="G29">
        <v>49400</v>
      </c>
      <c r="H29">
        <v>2733.2084858417502</v>
      </c>
      <c r="I29">
        <v>0.73271273042191798</v>
      </c>
      <c r="J29">
        <v>8.3098137916647094E-2</v>
      </c>
      <c r="K29">
        <v>0.54752008866722102</v>
      </c>
      <c r="L29" t="s">
        <v>33</v>
      </c>
      <c r="M29" t="s">
        <v>34</v>
      </c>
      <c r="N29" t="s">
        <v>35</v>
      </c>
      <c r="O29">
        <v>0.92340924698652105</v>
      </c>
      <c r="P29" t="s">
        <v>36</v>
      </c>
      <c r="R29" t="s">
        <v>70</v>
      </c>
      <c r="S29">
        <f>COUNTIF($L$2:$L$4000, "Acrylates")</f>
        <v>11</v>
      </c>
    </row>
    <row r="30" spans="1:19">
      <c r="A30">
        <v>29</v>
      </c>
      <c r="B30" t="s">
        <v>66</v>
      </c>
      <c r="C30">
        <v>364</v>
      </c>
      <c r="D30">
        <v>609</v>
      </c>
      <c r="E30">
        <v>247.11890187591899</v>
      </c>
      <c r="F30">
        <v>0.59678520818730596</v>
      </c>
      <c r="G30">
        <v>47962.5</v>
      </c>
      <c r="H30">
        <v>2601.2846058607101</v>
      </c>
      <c r="I30">
        <v>0.615140817335738</v>
      </c>
      <c r="J30">
        <v>8.9070919271556803E-2</v>
      </c>
      <c r="K30">
        <v>0.31616677653262998</v>
      </c>
      <c r="L30" t="s">
        <v>52</v>
      </c>
      <c r="M30" t="s">
        <v>34</v>
      </c>
      <c r="N30" t="s">
        <v>35</v>
      </c>
      <c r="O30">
        <v>0.71024792543956194</v>
      </c>
      <c r="P30" t="s">
        <v>36</v>
      </c>
    </row>
    <row r="31" spans="1:19">
      <c r="A31">
        <v>30</v>
      </c>
      <c r="B31" t="s">
        <v>67</v>
      </c>
      <c r="C31">
        <v>222</v>
      </c>
      <c r="D31">
        <v>418</v>
      </c>
      <c r="E31">
        <v>244.07313493970699</v>
      </c>
      <c r="F31">
        <v>0.52975235544933297</v>
      </c>
      <c r="G31">
        <v>46787.5</v>
      </c>
      <c r="H31">
        <v>1467.31491982937</v>
      </c>
      <c r="I31">
        <v>0.66500157717782005</v>
      </c>
      <c r="J31">
        <v>0.27308197624624703</v>
      </c>
      <c r="K31">
        <v>0.67673115169047204</v>
      </c>
      <c r="L31" t="s">
        <v>33</v>
      </c>
      <c r="M31" t="s">
        <v>34</v>
      </c>
      <c r="N31" t="s">
        <v>35</v>
      </c>
      <c r="O31">
        <v>0.852886436577448</v>
      </c>
      <c r="P31" t="s">
        <v>36</v>
      </c>
    </row>
    <row r="32" spans="1:19">
      <c r="A32">
        <v>31</v>
      </c>
      <c r="B32" t="s">
        <v>68</v>
      </c>
      <c r="C32">
        <v>212</v>
      </c>
      <c r="D32">
        <v>487</v>
      </c>
      <c r="E32">
        <v>243.28938188066499</v>
      </c>
      <c r="F32">
        <v>0.43471700909002498</v>
      </c>
      <c r="G32">
        <v>46487.5</v>
      </c>
      <c r="H32">
        <v>2386.7261689901402</v>
      </c>
      <c r="I32">
        <v>0.77581224469103904</v>
      </c>
      <c r="J32">
        <v>0.102551228087958</v>
      </c>
      <c r="K32">
        <v>0.53742774566474005</v>
      </c>
      <c r="L32" t="s">
        <v>33</v>
      </c>
      <c r="M32" t="s">
        <v>34</v>
      </c>
      <c r="N32" t="s">
        <v>35</v>
      </c>
      <c r="O32">
        <v>0.89073071934702996</v>
      </c>
      <c r="P32" t="s">
        <v>36</v>
      </c>
    </row>
    <row r="33" spans="1:16">
      <c r="A33">
        <v>32</v>
      </c>
      <c r="B33" t="s">
        <v>69</v>
      </c>
      <c r="C33">
        <v>140</v>
      </c>
      <c r="D33">
        <v>290</v>
      </c>
      <c r="E33">
        <v>184.72807965623701</v>
      </c>
      <c r="F33">
        <v>0.48123686315678499</v>
      </c>
      <c r="G33">
        <v>26801.2908918715</v>
      </c>
      <c r="H33">
        <v>998.66836003272397</v>
      </c>
      <c r="I33">
        <v>0.795043508874549</v>
      </c>
      <c r="J33">
        <v>0.337693728400909</v>
      </c>
      <c r="K33">
        <v>0.88018138508698296</v>
      </c>
      <c r="L33" t="s">
        <v>70</v>
      </c>
      <c r="M33" t="s">
        <v>34</v>
      </c>
      <c r="N33" t="s">
        <v>35</v>
      </c>
      <c r="O33">
        <v>0.878788951549755</v>
      </c>
      <c r="P33" t="s">
        <v>36</v>
      </c>
    </row>
    <row r="34" spans="1:16">
      <c r="A34">
        <v>33</v>
      </c>
      <c r="B34" t="s">
        <v>71</v>
      </c>
      <c r="C34">
        <v>145</v>
      </c>
      <c r="D34">
        <v>225</v>
      </c>
      <c r="E34">
        <v>171.59065184745501</v>
      </c>
      <c r="F34">
        <v>0.64357805673270896</v>
      </c>
      <c r="G34">
        <v>23124.754429111501</v>
      </c>
      <c r="H34">
        <v>879.31390091657602</v>
      </c>
      <c r="I34">
        <v>0.75749791747495598</v>
      </c>
      <c r="J34">
        <v>0.37583663903591102</v>
      </c>
      <c r="K34">
        <v>0.86454842993759795</v>
      </c>
      <c r="L34" t="s">
        <v>33</v>
      </c>
      <c r="M34" t="s">
        <v>34</v>
      </c>
      <c r="N34" t="s">
        <v>35</v>
      </c>
      <c r="O34">
        <v>0.82325422767719003</v>
      </c>
      <c r="P34" t="s">
        <v>36</v>
      </c>
    </row>
    <row r="35" spans="1:16">
      <c r="A35">
        <v>34</v>
      </c>
      <c r="B35" t="s">
        <v>72</v>
      </c>
      <c r="C35">
        <v>298</v>
      </c>
      <c r="D35">
        <v>364</v>
      </c>
      <c r="E35">
        <v>233.64534123435899</v>
      </c>
      <c r="F35">
        <v>0.81851092407796699</v>
      </c>
      <c r="G35">
        <v>42875</v>
      </c>
      <c r="H35">
        <v>2107.2286951541901</v>
      </c>
      <c r="I35">
        <v>0.75363837795538502</v>
      </c>
      <c r="J35">
        <v>0.121336273799605</v>
      </c>
      <c r="K35">
        <v>0.56423753906892604</v>
      </c>
      <c r="L35" t="s">
        <v>33</v>
      </c>
      <c r="M35" t="s">
        <v>34</v>
      </c>
      <c r="N35" t="s">
        <v>35</v>
      </c>
      <c r="O35">
        <v>0.92747560343019297</v>
      </c>
      <c r="P35" t="s">
        <v>36</v>
      </c>
    </row>
    <row r="36" spans="1:16">
      <c r="A36">
        <v>35</v>
      </c>
      <c r="B36" t="s">
        <v>73</v>
      </c>
      <c r="C36">
        <v>178</v>
      </c>
      <c r="D36">
        <v>156</v>
      </c>
      <c r="E36">
        <v>150.36049299059999</v>
      </c>
      <c r="F36">
        <v>1.14214954771351</v>
      </c>
      <c r="G36">
        <v>17756.499902835501</v>
      </c>
      <c r="H36">
        <v>890.37323810670705</v>
      </c>
      <c r="I36">
        <v>0.72028880182745203</v>
      </c>
      <c r="J36">
        <v>0.28146411413479999</v>
      </c>
      <c r="K36">
        <v>0.84666520201554896</v>
      </c>
      <c r="L36" t="s">
        <v>33</v>
      </c>
      <c r="M36" t="s">
        <v>34</v>
      </c>
      <c r="N36" t="s">
        <v>35</v>
      </c>
      <c r="O36">
        <v>0.78112653165593604</v>
      </c>
      <c r="P36" t="s">
        <v>36</v>
      </c>
    </row>
    <row r="37" spans="1:16">
      <c r="A37">
        <v>36</v>
      </c>
      <c r="B37" t="s">
        <v>74</v>
      </c>
      <c r="C37">
        <v>469</v>
      </c>
      <c r="D37">
        <v>291</v>
      </c>
      <c r="E37">
        <v>225.67583341910299</v>
      </c>
      <c r="F37">
        <v>1.6125341587259301</v>
      </c>
      <c r="G37">
        <v>40000</v>
      </c>
      <c r="H37">
        <v>2027.2286951541901</v>
      </c>
      <c r="I37">
        <v>0.84662283446125897</v>
      </c>
      <c r="J37">
        <v>0.122310675700833</v>
      </c>
      <c r="K37">
        <v>0.431674086065021</v>
      </c>
      <c r="L37" t="s">
        <v>75</v>
      </c>
      <c r="M37" t="s">
        <v>34</v>
      </c>
      <c r="N37" t="s">
        <v>35</v>
      </c>
      <c r="O37">
        <v>0.77888221820369097</v>
      </c>
      <c r="P37" t="s">
        <v>36</v>
      </c>
    </row>
    <row r="38" spans="1:16">
      <c r="A38">
        <v>37</v>
      </c>
      <c r="B38" t="s">
        <v>76</v>
      </c>
      <c r="C38">
        <v>129</v>
      </c>
      <c r="D38">
        <v>249</v>
      </c>
      <c r="E38">
        <v>162.14249015958299</v>
      </c>
      <c r="F38">
        <v>0.51571883183120104</v>
      </c>
      <c r="G38">
        <v>20648.264675614399</v>
      </c>
      <c r="H38">
        <v>911.35608274200695</v>
      </c>
      <c r="I38">
        <v>0.81608479026514102</v>
      </c>
      <c r="J38">
        <v>0.31240446285546902</v>
      </c>
      <c r="K38">
        <v>0.82658312954798296</v>
      </c>
      <c r="L38" t="s">
        <v>33</v>
      </c>
      <c r="M38" t="s">
        <v>34</v>
      </c>
      <c r="N38" t="s">
        <v>35</v>
      </c>
      <c r="O38">
        <v>0.79760921209120506</v>
      </c>
      <c r="P38" t="s">
        <v>36</v>
      </c>
    </row>
    <row r="39" spans="1:16">
      <c r="A39">
        <v>38</v>
      </c>
      <c r="B39" t="s">
        <v>77</v>
      </c>
      <c r="C39">
        <v>294</v>
      </c>
      <c r="D39">
        <v>181</v>
      </c>
      <c r="E39">
        <v>175.287368292758</v>
      </c>
      <c r="F39">
        <v>1.6274863443061101</v>
      </c>
      <c r="G39">
        <v>24131.878097920599</v>
      </c>
      <c r="H39">
        <v>2375.1735106264</v>
      </c>
      <c r="I39">
        <v>0.68627039231855902</v>
      </c>
      <c r="J39">
        <v>5.3753940299416103E-2</v>
      </c>
      <c r="K39">
        <v>0.59482480692858897</v>
      </c>
      <c r="L39" t="s">
        <v>33</v>
      </c>
      <c r="M39" t="s">
        <v>34</v>
      </c>
      <c r="N39" t="s">
        <v>35</v>
      </c>
      <c r="O39">
        <v>0.92058278632101398</v>
      </c>
      <c r="P39" t="s">
        <v>36</v>
      </c>
    </row>
    <row r="40" spans="1:16">
      <c r="A40">
        <v>39</v>
      </c>
      <c r="B40" t="s">
        <v>78</v>
      </c>
      <c r="C40">
        <v>359</v>
      </c>
      <c r="D40">
        <v>168</v>
      </c>
      <c r="E40">
        <v>212.75259296971001</v>
      </c>
      <c r="F40">
        <v>2.1381216686089601</v>
      </c>
      <c r="G40">
        <v>35550</v>
      </c>
      <c r="H40">
        <v>1413.6753106117201</v>
      </c>
      <c r="I40">
        <v>0.60862038834667698</v>
      </c>
      <c r="J40">
        <v>0.22353736258697801</v>
      </c>
      <c r="K40">
        <v>0.69963099630996295</v>
      </c>
      <c r="L40" t="s">
        <v>75</v>
      </c>
      <c r="M40" t="s">
        <v>34</v>
      </c>
      <c r="N40" t="s">
        <v>35</v>
      </c>
      <c r="O40">
        <v>0.83472550729949901</v>
      </c>
      <c r="P40" t="s">
        <v>36</v>
      </c>
    </row>
    <row r="41" spans="1:16">
      <c r="A41">
        <v>40</v>
      </c>
      <c r="B41" t="s">
        <v>79</v>
      </c>
      <c r="C41">
        <v>347</v>
      </c>
      <c r="D41">
        <v>236</v>
      </c>
      <c r="E41">
        <v>212.30327337001799</v>
      </c>
      <c r="F41">
        <v>1.46838717198323</v>
      </c>
      <c r="G41">
        <v>35400</v>
      </c>
      <c r="H41">
        <v>1537.8174459934201</v>
      </c>
      <c r="I41">
        <v>0.63505196613191495</v>
      </c>
      <c r="J41">
        <v>0.18810639440846899</v>
      </c>
      <c r="K41">
        <v>0.56391875746714504</v>
      </c>
      <c r="L41" t="s">
        <v>33</v>
      </c>
      <c r="M41" t="s">
        <v>34</v>
      </c>
      <c r="N41" t="s">
        <v>35</v>
      </c>
      <c r="O41">
        <v>0.894958580112441</v>
      </c>
      <c r="P41" t="s">
        <v>36</v>
      </c>
    </row>
    <row r="42" spans="1:16">
      <c r="A42">
        <v>41</v>
      </c>
      <c r="B42" t="s">
        <v>80</v>
      </c>
      <c r="C42">
        <v>241</v>
      </c>
      <c r="D42">
        <v>318</v>
      </c>
      <c r="E42">
        <v>207.411622426853</v>
      </c>
      <c r="F42">
        <v>0.758241713391692</v>
      </c>
      <c r="G42">
        <v>33787.5</v>
      </c>
      <c r="H42">
        <v>2221.8733566999399</v>
      </c>
      <c r="I42">
        <v>0.61558541089587204</v>
      </c>
      <c r="J42">
        <v>8.6005716911107005E-2</v>
      </c>
      <c r="K42">
        <v>0.54463026395325398</v>
      </c>
      <c r="L42" t="s">
        <v>33</v>
      </c>
      <c r="M42" t="s">
        <v>34</v>
      </c>
      <c r="N42" t="s">
        <v>35</v>
      </c>
      <c r="O42">
        <v>0.82463556165305396</v>
      </c>
      <c r="P42" t="s">
        <v>36</v>
      </c>
    </row>
    <row r="43" spans="1:16">
      <c r="A43">
        <v>42</v>
      </c>
      <c r="B43" t="s">
        <v>81</v>
      </c>
      <c r="C43">
        <v>101</v>
      </c>
      <c r="D43">
        <v>134</v>
      </c>
      <c r="E43">
        <v>106.125398074179</v>
      </c>
      <c r="F43">
        <v>0.75064925577572805</v>
      </c>
      <c r="G43">
        <v>8845.6254465028396</v>
      </c>
      <c r="H43">
        <v>521.28651629199203</v>
      </c>
      <c r="I43">
        <v>0.82673921951788198</v>
      </c>
      <c r="J43">
        <v>0.40905850512379499</v>
      </c>
      <c r="K43">
        <v>0.86076278908317805</v>
      </c>
      <c r="L43" t="s">
        <v>33</v>
      </c>
      <c r="M43" t="s">
        <v>34</v>
      </c>
      <c r="N43" t="s">
        <v>35</v>
      </c>
      <c r="O43">
        <v>0.84016638575560298</v>
      </c>
      <c r="P43" t="s">
        <v>36</v>
      </c>
    </row>
    <row r="44" spans="1:16">
      <c r="A44">
        <v>43</v>
      </c>
      <c r="B44" t="s">
        <v>82</v>
      </c>
      <c r="C44">
        <v>251</v>
      </c>
      <c r="D44">
        <v>409</v>
      </c>
      <c r="E44">
        <v>206.18022528808399</v>
      </c>
      <c r="F44">
        <v>0.612947081283027</v>
      </c>
      <c r="G44">
        <v>33387.5</v>
      </c>
      <c r="H44">
        <v>1947.7312213182399</v>
      </c>
      <c r="I44">
        <v>0.69521266693425499</v>
      </c>
      <c r="J44">
        <v>0.110595056112192</v>
      </c>
      <c r="K44">
        <v>0.43815616797900298</v>
      </c>
      <c r="L44" t="s">
        <v>83</v>
      </c>
      <c r="M44" t="s">
        <v>34</v>
      </c>
      <c r="N44" t="s">
        <v>35</v>
      </c>
      <c r="O44">
        <v>0.76625933081646402</v>
      </c>
      <c r="P44" t="s">
        <v>36</v>
      </c>
    </row>
    <row r="45" spans="1:16">
      <c r="A45">
        <v>44</v>
      </c>
      <c r="B45" t="s">
        <v>84</v>
      </c>
      <c r="C45">
        <v>258</v>
      </c>
      <c r="D45">
        <v>549</v>
      </c>
      <c r="E45">
        <v>205.17427335756901</v>
      </c>
      <c r="F45">
        <v>0.469582577306428</v>
      </c>
      <c r="G45">
        <v>33062.5</v>
      </c>
      <c r="H45">
        <v>3059.2745012044902</v>
      </c>
      <c r="I45">
        <v>0.71905675785419298</v>
      </c>
      <c r="J45">
        <v>4.4392403528487799E-2</v>
      </c>
      <c r="K45">
        <v>0.32307316477342102</v>
      </c>
      <c r="L45" t="s">
        <v>45</v>
      </c>
      <c r="M45" t="s">
        <v>34</v>
      </c>
      <c r="N45" t="s">
        <v>35</v>
      </c>
      <c r="O45">
        <v>0.769453163054023</v>
      </c>
      <c r="P45" t="s">
        <v>36</v>
      </c>
    </row>
    <row r="46" spans="1:16">
      <c r="A46">
        <v>45</v>
      </c>
      <c r="B46" t="s">
        <v>85</v>
      </c>
      <c r="C46">
        <v>68</v>
      </c>
      <c r="D46">
        <v>152</v>
      </c>
      <c r="E46">
        <v>98.314641769467499</v>
      </c>
      <c r="F46">
        <v>0.44964033160100297</v>
      </c>
      <c r="G46">
        <v>7591.4770525519898</v>
      </c>
      <c r="H46">
        <v>617.883539094718</v>
      </c>
      <c r="I46">
        <v>0.81690045641196596</v>
      </c>
      <c r="J46">
        <v>0.249875051574729</v>
      </c>
      <c r="K46">
        <v>0.82090679695912805</v>
      </c>
      <c r="L46" t="s">
        <v>33</v>
      </c>
      <c r="M46" t="s">
        <v>34</v>
      </c>
      <c r="N46" t="s">
        <v>35</v>
      </c>
      <c r="O46">
        <v>0.84177383644780401</v>
      </c>
      <c r="P46" t="s">
        <v>36</v>
      </c>
    </row>
    <row r="47" spans="1:16">
      <c r="A47">
        <v>46</v>
      </c>
      <c r="B47" t="s">
        <v>86</v>
      </c>
      <c r="C47">
        <v>185</v>
      </c>
      <c r="D47">
        <v>238</v>
      </c>
      <c r="E47">
        <v>197.506649386352</v>
      </c>
      <c r="F47">
        <v>0.77448077083159905</v>
      </c>
      <c r="G47">
        <v>30637.5</v>
      </c>
      <c r="H47">
        <v>867.19299376010895</v>
      </c>
      <c r="I47">
        <v>0.75077860864247803</v>
      </c>
      <c r="J47">
        <v>0.51195485677177099</v>
      </c>
      <c r="K47">
        <v>0.88007181328545803</v>
      </c>
      <c r="L47" t="s">
        <v>33</v>
      </c>
      <c r="M47" t="s">
        <v>34</v>
      </c>
      <c r="N47" t="s">
        <v>35</v>
      </c>
      <c r="O47">
        <v>0.90291399808974504</v>
      </c>
      <c r="P47" t="s">
        <v>36</v>
      </c>
    </row>
    <row r="48" spans="1:16">
      <c r="A48">
        <v>47</v>
      </c>
      <c r="B48" t="s">
        <v>87</v>
      </c>
      <c r="C48">
        <v>150</v>
      </c>
      <c r="D48">
        <v>103</v>
      </c>
      <c r="E48">
        <v>104.459292726605</v>
      </c>
      <c r="F48">
        <v>1.46144084637828</v>
      </c>
      <c r="G48">
        <v>8570.06356899811</v>
      </c>
      <c r="H48">
        <v>691.65892614468305</v>
      </c>
      <c r="I48">
        <v>0.80130874870133495</v>
      </c>
      <c r="J48">
        <v>0.22511785149494801</v>
      </c>
      <c r="K48">
        <v>0.74203719194388995</v>
      </c>
      <c r="L48" t="s">
        <v>83</v>
      </c>
      <c r="M48" t="s">
        <v>34</v>
      </c>
      <c r="N48" t="s">
        <v>35</v>
      </c>
      <c r="O48">
        <v>0.73957582952595402</v>
      </c>
      <c r="P48" t="s">
        <v>36</v>
      </c>
    </row>
    <row r="49" spans="1:16">
      <c r="A49">
        <v>48</v>
      </c>
      <c r="B49" t="s">
        <v>88</v>
      </c>
      <c r="C49">
        <v>169</v>
      </c>
      <c r="D49">
        <v>164</v>
      </c>
      <c r="E49">
        <v>128.005486543026</v>
      </c>
      <c r="F49">
        <v>1.0306894038935099</v>
      </c>
      <c r="G49">
        <v>12869.066667674901</v>
      </c>
      <c r="H49">
        <v>972.739811534674</v>
      </c>
      <c r="I49">
        <v>0.73933273858327098</v>
      </c>
      <c r="J49">
        <v>0.170908449151701</v>
      </c>
      <c r="K49">
        <v>0.69669051086667899</v>
      </c>
      <c r="L49" t="s">
        <v>33</v>
      </c>
      <c r="M49" t="s">
        <v>34</v>
      </c>
      <c r="N49" t="s">
        <v>35</v>
      </c>
      <c r="O49">
        <v>0.88817168364925303</v>
      </c>
      <c r="P49" t="s">
        <v>36</v>
      </c>
    </row>
    <row r="50" spans="1:16">
      <c r="A50">
        <v>49</v>
      </c>
      <c r="B50" t="s">
        <v>89</v>
      </c>
      <c r="C50">
        <v>118</v>
      </c>
      <c r="D50">
        <v>242</v>
      </c>
      <c r="E50">
        <v>129.22087217242699</v>
      </c>
      <c r="F50">
        <v>0.48959659789191801</v>
      </c>
      <c r="G50">
        <v>13114.6050827977</v>
      </c>
      <c r="H50">
        <v>1246.5530899193</v>
      </c>
      <c r="I50">
        <v>0.71593116519135402</v>
      </c>
      <c r="J50">
        <v>0.106058021757968</v>
      </c>
      <c r="K50">
        <v>0.631086570921783</v>
      </c>
      <c r="L50" t="s">
        <v>33</v>
      </c>
      <c r="M50" t="s">
        <v>34</v>
      </c>
      <c r="N50" t="s">
        <v>35</v>
      </c>
      <c r="O50">
        <v>0.86160852699703905</v>
      </c>
      <c r="P50" t="s">
        <v>36</v>
      </c>
    </row>
    <row r="51" spans="1:16">
      <c r="A51">
        <v>50</v>
      </c>
      <c r="B51" t="s">
        <v>90</v>
      </c>
      <c r="C51">
        <v>155</v>
      </c>
      <c r="D51">
        <v>218</v>
      </c>
      <c r="E51">
        <v>171.154462211132</v>
      </c>
      <c r="F51">
        <v>0.711117713888892</v>
      </c>
      <c r="G51">
        <v>23007.335937618202</v>
      </c>
      <c r="H51">
        <v>810.94206035707305</v>
      </c>
      <c r="I51">
        <v>0.67815169321882496</v>
      </c>
      <c r="J51">
        <v>0.43963933831422097</v>
      </c>
      <c r="K51">
        <v>0.84476642654442302</v>
      </c>
      <c r="L51" t="s">
        <v>33</v>
      </c>
      <c r="M51" t="s">
        <v>34</v>
      </c>
      <c r="N51" t="s">
        <v>35</v>
      </c>
      <c r="O51">
        <v>0.85237855167207899</v>
      </c>
      <c r="P51" t="s">
        <v>36</v>
      </c>
    </row>
    <row r="52" spans="1:16">
      <c r="A52">
        <v>51</v>
      </c>
      <c r="B52" t="s">
        <v>91</v>
      </c>
      <c r="C52">
        <v>217</v>
      </c>
      <c r="D52">
        <v>101</v>
      </c>
      <c r="E52">
        <v>115.046278820647</v>
      </c>
      <c r="F52">
        <v>2.1476800423885898</v>
      </c>
      <c r="G52">
        <v>10395.252272211699</v>
      </c>
      <c r="H52">
        <v>895.27354700710498</v>
      </c>
      <c r="I52">
        <v>0.798199066284349</v>
      </c>
      <c r="J52">
        <v>0.162979654366462</v>
      </c>
      <c r="K52">
        <v>0.64476280030237698</v>
      </c>
      <c r="L52" t="s">
        <v>33</v>
      </c>
      <c r="M52" t="s">
        <v>34</v>
      </c>
      <c r="N52" t="s">
        <v>35</v>
      </c>
      <c r="O52">
        <v>0.93645859082745997</v>
      </c>
      <c r="P52" t="s">
        <v>36</v>
      </c>
    </row>
    <row r="53" spans="1:16">
      <c r="A53">
        <v>52</v>
      </c>
      <c r="B53" t="s">
        <v>92</v>
      </c>
      <c r="C53">
        <v>98</v>
      </c>
      <c r="D53">
        <v>158</v>
      </c>
      <c r="E53">
        <v>115.153149516075</v>
      </c>
      <c r="F53">
        <v>0.61965803410703102</v>
      </c>
      <c r="G53">
        <v>10414.5743024575</v>
      </c>
      <c r="H53">
        <v>597.35236730886504</v>
      </c>
      <c r="I53">
        <v>0.74856788635329796</v>
      </c>
      <c r="J53">
        <v>0.36676696248338803</v>
      </c>
      <c r="K53">
        <v>0.86609890856952199</v>
      </c>
      <c r="L53" t="s">
        <v>33</v>
      </c>
      <c r="M53" t="s">
        <v>34</v>
      </c>
      <c r="N53" t="s">
        <v>35</v>
      </c>
      <c r="O53">
        <v>0.90599511103015296</v>
      </c>
      <c r="P53" t="s">
        <v>36</v>
      </c>
    </row>
    <row r="54" spans="1:16">
      <c r="A54">
        <v>53</v>
      </c>
      <c r="B54" t="s">
        <v>93</v>
      </c>
      <c r="C54">
        <v>219</v>
      </c>
      <c r="D54">
        <v>123</v>
      </c>
      <c r="E54">
        <v>135.20533523899701</v>
      </c>
      <c r="F54">
        <v>1.7860370881907399</v>
      </c>
      <c r="G54">
        <v>14357.457520604899</v>
      </c>
      <c r="H54">
        <v>893.24766680593098</v>
      </c>
      <c r="I54">
        <v>0.80874280356697703</v>
      </c>
      <c r="J54">
        <v>0.22612241914511799</v>
      </c>
      <c r="K54">
        <v>0.70665779058794298</v>
      </c>
      <c r="L54" t="s">
        <v>33</v>
      </c>
      <c r="M54" t="s">
        <v>34</v>
      </c>
      <c r="N54" t="s">
        <v>35</v>
      </c>
      <c r="O54">
        <v>0.88603098559930904</v>
      </c>
      <c r="P54" t="s">
        <v>36</v>
      </c>
    </row>
    <row r="55" spans="1:16">
      <c r="A55">
        <v>54</v>
      </c>
      <c r="B55" t="s">
        <v>94</v>
      </c>
      <c r="C55">
        <v>387</v>
      </c>
      <c r="D55">
        <v>178</v>
      </c>
      <c r="E55">
        <v>176.664326733839</v>
      </c>
      <c r="F55">
        <v>2.17728319081957</v>
      </c>
      <c r="G55">
        <v>24512.5</v>
      </c>
      <c r="H55">
        <v>1336.89861834049</v>
      </c>
      <c r="I55">
        <v>0.93996412153478803</v>
      </c>
      <c r="J55">
        <v>0.172345727578531</v>
      </c>
      <c r="K55">
        <v>0.55678591709256098</v>
      </c>
      <c r="L55" t="s">
        <v>33</v>
      </c>
      <c r="M55" t="s">
        <v>34</v>
      </c>
      <c r="N55" t="s">
        <v>35</v>
      </c>
      <c r="O55">
        <v>0.86755067585927703</v>
      </c>
      <c r="P55" t="s">
        <v>36</v>
      </c>
    </row>
    <row r="56" spans="1:16">
      <c r="A56">
        <v>55</v>
      </c>
      <c r="B56" t="s">
        <v>95</v>
      </c>
      <c r="C56">
        <v>147</v>
      </c>
      <c r="D56">
        <v>264</v>
      </c>
      <c r="E56">
        <v>146.43078245238399</v>
      </c>
      <c r="F56">
        <v>0.55554443100876805</v>
      </c>
      <c r="G56">
        <v>16840.4870381853</v>
      </c>
      <c r="H56">
        <v>1995.98170151711</v>
      </c>
      <c r="I56">
        <v>0.69027691918526202</v>
      </c>
      <c r="J56">
        <v>5.31191846760471E-2</v>
      </c>
      <c r="K56">
        <v>0.58005856695267499</v>
      </c>
      <c r="L56" t="s">
        <v>96</v>
      </c>
      <c r="M56" t="s">
        <v>34</v>
      </c>
      <c r="N56" t="s">
        <v>35</v>
      </c>
      <c r="O56">
        <v>0.84939698433409105</v>
      </c>
      <c r="P56" t="s">
        <v>36</v>
      </c>
    </row>
    <row r="57" spans="1:16">
      <c r="A57">
        <v>56</v>
      </c>
      <c r="B57" t="s">
        <v>97</v>
      </c>
      <c r="C57">
        <v>172</v>
      </c>
      <c r="D57">
        <v>103</v>
      </c>
      <c r="E57">
        <v>119.01847119990001</v>
      </c>
      <c r="F57">
        <v>1.67996615099433</v>
      </c>
      <c r="G57">
        <v>11125.476384499099</v>
      </c>
      <c r="H57">
        <v>683.62900701781996</v>
      </c>
      <c r="I57">
        <v>0.63655121336851705</v>
      </c>
      <c r="J57">
        <v>0.29914897306728899</v>
      </c>
      <c r="K57">
        <v>0.84944394008170698</v>
      </c>
      <c r="L57" t="s">
        <v>33</v>
      </c>
      <c r="M57" t="s">
        <v>34</v>
      </c>
      <c r="N57" t="s">
        <v>35</v>
      </c>
      <c r="O57">
        <v>0.94328640388125296</v>
      </c>
      <c r="P57" t="s">
        <v>36</v>
      </c>
    </row>
    <row r="58" spans="1:16">
      <c r="A58">
        <v>57</v>
      </c>
      <c r="B58" t="s">
        <v>98</v>
      </c>
      <c r="C58">
        <v>117</v>
      </c>
      <c r="D58">
        <v>83</v>
      </c>
      <c r="E58">
        <v>76.988803767818595</v>
      </c>
      <c r="F58">
        <v>1.4052287581699301</v>
      </c>
      <c r="G58">
        <v>4655.2716102079403</v>
      </c>
      <c r="H58">
        <v>527.35475465701995</v>
      </c>
      <c r="I58">
        <v>0.79678220010490697</v>
      </c>
      <c r="J58">
        <v>0.21035321635059701</v>
      </c>
      <c r="K58">
        <v>0.65046104003987404</v>
      </c>
      <c r="L58" t="s">
        <v>99</v>
      </c>
      <c r="M58" t="s">
        <v>34</v>
      </c>
      <c r="N58" t="s">
        <v>35</v>
      </c>
      <c r="O58">
        <v>0.61344570686172095</v>
      </c>
      <c r="P58" t="s">
        <v>36</v>
      </c>
    </row>
    <row r="59" spans="1:16">
      <c r="A59">
        <v>58</v>
      </c>
      <c r="B59" t="s">
        <v>100</v>
      </c>
      <c r="C59">
        <v>133</v>
      </c>
      <c r="D59">
        <v>132</v>
      </c>
      <c r="E59">
        <v>120.344325908524</v>
      </c>
      <c r="F59">
        <v>1.0084174622311299</v>
      </c>
      <c r="G59">
        <v>11374.7305746692</v>
      </c>
      <c r="H59">
        <v>659.47505019789196</v>
      </c>
      <c r="I59">
        <v>0.63081606102965504</v>
      </c>
      <c r="J59">
        <v>0.32866559446240601</v>
      </c>
      <c r="K59">
        <v>0.81890555781454</v>
      </c>
      <c r="L59" t="s">
        <v>33</v>
      </c>
      <c r="M59" t="s">
        <v>34</v>
      </c>
      <c r="N59" t="s">
        <v>35</v>
      </c>
      <c r="O59">
        <v>0.88058627225060704</v>
      </c>
      <c r="P59" t="s">
        <v>36</v>
      </c>
    </row>
    <row r="60" spans="1:16">
      <c r="A60">
        <v>59</v>
      </c>
      <c r="B60" t="s">
        <v>101</v>
      </c>
      <c r="C60">
        <v>98</v>
      </c>
      <c r="D60">
        <v>138</v>
      </c>
      <c r="E60">
        <v>85.148533775044797</v>
      </c>
      <c r="F60">
        <v>0.71171497319906696</v>
      </c>
      <c r="G60">
        <v>5694.3509444234396</v>
      </c>
      <c r="H60">
        <v>656.50042933547002</v>
      </c>
      <c r="I60">
        <v>0.60552368683853097</v>
      </c>
      <c r="J60">
        <v>0.166029042940675</v>
      </c>
      <c r="K60">
        <v>0.60684586507848504</v>
      </c>
      <c r="L60" t="s">
        <v>33</v>
      </c>
      <c r="M60" t="s">
        <v>34</v>
      </c>
      <c r="N60" t="s">
        <v>35</v>
      </c>
      <c r="O60">
        <v>0.93335561415786195</v>
      </c>
      <c r="P60" t="s">
        <v>36</v>
      </c>
    </row>
    <row r="61" spans="1:16">
      <c r="A61">
        <v>60</v>
      </c>
      <c r="B61" t="s">
        <v>102</v>
      </c>
      <c r="C61">
        <v>209</v>
      </c>
      <c r="D61">
        <v>282</v>
      </c>
      <c r="E61">
        <v>172.633558511286</v>
      </c>
      <c r="F61">
        <v>0.74052185427396</v>
      </c>
      <c r="G61">
        <v>23406.7074396975</v>
      </c>
      <c r="H61">
        <v>1721.6937576596599</v>
      </c>
      <c r="I61">
        <v>0.55414211515064205</v>
      </c>
      <c r="J61">
        <v>9.92289466628202E-2</v>
      </c>
      <c r="K61">
        <v>0.50531037625058595</v>
      </c>
      <c r="L61" t="s">
        <v>33</v>
      </c>
      <c r="M61" t="s">
        <v>34</v>
      </c>
      <c r="N61" t="s">
        <v>35</v>
      </c>
      <c r="O61">
        <v>0.903808146222709</v>
      </c>
      <c r="P61" t="s">
        <v>36</v>
      </c>
    </row>
    <row r="62" spans="1:16">
      <c r="A62">
        <v>61</v>
      </c>
      <c r="B62" t="s">
        <v>103</v>
      </c>
      <c r="C62">
        <v>141</v>
      </c>
      <c r="D62">
        <v>186</v>
      </c>
      <c r="E62">
        <v>140.54866650569201</v>
      </c>
      <c r="F62">
        <v>0.75953079178885596</v>
      </c>
      <c r="G62">
        <v>15514.698501323301</v>
      </c>
      <c r="H62">
        <v>1538.0444877838099</v>
      </c>
      <c r="I62">
        <v>0.671980979090532</v>
      </c>
      <c r="J62">
        <v>8.2416735675804098E-2</v>
      </c>
      <c r="K62">
        <v>0.69978413311344401</v>
      </c>
      <c r="L62" t="s">
        <v>33</v>
      </c>
      <c r="M62" t="s">
        <v>34</v>
      </c>
      <c r="N62" t="s">
        <v>35</v>
      </c>
      <c r="O62">
        <v>0.88490690784799797</v>
      </c>
      <c r="P62" t="s">
        <v>36</v>
      </c>
    </row>
    <row r="63" spans="1:16">
      <c r="A63">
        <v>62</v>
      </c>
      <c r="B63" t="s">
        <v>104</v>
      </c>
      <c r="C63">
        <v>96</v>
      </c>
      <c r="D63">
        <v>138</v>
      </c>
      <c r="E63">
        <v>106.455667866342</v>
      </c>
      <c r="F63">
        <v>0.69531995531031299</v>
      </c>
      <c r="G63">
        <v>8900.7675482041595</v>
      </c>
      <c r="H63">
        <v>518.97335484390703</v>
      </c>
      <c r="I63">
        <v>0.78531114804558899</v>
      </c>
      <c r="J63">
        <v>0.41528591484953498</v>
      </c>
      <c r="K63">
        <v>0.86992838361975</v>
      </c>
      <c r="L63" t="s">
        <v>33</v>
      </c>
      <c r="M63" t="s">
        <v>34</v>
      </c>
      <c r="N63" t="s">
        <v>35</v>
      </c>
      <c r="O63">
        <v>0.87178901028395805</v>
      </c>
      <c r="P63" t="s">
        <v>36</v>
      </c>
    </row>
    <row r="64" spans="1:16">
      <c r="A64">
        <v>63</v>
      </c>
      <c r="B64" t="s">
        <v>105</v>
      </c>
      <c r="C64">
        <v>166</v>
      </c>
      <c r="D64">
        <v>89</v>
      </c>
      <c r="E64">
        <v>91.689286290550996</v>
      </c>
      <c r="F64">
        <v>1.86972846109251</v>
      </c>
      <c r="G64">
        <v>6602.7836279773201</v>
      </c>
      <c r="H64">
        <v>798.94110797011297</v>
      </c>
      <c r="I64">
        <v>0.67874100401862603</v>
      </c>
      <c r="J64">
        <v>0.129989237050289</v>
      </c>
      <c r="K64">
        <v>0.62968107725017697</v>
      </c>
      <c r="L64" t="s">
        <v>33</v>
      </c>
      <c r="M64" t="s">
        <v>34</v>
      </c>
      <c r="N64" t="s">
        <v>35</v>
      </c>
      <c r="O64">
        <v>0.77776854583173705</v>
      </c>
      <c r="P64" t="s">
        <v>36</v>
      </c>
    </row>
    <row r="65" spans="1:16">
      <c r="A65">
        <v>64</v>
      </c>
      <c r="B65" t="s">
        <v>106</v>
      </c>
      <c r="C65">
        <v>380</v>
      </c>
      <c r="D65">
        <v>205</v>
      </c>
      <c r="E65">
        <v>158.62659456354899</v>
      </c>
      <c r="F65">
        <v>1.8499475054602099</v>
      </c>
      <c r="G65">
        <v>19762.5</v>
      </c>
      <c r="H65">
        <v>1886.30986750126</v>
      </c>
      <c r="I65">
        <v>0.658388093085577</v>
      </c>
      <c r="J65">
        <v>6.9795218915602794E-2</v>
      </c>
      <c r="K65">
        <v>0.333967046894804</v>
      </c>
      <c r="L65" t="s">
        <v>45</v>
      </c>
      <c r="M65" t="s">
        <v>34</v>
      </c>
      <c r="N65" t="s">
        <v>35</v>
      </c>
      <c r="O65">
        <v>0.76245683650069795</v>
      </c>
      <c r="P65" t="s">
        <v>36</v>
      </c>
    </row>
    <row r="66" spans="1:16">
      <c r="A66">
        <v>65</v>
      </c>
      <c r="B66" t="s">
        <v>107</v>
      </c>
      <c r="C66">
        <v>178</v>
      </c>
      <c r="D66">
        <v>91</v>
      </c>
      <c r="E66">
        <v>104.38498896713899</v>
      </c>
      <c r="F66">
        <v>1.96789281584392</v>
      </c>
      <c r="G66">
        <v>8557.8758268430993</v>
      </c>
      <c r="H66">
        <v>596.52651629199204</v>
      </c>
      <c r="I66">
        <v>0.650300077414799</v>
      </c>
      <c r="J66">
        <v>0.30221522401807399</v>
      </c>
      <c r="K66">
        <v>0.76013571494580601</v>
      </c>
      <c r="L66" t="s">
        <v>33</v>
      </c>
      <c r="M66" t="s">
        <v>34</v>
      </c>
      <c r="N66" t="s">
        <v>35</v>
      </c>
      <c r="O66">
        <v>0.86266716037119595</v>
      </c>
      <c r="P66" t="s">
        <v>36</v>
      </c>
    </row>
    <row r="67" spans="1:16">
      <c r="A67">
        <v>66</v>
      </c>
      <c r="B67" t="s">
        <v>108</v>
      </c>
      <c r="C67">
        <v>123</v>
      </c>
      <c r="D67">
        <v>77</v>
      </c>
      <c r="E67">
        <v>82.3005514787435</v>
      </c>
      <c r="F67">
        <v>1.5845070422535199</v>
      </c>
      <c r="G67">
        <v>5319.8008196597402</v>
      </c>
      <c r="H67">
        <v>581.492913381535</v>
      </c>
      <c r="I67">
        <v>0.78762171342951903</v>
      </c>
      <c r="J67">
        <v>0.19770442206613301</v>
      </c>
      <c r="K67">
        <v>0.74700505071586598</v>
      </c>
      <c r="L67" t="s">
        <v>83</v>
      </c>
      <c r="M67" t="s">
        <v>34</v>
      </c>
      <c r="N67" t="s">
        <v>35</v>
      </c>
      <c r="O67">
        <v>0.82599113510466005</v>
      </c>
      <c r="P67" t="s">
        <v>36</v>
      </c>
    </row>
    <row r="68" spans="1:16">
      <c r="A68">
        <v>67</v>
      </c>
      <c r="B68" t="s">
        <v>109</v>
      </c>
      <c r="C68">
        <v>224</v>
      </c>
      <c r="D68">
        <v>113</v>
      </c>
      <c r="E68">
        <v>134.05128080662001</v>
      </c>
      <c r="F68">
        <v>1.98636576857509</v>
      </c>
      <c r="G68">
        <v>14113.4054155009</v>
      </c>
      <c r="H68">
        <v>874.25860265213498</v>
      </c>
      <c r="I68">
        <v>0.71589892941691602</v>
      </c>
      <c r="J68">
        <v>0.232039463263885</v>
      </c>
      <c r="K68">
        <v>0.73097618992632996</v>
      </c>
      <c r="L68" t="s">
        <v>33</v>
      </c>
      <c r="M68" t="s">
        <v>34</v>
      </c>
      <c r="N68" t="s">
        <v>35</v>
      </c>
      <c r="O68">
        <v>0.89720287055992298</v>
      </c>
      <c r="P68" t="s">
        <v>36</v>
      </c>
    </row>
    <row r="69" spans="1:16">
      <c r="A69">
        <v>68</v>
      </c>
      <c r="B69" t="s">
        <v>110</v>
      </c>
      <c r="C69">
        <v>96</v>
      </c>
      <c r="D69">
        <v>146</v>
      </c>
      <c r="E69">
        <v>92.844023454220107</v>
      </c>
      <c r="F69">
        <v>0.65550242672109704</v>
      </c>
      <c r="G69">
        <v>6770.1421361058601</v>
      </c>
      <c r="H69">
        <v>692.93645001100504</v>
      </c>
      <c r="I69">
        <v>0.69072156305174803</v>
      </c>
      <c r="J69">
        <v>0.177182504834168</v>
      </c>
      <c r="K69">
        <v>0.68753679189748096</v>
      </c>
      <c r="L69" t="s">
        <v>33</v>
      </c>
      <c r="M69" t="s">
        <v>34</v>
      </c>
      <c r="N69" t="s">
        <v>35</v>
      </c>
      <c r="O69">
        <v>0.903165987710559</v>
      </c>
      <c r="P69" t="s">
        <v>36</v>
      </c>
    </row>
    <row r="70" spans="1:16">
      <c r="A70">
        <v>69</v>
      </c>
      <c r="B70" t="s">
        <v>111</v>
      </c>
      <c r="C70">
        <v>121</v>
      </c>
      <c r="D70">
        <v>114</v>
      </c>
      <c r="E70">
        <v>104.35960483507399</v>
      </c>
      <c r="F70">
        <v>1.06207972304924</v>
      </c>
      <c r="G70">
        <v>8553.7141587901697</v>
      </c>
      <c r="H70">
        <v>512.85972151652595</v>
      </c>
      <c r="I70">
        <v>0.68865385936681101</v>
      </c>
      <c r="J70">
        <v>0.40866497045123701</v>
      </c>
      <c r="K70">
        <v>0.87343866199213804</v>
      </c>
      <c r="L70" t="s">
        <v>33</v>
      </c>
      <c r="M70" t="s">
        <v>34</v>
      </c>
      <c r="N70" t="s">
        <v>35</v>
      </c>
      <c r="O70">
        <v>0.840981035133749</v>
      </c>
      <c r="P70" t="s">
        <v>36</v>
      </c>
    </row>
    <row r="71" spans="1:16">
      <c r="A71">
        <v>70</v>
      </c>
      <c r="B71" t="s">
        <v>112</v>
      </c>
      <c r="C71">
        <v>299</v>
      </c>
      <c r="D71">
        <v>123</v>
      </c>
      <c r="E71">
        <v>153.06079714651599</v>
      </c>
      <c r="F71">
        <v>2.4343675721081599</v>
      </c>
      <c r="G71">
        <v>18400</v>
      </c>
      <c r="H71">
        <v>996.69046759605396</v>
      </c>
      <c r="I71">
        <v>0.87182055872138797</v>
      </c>
      <c r="J71">
        <v>0.23275931890677201</v>
      </c>
      <c r="K71">
        <v>0.68337975858867195</v>
      </c>
      <c r="L71" t="s">
        <v>33</v>
      </c>
      <c r="M71" t="s">
        <v>34</v>
      </c>
      <c r="N71" t="s">
        <v>35</v>
      </c>
      <c r="O71">
        <v>0.80401883431010202</v>
      </c>
      <c r="P71" t="s">
        <v>36</v>
      </c>
    </row>
    <row r="72" spans="1:16">
      <c r="A72">
        <v>71</v>
      </c>
      <c r="B72" t="s">
        <v>113</v>
      </c>
      <c r="C72">
        <v>152</v>
      </c>
      <c r="D72">
        <v>191</v>
      </c>
      <c r="E72">
        <v>155.983224891834</v>
      </c>
      <c r="F72">
        <v>0.79428567841198305</v>
      </c>
      <c r="G72">
        <v>19109.339282041601</v>
      </c>
      <c r="H72">
        <v>1512.32183284645</v>
      </c>
      <c r="I72">
        <v>0.66586927014144603</v>
      </c>
      <c r="J72">
        <v>0.104994630958753</v>
      </c>
      <c r="K72">
        <v>0.73810480630123798</v>
      </c>
      <c r="L72" t="s">
        <v>33</v>
      </c>
      <c r="M72" t="s">
        <v>34</v>
      </c>
      <c r="N72" t="s">
        <v>35</v>
      </c>
      <c r="O72">
        <v>0.90908002128857801</v>
      </c>
      <c r="P72" t="s">
        <v>36</v>
      </c>
    </row>
    <row r="73" spans="1:16">
      <c r="A73">
        <v>72</v>
      </c>
      <c r="B73" t="s">
        <v>114</v>
      </c>
      <c r="C73">
        <v>197</v>
      </c>
      <c r="D73">
        <v>141</v>
      </c>
      <c r="E73">
        <v>144.69648950352601</v>
      </c>
      <c r="F73">
        <v>1.39074253121634</v>
      </c>
      <c r="G73">
        <v>16443.939525141799</v>
      </c>
      <c r="H73">
        <v>766.43072559232303</v>
      </c>
      <c r="I73">
        <v>0.66843675494487398</v>
      </c>
      <c r="J73">
        <v>0.35177900897355802</v>
      </c>
      <c r="K73">
        <v>0.75149094564671004</v>
      </c>
      <c r="L73" t="s">
        <v>33</v>
      </c>
      <c r="M73" t="s">
        <v>34</v>
      </c>
      <c r="N73" t="s">
        <v>35</v>
      </c>
      <c r="O73">
        <v>0.84723673442816205</v>
      </c>
      <c r="P73" t="s">
        <v>36</v>
      </c>
    </row>
    <row r="74" spans="1:16">
      <c r="A74">
        <v>73</v>
      </c>
      <c r="B74" t="s">
        <v>115</v>
      </c>
      <c r="C74">
        <v>127</v>
      </c>
      <c r="D74">
        <v>186</v>
      </c>
      <c r="E74">
        <v>129.32334594607499</v>
      </c>
      <c r="F74">
        <v>0.68328445747800604</v>
      </c>
      <c r="G74">
        <v>13135.4134230624</v>
      </c>
      <c r="H74">
        <v>1541.3213013659399</v>
      </c>
      <c r="I74">
        <v>0.71340562358715198</v>
      </c>
      <c r="J74">
        <v>6.9481190218513095E-2</v>
      </c>
      <c r="K74">
        <v>0.65822068297769298</v>
      </c>
      <c r="L74" t="s">
        <v>33</v>
      </c>
      <c r="M74" t="s">
        <v>34</v>
      </c>
      <c r="N74" t="s">
        <v>35</v>
      </c>
      <c r="O74">
        <v>0.80903147437241196</v>
      </c>
      <c r="P74" t="s">
        <v>36</v>
      </c>
    </row>
    <row r="75" spans="1:16">
      <c r="A75">
        <v>74</v>
      </c>
      <c r="B75" t="s">
        <v>116</v>
      </c>
      <c r="C75">
        <v>229</v>
      </c>
      <c r="D75">
        <v>179</v>
      </c>
      <c r="E75">
        <v>166.93342822302699</v>
      </c>
      <c r="F75">
        <v>1.2794114792023801</v>
      </c>
      <c r="G75">
        <v>21886.509552363001</v>
      </c>
      <c r="H75">
        <v>1126.35948454359</v>
      </c>
      <c r="I75">
        <v>0.63617471553671101</v>
      </c>
      <c r="J75">
        <v>0.21678654768459199</v>
      </c>
      <c r="K75">
        <v>0.66906873614190698</v>
      </c>
      <c r="L75" t="s">
        <v>33</v>
      </c>
      <c r="M75" t="s">
        <v>34</v>
      </c>
      <c r="N75" t="s">
        <v>35</v>
      </c>
      <c r="O75">
        <v>0.882573964879524</v>
      </c>
      <c r="P75" t="s">
        <v>36</v>
      </c>
    </row>
    <row r="76" spans="1:16">
      <c r="A76">
        <v>75</v>
      </c>
      <c r="B76" t="s">
        <v>117</v>
      </c>
      <c r="C76">
        <v>133</v>
      </c>
      <c r="D76">
        <v>187</v>
      </c>
      <c r="E76">
        <v>139.91237125748</v>
      </c>
      <c r="F76">
        <v>0.707170002960958</v>
      </c>
      <c r="G76">
        <v>15374.5394665406</v>
      </c>
      <c r="H76">
        <v>675.54656746418596</v>
      </c>
      <c r="I76">
        <v>0.71732712933373599</v>
      </c>
      <c r="J76">
        <v>0.42335178616126801</v>
      </c>
      <c r="K76">
        <v>0.82806458585163201</v>
      </c>
      <c r="L76" t="s">
        <v>33</v>
      </c>
      <c r="M76" t="s">
        <v>34</v>
      </c>
      <c r="N76" t="s">
        <v>35</v>
      </c>
      <c r="O76">
        <v>0.83662379594090897</v>
      </c>
      <c r="P76" t="s">
        <v>36</v>
      </c>
    </row>
    <row r="77" spans="1:16">
      <c r="A77">
        <v>76</v>
      </c>
      <c r="B77" t="s">
        <v>118</v>
      </c>
      <c r="C77">
        <v>226</v>
      </c>
      <c r="D77">
        <v>136</v>
      </c>
      <c r="E77">
        <v>137.867885239749</v>
      </c>
      <c r="F77">
        <v>1.66026219045266</v>
      </c>
      <c r="G77">
        <v>14928.4978298677</v>
      </c>
      <c r="H77">
        <v>1022.11612301992</v>
      </c>
      <c r="I77">
        <v>0.66185494533044997</v>
      </c>
      <c r="J77">
        <v>0.17956657346504101</v>
      </c>
      <c r="K77">
        <v>0.65799300341967704</v>
      </c>
      <c r="L77" t="s">
        <v>33</v>
      </c>
      <c r="M77" t="s">
        <v>34</v>
      </c>
      <c r="N77" t="s">
        <v>35</v>
      </c>
      <c r="O77">
        <v>0.86838653117912601</v>
      </c>
      <c r="P77" t="s">
        <v>36</v>
      </c>
    </row>
    <row r="78" spans="1:16">
      <c r="A78">
        <v>77</v>
      </c>
      <c r="B78" t="s">
        <v>119</v>
      </c>
      <c r="C78">
        <v>86</v>
      </c>
      <c r="D78">
        <v>153</v>
      </c>
      <c r="E78">
        <v>83.758118432705103</v>
      </c>
      <c r="F78">
        <v>0.56191825922887295</v>
      </c>
      <c r="G78">
        <v>5509.8998710775104</v>
      </c>
      <c r="H78">
        <v>736.84112256226297</v>
      </c>
      <c r="I78">
        <v>0.64513635191227003</v>
      </c>
      <c r="J78">
        <v>0.127528091291532</v>
      </c>
      <c r="K78">
        <v>0.49045445524905701</v>
      </c>
      <c r="L78" t="s">
        <v>33</v>
      </c>
      <c r="M78" t="s">
        <v>34</v>
      </c>
      <c r="N78" t="s">
        <v>35</v>
      </c>
      <c r="O78">
        <v>0.95050829627314304</v>
      </c>
      <c r="P78" t="s">
        <v>36</v>
      </c>
    </row>
    <row r="79" spans="1:16">
      <c r="A79">
        <v>78</v>
      </c>
      <c r="B79" t="s">
        <v>120</v>
      </c>
      <c r="C79">
        <v>274</v>
      </c>
      <c r="D79">
        <v>131</v>
      </c>
      <c r="E79">
        <v>149.21721260818501</v>
      </c>
      <c r="F79">
        <v>2.0913402862673101</v>
      </c>
      <c r="G79">
        <v>17487.5</v>
      </c>
      <c r="H79">
        <v>1233.4671598672901</v>
      </c>
      <c r="I79">
        <v>0.78627951439888599</v>
      </c>
      <c r="J79">
        <v>0.144438313580349</v>
      </c>
      <c r="K79">
        <v>0.58291666666666697</v>
      </c>
      <c r="L79" t="s">
        <v>33</v>
      </c>
      <c r="M79" t="s">
        <v>34</v>
      </c>
      <c r="N79" t="s">
        <v>35</v>
      </c>
      <c r="O79">
        <v>0.92280031027922105</v>
      </c>
      <c r="P79" t="s">
        <v>36</v>
      </c>
    </row>
    <row r="80" spans="1:16">
      <c r="A80">
        <v>79</v>
      </c>
      <c r="B80" t="s">
        <v>121</v>
      </c>
      <c r="C80">
        <v>182</v>
      </c>
      <c r="D80">
        <v>264</v>
      </c>
      <c r="E80">
        <v>161.32049120912001</v>
      </c>
      <c r="F80">
        <v>0.68846996769328395</v>
      </c>
      <c r="G80">
        <v>20439.438117958402</v>
      </c>
      <c r="H80">
        <v>1388.18672201405</v>
      </c>
      <c r="I80">
        <v>0.63661240552516496</v>
      </c>
      <c r="J80">
        <v>0.13328554272460999</v>
      </c>
      <c r="K80">
        <v>0.52271517842210102</v>
      </c>
      <c r="L80" t="s">
        <v>33</v>
      </c>
      <c r="M80" t="s">
        <v>34</v>
      </c>
      <c r="N80" t="s">
        <v>35</v>
      </c>
      <c r="O80">
        <v>0.92758516495457999</v>
      </c>
      <c r="P80" t="s">
        <v>36</v>
      </c>
    </row>
    <row r="81" spans="1:16">
      <c r="A81">
        <v>80</v>
      </c>
      <c r="B81" t="s">
        <v>122</v>
      </c>
      <c r="C81">
        <v>79</v>
      </c>
      <c r="D81">
        <v>76</v>
      </c>
      <c r="E81">
        <v>71.5631925347124</v>
      </c>
      <c r="F81">
        <v>1.04193540966686</v>
      </c>
      <c r="G81">
        <v>4022.2521731569</v>
      </c>
      <c r="H81">
        <v>350.339543945478</v>
      </c>
      <c r="I81">
        <v>0.72146926776487896</v>
      </c>
      <c r="J81">
        <v>0.41181374554678701</v>
      </c>
      <c r="K81">
        <v>0.83993916633042598</v>
      </c>
      <c r="L81" t="s">
        <v>33</v>
      </c>
      <c r="M81" t="s">
        <v>34</v>
      </c>
      <c r="N81" t="s">
        <v>35</v>
      </c>
      <c r="O81">
        <v>0.91587830579907603</v>
      </c>
      <c r="P81" t="s">
        <v>36</v>
      </c>
    </row>
    <row r="82" spans="1:16">
      <c r="A82">
        <v>81</v>
      </c>
      <c r="B82" t="s">
        <v>123</v>
      </c>
      <c r="C82">
        <v>120</v>
      </c>
      <c r="D82">
        <v>260</v>
      </c>
      <c r="E82">
        <v>131.44676657076801</v>
      </c>
      <c r="F82">
        <v>0.46106792170653199</v>
      </c>
      <c r="G82">
        <v>13570.3077345936</v>
      </c>
      <c r="H82">
        <v>1009.30878463704</v>
      </c>
      <c r="I82">
        <v>0.69813398061213905</v>
      </c>
      <c r="J82">
        <v>0.16739845829264999</v>
      </c>
      <c r="K82">
        <v>0.58880204302739503</v>
      </c>
      <c r="L82" t="s">
        <v>33</v>
      </c>
      <c r="M82" t="s">
        <v>34</v>
      </c>
      <c r="N82" t="s">
        <v>35</v>
      </c>
      <c r="O82">
        <v>0.93442694555276296</v>
      </c>
      <c r="P82" t="s">
        <v>36</v>
      </c>
    </row>
    <row r="83" spans="1:16">
      <c r="A83">
        <v>82</v>
      </c>
      <c r="B83" t="s">
        <v>124</v>
      </c>
      <c r="C83">
        <v>86</v>
      </c>
      <c r="D83">
        <v>124</v>
      </c>
      <c r="E83">
        <v>77.0477745513804</v>
      </c>
      <c r="F83">
        <v>0.69266455665482196</v>
      </c>
      <c r="G83">
        <v>4662.4058982986799</v>
      </c>
      <c r="H83">
        <v>562.96492431568095</v>
      </c>
      <c r="I83">
        <v>0.82142169416246003</v>
      </c>
      <c r="J83">
        <v>0.18486609596643599</v>
      </c>
      <c r="K83">
        <v>0.64691689008042896</v>
      </c>
      <c r="L83" t="s">
        <v>45</v>
      </c>
      <c r="M83" t="s">
        <v>34</v>
      </c>
      <c r="N83" t="s">
        <v>35</v>
      </c>
      <c r="O83">
        <v>0.74960257367857897</v>
      </c>
      <c r="P83" t="s">
        <v>36</v>
      </c>
    </row>
    <row r="84" spans="1:16">
      <c r="A84">
        <v>83</v>
      </c>
      <c r="B84" t="s">
        <v>125</v>
      </c>
      <c r="C84">
        <v>143</v>
      </c>
      <c r="D84">
        <v>126</v>
      </c>
      <c r="E84">
        <v>118.36636270398699</v>
      </c>
      <c r="F84">
        <v>1.1344101739366801</v>
      </c>
      <c r="G84">
        <v>11003.896224952699</v>
      </c>
      <c r="H84">
        <v>593.12292006129803</v>
      </c>
      <c r="I84">
        <v>0.78787980371635902</v>
      </c>
      <c r="J84">
        <v>0.39306731888054097</v>
      </c>
      <c r="K84">
        <v>0.85635135447752597</v>
      </c>
      <c r="L84" t="s">
        <v>33</v>
      </c>
      <c r="M84" t="s">
        <v>34</v>
      </c>
      <c r="N84" t="s">
        <v>35</v>
      </c>
      <c r="O84">
        <v>0.87583539271955602</v>
      </c>
      <c r="P84" t="s">
        <v>36</v>
      </c>
    </row>
    <row r="85" spans="1:16">
      <c r="A85">
        <v>84</v>
      </c>
      <c r="B85" t="s">
        <v>126</v>
      </c>
      <c r="C85">
        <v>268</v>
      </c>
      <c r="D85">
        <v>142</v>
      </c>
      <c r="E85">
        <v>143.45289868727701</v>
      </c>
      <c r="F85">
        <v>1.8823528860461201</v>
      </c>
      <c r="G85">
        <v>16162.5</v>
      </c>
      <c r="H85">
        <v>1289.3250244855899</v>
      </c>
      <c r="I85">
        <v>0.56568410517176604</v>
      </c>
      <c r="J85">
        <v>0.12217815932775999</v>
      </c>
      <c r="K85">
        <v>0.53964941569282099</v>
      </c>
      <c r="L85" t="s">
        <v>75</v>
      </c>
      <c r="M85" t="s">
        <v>34</v>
      </c>
      <c r="N85" t="s">
        <v>35</v>
      </c>
      <c r="O85">
        <v>0.694095193860641</v>
      </c>
      <c r="P85" t="s">
        <v>36</v>
      </c>
    </row>
    <row r="86" spans="1:16">
      <c r="A86">
        <v>85</v>
      </c>
      <c r="B86" t="s">
        <v>127</v>
      </c>
      <c r="C86">
        <v>164</v>
      </c>
      <c r="D86">
        <v>79</v>
      </c>
      <c r="E86">
        <v>88.121461029360105</v>
      </c>
      <c r="F86">
        <v>2.0856276116885102</v>
      </c>
      <c r="G86">
        <v>6098.9245315689996</v>
      </c>
      <c r="H86">
        <v>632.69795320179196</v>
      </c>
      <c r="I86">
        <v>0.70488314362003701</v>
      </c>
      <c r="J86">
        <v>0.19145656571682099</v>
      </c>
      <c r="K86">
        <v>0.70197587888119095</v>
      </c>
      <c r="L86" t="s">
        <v>75</v>
      </c>
      <c r="M86" t="s">
        <v>34</v>
      </c>
      <c r="N86" t="s">
        <v>35</v>
      </c>
      <c r="O86">
        <v>0.79730489599046395</v>
      </c>
      <c r="P86" t="s">
        <v>36</v>
      </c>
    </row>
    <row r="87" spans="1:16">
      <c r="A87">
        <v>86</v>
      </c>
      <c r="B87" t="s">
        <v>128</v>
      </c>
      <c r="C87">
        <v>111</v>
      </c>
      <c r="D87">
        <v>96</v>
      </c>
      <c r="E87">
        <v>103.92803644095299</v>
      </c>
      <c r="F87">
        <v>1.15182246703512</v>
      </c>
      <c r="G87">
        <v>8483.1144328922492</v>
      </c>
      <c r="H87">
        <v>451.02431987441099</v>
      </c>
      <c r="I87">
        <v>0.707814397744847</v>
      </c>
      <c r="J87">
        <v>0.524041002641776</v>
      </c>
      <c r="K87">
        <v>0.91062112098536896</v>
      </c>
      <c r="L87" t="s">
        <v>33</v>
      </c>
      <c r="M87" t="s">
        <v>34</v>
      </c>
      <c r="N87" t="s">
        <v>35</v>
      </c>
      <c r="O87">
        <v>0.90568587514218901</v>
      </c>
      <c r="P87" t="s">
        <v>36</v>
      </c>
    </row>
    <row r="88" spans="1:16">
      <c r="A88">
        <v>87</v>
      </c>
      <c r="B88" t="s">
        <v>129</v>
      </c>
      <c r="C88">
        <v>124</v>
      </c>
      <c r="D88">
        <v>79</v>
      </c>
      <c r="E88">
        <v>69.095724206953903</v>
      </c>
      <c r="F88">
        <v>1.57590328456808</v>
      </c>
      <c r="G88">
        <v>3749.6629156899799</v>
      </c>
      <c r="H88">
        <v>742.083509910418</v>
      </c>
      <c r="I88">
        <v>0.58074636771256405</v>
      </c>
      <c r="J88">
        <v>8.5565073836622402E-2</v>
      </c>
      <c r="K88">
        <v>0.49747594257769401</v>
      </c>
      <c r="L88" t="s">
        <v>52</v>
      </c>
      <c r="M88" t="s">
        <v>34</v>
      </c>
      <c r="N88" t="s">
        <v>35</v>
      </c>
      <c r="O88">
        <v>0.74487606173855103</v>
      </c>
      <c r="P88" t="s">
        <v>36</v>
      </c>
    </row>
    <row r="89" spans="1:16">
      <c r="A89">
        <v>88</v>
      </c>
      <c r="B89" t="s">
        <v>130</v>
      </c>
      <c r="C89">
        <v>360</v>
      </c>
      <c r="D89">
        <v>120</v>
      </c>
      <c r="E89">
        <v>141.498027692828</v>
      </c>
      <c r="F89">
        <v>3</v>
      </c>
      <c r="G89">
        <v>15725</v>
      </c>
      <c r="H89">
        <v>1109.1168737411499</v>
      </c>
      <c r="I89">
        <v>0.88185358660500601</v>
      </c>
      <c r="J89">
        <v>0.16063711400276401</v>
      </c>
      <c r="K89">
        <v>0.47778199772123098</v>
      </c>
      <c r="L89" t="s">
        <v>45</v>
      </c>
      <c r="M89" t="s">
        <v>34</v>
      </c>
      <c r="N89" t="s">
        <v>35</v>
      </c>
      <c r="O89">
        <v>0.72211892612806805</v>
      </c>
      <c r="P89" t="s">
        <v>36</v>
      </c>
    </row>
    <row r="90" spans="1:16">
      <c r="A90">
        <v>89</v>
      </c>
      <c r="B90" t="s">
        <v>131</v>
      </c>
      <c r="C90">
        <v>59</v>
      </c>
      <c r="D90">
        <v>78</v>
      </c>
      <c r="E90">
        <v>62.987909572927897</v>
      </c>
      <c r="F90">
        <v>0.75750879452529796</v>
      </c>
      <c r="G90">
        <v>3116.0489546313802</v>
      </c>
      <c r="H90">
        <v>302.49270539356303</v>
      </c>
      <c r="I90">
        <v>0.63276797375480898</v>
      </c>
      <c r="J90">
        <v>0.42794142040000799</v>
      </c>
      <c r="K90">
        <v>0.83392999204455098</v>
      </c>
      <c r="L90" t="s">
        <v>132</v>
      </c>
      <c r="M90" t="s">
        <v>34</v>
      </c>
      <c r="N90" t="s">
        <v>35</v>
      </c>
      <c r="O90">
        <v>0.864677256183084</v>
      </c>
      <c r="P90" t="s">
        <v>36</v>
      </c>
    </row>
    <row r="91" spans="1:16">
      <c r="A91">
        <v>90</v>
      </c>
      <c r="B91" t="s">
        <v>133</v>
      </c>
      <c r="C91">
        <v>154</v>
      </c>
      <c r="D91">
        <v>177</v>
      </c>
      <c r="E91">
        <v>139.62979814050101</v>
      </c>
      <c r="F91">
        <v>0.87005655988281805</v>
      </c>
      <c r="G91">
        <v>15312.5</v>
      </c>
      <c r="H91">
        <v>912.04580605030105</v>
      </c>
      <c r="I91">
        <v>0.55337428830981805</v>
      </c>
      <c r="J91">
        <v>0.231325049876595</v>
      </c>
      <c r="K91">
        <v>0.68627450980392202</v>
      </c>
      <c r="L91" t="s">
        <v>33</v>
      </c>
      <c r="M91" t="s">
        <v>34</v>
      </c>
      <c r="N91" t="s">
        <v>35</v>
      </c>
      <c r="O91">
        <v>0.80922313664094203</v>
      </c>
      <c r="P91" t="s">
        <v>36</v>
      </c>
    </row>
    <row r="92" spans="1:16">
      <c r="A92">
        <v>91</v>
      </c>
      <c r="B92" t="s">
        <v>134</v>
      </c>
      <c r="C92">
        <v>114</v>
      </c>
      <c r="D92">
        <v>91</v>
      </c>
      <c r="E92">
        <v>90.278029702651395</v>
      </c>
      <c r="F92">
        <v>1.2565632487712</v>
      </c>
      <c r="G92">
        <v>6401.0913584120999</v>
      </c>
      <c r="H92">
        <v>457.30234480432802</v>
      </c>
      <c r="I92">
        <v>0.67895840424890697</v>
      </c>
      <c r="J92">
        <v>0.38464229142696299</v>
      </c>
      <c r="K92">
        <v>0.81304511987917705</v>
      </c>
      <c r="L92" t="s">
        <v>33</v>
      </c>
      <c r="M92" t="s">
        <v>34</v>
      </c>
      <c r="N92" t="s">
        <v>35</v>
      </c>
      <c r="O92">
        <v>0.93048991865632302</v>
      </c>
      <c r="P92" t="s">
        <v>36</v>
      </c>
    </row>
    <row r="93" spans="1:16">
      <c r="A93">
        <v>92</v>
      </c>
      <c r="B93" t="s">
        <v>135</v>
      </c>
      <c r="C93">
        <v>140</v>
      </c>
      <c r="D93">
        <v>224</v>
      </c>
      <c r="E93">
        <v>138.48527229483099</v>
      </c>
      <c r="F93">
        <v>0.62285711731965299</v>
      </c>
      <c r="G93">
        <v>15062.5</v>
      </c>
      <c r="H93">
        <v>946.18794143199898</v>
      </c>
      <c r="I93">
        <v>0.72839049093318797</v>
      </c>
      <c r="J93">
        <v>0.211422939186522</v>
      </c>
      <c r="K93">
        <v>0.63857975622681495</v>
      </c>
      <c r="L93" t="s">
        <v>33</v>
      </c>
      <c r="M93" t="s">
        <v>34</v>
      </c>
      <c r="N93" t="s">
        <v>35</v>
      </c>
      <c r="O93">
        <v>0.86570164437790498</v>
      </c>
      <c r="P93" t="s">
        <v>36</v>
      </c>
    </row>
    <row r="94" spans="1:16">
      <c r="A94">
        <v>93</v>
      </c>
      <c r="B94" t="s">
        <v>136</v>
      </c>
      <c r="C94">
        <v>84</v>
      </c>
      <c r="D94">
        <v>114</v>
      </c>
      <c r="E94">
        <v>87.726505464197203</v>
      </c>
      <c r="F94">
        <v>0.73391304030453797</v>
      </c>
      <c r="G94">
        <v>6044.3769538752404</v>
      </c>
      <c r="H94">
        <v>463.01910248310702</v>
      </c>
      <c r="I94">
        <v>0.76777288311606295</v>
      </c>
      <c r="J94">
        <v>0.354293828576555</v>
      </c>
      <c r="K94">
        <v>0.82535720084429298</v>
      </c>
      <c r="L94" t="s">
        <v>33</v>
      </c>
      <c r="M94" t="s">
        <v>34</v>
      </c>
      <c r="N94" t="s">
        <v>35</v>
      </c>
      <c r="O94">
        <v>0.85456958614777101</v>
      </c>
      <c r="P94" t="s">
        <v>36</v>
      </c>
    </row>
    <row r="95" spans="1:16">
      <c r="A95">
        <v>94</v>
      </c>
      <c r="B95" t="s">
        <v>137</v>
      </c>
      <c r="C95">
        <v>98</v>
      </c>
      <c r="D95">
        <v>147</v>
      </c>
      <c r="E95">
        <v>110.377835977001</v>
      </c>
      <c r="F95">
        <v>0.66914498141263901</v>
      </c>
      <c r="G95">
        <v>9568.7152706994293</v>
      </c>
      <c r="H95">
        <v>613.544497445459</v>
      </c>
      <c r="I95">
        <v>0.69338883086094205</v>
      </c>
      <c r="J95">
        <v>0.31942681032553799</v>
      </c>
      <c r="K95">
        <v>0.85552351463767895</v>
      </c>
      <c r="L95" t="s">
        <v>33</v>
      </c>
      <c r="M95" t="s">
        <v>34</v>
      </c>
      <c r="N95" t="s">
        <v>35</v>
      </c>
      <c r="O95">
        <v>0.92090691402340796</v>
      </c>
      <c r="P95" t="s">
        <v>36</v>
      </c>
    </row>
    <row r="96" spans="1:16">
      <c r="A96">
        <v>95</v>
      </c>
      <c r="B96" t="s">
        <v>138</v>
      </c>
      <c r="C96">
        <v>59</v>
      </c>
      <c r="D96">
        <v>64</v>
      </c>
      <c r="E96">
        <v>60.761329271508401</v>
      </c>
      <c r="F96">
        <v>0.92307692307692302</v>
      </c>
      <c r="G96">
        <v>2899.6422158790201</v>
      </c>
      <c r="H96">
        <v>239.621666169685</v>
      </c>
      <c r="I96">
        <v>0.55854757221807405</v>
      </c>
      <c r="J96">
        <v>0.63460298528556502</v>
      </c>
      <c r="K96">
        <v>0.92053980087764797</v>
      </c>
      <c r="L96" t="s">
        <v>33</v>
      </c>
      <c r="M96" t="s">
        <v>34</v>
      </c>
      <c r="N96" t="s">
        <v>35</v>
      </c>
      <c r="O96">
        <v>0.90472032300208405</v>
      </c>
      <c r="P96" t="s">
        <v>36</v>
      </c>
    </row>
    <row r="97" spans="1:16">
      <c r="A97">
        <v>96</v>
      </c>
      <c r="B97" t="s">
        <v>139</v>
      </c>
      <c r="C97">
        <v>149</v>
      </c>
      <c r="D97">
        <v>119</v>
      </c>
      <c r="E97">
        <v>127.576031138267</v>
      </c>
      <c r="F97">
        <v>1.24489533131554</v>
      </c>
      <c r="G97">
        <v>12782.8606865785</v>
      </c>
      <c r="H97">
        <v>482.80030170399198</v>
      </c>
      <c r="I97">
        <v>0.66149177995247199</v>
      </c>
      <c r="J97">
        <v>0.68913269381969</v>
      </c>
      <c r="K97">
        <v>0.934379209943071</v>
      </c>
      <c r="L97" t="s">
        <v>33</v>
      </c>
      <c r="M97" t="s">
        <v>34</v>
      </c>
      <c r="N97" t="s">
        <v>35</v>
      </c>
      <c r="O97">
        <v>0.83509800628810604</v>
      </c>
      <c r="P97" t="s">
        <v>36</v>
      </c>
    </row>
    <row r="98" spans="1:16">
      <c r="A98">
        <v>97</v>
      </c>
      <c r="B98" t="s">
        <v>140</v>
      </c>
      <c r="C98">
        <v>117</v>
      </c>
      <c r="D98">
        <v>98</v>
      </c>
      <c r="E98">
        <v>98.785109162044904</v>
      </c>
      <c r="F98">
        <v>1.20111731843575</v>
      </c>
      <c r="G98">
        <v>7664.3062434782596</v>
      </c>
      <c r="H98">
        <v>470.06818122905202</v>
      </c>
      <c r="I98">
        <v>0.71684822303116003</v>
      </c>
      <c r="J98">
        <v>0.43587403987854201</v>
      </c>
      <c r="K98">
        <v>0.88952906675866805</v>
      </c>
      <c r="L98" t="s">
        <v>33</v>
      </c>
      <c r="M98" t="s">
        <v>34</v>
      </c>
      <c r="N98" t="s">
        <v>35</v>
      </c>
      <c r="O98">
        <v>0.87998555960194702</v>
      </c>
      <c r="P98" t="s">
        <v>36</v>
      </c>
    </row>
    <row r="99" spans="1:16">
      <c r="A99">
        <v>98</v>
      </c>
      <c r="B99" t="s">
        <v>141</v>
      </c>
      <c r="C99">
        <v>136</v>
      </c>
      <c r="D99">
        <v>174</v>
      </c>
      <c r="E99">
        <v>127.21282937645501</v>
      </c>
      <c r="F99">
        <v>0.78215600616435099</v>
      </c>
      <c r="G99">
        <v>12710.180126654101</v>
      </c>
      <c r="H99">
        <v>681.29542486263404</v>
      </c>
      <c r="I99">
        <v>0.65367380808519304</v>
      </c>
      <c r="J99">
        <v>0.34410471570573598</v>
      </c>
      <c r="K99">
        <v>0.74585924485185695</v>
      </c>
      <c r="L99" t="s">
        <v>33</v>
      </c>
      <c r="M99" t="s">
        <v>34</v>
      </c>
      <c r="N99" t="s">
        <v>35</v>
      </c>
      <c r="O99">
        <v>0.74539530353782602</v>
      </c>
      <c r="P99" t="s">
        <v>36</v>
      </c>
    </row>
    <row r="100" spans="1:16">
      <c r="A100">
        <v>99</v>
      </c>
      <c r="B100" t="s">
        <v>142</v>
      </c>
      <c r="C100">
        <v>213</v>
      </c>
      <c r="D100">
        <v>122</v>
      </c>
      <c r="E100">
        <v>133.09374578141501</v>
      </c>
      <c r="F100">
        <v>1.7499999412837</v>
      </c>
      <c r="G100">
        <v>13912.5</v>
      </c>
      <c r="H100">
        <v>871.33512914180801</v>
      </c>
      <c r="I100">
        <v>0.50724585314395998</v>
      </c>
      <c r="J100">
        <v>0.230273835192534</v>
      </c>
      <c r="K100">
        <v>0.69649561952440597</v>
      </c>
      <c r="L100" t="s">
        <v>33</v>
      </c>
      <c r="M100" t="s">
        <v>34</v>
      </c>
      <c r="N100" t="s">
        <v>35</v>
      </c>
      <c r="O100">
        <v>0.94348971838317797</v>
      </c>
      <c r="P100" t="s">
        <v>36</v>
      </c>
    </row>
    <row r="101" spans="1:16">
      <c r="A101">
        <v>100</v>
      </c>
      <c r="B101" t="s">
        <v>143</v>
      </c>
      <c r="C101">
        <v>88</v>
      </c>
      <c r="D101">
        <v>152</v>
      </c>
      <c r="E101">
        <v>75.458196691282197</v>
      </c>
      <c r="F101">
        <v>0.57913669064748197</v>
      </c>
      <c r="G101">
        <v>4472.0095848771298</v>
      </c>
      <c r="H101">
        <v>975.12106542628703</v>
      </c>
      <c r="I101">
        <v>0.70679317227039495</v>
      </c>
      <c r="J101">
        <v>5.9101092991678199E-2</v>
      </c>
      <c r="K101">
        <v>0.43840885909951899</v>
      </c>
      <c r="L101" t="s">
        <v>144</v>
      </c>
      <c r="M101" t="s">
        <v>34</v>
      </c>
      <c r="N101" t="s">
        <v>35</v>
      </c>
      <c r="O101">
        <v>0.79787005513568598</v>
      </c>
      <c r="P101" t="s">
        <v>36</v>
      </c>
    </row>
    <row r="102" spans="1:16">
      <c r="A102">
        <v>101</v>
      </c>
      <c r="B102" t="s">
        <v>145</v>
      </c>
      <c r="C102">
        <v>68</v>
      </c>
      <c r="D102">
        <v>97</v>
      </c>
      <c r="E102">
        <v>74.326158498301197</v>
      </c>
      <c r="F102">
        <v>0.70224722568593001</v>
      </c>
      <c r="G102">
        <v>4338.8362071833699</v>
      </c>
      <c r="H102">
        <v>338.98352326994399</v>
      </c>
      <c r="I102">
        <v>0.80016266480613996</v>
      </c>
      <c r="J102">
        <v>0.47448877320539601</v>
      </c>
      <c r="K102">
        <v>0.85846199088369401</v>
      </c>
      <c r="L102" t="s">
        <v>33</v>
      </c>
      <c r="M102" t="s">
        <v>34</v>
      </c>
      <c r="N102" t="s">
        <v>35</v>
      </c>
      <c r="O102">
        <v>0.92504932268461904</v>
      </c>
      <c r="P102" t="s">
        <v>36</v>
      </c>
    </row>
    <row r="103" spans="1:16">
      <c r="A103">
        <v>102</v>
      </c>
      <c r="B103" t="s">
        <v>146</v>
      </c>
      <c r="C103">
        <v>224</v>
      </c>
      <c r="D103">
        <v>141</v>
      </c>
      <c r="E103">
        <v>131.34837582232001</v>
      </c>
      <c r="F103">
        <v>1.5833333333333299</v>
      </c>
      <c r="G103">
        <v>13550</v>
      </c>
      <c r="H103">
        <v>868.40619683265697</v>
      </c>
      <c r="I103">
        <v>0.78677342361813196</v>
      </c>
      <c r="J103">
        <v>0.22578928666442999</v>
      </c>
      <c r="K103">
        <v>0.591057797164667</v>
      </c>
      <c r="L103" t="s">
        <v>52</v>
      </c>
      <c r="M103" t="s">
        <v>34</v>
      </c>
      <c r="N103" t="s">
        <v>35</v>
      </c>
      <c r="O103">
        <v>0.69675327626968697</v>
      </c>
      <c r="P103" t="s">
        <v>36</v>
      </c>
    </row>
    <row r="104" spans="1:16">
      <c r="A104">
        <v>103</v>
      </c>
      <c r="B104" t="s">
        <v>147</v>
      </c>
      <c r="C104">
        <v>171</v>
      </c>
      <c r="D104">
        <v>106</v>
      </c>
      <c r="E104">
        <v>117.47971079862</v>
      </c>
      <c r="F104">
        <v>1.60918288234203</v>
      </c>
      <c r="G104">
        <v>10839.658967863899</v>
      </c>
      <c r="H104">
        <v>499.18892316279198</v>
      </c>
      <c r="I104">
        <v>0.68403685600427599</v>
      </c>
      <c r="J104">
        <v>0.54663269375950696</v>
      </c>
      <c r="K104">
        <v>0.83956899131996399</v>
      </c>
      <c r="L104" t="s">
        <v>33</v>
      </c>
      <c r="M104" t="s">
        <v>34</v>
      </c>
      <c r="N104" t="s">
        <v>35</v>
      </c>
      <c r="O104">
        <v>0.88209714480976098</v>
      </c>
      <c r="P104" t="s">
        <v>36</v>
      </c>
    </row>
    <row r="105" spans="1:16">
      <c r="A105">
        <v>104</v>
      </c>
      <c r="B105" t="s">
        <v>148</v>
      </c>
      <c r="C105">
        <v>141</v>
      </c>
      <c r="D105">
        <v>141</v>
      </c>
      <c r="E105">
        <v>127.086319760241</v>
      </c>
      <c r="F105">
        <v>1.00395181202166</v>
      </c>
      <c r="G105">
        <v>12684.912856332699</v>
      </c>
      <c r="H105">
        <v>673.63028166470303</v>
      </c>
      <c r="I105">
        <v>0.60438401124968799</v>
      </c>
      <c r="J105">
        <v>0.35128058597821998</v>
      </c>
      <c r="K105">
        <v>0.74896884598508096</v>
      </c>
      <c r="L105" t="s">
        <v>33</v>
      </c>
      <c r="M105" t="s">
        <v>34</v>
      </c>
      <c r="N105" t="s">
        <v>35</v>
      </c>
      <c r="O105">
        <v>0.86957909092630903</v>
      </c>
      <c r="P105" t="s">
        <v>36</v>
      </c>
    </row>
    <row r="106" spans="1:16">
      <c r="A106">
        <v>105</v>
      </c>
      <c r="B106" t="s">
        <v>149</v>
      </c>
      <c r="C106">
        <v>98</v>
      </c>
      <c r="D106">
        <v>93</v>
      </c>
      <c r="E106">
        <v>79.235859482492799</v>
      </c>
      <c r="F106">
        <v>1.0526315789473699</v>
      </c>
      <c r="G106">
        <v>4930.9821187145599</v>
      </c>
      <c r="H106">
        <v>770.32521985655296</v>
      </c>
      <c r="I106">
        <v>0.57705560559015501</v>
      </c>
      <c r="J106">
        <v>0.10442273371291701</v>
      </c>
      <c r="K106">
        <v>0.65163419233186703</v>
      </c>
      <c r="L106" t="s">
        <v>132</v>
      </c>
      <c r="M106" t="s">
        <v>34</v>
      </c>
      <c r="N106" t="s">
        <v>35</v>
      </c>
      <c r="O106">
        <v>0.73770990605897202</v>
      </c>
      <c r="P106" t="s">
        <v>36</v>
      </c>
    </row>
    <row r="107" spans="1:16">
      <c r="A107">
        <v>106</v>
      </c>
      <c r="B107" t="s">
        <v>150</v>
      </c>
      <c r="C107">
        <v>558</v>
      </c>
      <c r="D107">
        <v>231</v>
      </c>
      <c r="E107">
        <v>207.027275354209</v>
      </c>
      <c r="F107">
        <v>2.4201735109735298</v>
      </c>
      <c r="G107">
        <v>33662.395201134197</v>
      </c>
      <c r="H107">
        <v>2848.2176338057898</v>
      </c>
      <c r="I107">
        <v>0.70316266595464805</v>
      </c>
      <c r="J107">
        <v>5.2144503494203999E-2</v>
      </c>
      <c r="K107">
        <v>0.36034907956913997</v>
      </c>
      <c r="L107" t="s">
        <v>144</v>
      </c>
      <c r="M107" t="s">
        <v>34</v>
      </c>
      <c r="N107" t="s">
        <v>35</v>
      </c>
      <c r="O107">
        <v>0.69546016269734701</v>
      </c>
      <c r="P107" t="s">
        <v>36</v>
      </c>
    </row>
    <row r="108" spans="1:16">
      <c r="A108">
        <v>107</v>
      </c>
      <c r="B108" t="s">
        <v>151</v>
      </c>
      <c r="C108">
        <v>85</v>
      </c>
      <c r="D108">
        <v>122</v>
      </c>
      <c r="E108">
        <v>73.825433506318603</v>
      </c>
      <c r="F108">
        <v>0.69955156950672603</v>
      </c>
      <c r="G108">
        <v>4280.57285444234</v>
      </c>
      <c r="H108">
        <v>607.50835880010004</v>
      </c>
      <c r="I108">
        <v>0.64208860663160505</v>
      </c>
      <c r="J108">
        <v>0.14574955632493999</v>
      </c>
      <c r="K108">
        <v>0.63761955366631196</v>
      </c>
      <c r="L108" t="s">
        <v>33</v>
      </c>
      <c r="M108" t="s">
        <v>34</v>
      </c>
      <c r="N108" t="s">
        <v>35</v>
      </c>
      <c r="O108">
        <v>0.739007990448312</v>
      </c>
      <c r="P108" t="s">
        <v>36</v>
      </c>
    </row>
    <row r="109" spans="1:16">
      <c r="A109">
        <v>108</v>
      </c>
      <c r="B109" t="s">
        <v>152</v>
      </c>
      <c r="C109">
        <v>80</v>
      </c>
      <c r="D109">
        <v>138</v>
      </c>
      <c r="E109">
        <v>96.674445110090105</v>
      </c>
      <c r="F109">
        <v>0.58333335349863602</v>
      </c>
      <c r="G109">
        <v>7340.2906593572798</v>
      </c>
      <c r="H109">
        <v>478.60457040620901</v>
      </c>
      <c r="I109">
        <v>0.78984893588139504</v>
      </c>
      <c r="J109">
        <v>0.40268869571079202</v>
      </c>
      <c r="K109">
        <v>0.89241055294542804</v>
      </c>
      <c r="L109" t="s">
        <v>33</v>
      </c>
      <c r="M109" t="s">
        <v>34</v>
      </c>
      <c r="N109" t="s">
        <v>35</v>
      </c>
      <c r="O109">
        <v>0.92131428201495602</v>
      </c>
      <c r="P109" t="s">
        <v>36</v>
      </c>
    </row>
    <row r="110" spans="1:16">
      <c r="A110">
        <v>109</v>
      </c>
      <c r="B110" t="s">
        <v>153</v>
      </c>
      <c r="C110">
        <v>169</v>
      </c>
      <c r="D110">
        <v>93</v>
      </c>
      <c r="E110">
        <v>102.360249584703</v>
      </c>
      <c r="F110">
        <v>1.82575469226815</v>
      </c>
      <c r="G110">
        <v>8229.10405066163</v>
      </c>
      <c r="H110">
        <v>572.04216003687498</v>
      </c>
      <c r="I110">
        <v>0.65958637187652602</v>
      </c>
      <c r="J110">
        <v>0.31601401372061599</v>
      </c>
      <c r="K110">
        <v>0.70079995949572205</v>
      </c>
      <c r="L110" t="s">
        <v>33</v>
      </c>
      <c r="M110" t="s">
        <v>34</v>
      </c>
      <c r="N110" t="s">
        <v>35</v>
      </c>
      <c r="O110">
        <v>0.898391119957198</v>
      </c>
      <c r="P110" t="s">
        <v>36</v>
      </c>
    </row>
    <row r="111" spans="1:16">
      <c r="A111">
        <v>110</v>
      </c>
      <c r="B111" t="s">
        <v>154</v>
      </c>
      <c r="C111">
        <v>237</v>
      </c>
      <c r="D111">
        <v>114</v>
      </c>
      <c r="E111">
        <v>116.327940953512</v>
      </c>
      <c r="F111">
        <v>2.0741811380171198</v>
      </c>
      <c r="G111">
        <v>10628.1570521739</v>
      </c>
      <c r="H111">
        <v>1403.6846324726801</v>
      </c>
      <c r="I111">
        <v>0.56342486729042995</v>
      </c>
      <c r="J111">
        <v>6.7784240892353007E-2</v>
      </c>
      <c r="K111">
        <v>0.54080197241045502</v>
      </c>
      <c r="L111" t="s">
        <v>33</v>
      </c>
      <c r="M111" t="s">
        <v>34</v>
      </c>
      <c r="N111" t="s">
        <v>35</v>
      </c>
      <c r="O111">
        <v>0.94682527985093301</v>
      </c>
      <c r="P111" t="s">
        <v>36</v>
      </c>
    </row>
    <row r="112" spans="1:16">
      <c r="A112">
        <v>111</v>
      </c>
      <c r="B112" t="s">
        <v>155</v>
      </c>
      <c r="C112">
        <v>202</v>
      </c>
      <c r="D112">
        <v>199</v>
      </c>
      <c r="E112">
        <v>148.11411265261</v>
      </c>
      <c r="F112">
        <v>1.012277038498</v>
      </c>
      <c r="G112">
        <v>17229.900263137999</v>
      </c>
      <c r="H112">
        <v>1218.7818572996</v>
      </c>
      <c r="I112">
        <v>0.58486379271171895</v>
      </c>
      <c r="J112">
        <v>0.145760774104293</v>
      </c>
      <c r="K112">
        <v>0.56368463535841795</v>
      </c>
      <c r="L112" t="s">
        <v>33</v>
      </c>
      <c r="M112" t="s">
        <v>34</v>
      </c>
      <c r="N112" t="s">
        <v>35</v>
      </c>
      <c r="O112">
        <v>0.83493121957384897</v>
      </c>
      <c r="P112" t="s">
        <v>36</v>
      </c>
    </row>
    <row r="113" spans="1:16">
      <c r="A113">
        <v>112</v>
      </c>
      <c r="B113" t="s">
        <v>156</v>
      </c>
      <c r="C113">
        <v>117</v>
      </c>
      <c r="D113">
        <v>82</v>
      </c>
      <c r="E113">
        <v>76.511691362999301</v>
      </c>
      <c r="F113">
        <v>1.4238410596026501</v>
      </c>
      <c r="G113">
        <v>4597.7514124763702</v>
      </c>
      <c r="H113">
        <v>865.50302467159599</v>
      </c>
      <c r="I113">
        <v>0.56030557452447105</v>
      </c>
      <c r="J113">
        <v>7.7129083466137296E-2</v>
      </c>
      <c r="K113">
        <v>0.54071911762135305</v>
      </c>
      <c r="L113" t="s">
        <v>70</v>
      </c>
      <c r="M113" t="s">
        <v>34</v>
      </c>
      <c r="N113" t="s">
        <v>35</v>
      </c>
      <c r="O113">
        <v>0.75877994246854297</v>
      </c>
      <c r="P113" t="s">
        <v>36</v>
      </c>
    </row>
    <row r="114" spans="1:16">
      <c r="A114">
        <v>113</v>
      </c>
      <c r="B114" t="s">
        <v>157</v>
      </c>
      <c r="C114">
        <v>178</v>
      </c>
      <c r="D114">
        <v>136</v>
      </c>
      <c r="E114">
        <v>125.53942068268699</v>
      </c>
      <c r="F114">
        <v>1.3091471438024</v>
      </c>
      <c r="G114">
        <v>12377.989837429101</v>
      </c>
      <c r="H114">
        <v>938.81021116920101</v>
      </c>
      <c r="I114">
        <v>0.65814901470766396</v>
      </c>
      <c r="J114">
        <v>0.17648360909321301</v>
      </c>
      <c r="K114">
        <v>0.66336893923100804</v>
      </c>
      <c r="L114" t="s">
        <v>52</v>
      </c>
      <c r="M114" t="s">
        <v>34</v>
      </c>
      <c r="N114" t="s">
        <v>35</v>
      </c>
      <c r="O114">
        <v>0.70322246052179405</v>
      </c>
      <c r="P114" t="s">
        <v>36</v>
      </c>
    </row>
    <row r="115" spans="1:16">
      <c r="A115">
        <v>114</v>
      </c>
      <c r="B115" t="s">
        <v>158</v>
      </c>
      <c r="C115">
        <v>139</v>
      </c>
      <c r="D115">
        <v>90</v>
      </c>
      <c r="E115">
        <v>80.762825433743103</v>
      </c>
      <c r="F115">
        <v>1.5425532316150801</v>
      </c>
      <c r="G115">
        <v>5122.8647421550104</v>
      </c>
      <c r="H115">
        <v>655.61978111774999</v>
      </c>
      <c r="I115">
        <v>0.70708040377721804</v>
      </c>
      <c r="J115">
        <v>0.149767871116851</v>
      </c>
      <c r="K115">
        <v>0.57112793915392102</v>
      </c>
      <c r="L115" t="s">
        <v>33</v>
      </c>
      <c r="M115" t="s">
        <v>34</v>
      </c>
      <c r="N115" t="s">
        <v>35</v>
      </c>
      <c r="O115">
        <v>0.939296982631453</v>
      </c>
      <c r="P115" t="s">
        <v>36</v>
      </c>
    </row>
    <row r="116" spans="1:16">
      <c r="A116">
        <v>115</v>
      </c>
      <c r="B116" t="s">
        <v>159</v>
      </c>
      <c r="C116">
        <v>74</v>
      </c>
      <c r="D116">
        <v>153</v>
      </c>
      <c r="E116">
        <v>85.470189166178102</v>
      </c>
      <c r="F116">
        <v>0.48066905709872099</v>
      </c>
      <c r="G116">
        <v>5737.4539349716497</v>
      </c>
      <c r="H116">
        <v>607.69544788381302</v>
      </c>
      <c r="I116">
        <v>0.81423842358724996</v>
      </c>
      <c r="J116">
        <v>0.195234744939731</v>
      </c>
      <c r="K116">
        <v>0.63797577139835104</v>
      </c>
      <c r="L116" t="s">
        <v>52</v>
      </c>
      <c r="M116" t="s">
        <v>34</v>
      </c>
      <c r="N116" t="s">
        <v>35</v>
      </c>
      <c r="O116">
        <v>0.80249206787214999</v>
      </c>
      <c r="P116" t="s">
        <v>36</v>
      </c>
    </row>
    <row r="117" spans="1:16">
      <c r="A117">
        <v>116</v>
      </c>
      <c r="B117" t="s">
        <v>160</v>
      </c>
      <c r="C117">
        <v>89</v>
      </c>
      <c r="D117">
        <v>151</v>
      </c>
      <c r="E117">
        <v>97.140193462556397</v>
      </c>
      <c r="F117">
        <v>0.59223307831903704</v>
      </c>
      <c r="G117">
        <v>7411.1876472589802</v>
      </c>
      <c r="H117">
        <v>607.03398846947596</v>
      </c>
      <c r="I117">
        <v>0.73764456286655899</v>
      </c>
      <c r="J117">
        <v>0.25273864733922802</v>
      </c>
      <c r="K117">
        <v>0.74591610818573495</v>
      </c>
      <c r="L117" t="s">
        <v>33</v>
      </c>
      <c r="M117" t="s">
        <v>34</v>
      </c>
      <c r="N117" t="s">
        <v>35</v>
      </c>
      <c r="O117">
        <v>0.87781762412407405</v>
      </c>
      <c r="P117" t="s">
        <v>36</v>
      </c>
    </row>
    <row r="118" spans="1:16">
      <c r="A118">
        <v>117</v>
      </c>
      <c r="B118" t="s">
        <v>161</v>
      </c>
      <c r="C118">
        <v>212</v>
      </c>
      <c r="D118">
        <v>304</v>
      </c>
      <c r="E118">
        <v>167.36591950079401</v>
      </c>
      <c r="F118">
        <v>0.696588868940754</v>
      </c>
      <c r="G118">
        <v>22000.063637807201</v>
      </c>
      <c r="H118">
        <v>2025.36379475635</v>
      </c>
      <c r="I118">
        <v>0.59863322015484299</v>
      </c>
      <c r="J118">
        <v>6.7395006028590998E-2</v>
      </c>
      <c r="K118">
        <v>0.40067131352778002</v>
      </c>
      <c r="L118" t="s">
        <v>33</v>
      </c>
      <c r="M118" t="s">
        <v>34</v>
      </c>
      <c r="N118" t="s">
        <v>35</v>
      </c>
      <c r="O118">
        <v>0.92708566772558798</v>
      </c>
      <c r="P118" t="s">
        <v>36</v>
      </c>
    </row>
    <row r="119" spans="1:16">
      <c r="A119">
        <v>118</v>
      </c>
      <c r="B119" t="s">
        <v>162</v>
      </c>
      <c r="C119">
        <v>94</v>
      </c>
      <c r="D119">
        <v>101</v>
      </c>
      <c r="E119">
        <v>84.775447169947199</v>
      </c>
      <c r="F119">
        <v>0.92979613247624604</v>
      </c>
      <c r="G119">
        <v>5644.5595587901698</v>
      </c>
      <c r="H119">
        <v>512.08866770049804</v>
      </c>
      <c r="I119">
        <v>0.75849424622114703</v>
      </c>
      <c r="J119">
        <v>0.27048899078331201</v>
      </c>
      <c r="K119">
        <v>0.771247537621088</v>
      </c>
      <c r="L119" t="s">
        <v>52</v>
      </c>
      <c r="M119" t="s">
        <v>34</v>
      </c>
      <c r="N119" t="s">
        <v>35</v>
      </c>
      <c r="O119">
        <v>0.73873577556970604</v>
      </c>
      <c r="P119" t="s">
        <v>36</v>
      </c>
    </row>
    <row r="120" spans="1:16">
      <c r="A120">
        <v>119</v>
      </c>
      <c r="B120" t="s">
        <v>163</v>
      </c>
      <c r="C120">
        <v>167</v>
      </c>
      <c r="D120">
        <v>93</v>
      </c>
      <c r="E120">
        <v>103.176931142604</v>
      </c>
      <c r="F120">
        <v>1.80678247049158</v>
      </c>
      <c r="G120">
        <v>8360.9397493383694</v>
      </c>
      <c r="H120">
        <v>1091.8523843662599</v>
      </c>
      <c r="I120">
        <v>0.49181504927938202</v>
      </c>
      <c r="J120">
        <v>8.8132705877354001E-2</v>
      </c>
      <c r="K120">
        <v>0.66410483442535895</v>
      </c>
      <c r="L120" t="s">
        <v>33</v>
      </c>
      <c r="M120" t="s">
        <v>34</v>
      </c>
      <c r="N120" t="s">
        <v>35</v>
      </c>
      <c r="O120">
        <v>0.87553138222153004</v>
      </c>
      <c r="P120" t="s">
        <v>36</v>
      </c>
    </row>
    <row r="121" spans="1:16">
      <c r="A121">
        <v>120</v>
      </c>
      <c r="B121" t="s">
        <v>164</v>
      </c>
      <c r="C121">
        <v>172</v>
      </c>
      <c r="D121">
        <v>117</v>
      </c>
      <c r="E121">
        <v>108.130390868814</v>
      </c>
      <c r="F121">
        <v>1.47196261682243</v>
      </c>
      <c r="G121">
        <v>9183.0178207939498</v>
      </c>
      <c r="H121">
        <v>1138.04752088443</v>
      </c>
      <c r="I121">
        <v>0.73298373534646599</v>
      </c>
      <c r="J121">
        <v>8.9099342051798494E-2</v>
      </c>
      <c r="K121">
        <v>0.58552488177484596</v>
      </c>
      <c r="L121" t="s">
        <v>33</v>
      </c>
      <c r="M121" t="s">
        <v>34</v>
      </c>
      <c r="N121" t="s">
        <v>35</v>
      </c>
      <c r="O121">
        <v>0.94335262209292403</v>
      </c>
      <c r="P121" t="s">
        <v>36</v>
      </c>
    </row>
    <row r="122" spans="1:16">
      <c r="A122">
        <v>121</v>
      </c>
      <c r="B122" t="s">
        <v>165</v>
      </c>
      <c r="C122">
        <v>145</v>
      </c>
      <c r="D122">
        <v>120</v>
      </c>
      <c r="E122">
        <v>118.913482953068</v>
      </c>
      <c r="F122">
        <v>1.2010759536359199</v>
      </c>
      <c r="G122">
        <v>11105.8570922495</v>
      </c>
      <c r="H122">
        <v>488.603956303286</v>
      </c>
      <c r="I122">
        <v>0.60417564012902703</v>
      </c>
      <c r="J122">
        <v>0.58458542923012202</v>
      </c>
      <c r="K122">
        <v>0.87571197524787303</v>
      </c>
      <c r="L122" t="s">
        <v>33</v>
      </c>
      <c r="M122" t="s">
        <v>34</v>
      </c>
      <c r="N122" t="s">
        <v>35</v>
      </c>
      <c r="O122">
        <v>0.86148809233528001</v>
      </c>
      <c r="P122" t="s">
        <v>36</v>
      </c>
    </row>
    <row r="123" spans="1:16">
      <c r="A123">
        <v>122</v>
      </c>
      <c r="B123" t="s">
        <v>166</v>
      </c>
      <c r="C123">
        <v>202</v>
      </c>
      <c r="D123">
        <v>131</v>
      </c>
      <c r="E123">
        <v>111.48244790349</v>
      </c>
      <c r="F123">
        <v>1.54064446878345</v>
      </c>
      <c r="G123">
        <v>9761.1924181474496</v>
      </c>
      <c r="H123">
        <v>1139.41260221523</v>
      </c>
      <c r="I123">
        <v>0.51808568686995604</v>
      </c>
      <c r="J123">
        <v>9.4482353075908299E-2</v>
      </c>
      <c r="K123">
        <v>0.49493937041698399</v>
      </c>
      <c r="L123" t="s">
        <v>33</v>
      </c>
      <c r="M123" t="s">
        <v>34</v>
      </c>
      <c r="N123" t="s">
        <v>35</v>
      </c>
      <c r="O123">
        <v>0.91042187706005995</v>
      </c>
      <c r="P123" t="s">
        <v>36</v>
      </c>
    </row>
    <row r="124" spans="1:16">
      <c r="A124">
        <v>123</v>
      </c>
      <c r="B124" t="s">
        <v>167</v>
      </c>
      <c r="C124">
        <v>196</v>
      </c>
      <c r="D124">
        <v>138</v>
      </c>
      <c r="E124">
        <v>132.338510375103</v>
      </c>
      <c r="F124">
        <v>1.42075094336071</v>
      </c>
      <c r="G124">
        <v>13755.056069943301</v>
      </c>
      <c r="H124">
        <v>876.21315794955103</v>
      </c>
      <c r="I124">
        <v>0.59224927909050595</v>
      </c>
      <c r="J124">
        <v>0.22514001351947699</v>
      </c>
      <c r="K124">
        <v>0.68616910848804802</v>
      </c>
      <c r="L124" t="s">
        <v>33</v>
      </c>
      <c r="M124" t="s">
        <v>34</v>
      </c>
      <c r="N124" t="s">
        <v>35</v>
      </c>
      <c r="O124">
        <v>0.88325232575087598</v>
      </c>
      <c r="P124" t="s">
        <v>36</v>
      </c>
    </row>
    <row r="125" spans="1:16">
      <c r="A125">
        <v>124</v>
      </c>
      <c r="B125" t="s">
        <v>168</v>
      </c>
      <c r="C125">
        <v>115</v>
      </c>
      <c r="D125">
        <v>156</v>
      </c>
      <c r="E125">
        <v>123.478919448639</v>
      </c>
      <c r="F125">
        <v>0.73595503867719803</v>
      </c>
      <c r="G125">
        <v>11975</v>
      </c>
      <c r="H125">
        <v>621.12697839736904</v>
      </c>
      <c r="I125">
        <v>0.74017048197392199</v>
      </c>
      <c r="J125">
        <v>0.39005387789385498</v>
      </c>
      <c r="K125">
        <v>0.79108175061932295</v>
      </c>
      <c r="L125" t="s">
        <v>169</v>
      </c>
      <c r="M125" t="s">
        <v>34</v>
      </c>
      <c r="N125" t="s">
        <v>35</v>
      </c>
      <c r="O125">
        <v>0.60956059380004501</v>
      </c>
      <c r="P125" t="s">
        <v>36</v>
      </c>
    </row>
    <row r="126" spans="1:16">
      <c r="A126">
        <v>125</v>
      </c>
      <c r="B126" t="s">
        <v>170</v>
      </c>
      <c r="C126">
        <v>109</v>
      </c>
      <c r="D126">
        <v>46</v>
      </c>
      <c r="E126">
        <v>67.168072782096601</v>
      </c>
      <c r="F126">
        <v>2.4020772543766902</v>
      </c>
      <c r="G126">
        <v>3543.3630850661598</v>
      </c>
      <c r="H126">
        <v>330.07295592536099</v>
      </c>
      <c r="I126">
        <v>0.83487526904981102</v>
      </c>
      <c r="J126">
        <v>0.40870093893859399</v>
      </c>
      <c r="K126">
        <v>0.85638336087362599</v>
      </c>
      <c r="L126" t="s">
        <v>83</v>
      </c>
      <c r="M126" t="s">
        <v>34</v>
      </c>
      <c r="N126" t="s">
        <v>35</v>
      </c>
      <c r="O126">
        <v>0.85615805235373899</v>
      </c>
      <c r="P126" t="s">
        <v>36</v>
      </c>
    </row>
    <row r="127" spans="1:16">
      <c r="A127">
        <v>126</v>
      </c>
      <c r="B127" t="s">
        <v>171</v>
      </c>
      <c r="C127">
        <v>65</v>
      </c>
      <c r="D127">
        <v>430</v>
      </c>
      <c r="E127">
        <v>123.156266899649</v>
      </c>
      <c r="F127">
        <v>0.15003188718942101</v>
      </c>
      <c r="G127">
        <v>11912.5</v>
      </c>
      <c r="H127">
        <v>1002.0458060503</v>
      </c>
      <c r="I127">
        <v>0.973707787545249</v>
      </c>
      <c r="J127">
        <v>0.14908626281252199</v>
      </c>
      <c r="K127">
        <v>0.57444243520192895</v>
      </c>
      <c r="L127" t="s">
        <v>144</v>
      </c>
      <c r="M127" t="s">
        <v>34</v>
      </c>
      <c r="N127" t="s">
        <v>35</v>
      </c>
      <c r="O127">
        <v>0.81832598578675697</v>
      </c>
      <c r="P127" t="s">
        <v>36</v>
      </c>
    </row>
    <row r="128" spans="1:16">
      <c r="A128">
        <v>127</v>
      </c>
      <c r="B128" t="s">
        <v>172</v>
      </c>
      <c r="C128">
        <v>138</v>
      </c>
      <c r="D128">
        <v>75</v>
      </c>
      <c r="E128">
        <v>71.610776207570893</v>
      </c>
      <c r="F128">
        <v>1.83117629025323</v>
      </c>
      <c r="G128">
        <v>4027.6028892249501</v>
      </c>
      <c r="H128">
        <v>701.951102522974</v>
      </c>
      <c r="I128">
        <v>0.75677070432022797</v>
      </c>
      <c r="J128">
        <v>0.10271710880747099</v>
      </c>
      <c r="K128">
        <v>0.59340851855907195</v>
      </c>
      <c r="L128" t="s">
        <v>33</v>
      </c>
      <c r="M128" t="s">
        <v>34</v>
      </c>
      <c r="N128" t="s">
        <v>35</v>
      </c>
      <c r="O128">
        <v>0.87402599618445498</v>
      </c>
      <c r="P128" t="s">
        <v>36</v>
      </c>
    </row>
    <row r="129" spans="1:16">
      <c r="A129">
        <v>128</v>
      </c>
      <c r="B129" t="s">
        <v>173</v>
      </c>
      <c r="C129">
        <v>78</v>
      </c>
      <c r="D129">
        <v>62</v>
      </c>
      <c r="E129">
        <v>62.5537753140718</v>
      </c>
      <c r="F129">
        <v>1.25612646994343</v>
      </c>
      <c r="G129">
        <v>3073.24322608696</v>
      </c>
      <c r="H129">
        <v>289.59457708597199</v>
      </c>
      <c r="I129">
        <v>0.72839737491393197</v>
      </c>
      <c r="J129">
        <v>0.46049608992924301</v>
      </c>
      <c r="K129">
        <v>0.87285237874118804</v>
      </c>
      <c r="L129" t="s">
        <v>33</v>
      </c>
      <c r="M129" t="s">
        <v>34</v>
      </c>
      <c r="N129" t="s">
        <v>35</v>
      </c>
      <c r="O129">
        <v>0.94434262320602702</v>
      </c>
      <c r="P129" t="s">
        <v>36</v>
      </c>
    </row>
    <row r="130" spans="1:16">
      <c r="A130">
        <v>129</v>
      </c>
      <c r="B130" t="s">
        <v>174</v>
      </c>
      <c r="C130">
        <v>114</v>
      </c>
      <c r="D130">
        <v>174</v>
      </c>
      <c r="E130">
        <v>122.313387045892</v>
      </c>
      <c r="F130">
        <v>0.65708196221080195</v>
      </c>
      <c r="G130">
        <v>11750</v>
      </c>
      <c r="H130">
        <v>598.70057225227401</v>
      </c>
      <c r="I130">
        <v>0.70428700345494299</v>
      </c>
      <c r="J130">
        <v>0.41193470674350902</v>
      </c>
      <c r="K130">
        <v>0.71865443425076403</v>
      </c>
      <c r="L130" t="s">
        <v>45</v>
      </c>
      <c r="M130" t="s">
        <v>34</v>
      </c>
      <c r="N130" t="s">
        <v>35</v>
      </c>
      <c r="O130">
        <v>0.70926297881443301</v>
      </c>
      <c r="P130" t="s">
        <v>36</v>
      </c>
    </row>
    <row r="131" spans="1:16">
      <c r="A131">
        <v>130</v>
      </c>
      <c r="B131" t="s">
        <v>175</v>
      </c>
      <c r="C131">
        <v>119</v>
      </c>
      <c r="D131">
        <v>77</v>
      </c>
      <c r="E131">
        <v>79.194052349327606</v>
      </c>
      <c r="F131">
        <v>1.5553228713931</v>
      </c>
      <c r="G131">
        <v>4925.7800336483897</v>
      </c>
      <c r="H131">
        <v>589.85161571347203</v>
      </c>
      <c r="I131">
        <v>0.78651941530381198</v>
      </c>
      <c r="J131">
        <v>0.17790957872395899</v>
      </c>
      <c r="K131">
        <v>0.71724451369952003</v>
      </c>
      <c r="L131" t="s">
        <v>33</v>
      </c>
      <c r="M131" t="s">
        <v>34</v>
      </c>
      <c r="N131" t="s">
        <v>35</v>
      </c>
      <c r="O131">
        <v>0.919214281224907</v>
      </c>
      <c r="P131" t="s">
        <v>36</v>
      </c>
    </row>
    <row r="132" spans="1:16">
      <c r="A132">
        <v>131</v>
      </c>
      <c r="B132" t="s">
        <v>176</v>
      </c>
      <c r="C132">
        <v>106</v>
      </c>
      <c r="D132">
        <v>121</v>
      </c>
      <c r="E132">
        <v>80.583371814889105</v>
      </c>
      <c r="F132">
        <v>0.876468342054878</v>
      </c>
      <c r="G132">
        <v>5100.1241988657803</v>
      </c>
      <c r="H132">
        <v>685.45839589678701</v>
      </c>
      <c r="I132">
        <v>0.61055000241430402</v>
      </c>
      <c r="J132">
        <v>0.13640441132766101</v>
      </c>
      <c r="K132">
        <v>0.58416751787538301</v>
      </c>
      <c r="L132" t="s">
        <v>33</v>
      </c>
      <c r="M132" t="s">
        <v>34</v>
      </c>
      <c r="N132" t="s">
        <v>35</v>
      </c>
      <c r="O132">
        <v>0.95147566338550904</v>
      </c>
      <c r="P132" t="s">
        <v>36</v>
      </c>
    </row>
    <row r="133" spans="1:16">
      <c r="A133">
        <v>132</v>
      </c>
      <c r="B133" t="s">
        <v>177</v>
      </c>
      <c r="C133">
        <v>171</v>
      </c>
      <c r="D133">
        <v>83</v>
      </c>
      <c r="E133">
        <v>100.619601759711</v>
      </c>
      <c r="F133">
        <v>2.0457516339869302</v>
      </c>
      <c r="G133">
        <v>7951.6099701323301</v>
      </c>
      <c r="H133">
        <v>769.11578843375901</v>
      </c>
      <c r="I133">
        <v>0.71854638836965501</v>
      </c>
      <c r="J133">
        <v>0.16892015851216299</v>
      </c>
      <c r="K133">
        <v>0.72029243072946103</v>
      </c>
      <c r="L133" t="s">
        <v>178</v>
      </c>
      <c r="M133" t="s">
        <v>34</v>
      </c>
      <c r="N133" t="s">
        <v>35</v>
      </c>
      <c r="O133">
        <v>0.69105033806718996</v>
      </c>
      <c r="P133" t="s">
        <v>36</v>
      </c>
    </row>
    <row r="134" spans="1:16">
      <c r="A134">
        <v>133</v>
      </c>
      <c r="B134" t="s">
        <v>179</v>
      </c>
      <c r="C134">
        <v>220</v>
      </c>
      <c r="D134">
        <v>323</v>
      </c>
      <c r="E134">
        <v>185.51879185705999</v>
      </c>
      <c r="F134">
        <v>0.68161044385110803</v>
      </c>
      <c r="G134">
        <v>27031.223051795801</v>
      </c>
      <c r="H134">
        <v>2541.8148621312398</v>
      </c>
      <c r="I134">
        <v>0.59423917840629503</v>
      </c>
      <c r="J134">
        <v>5.2576022883314401E-2</v>
      </c>
      <c r="K134">
        <v>0.43576749546544802</v>
      </c>
      <c r="L134" t="s">
        <v>45</v>
      </c>
      <c r="M134" t="s">
        <v>34</v>
      </c>
      <c r="N134" t="s">
        <v>35</v>
      </c>
      <c r="O134">
        <v>0.63776108666757003</v>
      </c>
      <c r="P134" t="s">
        <v>36</v>
      </c>
    </row>
    <row r="135" spans="1:16">
      <c r="A135">
        <v>134</v>
      </c>
      <c r="B135" t="s">
        <v>180</v>
      </c>
      <c r="C135">
        <v>171</v>
      </c>
      <c r="D135">
        <v>98</v>
      </c>
      <c r="E135">
        <v>112.196511408077</v>
      </c>
      <c r="F135">
        <v>1.74444444444444</v>
      </c>
      <c r="G135">
        <v>9886.6369837429102</v>
      </c>
      <c r="H135">
        <v>810.89049561645697</v>
      </c>
      <c r="I135">
        <v>0.65988036582307397</v>
      </c>
      <c r="J135">
        <v>0.18894440313078401</v>
      </c>
      <c r="K135">
        <v>0.74581782302551902</v>
      </c>
      <c r="L135" t="s">
        <v>70</v>
      </c>
      <c r="M135" t="s">
        <v>34</v>
      </c>
      <c r="N135" t="s">
        <v>35</v>
      </c>
      <c r="O135">
        <v>0.69686630894503299</v>
      </c>
      <c r="P135" t="s">
        <v>36</v>
      </c>
    </row>
    <row r="136" spans="1:16">
      <c r="A136">
        <v>135</v>
      </c>
      <c r="B136" t="s">
        <v>181</v>
      </c>
      <c r="C136">
        <v>128</v>
      </c>
      <c r="D136">
        <v>76</v>
      </c>
      <c r="E136">
        <v>78.604010303999601</v>
      </c>
      <c r="F136">
        <v>1.68081216127306</v>
      </c>
      <c r="G136">
        <v>4852.65358071834</v>
      </c>
      <c r="H136">
        <v>623.73258865636296</v>
      </c>
      <c r="I136">
        <v>0.81721360502442597</v>
      </c>
      <c r="J136">
        <v>0.156744489612865</v>
      </c>
      <c r="K136">
        <v>0.68521239086635299</v>
      </c>
      <c r="L136" t="s">
        <v>132</v>
      </c>
      <c r="M136" t="s">
        <v>34</v>
      </c>
      <c r="N136" t="s">
        <v>35</v>
      </c>
      <c r="O136">
        <v>0.65337277445596598</v>
      </c>
      <c r="P136" t="s">
        <v>36</v>
      </c>
    </row>
    <row r="137" spans="1:16">
      <c r="A137">
        <v>136</v>
      </c>
      <c r="B137" t="s">
        <v>182</v>
      </c>
      <c r="C137">
        <v>104</v>
      </c>
      <c r="D137">
        <v>52</v>
      </c>
      <c r="E137">
        <v>58.170883986879097</v>
      </c>
      <c r="F137">
        <v>1.9896774066559699</v>
      </c>
      <c r="G137">
        <v>2657.6709448015099</v>
      </c>
      <c r="H137">
        <v>426.51337313392901</v>
      </c>
      <c r="I137">
        <v>0.62735448781203895</v>
      </c>
      <c r="J137">
        <v>0.18358862401714501</v>
      </c>
      <c r="K137">
        <v>0.63883529832082897</v>
      </c>
      <c r="L137" t="s">
        <v>83</v>
      </c>
      <c r="M137" t="s">
        <v>34</v>
      </c>
      <c r="N137" t="s">
        <v>35</v>
      </c>
      <c r="O137">
        <v>0.769763898599514</v>
      </c>
      <c r="P137" t="s">
        <v>36</v>
      </c>
    </row>
    <row r="138" spans="1:16">
      <c r="A138">
        <v>137</v>
      </c>
      <c r="B138" t="s">
        <v>183</v>
      </c>
      <c r="C138">
        <v>116</v>
      </c>
      <c r="D138">
        <v>105</v>
      </c>
      <c r="E138">
        <v>89.622677596093993</v>
      </c>
      <c r="F138">
        <v>1.09947438967097</v>
      </c>
      <c r="G138">
        <v>6308.49424423441</v>
      </c>
      <c r="H138">
        <v>857.6053974276</v>
      </c>
      <c r="I138">
        <v>0.54828167179572596</v>
      </c>
      <c r="J138">
        <v>0.10778555539951799</v>
      </c>
      <c r="K138">
        <v>0.59569690249961404</v>
      </c>
      <c r="L138" t="s">
        <v>33</v>
      </c>
      <c r="M138" t="s">
        <v>34</v>
      </c>
      <c r="N138" t="s">
        <v>35</v>
      </c>
      <c r="O138">
        <v>0.85346839400558205</v>
      </c>
      <c r="P138" t="s">
        <v>36</v>
      </c>
    </row>
    <row r="139" spans="1:16">
      <c r="A139">
        <v>138</v>
      </c>
      <c r="B139" t="s">
        <v>184</v>
      </c>
      <c r="C139">
        <v>126</v>
      </c>
      <c r="D139">
        <v>131</v>
      </c>
      <c r="E139">
        <v>113.607010879493</v>
      </c>
      <c r="F139">
        <v>0.96265560165975095</v>
      </c>
      <c r="G139">
        <v>10136.7829599244</v>
      </c>
      <c r="H139">
        <v>915.45323810670698</v>
      </c>
      <c r="I139">
        <v>0.71596032280431199</v>
      </c>
      <c r="J139">
        <v>0.15199793280231</v>
      </c>
      <c r="K139">
        <v>0.73098606645230402</v>
      </c>
      <c r="L139" t="s">
        <v>185</v>
      </c>
      <c r="M139" t="s">
        <v>34</v>
      </c>
      <c r="N139" t="s">
        <v>35</v>
      </c>
      <c r="O139">
        <v>0.64820017654734796</v>
      </c>
      <c r="P139" t="s">
        <v>36</v>
      </c>
    </row>
    <row r="140" spans="1:16">
      <c r="A140">
        <v>139</v>
      </c>
      <c r="B140" t="s">
        <v>186</v>
      </c>
      <c r="C140">
        <v>161</v>
      </c>
      <c r="D140">
        <v>81</v>
      </c>
      <c r="E140">
        <v>79.293159135262201</v>
      </c>
      <c r="F140">
        <v>2.0023052913695798</v>
      </c>
      <c r="G140">
        <v>4938.1164068052904</v>
      </c>
      <c r="H140">
        <v>784.236288264731</v>
      </c>
      <c r="I140">
        <v>0.51871006539471798</v>
      </c>
      <c r="J140">
        <v>0.10089678293792299</v>
      </c>
      <c r="K140">
        <v>0.50967999263645603</v>
      </c>
      <c r="L140" t="s">
        <v>33</v>
      </c>
      <c r="M140" t="s">
        <v>34</v>
      </c>
      <c r="N140" t="s">
        <v>35</v>
      </c>
      <c r="O140">
        <v>0.94416565865158997</v>
      </c>
      <c r="P140" t="s">
        <v>36</v>
      </c>
    </row>
    <row r="141" spans="1:16">
      <c r="A141">
        <v>140</v>
      </c>
      <c r="B141" t="s">
        <v>187</v>
      </c>
      <c r="C141">
        <v>132</v>
      </c>
      <c r="D141">
        <v>132</v>
      </c>
      <c r="E141">
        <v>111.526574500214</v>
      </c>
      <c r="F141">
        <v>1</v>
      </c>
      <c r="G141">
        <v>9768.9212302457508</v>
      </c>
      <c r="H141">
        <v>1352.22441112518</v>
      </c>
      <c r="I141">
        <v>0.60560870127633704</v>
      </c>
      <c r="J141">
        <v>6.7136535800036701E-2</v>
      </c>
      <c r="K141">
        <v>0.66693725963733796</v>
      </c>
      <c r="L141" t="s">
        <v>33</v>
      </c>
      <c r="M141" t="s">
        <v>34</v>
      </c>
      <c r="N141" t="s">
        <v>35</v>
      </c>
      <c r="O141">
        <v>0.91423751929056796</v>
      </c>
      <c r="P141" t="s">
        <v>36</v>
      </c>
    </row>
    <row r="142" spans="1:16">
      <c r="A142">
        <v>141</v>
      </c>
      <c r="B142" t="s">
        <v>188</v>
      </c>
      <c r="C142">
        <v>110</v>
      </c>
      <c r="D142">
        <v>74</v>
      </c>
      <c r="E142">
        <v>75.983033980988196</v>
      </c>
      <c r="F142">
        <v>1.4879934970940001</v>
      </c>
      <c r="G142">
        <v>4534.4346056710801</v>
      </c>
      <c r="H142">
        <v>445.62694316221302</v>
      </c>
      <c r="I142">
        <v>0.58858984587499996</v>
      </c>
      <c r="J142">
        <v>0.28693935988746699</v>
      </c>
      <c r="K142">
        <v>0.714891622729936</v>
      </c>
      <c r="L142" t="s">
        <v>33</v>
      </c>
      <c r="M142" t="s">
        <v>34</v>
      </c>
      <c r="N142" t="s">
        <v>35</v>
      </c>
      <c r="O142">
        <v>0.86912778305287897</v>
      </c>
      <c r="P142" t="s">
        <v>36</v>
      </c>
    </row>
    <row r="143" spans="1:16">
      <c r="A143">
        <v>142</v>
      </c>
      <c r="B143" t="s">
        <v>189</v>
      </c>
      <c r="C143">
        <v>134</v>
      </c>
      <c r="D143">
        <v>167</v>
      </c>
      <c r="E143">
        <v>123.64765326611101</v>
      </c>
      <c r="F143">
        <v>0.80148995676030599</v>
      </c>
      <c r="G143">
        <v>12007.7500117202</v>
      </c>
      <c r="H143">
        <v>805.85076936877294</v>
      </c>
      <c r="I143">
        <v>0.55375341967255598</v>
      </c>
      <c r="J143">
        <v>0.23236047309716801</v>
      </c>
      <c r="K143">
        <v>0.67282675683328597</v>
      </c>
      <c r="L143" t="s">
        <v>33</v>
      </c>
      <c r="M143" t="s">
        <v>34</v>
      </c>
      <c r="N143" t="s">
        <v>35</v>
      </c>
      <c r="O143">
        <v>0.81731766032251096</v>
      </c>
      <c r="P143" t="s">
        <v>36</v>
      </c>
    </row>
    <row r="144" spans="1:16">
      <c r="A144">
        <v>143</v>
      </c>
      <c r="B144" t="s">
        <v>190</v>
      </c>
      <c r="C144">
        <v>137</v>
      </c>
      <c r="D144">
        <v>152</v>
      </c>
      <c r="E144">
        <v>110.24574038534099</v>
      </c>
      <c r="F144">
        <v>0.90287778629391602</v>
      </c>
      <c r="G144">
        <v>9545.8260964083202</v>
      </c>
      <c r="H144">
        <v>1198.6695980995601</v>
      </c>
      <c r="I144">
        <v>0.56354544487782199</v>
      </c>
      <c r="J144">
        <v>8.3488066119981205E-2</v>
      </c>
      <c r="K144">
        <v>0.58917694114193497</v>
      </c>
      <c r="L144" t="s">
        <v>33</v>
      </c>
      <c r="M144" t="s">
        <v>34</v>
      </c>
      <c r="N144" t="s">
        <v>35</v>
      </c>
      <c r="O144">
        <v>0.913377733646766</v>
      </c>
      <c r="P144" t="s">
        <v>36</v>
      </c>
    </row>
    <row r="145" spans="1:16">
      <c r="A145">
        <v>144</v>
      </c>
      <c r="B145" t="s">
        <v>191</v>
      </c>
      <c r="C145">
        <v>59</v>
      </c>
      <c r="D145">
        <v>112</v>
      </c>
      <c r="E145">
        <v>75.020550047473407</v>
      </c>
      <c r="F145">
        <v>0.52427184466019405</v>
      </c>
      <c r="G145">
        <v>4420.2859962192797</v>
      </c>
      <c r="H145">
        <v>549.74741504150904</v>
      </c>
      <c r="I145">
        <v>0.72328322890771601</v>
      </c>
      <c r="J145">
        <v>0.18379506307172599</v>
      </c>
      <c r="K145">
        <v>0.71987025875632404</v>
      </c>
      <c r="L145" t="s">
        <v>33</v>
      </c>
      <c r="M145" t="s">
        <v>34</v>
      </c>
      <c r="N145" t="s">
        <v>35</v>
      </c>
      <c r="O145">
        <v>0.92441864711252997</v>
      </c>
      <c r="P145" t="s">
        <v>36</v>
      </c>
    </row>
    <row r="146" spans="1:16">
      <c r="A146">
        <v>145</v>
      </c>
      <c r="B146" t="s">
        <v>192</v>
      </c>
      <c r="C146">
        <v>132</v>
      </c>
      <c r="D146">
        <v>117</v>
      </c>
      <c r="E146">
        <v>109.188422076229</v>
      </c>
      <c r="F146">
        <v>1.12558141317414</v>
      </c>
      <c r="G146">
        <v>9363.6044880907393</v>
      </c>
      <c r="H146">
        <v>1086.6193992566</v>
      </c>
      <c r="I146">
        <v>0.63007792752407299</v>
      </c>
      <c r="J146">
        <v>9.9654752945586497E-2</v>
      </c>
      <c r="K146">
        <v>0.733903379503967</v>
      </c>
      <c r="L146" t="s">
        <v>33</v>
      </c>
      <c r="M146" t="s">
        <v>34</v>
      </c>
      <c r="N146" t="s">
        <v>35</v>
      </c>
      <c r="O146">
        <v>0.87137480483766905</v>
      </c>
      <c r="P146" t="s">
        <v>36</v>
      </c>
    </row>
    <row r="147" spans="1:16">
      <c r="A147">
        <v>146</v>
      </c>
      <c r="B147" t="s">
        <v>193</v>
      </c>
      <c r="C147">
        <v>44</v>
      </c>
      <c r="D147">
        <v>107</v>
      </c>
      <c r="E147">
        <v>58.407886477044201</v>
      </c>
      <c r="F147">
        <v>0.41116751269035501</v>
      </c>
      <c r="G147">
        <v>2679.3710710774999</v>
      </c>
      <c r="H147">
        <v>408.49736335267198</v>
      </c>
      <c r="I147">
        <v>0.66905829924924598</v>
      </c>
      <c r="J147">
        <v>0.201773539577594</v>
      </c>
      <c r="K147">
        <v>0.70138510621741501</v>
      </c>
      <c r="L147" t="s">
        <v>83</v>
      </c>
      <c r="M147" t="s">
        <v>34</v>
      </c>
      <c r="N147" t="s">
        <v>35</v>
      </c>
      <c r="O147">
        <v>0.77308394892221499</v>
      </c>
      <c r="P147" t="s">
        <v>36</v>
      </c>
    </row>
    <row r="148" spans="1:16">
      <c r="A148">
        <v>147</v>
      </c>
      <c r="B148" t="s">
        <v>194</v>
      </c>
      <c r="C148">
        <v>96</v>
      </c>
      <c r="D148">
        <v>93</v>
      </c>
      <c r="E148">
        <v>86.437825736837297</v>
      </c>
      <c r="F148">
        <v>1.0345504525339499</v>
      </c>
      <c r="G148">
        <v>5868.1005856332704</v>
      </c>
      <c r="H148">
        <v>492.64793069725499</v>
      </c>
      <c r="I148">
        <v>0.66828181373249296</v>
      </c>
      <c r="J148">
        <v>0.30383240244453402</v>
      </c>
      <c r="K148">
        <v>0.80002026342451904</v>
      </c>
      <c r="L148" t="s">
        <v>33</v>
      </c>
      <c r="M148" t="s">
        <v>34</v>
      </c>
      <c r="N148" t="s">
        <v>35</v>
      </c>
      <c r="O148">
        <v>0.89317794253697802</v>
      </c>
      <c r="P148" t="s">
        <v>36</v>
      </c>
    </row>
    <row r="149" spans="1:16">
      <c r="A149">
        <v>148</v>
      </c>
      <c r="B149" t="s">
        <v>195</v>
      </c>
      <c r="C149">
        <v>75</v>
      </c>
      <c r="D149">
        <v>95</v>
      </c>
      <c r="E149">
        <v>78.6954439210364</v>
      </c>
      <c r="F149">
        <v>0.79175045814543099</v>
      </c>
      <c r="G149">
        <v>4863.9495368620001</v>
      </c>
      <c r="H149">
        <v>358.36946307234098</v>
      </c>
      <c r="I149">
        <v>0.61920595231938402</v>
      </c>
      <c r="J149">
        <v>0.47592326190120898</v>
      </c>
      <c r="K149">
        <v>0.88376677739069398</v>
      </c>
      <c r="L149" t="s">
        <v>33</v>
      </c>
      <c r="M149" t="s">
        <v>34</v>
      </c>
      <c r="N149" t="s">
        <v>35</v>
      </c>
      <c r="O149">
        <v>0.91430171239511204</v>
      </c>
      <c r="P149" t="s">
        <v>36</v>
      </c>
    </row>
    <row r="150" spans="1:16">
      <c r="A150">
        <v>149</v>
      </c>
      <c r="B150" t="s">
        <v>196</v>
      </c>
      <c r="C150">
        <v>68</v>
      </c>
      <c r="D150">
        <v>68</v>
      </c>
      <c r="E150">
        <v>50.481129903989199</v>
      </c>
      <c r="F150">
        <v>1.00000012311721</v>
      </c>
      <c r="G150">
        <v>2001.4650714555801</v>
      </c>
      <c r="H150">
        <v>286.642653704726</v>
      </c>
      <c r="I150">
        <v>0.62395372615418299</v>
      </c>
      <c r="J150">
        <v>0.30610910515566803</v>
      </c>
      <c r="K150">
        <v>0.64041470490321994</v>
      </c>
      <c r="L150" t="s">
        <v>83</v>
      </c>
      <c r="M150" t="s">
        <v>34</v>
      </c>
      <c r="N150" t="s">
        <v>35</v>
      </c>
      <c r="O150">
        <v>0.70209539238619201</v>
      </c>
      <c r="P150" t="s">
        <v>36</v>
      </c>
    </row>
    <row r="151" spans="1:16">
      <c r="A151">
        <v>150</v>
      </c>
      <c r="B151" t="s">
        <v>197</v>
      </c>
      <c r="C151">
        <v>124</v>
      </c>
      <c r="D151">
        <v>59</v>
      </c>
      <c r="E151">
        <v>70.622204845570806</v>
      </c>
      <c r="F151">
        <v>2.1189233757163</v>
      </c>
      <c r="G151">
        <v>3917.1700548204199</v>
      </c>
      <c r="H151">
        <v>382.35902828973298</v>
      </c>
      <c r="I151">
        <v>0.76791890515021599</v>
      </c>
      <c r="J151">
        <v>0.336697267144692</v>
      </c>
      <c r="K151">
        <v>0.74423924093527605</v>
      </c>
      <c r="L151" t="s">
        <v>75</v>
      </c>
      <c r="M151" t="s">
        <v>34</v>
      </c>
      <c r="N151" t="s">
        <v>35</v>
      </c>
      <c r="O151">
        <v>0.70603681097354798</v>
      </c>
      <c r="P151" t="s">
        <v>36</v>
      </c>
    </row>
    <row r="152" spans="1:16">
      <c r="A152">
        <v>151</v>
      </c>
      <c r="B152" t="s">
        <v>198</v>
      </c>
      <c r="C152">
        <v>65</v>
      </c>
      <c r="D152">
        <v>92</v>
      </c>
      <c r="E152">
        <v>76.417644933412802</v>
      </c>
      <c r="F152">
        <v>0.70376953433506595</v>
      </c>
      <c r="G152">
        <v>4586.4554563327001</v>
      </c>
      <c r="H152">
        <v>337.97058316935698</v>
      </c>
      <c r="I152">
        <v>0.70354908545219397</v>
      </c>
      <c r="J152">
        <v>0.50457908145059305</v>
      </c>
      <c r="K152">
        <v>0.90580327002671202</v>
      </c>
      <c r="L152" t="s">
        <v>33</v>
      </c>
      <c r="M152" t="s">
        <v>34</v>
      </c>
      <c r="N152" t="s">
        <v>35</v>
      </c>
      <c r="O152">
        <v>0.93497636910993198</v>
      </c>
      <c r="P152" t="s">
        <v>36</v>
      </c>
    </row>
    <row r="153" spans="1:16">
      <c r="A153">
        <v>152</v>
      </c>
      <c r="B153" t="s">
        <v>199</v>
      </c>
      <c r="C153">
        <v>121</v>
      </c>
      <c r="D153">
        <v>86</v>
      </c>
      <c r="E153">
        <v>77.635018777140402</v>
      </c>
      <c r="F153">
        <v>1.41131539258686</v>
      </c>
      <c r="G153">
        <v>4733.7487792060501</v>
      </c>
      <c r="H153">
        <v>600.117201606398</v>
      </c>
      <c r="I153">
        <v>0.55714831643825602</v>
      </c>
      <c r="J153">
        <v>0.165174468972727</v>
      </c>
      <c r="K153">
        <v>0.57486056711730404</v>
      </c>
      <c r="L153" t="s">
        <v>75</v>
      </c>
      <c r="M153" t="s">
        <v>34</v>
      </c>
      <c r="N153" t="s">
        <v>35</v>
      </c>
      <c r="O153">
        <v>0.77547107088884504</v>
      </c>
      <c r="P153" t="s">
        <v>36</v>
      </c>
    </row>
    <row r="154" spans="1:16">
      <c r="A154">
        <v>153</v>
      </c>
      <c r="B154" t="s">
        <v>200</v>
      </c>
      <c r="C154">
        <v>106</v>
      </c>
      <c r="D154">
        <v>157</v>
      </c>
      <c r="E154">
        <v>95.659028305485293</v>
      </c>
      <c r="F154">
        <v>0.67329243851850495</v>
      </c>
      <c r="G154">
        <v>7186.9034654064299</v>
      </c>
      <c r="H154">
        <v>809.28418854506106</v>
      </c>
      <c r="I154">
        <v>0.72190611747276701</v>
      </c>
      <c r="J154">
        <v>0.13789533195328799</v>
      </c>
      <c r="K154">
        <v>0.62801480615624405</v>
      </c>
      <c r="L154" t="s">
        <v>201</v>
      </c>
      <c r="M154" t="s">
        <v>34</v>
      </c>
      <c r="N154" t="s">
        <v>35</v>
      </c>
      <c r="O154">
        <v>0.70984753222394503</v>
      </c>
      <c r="P154" t="s">
        <v>36</v>
      </c>
    </row>
    <row r="155" spans="1:16">
      <c r="A155">
        <v>154</v>
      </c>
      <c r="B155" t="s">
        <v>202</v>
      </c>
      <c r="C155">
        <v>115</v>
      </c>
      <c r="D155">
        <v>78</v>
      </c>
      <c r="E155">
        <v>74.604437036044303</v>
      </c>
      <c r="F155">
        <v>1.48129997760194</v>
      </c>
      <c r="G155">
        <v>4371.3863965973496</v>
      </c>
      <c r="H155">
        <v>523.33509397434204</v>
      </c>
      <c r="I155">
        <v>0.82306805117633297</v>
      </c>
      <c r="J155">
        <v>0.200571555637654</v>
      </c>
      <c r="K155">
        <v>0.67088665343643805</v>
      </c>
      <c r="L155" t="s">
        <v>33</v>
      </c>
      <c r="M155" t="s">
        <v>34</v>
      </c>
      <c r="N155" t="s">
        <v>35</v>
      </c>
      <c r="O155">
        <v>0.91906322974355603</v>
      </c>
      <c r="P155" t="s">
        <v>36</v>
      </c>
    </row>
    <row r="156" spans="1:16">
      <c r="A156">
        <v>155</v>
      </c>
      <c r="B156" t="s">
        <v>203</v>
      </c>
      <c r="C156">
        <v>157</v>
      </c>
      <c r="D156">
        <v>111</v>
      </c>
      <c r="E156">
        <v>108.00343148905699</v>
      </c>
      <c r="F156">
        <v>1.41993607848184</v>
      </c>
      <c r="G156">
        <v>9161.4663255198502</v>
      </c>
      <c r="H156">
        <v>551.64328013389002</v>
      </c>
      <c r="I156">
        <v>0.696460623991635</v>
      </c>
      <c r="J156">
        <v>0.37831903157848101</v>
      </c>
      <c r="K156">
        <v>0.75403077826438003</v>
      </c>
      <c r="L156" t="s">
        <v>33</v>
      </c>
      <c r="M156" t="s">
        <v>34</v>
      </c>
      <c r="N156" t="s">
        <v>35</v>
      </c>
      <c r="O156">
        <v>0.91803749337390705</v>
      </c>
      <c r="P156" t="s">
        <v>36</v>
      </c>
    </row>
    <row r="157" spans="1:16">
      <c r="A157">
        <v>156</v>
      </c>
      <c r="B157" t="s">
        <v>204</v>
      </c>
      <c r="C157">
        <v>113</v>
      </c>
      <c r="D157">
        <v>59</v>
      </c>
      <c r="E157">
        <v>67.204689686507095</v>
      </c>
      <c r="F157">
        <v>1.9110830195387301</v>
      </c>
      <c r="G157">
        <v>3547.2274911153099</v>
      </c>
      <c r="H157">
        <v>459.163833402965</v>
      </c>
      <c r="I157">
        <v>0.59785843805176297</v>
      </c>
      <c r="J157">
        <v>0.21142851505837401</v>
      </c>
      <c r="K157">
        <v>0.68485996326905396</v>
      </c>
      <c r="L157" t="s">
        <v>33</v>
      </c>
      <c r="M157" t="s">
        <v>34</v>
      </c>
      <c r="N157" t="s">
        <v>35</v>
      </c>
      <c r="O157">
        <v>0.90416296953541397</v>
      </c>
      <c r="P157" t="s">
        <v>36</v>
      </c>
    </row>
    <row r="158" spans="1:16">
      <c r="A158">
        <v>157</v>
      </c>
      <c r="B158" t="s">
        <v>205</v>
      </c>
      <c r="C158">
        <v>152</v>
      </c>
      <c r="D158">
        <v>99</v>
      </c>
      <c r="E158">
        <v>96.288039999195902</v>
      </c>
      <c r="F158">
        <v>1.54429181018754</v>
      </c>
      <c r="G158">
        <v>7281.73004461248</v>
      </c>
      <c r="H158">
        <v>1007.41453577477</v>
      </c>
      <c r="I158">
        <v>0.66659406464510196</v>
      </c>
      <c r="J158">
        <v>9.0162929188506394E-2</v>
      </c>
      <c r="K158">
        <v>0.62133952237821699</v>
      </c>
      <c r="L158" t="s">
        <v>144</v>
      </c>
      <c r="M158" t="s">
        <v>34</v>
      </c>
      <c r="N158" t="s">
        <v>35</v>
      </c>
      <c r="O158">
        <v>0.72491046656543201</v>
      </c>
      <c r="P158" t="s">
        <v>36</v>
      </c>
    </row>
    <row r="159" spans="1:16">
      <c r="A159">
        <v>158</v>
      </c>
      <c r="B159" t="s">
        <v>206</v>
      </c>
      <c r="C159">
        <v>72</v>
      </c>
      <c r="D159">
        <v>102</v>
      </c>
      <c r="E159">
        <v>69.302198932859795</v>
      </c>
      <c r="F159">
        <v>0.71153023490156198</v>
      </c>
      <c r="G159">
        <v>3772.1061969754301</v>
      </c>
      <c r="H159">
        <v>477.67852722613702</v>
      </c>
      <c r="I159">
        <v>0.748576783784762</v>
      </c>
      <c r="J159">
        <v>0.20774105686453401</v>
      </c>
      <c r="K159">
        <v>0.73468619731357099</v>
      </c>
      <c r="L159" t="s">
        <v>33</v>
      </c>
      <c r="M159" t="s">
        <v>34</v>
      </c>
      <c r="N159" t="s">
        <v>35</v>
      </c>
      <c r="O159">
        <v>0.91912516045190096</v>
      </c>
      <c r="P159" t="s">
        <v>36</v>
      </c>
    </row>
    <row r="160" spans="1:16">
      <c r="A160">
        <v>159</v>
      </c>
      <c r="B160" t="s">
        <v>207</v>
      </c>
      <c r="C160">
        <v>107</v>
      </c>
      <c r="D160">
        <v>142</v>
      </c>
      <c r="E160">
        <v>93.571896573544606</v>
      </c>
      <c r="F160">
        <v>0.757692307692308</v>
      </c>
      <c r="G160">
        <v>6876.7105644612502</v>
      </c>
      <c r="H160">
        <v>1369.8811542118101</v>
      </c>
      <c r="I160">
        <v>0.65930865727014198</v>
      </c>
      <c r="J160">
        <v>4.6049490302797702E-2</v>
      </c>
      <c r="K160">
        <v>0.48823908065384197</v>
      </c>
      <c r="L160" t="s">
        <v>33</v>
      </c>
      <c r="M160" t="s">
        <v>34</v>
      </c>
      <c r="N160" t="s">
        <v>35</v>
      </c>
      <c r="O160">
        <v>0.94057973141670004</v>
      </c>
      <c r="P160" t="s">
        <v>36</v>
      </c>
    </row>
    <row r="161" spans="1:16">
      <c r="A161">
        <v>160</v>
      </c>
      <c r="B161" t="s">
        <v>208</v>
      </c>
      <c r="C161">
        <v>95</v>
      </c>
      <c r="D161">
        <v>138</v>
      </c>
      <c r="E161">
        <v>93.618400970922494</v>
      </c>
      <c r="F161">
        <v>0.68764716822674399</v>
      </c>
      <c r="G161">
        <v>6883.5475905482099</v>
      </c>
      <c r="H161">
        <v>725.07882399963296</v>
      </c>
      <c r="I161">
        <v>0.71107956636718195</v>
      </c>
      <c r="J161">
        <v>0.16453251639698099</v>
      </c>
      <c r="K161">
        <v>0.72639866994996605</v>
      </c>
      <c r="L161" t="s">
        <v>33</v>
      </c>
      <c r="M161" t="s">
        <v>34</v>
      </c>
      <c r="N161" t="s">
        <v>35</v>
      </c>
      <c r="O161">
        <v>0.93948865002898396</v>
      </c>
      <c r="P161" t="s">
        <v>36</v>
      </c>
    </row>
    <row r="162" spans="1:16">
      <c r="A162">
        <v>161</v>
      </c>
      <c r="B162" t="s">
        <v>209</v>
      </c>
      <c r="C162">
        <v>137</v>
      </c>
      <c r="D162">
        <v>78</v>
      </c>
      <c r="E162">
        <v>94.493630983994805</v>
      </c>
      <c r="F162">
        <v>1.7552449164213</v>
      </c>
      <c r="G162">
        <v>7012.8565621928201</v>
      </c>
      <c r="H162">
        <v>964.38110920273698</v>
      </c>
      <c r="I162">
        <v>0.70455250671846303</v>
      </c>
      <c r="J162">
        <v>9.4756155276003604E-2</v>
      </c>
      <c r="K162">
        <v>0.71334835129945695</v>
      </c>
      <c r="L162" t="s">
        <v>33</v>
      </c>
      <c r="M162" t="s">
        <v>34</v>
      </c>
      <c r="N162" t="s">
        <v>35</v>
      </c>
      <c r="O162">
        <v>0.69195242449837302</v>
      </c>
      <c r="P162" t="s">
        <v>36</v>
      </c>
    </row>
    <row r="163" spans="1:16">
      <c r="A163">
        <v>162</v>
      </c>
      <c r="B163" t="s">
        <v>210</v>
      </c>
      <c r="C163">
        <v>100</v>
      </c>
      <c r="D163">
        <v>199</v>
      </c>
      <c r="E163">
        <v>109.864865548842</v>
      </c>
      <c r="F163">
        <v>0.50417793245612297</v>
      </c>
      <c r="G163">
        <v>9479.9825625708909</v>
      </c>
      <c r="H163">
        <v>820.15871342555295</v>
      </c>
      <c r="I163">
        <v>0.78330005002380398</v>
      </c>
      <c r="J163">
        <v>0.177101237586933</v>
      </c>
      <c r="K163">
        <v>0.64072890924798598</v>
      </c>
      <c r="L163" t="s">
        <v>33</v>
      </c>
      <c r="M163" t="s">
        <v>34</v>
      </c>
      <c r="N163" t="s">
        <v>35</v>
      </c>
      <c r="O163">
        <v>0.91405234434314897</v>
      </c>
      <c r="P163" t="s">
        <v>36</v>
      </c>
    </row>
    <row r="164" spans="1:16">
      <c r="A164">
        <v>163</v>
      </c>
      <c r="B164" t="s">
        <v>211</v>
      </c>
      <c r="C164">
        <v>65</v>
      </c>
      <c r="D164">
        <v>93</v>
      </c>
      <c r="E164">
        <v>74.343979159600494</v>
      </c>
      <c r="F164">
        <v>0.69871299124405495</v>
      </c>
      <c r="G164">
        <v>4340.9170412098301</v>
      </c>
      <c r="H164">
        <v>331.69255823943899</v>
      </c>
      <c r="I164">
        <v>0.70721459047492197</v>
      </c>
      <c r="J164">
        <v>0.49581526590107999</v>
      </c>
      <c r="K164">
        <v>0.88430677930178303</v>
      </c>
      <c r="L164" t="s">
        <v>33</v>
      </c>
      <c r="M164" t="s">
        <v>34</v>
      </c>
      <c r="N164" t="s">
        <v>35</v>
      </c>
      <c r="O164">
        <v>0.76961111516408198</v>
      </c>
      <c r="P164" t="s">
        <v>36</v>
      </c>
    </row>
    <row r="165" spans="1:16">
      <c r="A165">
        <v>164</v>
      </c>
      <c r="B165" t="s">
        <v>212</v>
      </c>
      <c r="C165">
        <v>181</v>
      </c>
      <c r="D165">
        <v>69</v>
      </c>
      <c r="E165">
        <v>93.346122943285096</v>
      </c>
      <c r="F165">
        <v>2.6072074104154201</v>
      </c>
      <c r="G165">
        <v>6843.5658510396997</v>
      </c>
      <c r="H165">
        <v>661.04925754961801</v>
      </c>
      <c r="I165">
        <v>0.75555768035626902</v>
      </c>
      <c r="J165">
        <v>0.196799808262696</v>
      </c>
      <c r="K165">
        <v>0.70647804339153697</v>
      </c>
      <c r="L165" t="s">
        <v>33</v>
      </c>
      <c r="M165" t="s">
        <v>34</v>
      </c>
      <c r="N165" t="s">
        <v>35</v>
      </c>
      <c r="O165">
        <v>0.88549816429846395</v>
      </c>
      <c r="P165" t="s">
        <v>36</v>
      </c>
    </row>
    <row r="166" spans="1:16">
      <c r="A166">
        <v>165</v>
      </c>
      <c r="B166" t="s">
        <v>213</v>
      </c>
      <c r="C166">
        <v>132</v>
      </c>
      <c r="D166">
        <v>103</v>
      </c>
      <c r="E166">
        <v>101.433506848579</v>
      </c>
      <c r="F166">
        <v>1.2872340425531901</v>
      </c>
      <c r="G166">
        <v>8080.7703107750503</v>
      </c>
      <c r="H166">
        <v>868.541844973357</v>
      </c>
      <c r="I166">
        <v>0.71228694391082903</v>
      </c>
      <c r="J166">
        <v>0.13461118043201301</v>
      </c>
      <c r="K166">
        <v>0.72701014936549702</v>
      </c>
      <c r="L166" t="s">
        <v>33</v>
      </c>
      <c r="M166" t="s">
        <v>34</v>
      </c>
      <c r="N166" t="s">
        <v>35</v>
      </c>
      <c r="O166">
        <v>0.938499898906618</v>
      </c>
      <c r="P166" t="s">
        <v>36</v>
      </c>
    </row>
    <row r="167" spans="1:16">
      <c r="A167">
        <v>166</v>
      </c>
      <c r="B167" t="s">
        <v>214</v>
      </c>
      <c r="C167">
        <v>55</v>
      </c>
      <c r="D167">
        <v>68</v>
      </c>
      <c r="E167">
        <v>57.859367053239403</v>
      </c>
      <c r="F167">
        <v>0.81059532509009602</v>
      </c>
      <c r="G167">
        <v>2629.2824234404502</v>
      </c>
      <c r="H167">
        <v>269.91195379816998</v>
      </c>
      <c r="I167">
        <v>0.77436806225270804</v>
      </c>
      <c r="J167">
        <v>0.45352670467780998</v>
      </c>
      <c r="K167">
        <v>0.86436040261897795</v>
      </c>
      <c r="L167" t="s">
        <v>83</v>
      </c>
      <c r="M167" t="s">
        <v>34</v>
      </c>
      <c r="N167" t="s">
        <v>35</v>
      </c>
      <c r="O167">
        <v>0.74880378341107601</v>
      </c>
      <c r="P167" t="s">
        <v>36</v>
      </c>
    </row>
    <row r="168" spans="1:16">
      <c r="A168">
        <v>167</v>
      </c>
      <c r="B168" t="s">
        <v>215</v>
      </c>
      <c r="C168">
        <v>162</v>
      </c>
      <c r="D168">
        <v>106</v>
      </c>
      <c r="E168">
        <v>87.792275149809299</v>
      </c>
      <c r="F168">
        <v>1.5373571625859299</v>
      </c>
      <c r="G168">
        <v>6053.4434449905502</v>
      </c>
      <c r="H168">
        <v>934.41637231909704</v>
      </c>
      <c r="I168">
        <v>0.53854831427372696</v>
      </c>
      <c r="J168">
        <v>8.7122729823217004E-2</v>
      </c>
      <c r="K168">
        <v>0.48094658904384602</v>
      </c>
      <c r="L168" t="s">
        <v>33</v>
      </c>
      <c r="M168" t="s">
        <v>34</v>
      </c>
      <c r="N168" t="s">
        <v>35</v>
      </c>
      <c r="O168">
        <v>0.91685233552476597</v>
      </c>
      <c r="P168" t="s">
        <v>36</v>
      </c>
    </row>
    <row r="169" spans="1:16">
      <c r="A169">
        <v>168</v>
      </c>
      <c r="B169" t="s">
        <v>216</v>
      </c>
      <c r="C169">
        <v>98</v>
      </c>
      <c r="D169">
        <v>183</v>
      </c>
      <c r="E169">
        <v>82.786591609014806</v>
      </c>
      <c r="F169">
        <v>0.53759063356225001</v>
      </c>
      <c r="G169">
        <v>5382.8203644612504</v>
      </c>
      <c r="H169">
        <v>779.79705445227398</v>
      </c>
      <c r="I169">
        <v>0.60048658948485201</v>
      </c>
      <c r="J169">
        <v>0.111238870389521</v>
      </c>
      <c r="K169">
        <v>0.44589453466467999</v>
      </c>
      <c r="L169" t="s">
        <v>33</v>
      </c>
      <c r="M169" t="s">
        <v>34</v>
      </c>
      <c r="N169" t="s">
        <v>35</v>
      </c>
      <c r="O169">
        <v>0.93648311421017705</v>
      </c>
      <c r="P169" t="s">
        <v>36</v>
      </c>
    </row>
    <row r="170" spans="1:16">
      <c r="A170">
        <v>169</v>
      </c>
      <c r="B170" t="s">
        <v>217</v>
      </c>
      <c r="C170">
        <v>200</v>
      </c>
      <c r="D170">
        <v>71</v>
      </c>
      <c r="E170">
        <v>101.128007462714</v>
      </c>
      <c r="F170">
        <v>2.8148146411324402</v>
      </c>
      <c r="G170">
        <v>8032.1679731569002</v>
      </c>
      <c r="H170">
        <v>630.98043549859005</v>
      </c>
      <c r="I170">
        <v>0.58234569358374999</v>
      </c>
      <c r="J170">
        <v>0.25351920198396799</v>
      </c>
      <c r="K170">
        <v>0.68101166922902401</v>
      </c>
      <c r="L170" t="s">
        <v>33</v>
      </c>
      <c r="M170" t="s">
        <v>34</v>
      </c>
      <c r="N170" t="s">
        <v>35</v>
      </c>
      <c r="O170">
        <v>0.88588568518702904</v>
      </c>
      <c r="P170" t="s">
        <v>36</v>
      </c>
    </row>
    <row r="171" spans="1:16">
      <c r="A171">
        <v>170</v>
      </c>
      <c r="B171" t="s">
        <v>218</v>
      </c>
      <c r="C171">
        <v>73</v>
      </c>
      <c r="D171">
        <v>114</v>
      </c>
      <c r="E171">
        <v>78.376166872309994</v>
      </c>
      <c r="F171">
        <v>0.64384421127230995</v>
      </c>
      <c r="G171">
        <v>4824.5623213610597</v>
      </c>
      <c r="H171">
        <v>418.28857891497398</v>
      </c>
      <c r="I171">
        <v>0.78075363290473399</v>
      </c>
      <c r="J171">
        <v>0.34650999922597903</v>
      </c>
      <c r="K171">
        <v>0.835048363860877</v>
      </c>
      <c r="L171" t="s">
        <v>33</v>
      </c>
      <c r="M171" t="s">
        <v>34</v>
      </c>
      <c r="N171" t="s">
        <v>35</v>
      </c>
      <c r="O171">
        <v>0.94486218784254195</v>
      </c>
      <c r="P171" t="s">
        <v>36</v>
      </c>
    </row>
    <row r="172" spans="1:16">
      <c r="A172">
        <v>171</v>
      </c>
      <c r="B172" t="s">
        <v>219</v>
      </c>
      <c r="C172">
        <v>82</v>
      </c>
      <c r="D172">
        <v>47</v>
      </c>
      <c r="E172">
        <v>56.843053651139797</v>
      </c>
      <c r="F172">
        <v>1.75452371578446</v>
      </c>
      <c r="G172">
        <v>2537.7257262759899</v>
      </c>
      <c r="H172">
        <v>284.35218973781798</v>
      </c>
      <c r="I172">
        <v>0.57559074119048503</v>
      </c>
      <c r="J172">
        <v>0.39440407402723598</v>
      </c>
      <c r="K172">
        <v>0.81061577173242205</v>
      </c>
      <c r="L172" t="s">
        <v>33</v>
      </c>
      <c r="M172" t="s">
        <v>34</v>
      </c>
      <c r="N172" t="s">
        <v>35</v>
      </c>
      <c r="O172">
        <v>0.91833873087756301</v>
      </c>
      <c r="P172" t="s">
        <v>36</v>
      </c>
    </row>
    <row r="173" spans="1:16">
      <c r="A173">
        <v>172</v>
      </c>
      <c r="B173" t="s">
        <v>220</v>
      </c>
      <c r="C173">
        <v>58</v>
      </c>
      <c r="D173">
        <v>99</v>
      </c>
      <c r="E173">
        <v>70.229886084551495</v>
      </c>
      <c r="F173">
        <v>0.58193253622847796</v>
      </c>
      <c r="G173">
        <v>3873.7698022684299</v>
      </c>
      <c r="H173">
        <v>393.153781714128</v>
      </c>
      <c r="I173">
        <v>0.81474543773595298</v>
      </c>
      <c r="J173">
        <v>0.31493342653245399</v>
      </c>
      <c r="K173">
        <v>0.77088940814576001</v>
      </c>
      <c r="L173" t="s">
        <v>83</v>
      </c>
      <c r="M173" t="s">
        <v>34</v>
      </c>
      <c r="N173" t="s">
        <v>35</v>
      </c>
      <c r="O173">
        <v>0.68310663741074096</v>
      </c>
      <c r="P173" t="s">
        <v>36</v>
      </c>
    </row>
    <row r="174" spans="1:16">
      <c r="A174">
        <v>173</v>
      </c>
      <c r="B174" t="s">
        <v>221</v>
      </c>
      <c r="C174">
        <v>396</v>
      </c>
      <c r="D174">
        <v>106</v>
      </c>
      <c r="E174">
        <v>106.89866656791401</v>
      </c>
      <c r="F174">
        <v>3.7241160131195201</v>
      </c>
      <c r="G174">
        <v>8975</v>
      </c>
      <c r="H174">
        <v>1097.4011445045501</v>
      </c>
      <c r="I174">
        <v>0.84856434781748002</v>
      </c>
      <c r="J174">
        <v>9.3651233876996601E-2</v>
      </c>
      <c r="K174">
        <v>0.29904206580591403</v>
      </c>
      <c r="L174" t="s">
        <v>45</v>
      </c>
      <c r="M174" t="s">
        <v>34</v>
      </c>
      <c r="N174" t="s">
        <v>35</v>
      </c>
      <c r="O174">
        <v>0.70909187377002103</v>
      </c>
      <c r="P174" t="s">
        <v>36</v>
      </c>
    </row>
    <row r="175" spans="1:16">
      <c r="A175">
        <v>174</v>
      </c>
      <c r="B175" t="s">
        <v>222</v>
      </c>
      <c r="C175">
        <v>118</v>
      </c>
      <c r="D175">
        <v>173</v>
      </c>
      <c r="E175">
        <v>119.34873908148499</v>
      </c>
      <c r="F175">
        <v>0.68454258675078905</v>
      </c>
      <c r="G175">
        <v>11187.3068812854</v>
      </c>
      <c r="H175">
        <v>630.98043549859005</v>
      </c>
      <c r="I175">
        <v>0.62033038718282896</v>
      </c>
      <c r="J175">
        <v>0.35310480587204601</v>
      </c>
      <c r="K175">
        <v>0.71825677042578795</v>
      </c>
      <c r="L175" t="s">
        <v>33</v>
      </c>
      <c r="M175" t="s">
        <v>34</v>
      </c>
      <c r="N175" t="s">
        <v>35</v>
      </c>
      <c r="O175">
        <v>0.94544018823604803</v>
      </c>
      <c r="P175" t="s">
        <v>36</v>
      </c>
    </row>
    <row r="176" spans="1:16">
      <c r="A176">
        <v>175</v>
      </c>
      <c r="B176" t="s">
        <v>223</v>
      </c>
      <c r="C176">
        <v>90</v>
      </c>
      <c r="D176">
        <v>163</v>
      </c>
      <c r="E176">
        <v>85.823720230714798</v>
      </c>
      <c r="F176">
        <v>0.55283111364889903</v>
      </c>
      <c r="G176">
        <v>5785.0158555765602</v>
      </c>
      <c r="H176">
        <v>1012.04085867094</v>
      </c>
      <c r="I176">
        <v>0.63807551851148703</v>
      </c>
      <c r="J176">
        <v>7.0977112076976906E-2</v>
      </c>
      <c r="K176">
        <v>0.52408908518029795</v>
      </c>
      <c r="L176" t="s">
        <v>33</v>
      </c>
      <c r="M176" t="s">
        <v>34</v>
      </c>
      <c r="N176" t="s">
        <v>35</v>
      </c>
      <c r="O176">
        <v>0.92656266050905201</v>
      </c>
      <c r="P176" t="s">
        <v>36</v>
      </c>
    </row>
    <row r="177" spans="1:16">
      <c r="A177">
        <v>176</v>
      </c>
      <c r="B177" t="s">
        <v>224</v>
      </c>
      <c r="C177">
        <v>95</v>
      </c>
      <c r="D177">
        <v>130</v>
      </c>
      <c r="E177">
        <v>84.670464821929201</v>
      </c>
      <c r="F177">
        <v>0.73157398860212497</v>
      </c>
      <c r="G177">
        <v>5630.5882446124797</v>
      </c>
      <c r="H177">
        <v>990.06777141622899</v>
      </c>
      <c r="I177">
        <v>0.63657174608004996</v>
      </c>
      <c r="J177">
        <v>7.2182810226705404E-2</v>
      </c>
      <c r="K177">
        <v>0.57696583865121298</v>
      </c>
      <c r="L177" t="s">
        <v>75</v>
      </c>
      <c r="M177" t="s">
        <v>34</v>
      </c>
      <c r="N177" t="s">
        <v>35</v>
      </c>
      <c r="O177">
        <v>0.82114968382931697</v>
      </c>
      <c r="P177" t="s">
        <v>36</v>
      </c>
    </row>
    <row r="178" spans="1:16">
      <c r="A178">
        <v>177</v>
      </c>
      <c r="B178" t="s">
        <v>225</v>
      </c>
      <c r="C178">
        <v>198</v>
      </c>
      <c r="D178">
        <v>49</v>
      </c>
      <c r="E178">
        <v>77.461756067774004</v>
      </c>
      <c r="F178">
        <v>4.0670153375454499</v>
      </c>
      <c r="G178">
        <v>4712.6431769376204</v>
      </c>
      <c r="H178">
        <v>592.93583097758506</v>
      </c>
      <c r="I178">
        <v>0.52126183552822902</v>
      </c>
      <c r="J178">
        <v>0.16844535171053401</v>
      </c>
      <c r="K178">
        <v>0.66535862676795199</v>
      </c>
      <c r="L178" t="s">
        <v>52</v>
      </c>
      <c r="M178" t="s">
        <v>34</v>
      </c>
      <c r="N178" t="s">
        <v>35</v>
      </c>
      <c r="O178">
        <v>0.69029198268857495</v>
      </c>
      <c r="P178" t="s">
        <v>36</v>
      </c>
    </row>
    <row r="179" spans="1:16">
      <c r="A179">
        <v>178</v>
      </c>
      <c r="B179" t="s">
        <v>226</v>
      </c>
      <c r="C179">
        <v>179</v>
      </c>
      <c r="D179">
        <v>187</v>
      </c>
      <c r="E179">
        <v>129.10219386282901</v>
      </c>
      <c r="F179">
        <v>0.96070854214833201</v>
      </c>
      <c r="G179">
        <v>13090.5268604915</v>
      </c>
      <c r="H179">
        <v>1017.21192111534</v>
      </c>
      <c r="I179">
        <v>0.75468945682189104</v>
      </c>
      <c r="J179">
        <v>0.158980591239126</v>
      </c>
      <c r="K179">
        <v>0.57395894428152505</v>
      </c>
      <c r="L179" t="s">
        <v>33</v>
      </c>
      <c r="M179" t="s">
        <v>34</v>
      </c>
      <c r="N179" t="s">
        <v>35</v>
      </c>
      <c r="O179">
        <v>0.95727514093802402</v>
      </c>
      <c r="P179" t="s">
        <v>36</v>
      </c>
    </row>
    <row r="180" spans="1:16">
      <c r="A180">
        <v>179</v>
      </c>
      <c r="B180" t="s">
        <v>227</v>
      </c>
      <c r="C180">
        <v>117</v>
      </c>
      <c r="D180">
        <v>132</v>
      </c>
      <c r="E180">
        <v>92.607280197174106</v>
      </c>
      <c r="F180">
        <v>0.88065843621399198</v>
      </c>
      <c r="G180">
        <v>6735.6597436673001</v>
      </c>
      <c r="H180">
        <v>769.71855764306099</v>
      </c>
      <c r="I180">
        <v>0.47181331996484299</v>
      </c>
      <c r="J180">
        <v>0.14286508030631401</v>
      </c>
      <c r="K180">
        <v>0.63843455475254596</v>
      </c>
      <c r="L180" t="s">
        <v>33</v>
      </c>
      <c r="M180" t="s">
        <v>34</v>
      </c>
      <c r="N180" t="s">
        <v>35</v>
      </c>
      <c r="O180">
        <v>0.94555489358172795</v>
      </c>
      <c r="P180" t="s">
        <v>36</v>
      </c>
    </row>
    <row r="181" spans="1:16">
      <c r="A181">
        <v>180</v>
      </c>
      <c r="B181" t="s">
        <v>228</v>
      </c>
      <c r="C181">
        <v>88</v>
      </c>
      <c r="D181">
        <v>152</v>
      </c>
      <c r="E181">
        <v>84.435458254418606</v>
      </c>
      <c r="F181">
        <v>0.579136708022019</v>
      </c>
      <c r="G181">
        <v>5599.3757342155004</v>
      </c>
      <c r="H181">
        <v>913.34986322351097</v>
      </c>
      <c r="I181">
        <v>0.69674961345211495</v>
      </c>
      <c r="J181">
        <v>8.4348067858479897E-2</v>
      </c>
      <c r="K181">
        <v>0.57436233629613798</v>
      </c>
      <c r="L181" t="s">
        <v>33</v>
      </c>
      <c r="M181" t="s">
        <v>34</v>
      </c>
      <c r="N181" t="s">
        <v>35</v>
      </c>
      <c r="O181">
        <v>0.93877696977019798</v>
      </c>
      <c r="P181" t="s">
        <v>36</v>
      </c>
    </row>
    <row r="182" spans="1:16">
      <c r="A182">
        <v>181</v>
      </c>
      <c r="B182" t="s">
        <v>229</v>
      </c>
      <c r="C182">
        <v>157</v>
      </c>
      <c r="D182">
        <v>127</v>
      </c>
      <c r="E182">
        <v>120.87623192208299</v>
      </c>
      <c r="F182">
        <v>1.23460818737931</v>
      </c>
      <c r="G182">
        <v>11475.502393950899</v>
      </c>
      <c r="H182">
        <v>674.54302960209202</v>
      </c>
      <c r="I182">
        <v>0.57918630538055604</v>
      </c>
      <c r="J182">
        <v>0.31692919987062801</v>
      </c>
      <c r="K182">
        <v>0.75691149366691501</v>
      </c>
      <c r="L182" t="s">
        <v>33</v>
      </c>
      <c r="M182" t="s">
        <v>34</v>
      </c>
      <c r="N182" t="s">
        <v>35</v>
      </c>
      <c r="O182">
        <v>0.85943227062947802</v>
      </c>
      <c r="P182" t="s">
        <v>36</v>
      </c>
    </row>
    <row r="183" spans="1:16">
      <c r="A183">
        <v>182</v>
      </c>
      <c r="B183" t="s">
        <v>230</v>
      </c>
      <c r="C183">
        <v>100</v>
      </c>
      <c r="D183">
        <v>56</v>
      </c>
      <c r="E183">
        <v>67.206097630564003</v>
      </c>
      <c r="F183">
        <v>1.7714286431706601</v>
      </c>
      <c r="G183">
        <v>3547.3761221171999</v>
      </c>
      <c r="H183">
        <v>352.91728915929798</v>
      </c>
      <c r="I183">
        <v>0.73428090321745298</v>
      </c>
      <c r="J183">
        <v>0.35790785761535998</v>
      </c>
      <c r="K183">
        <v>0.77072367358801297</v>
      </c>
      <c r="L183" t="s">
        <v>33</v>
      </c>
      <c r="M183" t="s">
        <v>34</v>
      </c>
      <c r="N183" t="s">
        <v>35</v>
      </c>
      <c r="O183">
        <v>0.93684295636437298</v>
      </c>
      <c r="P183" t="s">
        <v>36</v>
      </c>
    </row>
    <row r="184" spans="1:16">
      <c r="A184">
        <v>183</v>
      </c>
      <c r="B184" t="s">
        <v>231</v>
      </c>
      <c r="C184">
        <v>130</v>
      </c>
      <c r="D184">
        <v>61</v>
      </c>
      <c r="E184">
        <v>74.262478370005695</v>
      </c>
      <c r="F184">
        <v>2.1473313982093698</v>
      </c>
      <c r="G184">
        <v>4331.4046570888504</v>
      </c>
      <c r="H184">
        <v>405.09376712197798</v>
      </c>
      <c r="I184">
        <v>0.66541991303619996</v>
      </c>
      <c r="J184">
        <v>0.331686275012122</v>
      </c>
      <c r="K184">
        <v>0.82829775743967304</v>
      </c>
      <c r="L184" t="s">
        <v>33</v>
      </c>
      <c r="M184" t="s">
        <v>34</v>
      </c>
      <c r="N184" t="s">
        <v>35</v>
      </c>
      <c r="O184">
        <v>0.92846700894366796</v>
      </c>
      <c r="P184" t="s">
        <v>36</v>
      </c>
    </row>
    <row r="185" spans="1:16">
      <c r="A185">
        <v>184</v>
      </c>
      <c r="B185" t="s">
        <v>232</v>
      </c>
      <c r="C185">
        <v>86</v>
      </c>
      <c r="D185">
        <v>177</v>
      </c>
      <c r="E185">
        <v>100.32860116490301</v>
      </c>
      <c r="F185">
        <v>0.48668485465073102</v>
      </c>
      <c r="G185">
        <v>7905.68299054821</v>
      </c>
      <c r="H185">
        <v>832.260813661866</v>
      </c>
      <c r="I185">
        <v>0.60152400417912599</v>
      </c>
      <c r="J185">
        <v>0.14342681890998599</v>
      </c>
      <c r="K185">
        <v>0.68482921113957995</v>
      </c>
      <c r="L185" t="s">
        <v>33</v>
      </c>
      <c r="M185" t="s">
        <v>34</v>
      </c>
      <c r="N185" t="s">
        <v>35</v>
      </c>
      <c r="O185">
        <v>0.939302215939395</v>
      </c>
      <c r="P185" t="s">
        <v>36</v>
      </c>
    </row>
    <row r="186" spans="1:16">
      <c r="A186">
        <v>185</v>
      </c>
      <c r="B186" t="s">
        <v>233</v>
      </c>
      <c r="C186">
        <v>106</v>
      </c>
      <c r="D186">
        <v>68</v>
      </c>
      <c r="E186">
        <v>77.554536367391407</v>
      </c>
      <c r="F186">
        <v>1.5612471261160199</v>
      </c>
      <c r="G186">
        <v>4723.9391330812896</v>
      </c>
      <c r="H186">
        <v>358.898630603811</v>
      </c>
      <c r="I186">
        <v>0.60086728442086901</v>
      </c>
      <c r="J186">
        <v>0.46086163334316999</v>
      </c>
      <c r="K186">
        <v>0.90259279243461199</v>
      </c>
      <c r="L186" t="s">
        <v>33</v>
      </c>
      <c r="M186" t="s">
        <v>34</v>
      </c>
      <c r="N186" t="s">
        <v>35</v>
      </c>
      <c r="O186">
        <v>0.85818327272871198</v>
      </c>
      <c r="P186" t="s">
        <v>36</v>
      </c>
    </row>
    <row r="187" spans="1:16">
      <c r="A187">
        <v>186</v>
      </c>
      <c r="B187" t="s">
        <v>234</v>
      </c>
      <c r="C187">
        <v>82</v>
      </c>
      <c r="D187">
        <v>93</v>
      </c>
      <c r="E187">
        <v>69.2694228940111</v>
      </c>
      <c r="F187">
        <v>0.88823529411764701</v>
      </c>
      <c r="G187">
        <v>3768.5390529300598</v>
      </c>
      <c r="H187">
        <v>658.67189666219394</v>
      </c>
      <c r="I187">
        <v>0.63308879498283899</v>
      </c>
      <c r="J187">
        <v>0.109155246901807</v>
      </c>
      <c r="K187">
        <v>0.62735055423594599</v>
      </c>
      <c r="L187" t="s">
        <v>75</v>
      </c>
      <c r="M187" t="s">
        <v>34</v>
      </c>
      <c r="N187" t="s">
        <v>35</v>
      </c>
      <c r="O187">
        <v>0.82401531060418298</v>
      </c>
      <c r="P187" t="s">
        <v>36</v>
      </c>
    </row>
    <row r="188" spans="1:16">
      <c r="A188">
        <v>187</v>
      </c>
      <c r="B188" t="s">
        <v>235</v>
      </c>
      <c r="C188">
        <v>49</v>
      </c>
      <c r="D188">
        <v>69</v>
      </c>
      <c r="E188">
        <v>53.830166383641</v>
      </c>
      <c r="F188">
        <v>0.71428571428571397</v>
      </c>
      <c r="G188">
        <v>2275.8379009451801</v>
      </c>
      <c r="H188">
        <v>238.850612353657</v>
      </c>
      <c r="I188">
        <v>0.80079120859706598</v>
      </c>
      <c r="J188">
        <v>0.50130088538889805</v>
      </c>
      <c r="K188">
        <v>0.88273953649256298</v>
      </c>
      <c r="L188" t="s">
        <v>45</v>
      </c>
      <c r="M188" t="s">
        <v>34</v>
      </c>
      <c r="N188" t="s">
        <v>35</v>
      </c>
      <c r="O188">
        <v>0.65960197846226198</v>
      </c>
      <c r="P188" t="s">
        <v>36</v>
      </c>
    </row>
    <row r="189" spans="1:16">
      <c r="A189">
        <v>188</v>
      </c>
      <c r="B189" t="s">
        <v>236</v>
      </c>
      <c r="C189">
        <v>107</v>
      </c>
      <c r="D189">
        <v>70</v>
      </c>
      <c r="E189">
        <v>58.935249392339699</v>
      </c>
      <c r="F189">
        <v>1.54363240751674</v>
      </c>
      <c r="G189">
        <v>2727.9734086956501</v>
      </c>
      <c r="H189">
        <v>439.38880396034398</v>
      </c>
      <c r="I189">
        <v>0.72647005238744899</v>
      </c>
      <c r="J189">
        <v>0.177562815890461</v>
      </c>
      <c r="K189">
        <v>0.49833021096358998</v>
      </c>
      <c r="L189" t="s">
        <v>33</v>
      </c>
      <c r="M189" t="s">
        <v>34</v>
      </c>
      <c r="N189" t="s">
        <v>35</v>
      </c>
      <c r="O189">
        <v>0.93651504286605303</v>
      </c>
      <c r="P189" t="s">
        <v>36</v>
      </c>
    </row>
    <row r="190" spans="1:16">
      <c r="A190">
        <v>189</v>
      </c>
      <c r="B190" t="s">
        <v>237</v>
      </c>
      <c r="C190">
        <v>67</v>
      </c>
      <c r="D190">
        <v>156</v>
      </c>
      <c r="E190">
        <v>79.620643520852198</v>
      </c>
      <c r="F190">
        <v>0.42965222739370901</v>
      </c>
      <c r="G190">
        <v>4978.9899323251402</v>
      </c>
      <c r="H190">
        <v>542.51124721184999</v>
      </c>
      <c r="I190">
        <v>0.83136968641377895</v>
      </c>
      <c r="J190">
        <v>0.21258549051991399</v>
      </c>
      <c r="K190">
        <v>0.67796644471878698</v>
      </c>
      <c r="L190" t="s">
        <v>75</v>
      </c>
      <c r="M190" t="s">
        <v>34</v>
      </c>
      <c r="N190" t="s">
        <v>35</v>
      </c>
      <c r="O190">
        <v>0.6695575785208</v>
      </c>
      <c r="P190" t="s">
        <v>36</v>
      </c>
    </row>
    <row r="191" spans="1:16">
      <c r="A191">
        <v>190</v>
      </c>
      <c r="B191" t="s">
        <v>238</v>
      </c>
      <c r="C191">
        <v>136</v>
      </c>
      <c r="D191">
        <v>187</v>
      </c>
      <c r="E191">
        <v>131.066136766835</v>
      </c>
      <c r="F191">
        <v>0.72466128403332997</v>
      </c>
      <c r="G191">
        <v>13491.830565595499</v>
      </c>
      <c r="H191">
        <v>768.23741699011396</v>
      </c>
      <c r="I191">
        <v>0.69904434271008697</v>
      </c>
      <c r="J191">
        <v>0.287269706895035</v>
      </c>
      <c r="K191">
        <v>0.75500291108708295</v>
      </c>
      <c r="L191" t="s">
        <v>33</v>
      </c>
      <c r="M191" t="s">
        <v>34</v>
      </c>
      <c r="N191" t="s">
        <v>35</v>
      </c>
      <c r="O191">
        <v>0.89486609490296698</v>
      </c>
      <c r="P191" t="s">
        <v>36</v>
      </c>
    </row>
    <row r="192" spans="1:16">
      <c r="A192">
        <v>191</v>
      </c>
      <c r="B192" t="s">
        <v>239</v>
      </c>
      <c r="C192">
        <v>88</v>
      </c>
      <c r="D192">
        <v>127</v>
      </c>
      <c r="E192">
        <v>102.10116930045</v>
      </c>
      <c r="F192">
        <v>0.69444442363118697</v>
      </c>
      <c r="G192">
        <v>8187.5</v>
      </c>
      <c r="H192">
        <v>366.776692271233</v>
      </c>
      <c r="I192">
        <v>0.77002835207199705</v>
      </c>
      <c r="J192">
        <v>0.76481732619240295</v>
      </c>
      <c r="K192">
        <v>0.93039772727272696</v>
      </c>
      <c r="L192" t="s">
        <v>33</v>
      </c>
      <c r="M192" t="s">
        <v>34</v>
      </c>
      <c r="N192" t="s">
        <v>35</v>
      </c>
      <c r="O192">
        <v>0.92203579096011801</v>
      </c>
      <c r="P192" t="s">
        <v>36</v>
      </c>
    </row>
    <row r="193" spans="1:16">
      <c r="A193">
        <v>192</v>
      </c>
      <c r="B193" t="s">
        <v>240</v>
      </c>
      <c r="C193">
        <v>88</v>
      </c>
      <c r="D193">
        <v>128</v>
      </c>
      <c r="E193">
        <v>89.9609431948127</v>
      </c>
      <c r="F193">
        <v>0.68803418803418803</v>
      </c>
      <c r="G193">
        <v>6356.2047958412104</v>
      </c>
      <c r="H193">
        <v>846.89754092372004</v>
      </c>
      <c r="I193">
        <v>0.700887669507264</v>
      </c>
      <c r="J193">
        <v>0.111364302673384</v>
      </c>
      <c r="K193">
        <v>0.694597843035343</v>
      </c>
      <c r="L193" t="s">
        <v>241</v>
      </c>
      <c r="M193" t="s">
        <v>34</v>
      </c>
      <c r="N193" t="s">
        <v>35</v>
      </c>
      <c r="O193">
        <v>0.81535065104487803</v>
      </c>
      <c r="P193" t="s">
        <v>36</v>
      </c>
    </row>
    <row r="194" spans="1:16">
      <c r="A194">
        <v>193</v>
      </c>
      <c r="B194" t="s">
        <v>242</v>
      </c>
      <c r="C194">
        <v>151</v>
      </c>
      <c r="D194">
        <v>133</v>
      </c>
      <c r="E194">
        <v>126.36129883879801</v>
      </c>
      <c r="F194">
        <v>1.1360295125318101</v>
      </c>
      <c r="G194">
        <v>12540.5921534972</v>
      </c>
      <c r="H194">
        <v>612.18786266700101</v>
      </c>
      <c r="I194">
        <v>0.57746447668576495</v>
      </c>
      <c r="J194">
        <v>0.42049271686928102</v>
      </c>
      <c r="K194">
        <v>0.79826295921360102</v>
      </c>
      <c r="L194" t="s">
        <v>33</v>
      </c>
      <c r="M194" t="s">
        <v>34</v>
      </c>
      <c r="N194" t="s">
        <v>35</v>
      </c>
      <c r="O194">
        <v>0.88503836469256802</v>
      </c>
      <c r="P194" t="s">
        <v>36</v>
      </c>
    </row>
    <row r="195" spans="1:16">
      <c r="A195">
        <v>194</v>
      </c>
      <c r="B195" t="s">
        <v>243</v>
      </c>
      <c r="C195">
        <v>98</v>
      </c>
      <c r="D195">
        <v>127</v>
      </c>
      <c r="E195">
        <v>80.623284915766106</v>
      </c>
      <c r="F195">
        <v>0.76824034334763902</v>
      </c>
      <c r="G195">
        <v>5105.1776529300596</v>
      </c>
      <c r="H195">
        <v>779.12619279944397</v>
      </c>
      <c r="I195">
        <v>0.65450690835499903</v>
      </c>
      <c r="J195">
        <v>0.105682995369835</v>
      </c>
      <c r="K195">
        <v>0.56553881616860102</v>
      </c>
      <c r="L195" t="s">
        <v>33</v>
      </c>
      <c r="M195" t="s">
        <v>34</v>
      </c>
      <c r="N195" t="s">
        <v>35</v>
      </c>
      <c r="O195">
        <v>0.91005247451818105</v>
      </c>
      <c r="P195" t="s">
        <v>36</v>
      </c>
    </row>
    <row r="196" spans="1:16">
      <c r="A196">
        <v>195</v>
      </c>
      <c r="B196" t="s">
        <v>244</v>
      </c>
      <c r="C196">
        <v>53</v>
      </c>
      <c r="D196">
        <v>64</v>
      </c>
      <c r="E196">
        <v>53.726357438493999</v>
      </c>
      <c r="F196">
        <v>0.83760683760683796</v>
      </c>
      <c r="G196">
        <v>2267.0686718336501</v>
      </c>
      <c r="H196">
        <v>281.58735544028502</v>
      </c>
      <c r="I196">
        <v>0.79078054818797505</v>
      </c>
      <c r="J196">
        <v>0.359292574202068</v>
      </c>
      <c r="K196">
        <v>0.838169029563688</v>
      </c>
      <c r="L196" t="s">
        <v>70</v>
      </c>
      <c r="M196" t="s">
        <v>34</v>
      </c>
      <c r="N196" t="s">
        <v>35</v>
      </c>
      <c r="O196">
        <v>0.70852995543896302</v>
      </c>
      <c r="P196" t="s">
        <v>36</v>
      </c>
    </row>
    <row r="197" spans="1:16">
      <c r="A197">
        <v>196</v>
      </c>
      <c r="B197" t="s">
        <v>245</v>
      </c>
      <c r="C197">
        <v>118</v>
      </c>
      <c r="D197">
        <v>83</v>
      </c>
      <c r="E197">
        <v>93.248760598206204</v>
      </c>
      <c r="F197">
        <v>1.4133504550635501</v>
      </c>
      <c r="G197">
        <v>6829.2972748582197</v>
      </c>
      <c r="H197">
        <v>424.68398425496099</v>
      </c>
      <c r="I197">
        <v>0.63230998913599601</v>
      </c>
      <c r="J197">
        <v>0.47583251517681602</v>
      </c>
      <c r="K197">
        <v>0.85188275209967201</v>
      </c>
      <c r="L197" t="s">
        <v>33</v>
      </c>
      <c r="M197" t="s">
        <v>34</v>
      </c>
      <c r="N197" t="s">
        <v>35</v>
      </c>
      <c r="O197">
        <v>0.89500073953062798</v>
      </c>
      <c r="P197" t="s">
        <v>36</v>
      </c>
    </row>
    <row r="198" spans="1:16">
      <c r="A198">
        <v>197</v>
      </c>
      <c r="B198" t="s">
        <v>246</v>
      </c>
      <c r="C198">
        <v>88</v>
      </c>
      <c r="D198">
        <v>107</v>
      </c>
      <c r="E198">
        <v>79.043363579691501</v>
      </c>
      <c r="F198">
        <v>0.81725888324873097</v>
      </c>
      <c r="G198">
        <v>4907.0525274102101</v>
      </c>
      <c r="H198">
        <v>779.55516816771603</v>
      </c>
      <c r="I198">
        <v>0.55117685874519395</v>
      </c>
      <c r="J198">
        <v>0.101469813165239</v>
      </c>
      <c r="K198">
        <v>0.60330019735399498</v>
      </c>
      <c r="L198" t="s">
        <v>33</v>
      </c>
      <c r="M198" t="s">
        <v>34</v>
      </c>
      <c r="N198" t="s">
        <v>35</v>
      </c>
      <c r="O198">
        <v>0.82632362831730299</v>
      </c>
      <c r="P198" t="s">
        <v>36</v>
      </c>
    </row>
    <row r="199" spans="1:16">
      <c r="A199">
        <v>198</v>
      </c>
      <c r="B199" t="s">
        <v>247</v>
      </c>
      <c r="C199">
        <v>67</v>
      </c>
      <c r="D199">
        <v>49</v>
      </c>
      <c r="E199">
        <v>54.292236372745798</v>
      </c>
      <c r="F199">
        <v>1.361386053323</v>
      </c>
      <c r="G199">
        <v>2315.07648544423</v>
      </c>
      <c r="H199">
        <v>272.80907997857003</v>
      </c>
      <c r="I199">
        <v>0.68401245346208095</v>
      </c>
      <c r="J199">
        <v>0.39089270532963</v>
      </c>
      <c r="K199">
        <v>0.86711573790569496</v>
      </c>
      <c r="L199" t="s">
        <v>33</v>
      </c>
      <c r="M199" t="s">
        <v>34</v>
      </c>
      <c r="N199" t="s">
        <v>35</v>
      </c>
      <c r="O199">
        <v>0.89535038693907398</v>
      </c>
      <c r="P199" t="s">
        <v>36</v>
      </c>
    </row>
    <row r="200" spans="1:16">
      <c r="A200">
        <v>199</v>
      </c>
      <c r="B200" t="s">
        <v>248</v>
      </c>
      <c r="C200">
        <v>71</v>
      </c>
      <c r="D200">
        <v>102</v>
      </c>
      <c r="E200">
        <v>54.898833635763502</v>
      </c>
      <c r="F200">
        <v>0.69085726858947005</v>
      </c>
      <c r="G200">
        <v>2367.09733610586</v>
      </c>
      <c r="H200">
        <v>601.75950140165298</v>
      </c>
      <c r="I200">
        <v>0.74148698194585805</v>
      </c>
      <c r="J200">
        <v>8.2144798423976595E-2</v>
      </c>
      <c r="K200">
        <v>0.48323573140759202</v>
      </c>
      <c r="L200" t="s">
        <v>178</v>
      </c>
      <c r="M200" t="s">
        <v>34</v>
      </c>
      <c r="N200" t="s">
        <v>35</v>
      </c>
      <c r="O200">
        <v>0.65869804686738698</v>
      </c>
      <c r="P200" t="s">
        <v>36</v>
      </c>
    </row>
    <row r="201" spans="1:16">
      <c r="A201">
        <v>200</v>
      </c>
      <c r="B201" t="s">
        <v>249</v>
      </c>
      <c r="C201">
        <v>112</v>
      </c>
      <c r="D201">
        <v>60</v>
      </c>
      <c r="E201">
        <v>72.486745428348101</v>
      </c>
      <c r="F201">
        <v>1.8727272550724701</v>
      </c>
      <c r="G201">
        <v>4126.7397674858203</v>
      </c>
      <c r="H201">
        <v>374.33300216705902</v>
      </c>
      <c r="I201">
        <v>0.77471692536277703</v>
      </c>
      <c r="J201">
        <v>0.370084343418002</v>
      </c>
      <c r="K201">
        <v>0.85731488914963305</v>
      </c>
      <c r="L201" t="s">
        <v>83</v>
      </c>
      <c r="M201" t="s">
        <v>34</v>
      </c>
      <c r="N201" t="s">
        <v>35</v>
      </c>
      <c r="O201">
        <v>0.70886370463043502</v>
      </c>
      <c r="P201" t="s">
        <v>36</v>
      </c>
    </row>
    <row r="202" spans="1:16">
      <c r="A202">
        <v>201</v>
      </c>
      <c r="B202" t="s">
        <v>250</v>
      </c>
      <c r="C202">
        <v>121</v>
      </c>
      <c r="D202">
        <v>94</v>
      </c>
      <c r="E202">
        <v>99.4124255674745</v>
      </c>
      <c r="F202">
        <v>1.29161208588223</v>
      </c>
      <c r="G202">
        <v>7761.9568117202298</v>
      </c>
      <c r="H202">
        <v>464.00772887240299</v>
      </c>
      <c r="I202">
        <v>0.57029248103484498</v>
      </c>
      <c r="J202">
        <v>0.45303385397106199</v>
      </c>
      <c r="K202">
        <v>0.83178835372069304</v>
      </c>
      <c r="L202" t="s">
        <v>33</v>
      </c>
      <c r="M202" t="s">
        <v>34</v>
      </c>
      <c r="N202" t="s">
        <v>35</v>
      </c>
      <c r="O202">
        <v>0.92725288400817796</v>
      </c>
      <c r="P202" t="s">
        <v>36</v>
      </c>
    </row>
    <row r="203" spans="1:16">
      <c r="A203">
        <v>202</v>
      </c>
      <c r="B203" t="s">
        <v>251</v>
      </c>
      <c r="C203">
        <v>122</v>
      </c>
      <c r="D203">
        <v>103</v>
      </c>
      <c r="E203">
        <v>88.239495746286295</v>
      </c>
      <c r="F203">
        <v>1.1914893927861301</v>
      </c>
      <c r="G203">
        <v>6115.2739417769399</v>
      </c>
      <c r="H203">
        <v>1148.9385734678399</v>
      </c>
      <c r="I203">
        <v>0.68744716870427103</v>
      </c>
      <c r="J203">
        <v>5.82146324779989E-2</v>
      </c>
      <c r="K203">
        <v>0.56134031870770595</v>
      </c>
      <c r="L203" t="s">
        <v>33</v>
      </c>
      <c r="M203" t="s">
        <v>34</v>
      </c>
      <c r="N203" t="s">
        <v>35</v>
      </c>
      <c r="O203">
        <v>0.84377806810004097</v>
      </c>
      <c r="P203" t="s">
        <v>36</v>
      </c>
    </row>
    <row r="204" spans="1:16">
      <c r="A204">
        <v>203</v>
      </c>
      <c r="B204" t="s">
        <v>252</v>
      </c>
      <c r="C204">
        <v>91</v>
      </c>
      <c r="D204">
        <v>118</v>
      </c>
      <c r="E204">
        <v>100.371848133413</v>
      </c>
      <c r="F204">
        <v>0.77011500840192104</v>
      </c>
      <c r="G204">
        <v>7912.5</v>
      </c>
      <c r="H204">
        <v>400.91882765293099</v>
      </c>
      <c r="I204">
        <v>0.73898791017262599</v>
      </c>
      <c r="J204">
        <v>0.61860109376767003</v>
      </c>
      <c r="K204">
        <v>0.86831275720164602</v>
      </c>
      <c r="L204" t="s">
        <v>132</v>
      </c>
      <c r="M204" t="s">
        <v>34</v>
      </c>
      <c r="N204" t="s">
        <v>35</v>
      </c>
      <c r="O204">
        <v>0.88853581149721494</v>
      </c>
      <c r="P204" t="s">
        <v>36</v>
      </c>
    </row>
    <row r="205" spans="1:16">
      <c r="A205">
        <v>204</v>
      </c>
      <c r="B205" t="s">
        <v>253</v>
      </c>
      <c r="C205">
        <v>95</v>
      </c>
      <c r="D205">
        <v>86</v>
      </c>
      <c r="E205">
        <v>61.634903714758799</v>
      </c>
      <c r="F205">
        <v>1.09718444204147</v>
      </c>
      <c r="G205">
        <v>2983.61873194707</v>
      </c>
      <c r="H205">
        <v>499.88409852691302</v>
      </c>
      <c r="I205">
        <v>0.69949077518889002</v>
      </c>
      <c r="J205">
        <v>0.150042587595898</v>
      </c>
      <c r="K205">
        <v>0.47529300343317199</v>
      </c>
      <c r="L205" t="s">
        <v>75</v>
      </c>
      <c r="M205" t="s">
        <v>34</v>
      </c>
      <c r="N205" t="s">
        <v>35</v>
      </c>
      <c r="O205">
        <v>0.67823697639437597</v>
      </c>
      <c r="P205" t="s">
        <v>36</v>
      </c>
    </row>
    <row r="206" spans="1:16">
      <c r="A206">
        <v>205</v>
      </c>
      <c r="B206" t="s">
        <v>254</v>
      </c>
      <c r="C206">
        <v>66</v>
      </c>
      <c r="D206">
        <v>59</v>
      </c>
      <c r="E206">
        <v>58.875815364015203</v>
      </c>
      <c r="F206">
        <v>1.1275000225687499</v>
      </c>
      <c r="G206">
        <v>2722.47406162571</v>
      </c>
      <c r="H206">
        <v>274.14140104573698</v>
      </c>
      <c r="I206">
        <v>0.67354044656718803</v>
      </c>
      <c r="J206">
        <v>0.45522317005202001</v>
      </c>
      <c r="K206">
        <v>0.85242926284437803</v>
      </c>
      <c r="L206" t="s">
        <v>33</v>
      </c>
      <c r="M206" t="s">
        <v>34</v>
      </c>
      <c r="N206" t="s">
        <v>35</v>
      </c>
      <c r="O206">
        <v>0.92160276454346701</v>
      </c>
      <c r="P206" t="s">
        <v>36</v>
      </c>
    </row>
    <row r="207" spans="1:16">
      <c r="A207">
        <v>206</v>
      </c>
      <c r="B207" t="s">
        <v>255</v>
      </c>
      <c r="C207">
        <v>64</v>
      </c>
      <c r="D207">
        <v>77</v>
      </c>
      <c r="E207">
        <v>56.176632921994802</v>
      </c>
      <c r="F207">
        <v>0.82375896713406105</v>
      </c>
      <c r="G207">
        <v>2478.5705875236299</v>
      </c>
      <c r="H207">
        <v>285.47472424009601</v>
      </c>
      <c r="I207">
        <v>0.83423504569155704</v>
      </c>
      <c r="J207">
        <v>0.38218693047407698</v>
      </c>
      <c r="K207">
        <v>0.71873114386690795</v>
      </c>
      <c r="L207" t="s">
        <v>45</v>
      </c>
      <c r="M207" t="s">
        <v>34</v>
      </c>
      <c r="N207" t="s">
        <v>35</v>
      </c>
      <c r="O207">
        <v>0.66659941921473997</v>
      </c>
      <c r="P207" t="s">
        <v>36</v>
      </c>
    </row>
    <row r="208" spans="1:16">
      <c r="A208">
        <v>207</v>
      </c>
      <c r="B208" t="s">
        <v>256</v>
      </c>
      <c r="C208">
        <v>40</v>
      </c>
      <c r="D208">
        <v>81</v>
      </c>
      <c r="E208">
        <v>52.1970266163734</v>
      </c>
      <c r="F208">
        <v>0.49526319053398199</v>
      </c>
      <c r="G208">
        <v>2139.8405342155002</v>
      </c>
      <c r="H208">
        <v>263.424142303363</v>
      </c>
      <c r="I208">
        <v>0.90009132984912699</v>
      </c>
      <c r="J208">
        <v>0.38750751083028201</v>
      </c>
      <c r="K208">
        <v>0.83398018884319103</v>
      </c>
      <c r="L208" t="s">
        <v>45</v>
      </c>
      <c r="M208" t="s">
        <v>34</v>
      </c>
      <c r="N208" t="s">
        <v>35</v>
      </c>
      <c r="O208">
        <v>0.751400586768741</v>
      </c>
      <c r="P208" t="s">
        <v>36</v>
      </c>
    </row>
    <row r="209" spans="1:16">
      <c r="A209">
        <v>208</v>
      </c>
      <c r="B209" t="s">
        <v>257</v>
      </c>
      <c r="C209">
        <v>63</v>
      </c>
      <c r="D209">
        <v>155</v>
      </c>
      <c r="E209">
        <v>82.316645788527097</v>
      </c>
      <c r="F209">
        <v>0.40421509035439002</v>
      </c>
      <c r="G209">
        <v>5321.8816536861996</v>
      </c>
      <c r="H209">
        <v>523.01571300776095</v>
      </c>
      <c r="I209">
        <v>0.69603725528073601</v>
      </c>
      <c r="J209">
        <v>0.24448127591139099</v>
      </c>
      <c r="K209">
        <v>0.78411878065872498</v>
      </c>
      <c r="L209" t="s">
        <v>33</v>
      </c>
      <c r="M209" t="s">
        <v>34</v>
      </c>
      <c r="N209" t="s">
        <v>35</v>
      </c>
      <c r="O209">
        <v>0.94374739209109304</v>
      </c>
      <c r="P209" t="s">
        <v>36</v>
      </c>
    </row>
    <row r="210" spans="1:16">
      <c r="A210">
        <v>209</v>
      </c>
      <c r="B210" t="s">
        <v>258</v>
      </c>
      <c r="C210">
        <v>122</v>
      </c>
      <c r="D210">
        <v>107</v>
      </c>
      <c r="E210">
        <v>104.8363396604</v>
      </c>
      <c r="F210">
        <v>1.1370558375634501</v>
      </c>
      <c r="G210">
        <v>8632.0426967863896</v>
      </c>
      <c r="H210">
        <v>1271.8837178983899</v>
      </c>
      <c r="I210">
        <v>0.64864711518241103</v>
      </c>
      <c r="J210">
        <v>6.7054608071535599E-2</v>
      </c>
      <c r="K210">
        <v>0.69744568937565299</v>
      </c>
      <c r="L210" t="s">
        <v>33</v>
      </c>
      <c r="M210" t="s">
        <v>34</v>
      </c>
      <c r="N210" t="s">
        <v>35</v>
      </c>
      <c r="O210">
        <v>0.93230707620982001</v>
      </c>
      <c r="P210" t="s">
        <v>36</v>
      </c>
    </row>
    <row r="211" spans="1:16">
      <c r="A211">
        <v>210</v>
      </c>
      <c r="B211" t="s">
        <v>259</v>
      </c>
      <c r="C211">
        <v>70</v>
      </c>
      <c r="D211">
        <v>148</v>
      </c>
      <c r="E211">
        <v>89.512809592251401</v>
      </c>
      <c r="F211">
        <v>0.47414942270701399</v>
      </c>
      <c r="G211">
        <v>6293.0366200378103</v>
      </c>
      <c r="H211">
        <v>480.058164887636</v>
      </c>
      <c r="I211">
        <v>0.57964707718502695</v>
      </c>
      <c r="J211">
        <v>0.34314873462203199</v>
      </c>
      <c r="K211">
        <v>0.75452196382428904</v>
      </c>
      <c r="L211" t="s">
        <v>144</v>
      </c>
      <c r="M211" t="s">
        <v>34</v>
      </c>
      <c r="N211" t="s">
        <v>35</v>
      </c>
      <c r="O211">
        <v>0.67323822971222802</v>
      </c>
      <c r="P211" t="s">
        <v>36</v>
      </c>
    </row>
    <row r="212" spans="1:16">
      <c r="A212">
        <v>211</v>
      </c>
      <c r="B212" t="s">
        <v>260</v>
      </c>
      <c r="C212">
        <v>58</v>
      </c>
      <c r="D212">
        <v>102</v>
      </c>
      <c r="E212">
        <v>54.514860520863401</v>
      </c>
      <c r="F212">
        <v>0.56616775245645801</v>
      </c>
      <c r="G212">
        <v>2334.1012536861999</v>
      </c>
      <c r="H212">
        <v>453.33748132249599</v>
      </c>
      <c r="I212">
        <v>0.697174431889653</v>
      </c>
      <c r="J212">
        <v>0.142720481120619</v>
      </c>
      <c r="K212">
        <v>0.54567566628444397</v>
      </c>
      <c r="L212" t="s">
        <v>33</v>
      </c>
      <c r="M212" t="s">
        <v>34</v>
      </c>
      <c r="N212" t="s">
        <v>35</v>
      </c>
      <c r="O212">
        <v>0.93187392191457896</v>
      </c>
      <c r="P212" t="s">
        <v>36</v>
      </c>
    </row>
    <row r="213" spans="1:16">
      <c r="A213">
        <v>212</v>
      </c>
      <c r="B213" t="s">
        <v>261</v>
      </c>
      <c r="C213">
        <v>73</v>
      </c>
      <c r="D213">
        <v>107</v>
      </c>
      <c r="E213">
        <v>61.795888675473698</v>
      </c>
      <c r="F213">
        <v>0.68020304568527901</v>
      </c>
      <c r="G213">
        <v>2999.2249871455601</v>
      </c>
      <c r="H213">
        <v>684.732737043111</v>
      </c>
      <c r="I213">
        <v>0.66083814648120098</v>
      </c>
      <c r="J213">
        <v>8.0385316439280999E-2</v>
      </c>
      <c r="K213">
        <v>0.50070717848192303</v>
      </c>
      <c r="L213" t="s">
        <v>33</v>
      </c>
      <c r="M213" t="s">
        <v>34</v>
      </c>
      <c r="N213" t="s">
        <v>35</v>
      </c>
      <c r="O213">
        <v>0.83511169823852804</v>
      </c>
      <c r="P213" t="s">
        <v>36</v>
      </c>
    </row>
    <row r="214" spans="1:16">
      <c r="A214">
        <v>213</v>
      </c>
      <c r="B214" t="s">
        <v>262</v>
      </c>
      <c r="C214">
        <v>84</v>
      </c>
      <c r="D214">
        <v>50</v>
      </c>
      <c r="E214">
        <v>58.2992446819013</v>
      </c>
      <c r="F214">
        <v>1.6802948537851301</v>
      </c>
      <c r="G214">
        <v>2669.4127939508498</v>
      </c>
      <c r="H214">
        <v>325.97580056066101</v>
      </c>
      <c r="I214">
        <v>0.60045787817612095</v>
      </c>
      <c r="J214">
        <v>0.31568567885642002</v>
      </c>
      <c r="K214">
        <v>0.76923076923076905</v>
      </c>
      <c r="L214" t="s">
        <v>33</v>
      </c>
      <c r="M214" t="s">
        <v>34</v>
      </c>
      <c r="N214" t="s">
        <v>35</v>
      </c>
      <c r="O214">
        <v>0.84717364379585702</v>
      </c>
      <c r="P214" t="s">
        <v>36</v>
      </c>
    </row>
    <row r="215" spans="1:16">
      <c r="A215">
        <v>214</v>
      </c>
      <c r="B215" t="s">
        <v>263</v>
      </c>
      <c r="C215">
        <v>60</v>
      </c>
      <c r="D215">
        <v>102</v>
      </c>
      <c r="E215">
        <v>74.509253185604905</v>
      </c>
      <c r="F215">
        <v>0.59330148774111202</v>
      </c>
      <c r="G215">
        <v>4360.2390714555804</v>
      </c>
      <c r="H215">
        <v>322.43991244710003</v>
      </c>
      <c r="I215">
        <v>0.79553310357963603</v>
      </c>
      <c r="J215">
        <v>0.52701451556462098</v>
      </c>
      <c r="K215">
        <v>0.89971170950131896</v>
      </c>
      <c r="L215" t="s">
        <v>33</v>
      </c>
      <c r="M215" t="s">
        <v>34</v>
      </c>
      <c r="N215" t="s">
        <v>35</v>
      </c>
      <c r="O215">
        <v>0.930997642279486</v>
      </c>
      <c r="P215" t="s">
        <v>36</v>
      </c>
    </row>
    <row r="216" spans="1:16">
      <c r="A216">
        <v>215</v>
      </c>
      <c r="B216" t="s">
        <v>264</v>
      </c>
      <c r="C216">
        <v>147</v>
      </c>
      <c r="D216">
        <v>93</v>
      </c>
      <c r="E216">
        <v>88.131124353270593</v>
      </c>
      <c r="F216">
        <v>1.5823529411764701</v>
      </c>
      <c r="G216">
        <v>6100.26221058601</v>
      </c>
      <c r="H216">
        <v>996.64247983155099</v>
      </c>
      <c r="I216">
        <v>0.67462940891321699</v>
      </c>
      <c r="J216">
        <v>7.7175522534670596E-2</v>
      </c>
      <c r="K216">
        <v>0.54118593335882603</v>
      </c>
      <c r="L216" t="s">
        <v>33</v>
      </c>
      <c r="M216" t="s">
        <v>34</v>
      </c>
      <c r="N216" t="s">
        <v>35</v>
      </c>
      <c r="O216">
        <v>0.93641677126335598</v>
      </c>
      <c r="P216" t="s">
        <v>36</v>
      </c>
    </row>
    <row r="217" spans="1:16">
      <c r="A217">
        <v>216</v>
      </c>
      <c r="B217" t="s">
        <v>265</v>
      </c>
      <c r="C217">
        <v>202</v>
      </c>
      <c r="D217">
        <v>93</v>
      </c>
      <c r="E217">
        <v>88.772973371853993</v>
      </c>
      <c r="F217">
        <v>2.1613869233849599</v>
      </c>
      <c r="G217">
        <v>6189.4408117202302</v>
      </c>
      <c r="H217">
        <v>1281.1918214355301</v>
      </c>
      <c r="I217">
        <v>0.72603840865860403</v>
      </c>
      <c r="J217">
        <v>4.7384135652052801E-2</v>
      </c>
      <c r="K217">
        <v>0.37577491224428999</v>
      </c>
      <c r="L217" t="s">
        <v>33</v>
      </c>
      <c r="M217" t="s">
        <v>34</v>
      </c>
      <c r="N217" t="s">
        <v>35</v>
      </c>
      <c r="O217">
        <v>0.82675726598374999</v>
      </c>
      <c r="P217" t="s">
        <v>36</v>
      </c>
    </row>
    <row r="218" spans="1:16">
      <c r="A218">
        <v>217</v>
      </c>
      <c r="B218" t="s">
        <v>266</v>
      </c>
      <c r="C218">
        <v>103</v>
      </c>
      <c r="D218">
        <v>63</v>
      </c>
      <c r="E218">
        <v>66.345980565037905</v>
      </c>
      <c r="F218">
        <v>1.6206896551724099</v>
      </c>
      <c r="G218">
        <v>3457.1571039697501</v>
      </c>
      <c r="H218">
        <v>418.10148983126101</v>
      </c>
      <c r="I218">
        <v>0.67679587231414695</v>
      </c>
      <c r="J218">
        <v>0.24852240604144099</v>
      </c>
      <c r="K218">
        <v>0.78903626310254804</v>
      </c>
      <c r="L218" t="s">
        <v>52</v>
      </c>
      <c r="M218" t="s">
        <v>34</v>
      </c>
      <c r="N218" t="s">
        <v>35</v>
      </c>
      <c r="O218">
        <v>0.73777662311737802</v>
      </c>
      <c r="P218" t="s">
        <v>36</v>
      </c>
    </row>
    <row r="219" spans="1:16">
      <c r="A219">
        <v>218</v>
      </c>
      <c r="B219" t="s">
        <v>267</v>
      </c>
      <c r="C219">
        <v>136</v>
      </c>
      <c r="D219">
        <v>300</v>
      </c>
      <c r="E219">
        <v>143.67010206457701</v>
      </c>
      <c r="F219">
        <v>0.45481374776831002</v>
      </c>
      <c r="G219">
        <v>16211.4806381853</v>
      </c>
      <c r="H219">
        <v>1111.6734693152</v>
      </c>
      <c r="I219">
        <v>0.69937803564573697</v>
      </c>
      <c r="J219">
        <v>0.16484586727116399</v>
      </c>
      <c r="K219">
        <v>0.58356919290548703</v>
      </c>
      <c r="L219" t="s">
        <v>33</v>
      </c>
      <c r="M219" t="s">
        <v>34</v>
      </c>
      <c r="N219" t="s">
        <v>35</v>
      </c>
      <c r="O219">
        <v>0.92933719807941695</v>
      </c>
      <c r="P219" t="s">
        <v>36</v>
      </c>
    </row>
    <row r="220" spans="1:16">
      <c r="A220">
        <v>219</v>
      </c>
      <c r="B220" t="s">
        <v>268</v>
      </c>
      <c r="C220">
        <v>140</v>
      </c>
      <c r="D220">
        <v>131</v>
      </c>
      <c r="E220">
        <v>105.35313721147701</v>
      </c>
      <c r="F220">
        <v>1.07083333333333</v>
      </c>
      <c r="G220">
        <v>8717.3568918714609</v>
      </c>
      <c r="H220">
        <v>886.52413880483005</v>
      </c>
      <c r="I220">
        <v>0.64808803381381197</v>
      </c>
      <c r="J220">
        <v>0.139384204211806</v>
      </c>
      <c r="K220">
        <v>0.62361509835194096</v>
      </c>
      <c r="L220" t="s">
        <v>33</v>
      </c>
      <c r="M220" t="s">
        <v>34</v>
      </c>
      <c r="N220" t="s">
        <v>35</v>
      </c>
      <c r="O220">
        <v>0.92156951938814802</v>
      </c>
      <c r="P220" t="s">
        <v>36</v>
      </c>
    </row>
    <row r="221" spans="1:16">
      <c r="A221">
        <v>220</v>
      </c>
      <c r="B221" t="s">
        <v>269</v>
      </c>
      <c r="C221">
        <v>114</v>
      </c>
      <c r="D221">
        <v>84</v>
      </c>
      <c r="E221">
        <v>79.632526666974698</v>
      </c>
      <c r="F221">
        <v>1.36104397968359</v>
      </c>
      <c r="G221">
        <v>4980.4762423440498</v>
      </c>
      <c r="H221">
        <v>829.90225725142898</v>
      </c>
      <c r="I221">
        <v>0.54047984290804496</v>
      </c>
      <c r="J221">
        <v>9.0871321774321001E-2</v>
      </c>
      <c r="K221">
        <v>0.60597128286737301</v>
      </c>
      <c r="L221" t="s">
        <v>33</v>
      </c>
      <c r="M221" t="s">
        <v>34</v>
      </c>
      <c r="N221" t="s">
        <v>35</v>
      </c>
      <c r="O221">
        <v>0.96114704953098096</v>
      </c>
      <c r="P221" t="s">
        <v>36</v>
      </c>
    </row>
    <row r="222" spans="1:16">
      <c r="A222">
        <v>221</v>
      </c>
      <c r="B222" t="s">
        <v>270</v>
      </c>
      <c r="C222">
        <v>73</v>
      </c>
      <c r="D222">
        <v>95</v>
      </c>
      <c r="E222">
        <v>73.319998532514703</v>
      </c>
      <c r="F222">
        <v>0.76160733461941699</v>
      </c>
      <c r="G222">
        <v>4222.1608706994302</v>
      </c>
      <c r="H222">
        <v>354.00772394190699</v>
      </c>
      <c r="I222">
        <v>0.525761270613468</v>
      </c>
      <c r="J222">
        <v>0.42336910732784699</v>
      </c>
      <c r="K222">
        <v>0.84875556485105597</v>
      </c>
      <c r="L222" t="s">
        <v>33</v>
      </c>
      <c r="M222" t="s">
        <v>34</v>
      </c>
      <c r="N222" t="s">
        <v>35</v>
      </c>
      <c r="O222">
        <v>0.93534293401653001</v>
      </c>
      <c r="P222" t="s">
        <v>36</v>
      </c>
    </row>
    <row r="223" spans="1:16">
      <c r="A223">
        <v>222</v>
      </c>
      <c r="B223" t="s">
        <v>271</v>
      </c>
      <c r="C223">
        <v>106</v>
      </c>
      <c r="D223">
        <v>96</v>
      </c>
      <c r="E223">
        <v>82.479710603865797</v>
      </c>
      <c r="F223">
        <v>1.1059782505176601</v>
      </c>
      <c r="G223">
        <v>5342.9872559546302</v>
      </c>
      <c r="H223">
        <v>699.30526486562701</v>
      </c>
      <c r="I223">
        <v>0.62104908406811399</v>
      </c>
      <c r="J223">
        <v>0.13729679724758201</v>
      </c>
      <c r="K223">
        <v>0.64112716247547696</v>
      </c>
      <c r="L223" t="s">
        <v>45</v>
      </c>
      <c r="M223" t="s">
        <v>34</v>
      </c>
      <c r="N223" t="s">
        <v>35</v>
      </c>
      <c r="O223">
        <v>0.80934550352275103</v>
      </c>
      <c r="P223" t="s">
        <v>36</v>
      </c>
    </row>
    <row r="224" spans="1:16">
      <c r="A224">
        <v>223</v>
      </c>
      <c r="B224" t="s">
        <v>272</v>
      </c>
      <c r="C224">
        <v>150</v>
      </c>
      <c r="D224">
        <v>110</v>
      </c>
      <c r="E224">
        <v>105.589978869985</v>
      </c>
      <c r="F224">
        <v>1.3663769257967</v>
      </c>
      <c r="G224">
        <v>8756.5954763705104</v>
      </c>
      <c r="H224">
        <v>587.50473831560305</v>
      </c>
      <c r="I224">
        <v>0.61110501541331397</v>
      </c>
      <c r="J224">
        <v>0.31880300335448702</v>
      </c>
      <c r="K224">
        <v>0.71174871639987902</v>
      </c>
      <c r="L224" t="s">
        <v>33</v>
      </c>
      <c r="M224" t="s">
        <v>34</v>
      </c>
      <c r="N224" t="s">
        <v>35</v>
      </c>
      <c r="O224">
        <v>0.89481184534813496</v>
      </c>
      <c r="P224" t="s">
        <v>36</v>
      </c>
    </row>
    <row r="225" spans="1:16">
      <c r="A225">
        <v>224</v>
      </c>
      <c r="B225" t="s">
        <v>273</v>
      </c>
      <c r="C225">
        <v>45</v>
      </c>
      <c r="D225">
        <v>92</v>
      </c>
      <c r="E225">
        <v>59.661286664087001</v>
      </c>
      <c r="F225">
        <v>0.48807555999049002</v>
      </c>
      <c r="G225">
        <v>2795.6005145557701</v>
      </c>
      <c r="H225">
        <v>309.48698693866299</v>
      </c>
      <c r="I225">
        <v>0.74765542199881896</v>
      </c>
      <c r="J225">
        <v>0.36677539207214099</v>
      </c>
      <c r="K225">
        <v>0.77534111051568499</v>
      </c>
      <c r="L225" t="s">
        <v>132</v>
      </c>
      <c r="M225" t="s">
        <v>34</v>
      </c>
      <c r="N225" t="s">
        <v>35</v>
      </c>
      <c r="O225">
        <v>0.709398249658726</v>
      </c>
      <c r="P225" t="s">
        <v>36</v>
      </c>
    </row>
    <row r="226" spans="1:16">
      <c r="A226">
        <v>225</v>
      </c>
      <c r="B226" t="s">
        <v>274</v>
      </c>
      <c r="C226">
        <v>166</v>
      </c>
      <c r="D226">
        <v>168</v>
      </c>
      <c r="E226">
        <v>139.416447561437</v>
      </c>
      <c r="F226">
        <v>0.98405386664042305</v>
      </c>
      <c r="G226">
        <v>15265.7415731569</v>
      </c>
      <c r="H226">
        <v>926.90232548102097</v>
      </c>
      <c r="I226">
        <v>0.67331713424572703</v>
      </c>
      <c r="J226">
        <v>0.22328514290301299</v>
      </c>
      <c r="K226">
        <v>0.68103997029414098</v>
      </c>
      <c r="L226" t="s">
        <v>33</v>
      </c>
      <c r="M226" t="s">
        <v>34</v>
      </c>
      <c r="N226" t="s">
        <v>35</v>
      </c>
      <c r="O226">
        <v>0.94280339679499403</v>
      </c>
      <c r="P226" t="s">
        <v>36</v>
      </c>
    </row>
    <row r="227" spans="1:16">
      <c r="A227">
        <v>226</v>
      </c>
      <c r="B227" t="s">
        <v>275</v>
      </c>
      <c r="C227">
        <v>80</v>
      </c>
      <c r="D227">
        <v>122</v>
      </c>
      <c r="E227">
        <v>95.078918628787804</v>
      </c>
      <c r="F227">
        <v>0.65909090021043004</v>
      </c>
      <c r="G227">
        <v>7100</v>
      </c>
      <c r="H227">
        <v>339.70562458038302</v>
      </c>
      <c r="I227">
        <v>0.76096162997236205</v>
      </c>
      <c r="J227">
        <v>0.77314817924502799</v>
      </c>
      <c r="K227">
        <v>0.94983277591973203</v>
      </c>
      <c r="L227" t="s">
        <v>33</v>
      </c>
      <c r="M227" t="s">
        <v>34</v>
      </c>
      <c r="N227" t="s">
        <v>35</v>
      </c>
      <c r="O227">
        <v>0.94008323090454904</v>
      </c>
      <c r="P227" t="s">
        <v>36</v>
      </c>
    </row>
    <row r="228" spans="1:16">
      <c r="A228">
        <v>227</v>
      </c>
      <c r="B228" t="s">
        <v>276</v>
      </c>
      <c r="C228">
        <v>88</v>
      </c>
      <c r="D228">
        <v>127</v>
      </c>
      <c r="E228">
        <v>89.335045077933103</v>
      </c>
      <c r="F228">
        <v>0.69098712446351895</v>
      </c>
      <c r="G228">
        <v>6268.06661172023</v>
      </c>
      <c r="H228">
        <v>934.12292129392199</v>
      </c>
      <c r="I228">
        <v>0.65420102449206297</v>
      </c>
      <c r="J228">
        <v>9.0268330329946897E-2</v>
      </c>
      <c r="K228">
        <v>0.65883455710045302</v>
      </c>
      <c r="L228" t="s">
        <v>33</v>
      </c>
      <c r="M228" t="s">
        <v>34</v>
      </c>
      <c r="N228" t="s">
        <v>35</v>
      </c>
      <c r="O228">
        <v>0.95412721029546499</v>
      </c>
      <c r="P228" t="s">
        <v>36</v>
      </c>
    </row>
    <row r="229" spans="1:16">
      <c r="A229">
        <v>228</v>
      </c>
      <c r="B229" t="s">
        <v>277</v>
      </c>
      <c r="C229">
        <v>131</v>
      </c>
      <c r="D229">
        <v>106</v>
      </c>
      <c r="E229">
        <v>100.467143452353</v>
      </c>
      <c r="F229">
        <v>1.2337576463959801</v>
      </c>
      <c r="G229">
        <v>7927.5317478260904</v>
      </c>
      <c r="H229">
        <v>495.94031629614199</v>
      </c>
      <c r="I229">
        <v>0.72265286644774196</v>
      </c>
      <c r="J229">
        <v>0.405031709156077</v>
      </c>
      <c r="K229">
        <v>0.74628515461032596</v>
      </c>
      <c r="L229" t="s">
        <v>75</v>
      </c>
      <c r="M229" t="s">
        <v>34</v>
      </c>
      <c r="N229" t="s">
        <v>35</v>
      </c>
      <c r="O229">
        <v>0.81918824005774304</v>
      </c>
      <c r="P229" t="s">
        <v>36</v>
      </c>
    </row>
    <row r="230" spans="1:16">
      <c r="A230">
        <v>229</v>
      </c>
      <c r="B230" t="s">
        <v>278</v>
      </c>
      <c r="C230">
        <v>191</v>
      </c>
      <c r="D230">
        <v>196</v>
      </c>
      <c r="E230">
        <v>130.42130504845801</v>
      </c>
      <c r="F230">
        <v>0.97493036211699202</v>
      </c>
      <c r="G230">
        <v>13359.4003429112</v>
      </c>
      <c r="H230">
        <v>1473.88879922919</v>
      </c>
      <c r="I230">
        <v>0.54486572176157799</v>
      </c>
      <c r="J230">
        <v>7.7280049521867802E-2</v>
      </c>
      <c r="K230">
        <v>0.432604008239801</v>
      </c>
      <c r="L230" t="s">
        <v>279</v>
      </c>
      <c r="M230" t="s">
        <v>34</v>
      </c>
      <c r="N230" t="s">
        <v>35</v>
      </c>
      <c r="O230">
        <v>0.78458308685561595</v>
      </c>
      <c r="P230" t="s">
        <v>36</v>
      </c>
    </row>
    <row r="231" spans="1:16">
      <c r="A231">
        <v>230</v>
      </c>
      <c r="B231" t="s">
        <v>280</v>
      </c>
      <c r="C231">
        <v>41</v>
      </c>
      <c r="D231">
        <v>90</v>
      </c>
      <c r="E231">
        <v>54.398444328621203</v>
      </c>
      <c r="F231">
        <v>0.45299143840985301</v>
      </c>
      <c r="G231">
        <v>2324.1429765595499</v>
      </c>
      <c r="H231">
        <v>299.14390636371502</v>
      </c>
      <c r="I231">
        <v>0.74781082979876001</v>
      </c>
      <c r="J231">
        <v>0.32637161785239799</v>
      </c>
      <c r="K231">
        <v>0.77003003890284105</v>
      </c>
      <c r="L231" t="s">
        <v>52</v>
      </c>
      <c r="M231" t="s">
        <v>34</v>
      </c>
      <c r="N231" t="s">
        <v>35</v>
      </c>
      <c r="O231">
        <v>0.68494089159987204</v>
      </c>
      <c r="P231" t="s">
        <v>36</v>
      </c>
    </row>
    <row r="232" spans="1:16">
      <c r="A232">
        <v>231</v>
      </c>
      <c r="B232" t="s">
        <v>281</v>
      </c>
      <c r="C232">
        <v>63</v>
      </c>
      <c r="D232">
        <v>88</v>
      </c>
      <c r="E232">
        <v>65.074477974472302</v>
      </c>
      <c r="F232">
        <v>0.71604938271604901</v>
      </c>
      <c r="G232">
        <v>3325.91592930057</v>
      </c>
      <c r="H232">
        <v>360.09865978811098</v>
      </c>
      <c r="I232">
        <v>0.84864085547988299</v>
      </c>
      <c r="J232">
        <v>0.32231322166267601</v>
      </c>
      <c r="K232">
        <v>0.76807166884053002</v>
      </c>
      <c r="L232" t="s">
        <v>33</v>
      </c>
      <c r="M232" t="s">
        <v>34</v>
      </c>
      <c r="N232" t="s">
        <v>35</v>
      </c>
      <c r="O232">
        <v>0.94969440030685104</v>
      </c>
      <c r="P232" t="s">
        <v>36</v>
      </c>
    </row>
    <row r="233" spans="1:16">
      <c r="A233">
        <v>232</v>
      </c>
      <c r="B233" t="s">
        <v>282</v>
      </c>
      <c r="C233">
        <v>216</v>
      </c>
      <c r="D233">
        <v>183</v>
      </c>
      <c r="E233">
        <v>123.54506713643499</v>
      </c>
      <c r="F233">
        <v>1.1804570330777699</v>
      </c>
      <c r="G233">
        <v>11987.833457466901</v>
      </c>
      <c r="H233">
        <v>1140.60322916103</v>
      </c>
      <c r="I233">
        <v>0.57541925186932397</v>
      </c>
      <c r="J233">
        <v>0.115792750806945</v>
      </c>
      <c r="K233">
        <v>0.43618988902589401</v>
      </c>
      <c r="L233" t="s">
        <v>52</v>
      </c>
      <c r="M233" t="s">
        <v>34</v>
      </c>
      <c r="N233" t="s">
        <v>35</v>
      </c>
      <c r="O233">
        <v>0.96493282831309402</v>
      </c>
      <c r="P233" t="s">
        <v>36</v>
      </c>
    </row>
    <row r="234" spans="1:16">
      <c r="A234">
        <v>233</v>
      </c>
      <c r="B234" t="s">
        <v>283</v>
      </c>
      <c r="C234">
        <v>151</v>
      </c>
      <c r="D234">
        <v>76</v>
      </c>
      <c r="E234">
        <v>75.408021676297906</v>
      </c>
      <c r="F234">
        <v>1.9728249637905499</v>
      </c>
      <c r="G234">
        <v>4466.0643448015098</v>
      </c>
      <c r="H234">
        <v>829.67366620955295</v>
      </c>
      <c r="I234">
        <v>0.56020200624015004</v>
      </c>
      <c r="J234">
        <v>8.1530523000594601E-2</v>
      </c>
      <c r="K234">
        <v>0.46869443144595202</v>
      </c>
      <c r="L234" t="s">
        <v>45</v>
      </c>
      <c r="M234" t="s">
        <v>34</v>
      </c>
      <c r="N234" t="s">
        <v>35</v>
      </c>
      <c r="O234">
        <v>0.68450582120617998</v>
      </c>
      <c r="P234" t="s">
        <v>36</v>
      </c>
    </row>
    <row r="235" spans="1:16">
      <c r="A235">
        <v>234</v>
      </c>
      <c r="B235" t="s">
        <v>284</v>
      </c>
      <c r="C235">
        <v>56</v>
      </c>
      <c r="D235">
        <v>67</v>
      </c>
      <c r="E235">
        <v>51.382168774156703</v>
      </c>
      <c r="F235">
        <v>0.83061082585897805</v>
      </c>
      <c r="G235">
        <v>2073.5511073724001</v>
      </c>
      <c r="H235">
        <v>357.91779022289398</v>
      </c>
      <c r="I235">
        <v>0.65321111607167603</v>
      </c>
      <c r="J235">
        <v>0.203403319928741</v>
      </c>
      <c r="K235">
        <v>0.63086732386723299</v>
      </c>
      <c r="L235" t="s">
        <v>33</v>
      </c>
      <c r="M235" t="s">
        <v>34</v>
      </c>
      <c r="N235" t="s">
        <v>35</v>
      </c>
      <c r="O235">
        <v>0.86156518436279805</v>
      </c>
      <c r="P235" t="s">
        <v>36</v>
      </c>
    </row>
    <row r="236" spans="1:16">
      <c r="A236">
        <v>235</v>
      </c>
      <c r="B236" t="s">
        <v>285</v>
      </c>
      <c r="C236">
        <v>47</v>
      </c>
      <c r="D236">
        <v>73</v>
      </c>
      <c r="E236">
        <v>52.988644538521399</v>
      </c>
      <c r="F236">
        <v>0.64079038476362804</v>
      </c>
      <c r="G236">
        <v>2205.23817504726</v>
      </c>
      <c r="H236">
        <v>233.90490849090699</v>
      </c>
      <c r="I236">
        <v>0.73227103343742606</v>
      </c>
      <c r="J236">
        <v>0.50650844981493504</v>
      </c>
      <c r="K236">
        <v>0.867153711279953</v>
      </c>
      <c r="L236" t="s">
        <v>96</v>
      </c>
      <c r="M236" t="s">
        <v>34</v>
      </c>
      <c r="N236" t="s">
        <v>35</v>
      </c>
      <c r="O236">
        <v>0.75007722281168998</v>
      </c>
      <c r="P236" t="s">
        <v>36</v>
      </c>
    </row>
    <row r="237" spans="1:16">
      <c r="A237">
        <v>236</v>
      </c>
      <c r="B237" t="s">
        <v>286</v>
      </c>
      <c r="C237">
        <v>39</v>
      </c>
      <c r="D237">
        <v>88</v>
      </c>
      <c r="E237">
        <v>57.672633620417599</v>
      </c>
      <c r="F237">
        <v>0.447204968944099</v>
      </c>
      <c r="G237">
        <v>2612.3384892249501</v>
      </c>
      <c r="H237">
        <v>323.07867438026102</v>
      </c>
      <c r="I237">
        <v>0.75316154610632902</v>
      </c>
      <c r="J237">
        <v>0.31450150547566702</v>
      </c>
      <c r="K237">
        <v>0.80259372574090104</v>
      </c>
      <c r="L237" t="s">
        <v>33</v>
      </c>
      <c r="M237" t="s">
        <v>34</v>
      </c>
      <c r="N237" t="s">
        <v>35</v>
      </c>
      <c r="O237">
        <v>0.94538464541085099</v>
      </c>
      <c r="P237" t="s">
        <v>36</v>
      </c>
    </row>
    <row r="238" spans="1:16">
      <c r="A238">
        <v>237</v>
      </c>
      <c r="B238" t="s">
        <v>287</v>
      </c>
      <c r="C238">
        <v>56</v>
      </c>
      <c r="D238">
        <v>89</v>
      </c>
      <c r="E238">
        <v>57.975362004159102</v>
      </c>
      <c r="F238">
        <v>0.63036718005883197</v>
      </c>
      <c r="G238">
        <v>2639.8352245746701</v>
      </c>
      <c r="H238">
        <v>340.019160851707</v>
      </c>
      <c r="I238">
        <v>0.85404091641617397</v>
      </c>
      <c r="J238">
        <v>0.28693260496364897</v>
      </c>
      <c r="K238">
        <v>0.73353157394787905</v>
      </c>
      <c r="L238" t="s">
        <v>83</v>
      </c>
      <c r="M238" t="s">
        <v>34</v>
      </c>
      <c r="N238" t="s">
        <v>35</v>
      </c>
      <c r="O238">
        <v>0.74035171417857903</v>
      </c>
      <c r="P238" t="s">
        <v>36</v>
      </c>
    </row>
    <row r="239" spans="1:16">
      <c r="A239">
        <v>238</v>
      </c>
      <c r="B239" t="s">
        <v>288</v>
      </c>
      <c r="C239">
        <v>148</v>
      </c>
      <c r="D239">
        <v>128</v>
      </c>
      <c r="E239">
        <v>112.97308344586</v>
      </c>
      <c r="F239">
        <v>1.1636377867653001</v>
      </c>
      <c r="G239">
        <v>10023.9720294896</v>
      </c>
      <c r="H239">
        <v>698.20381161441003</v>
      </c>
      <c r="I239">
        <v>0.60703259367426199</v>
      </c>
      <c r="J239">
        <v>0.25839569833368098</v>
      </c>
      <c r="K239">
        <v>0.65155057482368794</v>
      </c>
      <c r="L239" t="s">
        <v>33</v>
      </c>
      <c r="M239" t="s">
        <v>34</v>
      </c>
      <c r="N239" t="s">
        <v>35</v>
      </c>
      <c r="O239">
        <v>0.93472801917898396</v>
      </c>
      <c r="P239" t="s">
        <v>36</v>
      </c>
    </row>
    <row r="240" spans="1:16">
      <c r="A240">
        <v>239</v>
      </c>
      <c r="B240" t="s">
        <v>289</v>
      </c>
      <c r="C240">
        <v>185</v>
      </c>
      <c r="D240">
        <v>83</v>
      </c>
      <c r="E240">
        <v>91.543661582417499</v>
      </c>
      <c r="F240">
        <v>2.23255819555441</v>
      </c>
      <c r="G240">
        <v>6581.8266567107803</v>
      </c>
      <c r="H240">
        <v>679.05035585807695</v>
      </c>
      <c r="I240">
        <v>0.63041744439233505</v>
      </c>
      <c r="J240">
        <v>0.179371046516039</v>
      </c>
      <c r="K240">
        <v>0.55810700107127098</v>
      </c>
      <c r="L240" t="s">
        <v>33</v>
      </c>
      <c r="M240" t="s">
        <v>34</v>
      </c>
      <c r="N240" t="s">
        <v>35</v>
      </c>
      <c r="O240">
        <v>0.93025058406307903</v>
      </c>
      <c r="P240" t="s">
        <v>36</v>
      </c>
    </row>
    <row r="241" spans="1:16">
      <c r="A241">
        <v>240</v>
      </c>
      <c r="B241" t="s">
        <v>290</v>
      </c>
      <c r="C241">
        <v>100</v>
      </c>
      <c r="D241">
        <v>61</v>
      </c>
      <c r="E241">
        <v>61.237543187811198</v>
      </c>
      <c r="F241">
        <v>1.6308617040654501</v>
      </c>
      <c r="G241">
        <v>2945.2719334593598</v>
      </c>
      <c r="H241">
        <v>394.937775630744</v>
      </c>
      <c r="I241">
        <v>0.75170201023222105</v>
      </c>
      <c r="J241">
        <v>0.23728916673908201</v>
      </c>
      <c r="K241">
        <v>0.65792356983963596</v>
      </c>
      <c r="L241" t="s">
        <v>33</v>
      </c>
      <c r="M241" t="s">
        <v>34</v>
      </c>
      <c r="N241" t="s">
        <v>35</v>
      </c>
      <c r="O241">
        <v>0.90550490372470704</v>
      </c>
      <c r="P241" t="s">
        <v>36</v>
      </c>
    </row>
    <row r="242" spans="1:16">
      <c r="A242">
        <v>241</v>
      </c>
      <c r="B242" t="s">
        <v>291</v>
      </c>
      <c r="C242">
        <v>122</v>
      </c>
      <c r="D242">
        <v>178</v>
      </c>
      <c r="E242">
        <v>108.636744674936</v>
      </c>
      <c r="F242">
        <v>0.68681317136229503</v>
      </c>
      <c r="G242">
        <v>9269.2238018903608</v>
      </c>
      <c r="H242">
        <v>668.76207248397498</v>
      </c>
      <c r="I242">
        <v>0.70124622527991498</v>
      </c>
      <c r="J242">
        <v>0.26044136461827899</v>
      </c>
      <c r="K242">
        <v>0.62027809273736301</v>
      </c>
      <c r="L242" t="s">
        <v>33</v>
      </c>
      <c r="M242" t="s">
        <v>34</v>
      </c>
      <c r="N242" t="s">
        <v>35</v>
      </c>
      <c r="O242">
        <v>0.94417823754025698</v>
      </c>
      <c r="P242" t="s">
        <v>36</v>
      </c>
    </row>
    <row r="243" spans="1:16">
      <c r="A243">
        <v>242</v>
      </c>
      <c r="B243" t="s">
        <v>292</v>
      </c>
      <c r="C243">
        <v>80</v>
      </c>
      <c r="D243">
        <v>56</v>
      </c>
      <c r="E243">
        <v>63.805813564895502</v>
      </c>
      <c r="F243">
        <v>1.42224777311086</v>
      </c>
      <c r="G243">
        <v>3197.4987436673</v>
      </c>
      <c r="H243">
        <v>269.77966191530197</v>
      </c>
      <c r="I243">
        <v>0.63585137939729997</v>
      </c>
      <c r="J243">
        <v>0.55207977114792495</v>
      </c>
      <c r="K243">
        <v>0.90868004223864796</v>
      </c>
      <c r="L243" t="s">
        <v>52</v>
      </c>
      <c r="M243" t="s">
        <v>34</v>
      </c>
      <c r="N243" t="s">
        <v>35</v>
      </c>
      <c r="O243">
        <v>0.774840131370506</v>
      </c>
      <c r="P243" t="s">
        <v>36</v>
      </c>
    </row>
    <row r="244" spans="1:16">
      <c r="A244">
        <v>243</v>
      </c>
      <c r="B244" t="s">
        <v>293</v>
      </c>
      <c r="C244">
        <v>149</v>
      </c>
      <c r="D244">
        <v>131</v>
      </c>
      <c r="E244">
        <v>106.14501146792099</v>
      </c>
      <c r="F244">
        <v>1.1329447617138</v>
      </c>
      <c r="G244">
        <v>8848.8953285444204</v>
      </c>
      <c r="H244">
        <v>1013.50223916075</v>
      </c>
      <c r="I244">
        <v>0.72668039899049996</v>
      </c>
      <c r="J244">
        <v>0.108255382020456</v>
      </c>
      <c r="K244">
        <v>0.62535844458682999</v>
      </c>
      <c r="L244" t="s">
        <v>33</v>
      </c>
      <c r="M244" t="s">
        <v>34</v>
      </c>
      <c r="N244" t="s">
        <v>35</v>
      </c>
      <c r="O244">
        <v>0.75710483799976602</v>
      </c>
      <c r="P244" t="s">
        <v>36</v>
      </c>
    </row>
    <row r="245" spans="1:16">
      <c r="A245">
        <v>244</v>
      </c>
      <c r="B245" t="s">
        <v>294</v>
      </c>
      <c r="C245">
        <v>135</v>
      </c>
      <c r="D245">
        <v>102</v>
      </c>
      <c r="E245">
        <v>90.069214030243998</v>
      </c>
      <c r="F245">
        <v>1.3214627809005299</v>
      </c>
      <c r="G245">
        <v>6371.5137890359201</v>
      </c>
      <c r="H245">
        <v>559.81489338211395</v>
      </c>
      <c r="I245">
        <v>0.62861331653921704</v>
      </c>
      <c r="J245">
        <v>0.25548393390454999</v>
      </c>
      <c r="K245">
        <v>0.62926428277846302</v>
      </c>
      <c r="L245" t="s">
        <v>83</v>
      </c>
      <c r="M245" t="s">
        <v>34</v>
      </c>
      <c r="N245" t="s">
        <v>35</v>
      </c>
      <c r="O245">
        <v>0.67444113233092395</v>
      </c>
      <c r="P245" t="s">
        <v>36</v>
      </c>
    </row>
    <row r="246" spans="1:16">
      <c r="A246">
        <v>245</v>
      </c>
      <c r="B246" t="s">
        <v>295</v>
      </c>
      <c r="C246">
        <v>148</v>
      </c>
      <c r="D246">
        <v>130</v>
      </c>
      <c r="E246">
        <v>116.29784116794301</v>
      </c>
      <c r="F246">
        <v>1.1408563720170799</v>
      </c>
      <c r="G246">
        <v>10622.657705104</v>
      </c>
      <c r="H246">
        <v>685.86695055795803</v>
      </c>
      <c r="I246">
        <v>0.58088180252743304</v>
      </c>
      <c r="J246">
        <v>0.28376792130185702</v>
      </c>
      <c r="K246">
        <v>0.71064223285042405</v>
      </c>
      <c r="L246" t="s">
        <v>132</v>
      </c>
      <c r="M246" t="s">
        <v>34</v>
      </c>
      <c r="N246" t="s">
        <v>35</v>
      </c>
      <c r="O246">
        <v>0.88738998995811103</v>
      </c>
      <c r="P246" t="s">
        <v>36</v>
      </c>
    </row>
    <row r="247" spans="1:16">
      <c r="A247">
        <v>246</v>
      </c>
      <c r="B247" t="s">
        <v>296</v>
      </c>
      <c r="C247">
        <v>152</v>
      </c>
      <c r="D247">
        <v>78</v>
      </c>
      <c r="E247">
        <v>112.188077545927</v>
      </c>
      <c r="F247">
        <v>1.94405594405594</v>
      </c>
      <c r="G247">
        <v>9885.1506737240106</v>
      </c>
      <c r="H247">
        <v>891.20849136207403</v>
      </c>
      <c r="I247">
        <v>0.70468152701222697</v>
      </c>
      <c r="J247">
        <v>0.15639919950266801</v>
      </c>
      <c r="K247">
        <v>0.838773142309439</v>
      </c>
      <c r="L247" t="s">
        <v>33</v>
      </c>
      <c r="M247" t="s">
        <v>34</v>
      </c>
      <c r="N247" t="s">
        <v>35</v>
      </c>
      <c r="O247">
        <v>0.94542191757597205</v>
      </c>
      <c r="P247" t="s">
        <v>36</v>
      </c>
    </row>
    <row r="248" spans="1:16">
      <c r="A248">
        <v>247</v>
      </c>
      <c r="B248" t="s">
        <v>297</v>
      </c>
      <c r="C248">
        <v>78</v>
      </c>
      <c r="D248">
        <v>69</v>
      </c>
      <c r="E248">
        <v>53.886385893880899</v>
      </c>
      <c r="F248">
        <v>1.13492063492063</v>
      </c>
      <c r="G248">
        <v>2280.5940930056699</v>
      </c>
      <c r="H248">
        <v>678.12203590393096</v>
      </c>
      <c r="I248">
        <v>0.65506781287555305</v>
      </c>
      <c r="J248">
        <v>6.2322109449255203E-2</v>
      </c>
      <c r="K248">
        <v>0.49853791669374198</v>
      </c>
      <c r="L248" t="s">
        <v>33</v>
      </c>
      <c r="M248" t="s">
        <v>34</v>
      </c>
      <c r="N248" t="s">
        <v>35</v>
      </c>
      <c r="O248">
        <v>0.84431042898285202</v>
      </c>
      <c r="P248" t="s">
        <v>36</v>
      </c>
    </row>
    <row r="249" spans="1:16">
      <c r="A249">
        <v>248</v>
      </c>
      <c r="B249" t="s">
        <v>298</v>
      </c>
      <c r="C249">
        <v>148</v>
      </c>
      <c r="D249">
        <v>201</v>
      </c>
      <c r="E249">
        <v>125.134775212425</v>
      </c>
      <c r="F249">
        <v>0.73913043478260898</v>
      </c>
      <c r="G249">
        <v>12298.3236204159</v>
      </c>
      <c r="H249">
        <v>1103.0595854560199</v>
      </c>
      <c r="I249">
        <v>0.61326130171678495</v>
      </c>
      <c r="J249">
        <v>0.12701582549347701</v>
      </c>
      <c r="K249">
        <v>0.45758400247749198</v>
      </c>
      <c r="L249" t="s">
        <v>33</v>
      </c>
      <c r="M249" t="s">
        <v>34</v>
      </c>
      <c r="N249" t="s">
        <v>35</v>
      </c>
      <c r="O249">
        <v>0.93260173946102998</v>
      </c>
      <c r="P249" t="s">
        <v>36</v>
      </c>
    </row>
    <row r="250" spans="1:16">
      <c r="A250">
        <v>249</v>
      </c>
      <c r="B250" t="s">
        <v>299</v>
      </c>
      <c r="C250">
        <v>78</v>
      </c>
      <c r="D250">
        <v>54</v>
      </c>
      <c r="E250">
        <v>56.164841194187403</v>
      </c>
      <c r="F250">
        <v>1.44444444444444</v>
      </c>
      <c r="G250">
        <v>2477.5301705103998</v>
      </c>
      <c r="H250">
        <v>301.21518152724099</v>
      </c>
      <c r="I250">
        <v>0.84245932457433303</v>
      </c>
      <c r="J250">
        <v>0.343142966961065</v>
      </c>
      <c r="K250">
        <v>0.70959090715593198</v>
      </c>
      <c r="L250" t="s">
        <v>45</v>
      </c>
      <c r="M250" t="s">
        <v>34</v>
      </c>
      <c r="N250" t="s">
        <v>35</v>
      </c>
      <c r="O250">
        <v>0.70545908192180995</v>
      </c>
      <c r="P250" t="s">
        <v>36</v>
      </c>
    </row>
    <row r="251" spans="1:16">
      <c r="A251">
        <v>250</v>
      </c>
      <c r="B251" t="s">
        <v>300</v>
      </c>
      <c r="C251">
        <v>98</v>
      </c>
      <c r="D251">
        <v>98</v>
      </c>
      <c r="E251">
        <v>90.104925356930593</v>
      </c>
      <c r="F251">
        <v>0.99444444350254402</v>
      </c>
      <c r="G251">
        <v>6376.5672431001904</v>
      </c>
      <c r="H251">
        <v>799.01860265213497</v>
      </c>
      <c r="I251">
        <v>0.62897457378483002</v>
      </c>
      <c r="J251">
        <v>0.12551135743809799</v>
      </c>
      <c r="K251">
        <v>0.73277879310639304</v>
      </c>
      <c r="L251" t="s">
        <v>52</v>
      </c>
      <c r="M251" t="s">
        <v>34</v>
      </c>
      <c r="N251" t="s">
        <v>35</v>
      </c>
      <c r="O251">
        <v>0.97400029889685003</v>
      </c>
      <c r="P251" t="s">
        <v>36</v>
      </c>
    </row>
    <row r="252" spans="1:16">
      <c r="A252">
        <v>251</v>
      </c>
      <c r="B252" t="s">
        <v>301</v>
      </c>
      <c r="C252">
        <v>74</v>
      </c>
      <c r="D252">
        <v>63</v>
      </c>
      <c r="E252">
        <v>55.348564265864297</v>
      </c>
      <c r="F252">
        <v>1.17898837773153</v>
      </c>
      <c r="G252">
        <v>2406.03865860113</v>
      </c>
      <c r="H252">
        <v>374.74868229264803</v>
      </c>
      <c r="I252">
        <v>0.58538951352334001</v>
      </c>
      <c r="J252">
        <v>0.21529415340894201</v>
      </c>
      <c r="K252">
        <v>0.69407880632851704</v>
      </c>
      <c r="L252" t="s">
        <v>169</v>
      </c>
      <c r="M252" t="s">
        <v>34</v>
      </c>
      <c r="N252" t="s">
        <v>35</v>
      </c>
      <c r="O252">
        <v>0.71119205098723504</v>
      </c>
      <c r="P252" t="s">
        <v>36</v>
      </c>
    </row>
    <row r="253" spans="1:16">
      <c r="A253">
        <v>252</v>
      </c>
      <c r="B253" t="s">
        <v>302</v>
      </c>
      <c r="C253">
        <v>150</v>
      </c>
      <c r="D253">
        <v>52</v>
      </c>
      <c r="E253">
        <v>59.239511865659097</v>
      </c>
      <c r="F253">
        <v>2.8884276679644598</v>
      </c>
      <c r="G253">
        <v>2756.2132990548198</v>
      </c>
      <c r="H253">
        <v>542.88380914916195</v>
      </c>
      <c r="I253">
        <v>0.69847687851401197</v>
      </c>
      <c r="J253">
        <v>0.117519222316026</v>
      </c>
      <c r="K253">
        <v>0.52507291106266096</v>
      </c>
      <c r="L253" t="s">
        <v>33</v>
      </c>
      <c r="M253" t="s">
        <v>34</v>
      </c>
      <c r="N253" t="s">
        <v>35</v>
      </c>
      <c r="O253">
        <v>0.857417017815993</v>
      </c>
      <c r="P253" t="s">
        <v>36</v>
      </c>
    </row>
    <row r="254" spans="1:16">
      <c r="A254">
        <v>253</v>
      </c>
      <c r="B254" t="s">
        <v>303</v>
      </c>
      <c r="C254">
        <v>109</v>
      </c>
      <c r="D254">
        <v>71</v>
      </c>
      <c r="E254">
        <v>69.474019449333795</v>
      </c>
      <c r="F254">
        <v>1.52529060539466</v>
      </c>
      <c r="G254">
        <v>3790.8337032136101</v>
      </c>
      <c r="H254">
        <v>590.64536701067595</v>
      </c>
      <c r="I254">
        <v>0.64174442523425002</v>
      </c>
      <c r="J254">
        <v>0.13654977652490199</v>
      </c>
      <c r="K254">
        <v>0.63692438317850397</v>
      </c>
      <c r="L254" t="s">
        <v>33</v>
      </c>
      <c r="M254" t="s">
        <v>34</v>
      </c>
      <c r="N254" t="s">
        <v>35</v>
      </c>
      <c r="O254">
        <v>0.92892509968709602</v>
      </c>
      <c r="P254" t="s">
        <v>36</v>
      </c>
    </row>
    <row r="255" spans="1:16">
      <c r="A255">
        <v>254</v>
      </c>
      <c r="B255" t="s">
        <v>304</v>
      </c>
      <c r="C255">
        <v>45</v>
      </c>
      <c r="D255">
        <v>78</v>
      </c>
      <c r="E255">
        <v>55.329755961250399</v>
      </c>
      <c r="F255">
        <v>0.57032753276599701</v>
      </c>
      <c r="G255">
        <v>2404.4037175803401</v>
      </c>
      <c r="H255">
        <v>263.68872606909798</v>
      </c>
      <c r="I255">
        <v>0.81379376978824502</v>
      </c>
      <c r="J255">
        <v>0.434544373149027</v>
      </c>
      <c r="K255">
        <v>0.85303733389580305</v>
      </c>
      <c r="L255" t="s">
        <v>83</v>
      </c>
      <c r="M255" t="s">
        <v>34</v>
      </c>
      <c r="N255" t="s">
        <v>35</v>
      </c>
      <c r="O255">
        <v>0.84120624062190896</v>
      </c>
      <c r="P255" t="s">
        <v>36</v>
      </c>
    </row>
    <row r="256" spans="1:16">
      <c r="A256">
        <v>255</v>
      </c>
      <c r="B256" t="s">
        <v>305</v>
      </c>
      <c r="C256">
        <v>88</v>
      </c>
      <c r="D256">
        <v>128</v>
      </c>
      <c r="E256">
        <v>83.487683868058895</v>
      </c>
      <c r="F256">
        <v>0.68803418803418803</v>
      </c>
      <c r="G256">
        <v>5474.3770616257098</v>
      </c>
      <c r="H256">
        <v>730.27581638543495</v>
      </c>
      <c r="I256">
        <v>0.58731633583498499</v>
      </c>
      <c r="J256">
        <v>0.12899436336596901</v>
      </c>
      <c r="K256">
        <v>0.66329305407984995</v>
      </c>
      <c r="L256" t="s">
        <v>33</v>
      </c>
      <c r="M256" t="s">
        <v>34</v>
      </c>
      <c r="N256" t="s">
        <v>35</v>
      </c>
      <c r="O256">
        <v>0.94817155573658096</v>
      </c>
      <c r="P256" t="s">
        <v>36</v>
      </c>
    </row>
    <row r="257" spans="1:16">
      <c r="A257">
        <v>256</v>
      </c>
      <c r="B257" t="s">
        <v>306</v>
      </c>
      <c r="C257">
        <v>93</v>
      </c>
      <c r="D257">
        <v>103</v>
      </c>
      <c r="E257">
        <v>89.978822115408803</v>
      </c>
      <c r="F257">
        <v>0.90425530360693496</v>
      </c>
      <c r="G257">
        <v>6358.7315228733496</v>
      </c>
      <c r="H257">
        <v>881.62706236466101</v>
      </c>
      <c r="I257">
        <v>0.68975427234475195</v>
      </c>
      <c r="J257">
        <v>0.102804121712845</v>
      </c>
      <c r="K257">
        <v>0.71725317283350398</v>
      </c>
      <c r="L257" t="s">
        <v>45</v>
      </c>
      <c r="M257" t="s">
        <v>34</v>
      </c>
      <c r="N257" t="s">
        <v>35</v>
      </c>
      <c r="O257">
        <v>0.70352365591065302</v>
      </c>
      <c r="P257" t="s">
        <v>36</v>
      </c>
    </row>
    <row r="258" spans="1:16">
      <c r="A258">
        <v>257</v>
      </c>
      <c r="B258" t="s">
        <v>307</v>
      </c>
      <c r="C258">
        <v>43</v>
      </c>
      <c r="D258">
        <v>76</v>
      </c>
      <c r="E258">
        <v>50.479255477019898</v>
      </c>
      <c r="F258">
        <v>0.56753549188800401</v>
      </c>
      <c r="G258">
        <v>2001.3164404536899</v>
      </c>
      <c r="H258">
        <v>253.158556410437</v>
      </c>
      <c r="I258">
        <v>0.67901210162776604</v>
      </c>
      <c r="J258">
        <v>0.39241030702299101</v>
      </c>
      <c r="K258">
        <v>0.83050638376611396</v>
      </c>
      <c r="L258" t="s">
        <v>83</v>
      </c>
      <c r="M258" t="s">
        <v>34</v>
      </c>
      <c r="N258" t="s">
        <v>35</v>
      </c>
      <c r="O258">
        <v>0.73924433996057204</v>
      </c>
      <c r="P258" t="s">
        <v>36</v>
      </c>
    </row>
    <row r="259" spans="1:16">
      <c r="A259">
        <v>258</v>
      </c>
      <c r="B259" t="s">
        <v>308</v>
      </c>
      <c r="C259">
        <v>93</v>
      </c>
      <c r="D259">
        <v>123</v>
      </c>
      <c r="E259">
        <v>81.477848835428006</v>
      </c>
      <c r="F259">
        <v>0.75555555555555598</v>
      </c>
      <c r="G259">
        <v>5213.9755463137999</v>
      </c>
      <c r="H259">
        <v>659.28796111417898</v>
      </c>
      <c r="I259">
        <v>0.70925112663059797</v>
      </c>
      <c r="J259">
        <v>0.150740018136163</v>
      </c>
      <c r="K259">
        <v>0.60543301922612303</v>
      </c>
      <c r="L259" t="s">
        <v>33</v>
      </c>
      <c r="M259" t="s">
        <v>34</v>
      </c>
      <c r="N259" t="s">
        <v>35</v>
      </c>
      <c r="O259">
        <v>0.74749946486237295</v>
      </c>
      <c r="P259" t="s">
        <v>36</v>
      </c>
    </row>
    <row r="260" spans="1:16">
      <c r="A260">
        <v>259</v>
      </c>
      <c r="B260" t="s">
        <v>309</v>
      </c>
      <c r="C260">
        <v>52</v>
      </c>
      <c r="D260">
        <v>68</v>
      </c>
      <c r="E260">
        <v>55.401535134300197</v>
      </c>
      <c r="F260">
        <v>0.75387095497087198</v>
      </c>
      <c r="G260">
        <v>2410.6462196597399</v>
      </c>
      <c r="H260">
        <v>272.22511524625497</v>
      </c>
      <c r="I260">
        <v>0.80526209533724102</v>
      </c>
      <c r="J260">
        <v>0.40877748039175099</v>
      </c>
      <c r="K260">
        <v>0.84429984383133805</v>
      </c>
      <c r="L260" t="s">
        <v>33</v>
      </c>
      <c r="M260" t="s">
        <v>34</v>
      </c>
      <c r="N260" t="s">
        <v>35</v>
      </c>
      <c r="O260">
        <v>0.91290585683713898</v>
      </c>
      <c r="P260" t="s">
        <v>36</v>
      </c>
    </row>
    <row r="261" spans="1:16">
      <c r="A261">
        <v>260</v>
      </c>
      <c r="B261" t="s">
        <v>310</v>
      </c>
      <c r="C261">
        <v>103</v>
      </c>
      <c r="D261">
        <v>77</v>
      </c>
      <c r="E261">
        <v>70.537745331782403</v>
      </c>
      <c r="F261">
        <v>1.33098591549296</v>
      </c>
      <c r="G261">
        <v>3907.8063017013201</v>
      </c>
      <c r="H261">
        <v>575.58906661904405</v>
      </c>
      <c r="I261">
        <v>0.77486002578373003</v>
      </c>
      <c r="J261">
        <v>0.148223758409912</v>
      </c>
      <c r="K261">
        <v>0.61997736276174298</v>
      </c>
      <c r="L261" t="s">
        <v>45</v>
      </c>
      <c r="M261" t="s">
        <v>34</v>
      </c>
      <c r="N261" t="s">
        <v>35</v>
      </c>
      <c r="O261">
        <v>0.70128024638306097</v>
      </c>
      <c r="P261" t="s">
        <v>36</v>
      </c>
    </row>
    <row r="262" spans="1:16">
      <c r="A262">
        <v>261</v>
      </c>
      <c r="B262" t="s">
        <v>311</v>
      </c>
      <c r="C262">
        <v>160</v>
      </c>
      <c r="D262">
        <v>334</v>
      </c>
      <c r="E262">
        <v>169.31075375684301</v>
      </c>
      <c r="F262">
        <v>0.47862159241814001</v>
      </c>
      <c r="G262">
        <v>22514.326904347799</v>
      </c>
      <c r="H262">
        <v>2025.6361645304601</v>
      </c>
      <c r="I262">
        <v>0.62397408764277296</v>
      </c>
      <c r="J262">
        <v>6.8951853918954004E-2</v>
      </c>
      <c r="K262">
        <v>0.56460967318702304</v>
      </c>
      <c r="L262" t="s">
        <v>83</v>
      </c>
      <c r="M262" t="s">
        <v>34</v>
      </c>
      <c r="N262" t="s">
        <v>35</v>
      </c>
      <c r="O262">
        <v>0.71104769024236703</v>
      </c>
      <c r="P262" t="s">
        <v>36</v>
      </c>
    </row>
    <row r="263" spans="1:16">
      <c r="A263">
        <v>262</v>
      </c>
      <c r="B263" t="s">
        <v>312</v>
      </c>
      <c r="C263">
        <v>68</v>
      </c>
      <c r="D263">
        <v>134</v>
      </c>
      <c r="E263">
        <v>73.853625337676107</v>
      </c>
      <c r="F263">
        <v>0.50952931832116</v>
      </c>
      <c r="G263">
        <v>4283.8427364839299</v>
      </c>
      <c r="H263">
        <v>507.40754760348301</v>
      </c>
      <c r="I263">
        <v>0.72689272420497097</v>
      </c>
      <c r="J263">
        <v>0.209088206399453</v>
      </c>
      <c r="K263">
        <v>0.63748562328585301</v>
      </c>
      <c r="L263" t="s">
        <v>33</v>
      </c>
      <c r="M263" t="s">
        <v>34</v>
      </c>
      <c r="N263" t="s">
        <v>35</v>
      </c>
      <c r="O263">
        <v>0.917557752128352</v>
      </c>
      <c r="P263" t="s">
        <v>36</v>
      </c>
    </row>
    <row r="264" spans="1:16">
      <c r="A264">
        <v>263</v>
      </c>
      <c r="B264" t="s">
        <v>313</v>
      </c>
      <c r="C264">
        <v>43</v>
      </c>
      <c r="D264">
        <v>107</v>
      </c>
      <c r="E264">
        <v>59.715185539078</v>
      </c>
      <c r="F264">
        <v>0.39740859975187298</v>
      </c>
      <c r="G264">
        <v>2800.6539686200399</v>
      </c>
      <c r="H264">
        <v>328.21146732672401</v>
      </c>
      <c r="I264">
        <v>0.76131832809250499</v>
      </c>
      <c r="J264">
        <v>0.32670953986190299</v>
      </c>
      <c r="K264">
        <v>0.78817919437821604</v>
      </c>
      <c r="L264" t="s">
        <v>33</v>
      </c>
      <c r="M264" t="s">
        <v>34</v>
      </c>
      <c r="N264" t="s">
        <v>35</v>
      </c>
      <c r="O264">
        <v>0.94127149248743003</v>
      </c>
      <c r="P264" t="s">
        <v>36</v>
      </c>
    </row>
    <row r="265" spans="1:16">
      <c r="A265">
        <v>264</v>
      </c>
      <c r="B265" t="s">
        <v>314</v>
      </c>
      <c r="C265">
        <v>85</v>
      </c>
      <c r="D265">
        <v>60</v>
      </c>
      <c r="E265">
        <v>57.1882441169152</v>
      </c>
      <c r="F265">
        <v>1.4105691296531</v>
      </c>
      <c r="G265">
        <v>2568.6409746691902</v>
      </c>
      <c r="H265">
        <v>310.89680268785202</v>
      </c>
      <c r="I265">
        <v>0.68819990061695402</v>
      </c>
      <c r="J265">
        <v>0.33394947010700399</v>
      </c>
      <c r="K265">
        <v>0.75556332794124104</v>
      </c>
      <c r="L265" t="s">
        <v>33</v>
      </c>
      <c r="M265" t="s">
        <v>34</v>
      </c>
      <c r="N265" t="s">
        <v>35</v>
      </c>
      <c r="O265">
        <v>0.89095405732144195</v>
      </c>
      <c r="P265" t="s">
        <v>36</v>
      </c>
    </row>
    <row r="266" spans="1:16">
      <c r="A266">
        <v>265</v>
      </c>
      <c r="B266" t="s">
        <v>315</v>
      </c>
      <c r="C266">
        <v>91</v>
      </c>
      <c r="D266">
        <v>62</v>
      </c>
      <c r="E266">
        <v>58.042239422249203</v>
      </c>
      <c r="F266">
        <v>1.45563276371491</v>
      </c>
      <c r="G266">
        <v>2645.92909565217</v>
      </c>
      <c r="H266">
        <v>489.928491362074</v>
      </c>
      <c r="I266">
        <v>0.46326447535815002</v>
      </c>
      <c r="J266">
        <v>0.138523250411177</v>
      </c>
      <c r="K266">
        <v>0.63776734854727202</v>
      </c>
      <c r="L266" t="s">
        <v>33</v>
      </c>
      <c r="M266" t="s">
        <v>34</v>
      </c>
      <c r="N266" t="s">
        <v>35</v>
      </c>
      <c r="O266">
        <v>0.80809142495362696</v>
      </c>
      <c r="P266" t="s">
        <v>36</v>
      </c>
    </row>
    <row r="267" spans="1:16">
      <c r="A267">
        <v>266</v>
      </c>
      <c r="B267" t="s">
        <v>316</v>
      </c>
      <c r="C267">
        <v>64</v>
      </c>
      <c r="D267">
        <v>197</v>
      </c>
      <c r="E267">
        <v>81.794273357828104</v>
      </c>
      <c r="F267">
        <v>0.32241079553531699</v>
      </c>
      <c r="G267">
        <v>5254.5518098298699</v>
      </c>
      <c r="H267">
        <v>647.91151973154194</v>
      </c>
      <c r="I267">
        <v>0.54446964663173403</v>
      </c>
      <c r="J267">
        <v>0.157294718020969</v>
      </c>
      <c r="K267">
        <v>0.51935479132082696</v>
      </c>
      <c r="L267" t="s">
        <v>33</v>
      </c>
      <c r="M267" t="s">
        <v>34</v>
      </c>
      <c r="N267" t="s">
        <v>35</v>
      </c>
      <c r="O267">
        <v>0.94312488558213803</v>
      </c>
      <c r="P267" t="s">
        <v>36</v>
      </c>
    </row>
    <row r="268" spans="1:16">
      <c r="A268">
        <v>267</v>
      </c>
      <c r="B268" t="s">
        <v>317</v>
      </c>
      <c r="C268">
        <v>83</v>
      </c>
      <c r="D268">
        <v>63</v>
      </c>
      <c r="E268">
        <v>65.2878731880554</v>
      </c>
      <c r="F268">
        <v>1.31034482758621</v>
      </c>
      <c r="G268">
        <v>3347.76468657845</v>
      </c>
      <c r="H268">
        <v>471.95236730886501</v>
      </c>
      <c r="I268">
        <v>0.70059640911573895</v>
      </c>
      <c r="J268">
        <v>0.18887237884401101</v>
      </c>
      <c r="K268">
        <v>0.74326821541710697</v>
      </c>
      <c r="L268" t="s">
        <v>33</v>
      </c>
      <c r="M268" t="s">
        <v>34</v>
      </c>
      <c r="N268" t="s">
        <v>35</v>
      </c>
      <c r="O268">
        <v>0.93325453540363701</v>
      </c>
      <c r="P268" t="s">
        <v>36</v>
      </c>
    </row>
    <row r="269" spans="1:16">
      <c r="A269">
        <v>268</v>
      </c>
      <c r="B269" t="s">
        <v>318</v>
      </c>
      <c r="C269">
        <v>115</v>
      </c>
      <c r="D269">
        <v>132</v>
      </c>
      <c r="E269">
        <v>89.009284449645705</v>
      </c>
      <c r="F269">
        <v>0.87197990605169995</v>
      </c>
      <c r="G269">
        <v>6222.4368941398898</v>
      </c>
      <c r="H269">
        <v>651.43411260242101</v>
      </c>
      <c r="I269">
        <v>0.40711407162213697</v>
      </c>
      <c r="J269">
        <v>0.18425928059338101</v>
      </c>
      <c r="K269">
        <v>0.52730684938408401</v>
      </c>
      <c r="L269" t="s">
        <v>33</v>
      </c>
      <c r="M269" t="s">
        <v>34</v>
      </c>
      <c r="N269" t="s">
        <v>35</v>
      </c>
      <c r="O269">
        <v>0.94310268469887204</v>
      </c>
      <c r="P269" t="s">
        <v>36</v>
      </c>
    </row>
    <row r="270" spans="1:16">
      <c r="A270">
        <v>269</v>
      </c>
      <c r="B270" t="s">
        <v>319</v>
      </c>
      <c r="C270">
        <v>64</v>
      </c>
      <c r="D270">
        <v>49</v>
      </c>
      <c r="E270">
        <v>54.6154383303994</v>
      </c>
      <c r="F270">
        <v>1.3</v>
      </c>
      <c r="G270">
        <v>2342.7218517958399</v>
      </c>
      <c r="H270">
        <v>234.037200373774</v>
      </c>
      <c r="I270">
        <v>0.684706895650256</v>
      </c>
      <c r="J270">
        <v>0.53747813789935495</v>
      </c>
      <c r="K270">
        <v>0.90742659758203803</v>
      </c>
      <c r="L270" t="s">
        <v>52</v>
      </c>
      <c r="M270" t="s">
        <v>34</v>
      </c>
      <c r="N270" t="s">
        <v>35</v>
      </c>
      <c r="O270">
        <v>0.70355799694850496</v>
      </c>
      <c r="P270" t="s">
        <v>36</v>
      </c>
    </row>
    <row r="271" spans="1:16">
      <c r="A271">
        <v>270</v>
      </c>
      <c r="B271" t="s">
        <v>320</v>
      </c>
      <c r="C271">
        <v>118</v>
      </c>
      <c r="D271">
        <v>53</v>
      </c>
      <c r="E271">
        <v>61.226726154472601</v>
      </c>
      <c r="F271">
        <v>2.2136926831085799</v>
      </c>
      <c r="G271">
        <v>2944.2315164461302</v>
      </c>
      <c r="H271">
        <v>567.48165281015895</v>
      </c>
      <c r="I271">
        <v>0.760895904342336</v>
      </c>
      <c r="J271">
        <v>0.11488892646988499</v>
      </c>
      <c r="K271">
        <v>0.60389610389610404</v>
      </c>
      <c r="L271" t="s">
        <v>321</v>
      </c>
      <c r="M271" t="s">
        <v>34</v>
      </c>
      <c r="N271" t="s">
        <v>35</v>
      </c>
      <c r="O271">
        <v>0.79714683441987999</v>
      </c>
      <c r="P271" t="s">
        <v>36</v>
      </c>
    </row>
    <row r="272" spans="1:16">
      <c r="A272">
        <v>271</v>
      </c>
      <c r="B272" t="s">
        <v>322</v>
      </c>
      <c r="C272">
        <v>95</v>
      </c>
      <c r="D272">
        <v>59</v>
      </c>
      <c r="E272">
        <v>65.150044611246898</v>
      </c>
      <c r="F272">
        <v>1.59822202939725</v>
      </c>
      <c r="G272">
        <v>3333.6447413988699</v>
      </c>
      <c r="H272">
        <v>330.92150442341102</v>
      </c>
      <c r="I272">
        <v>0.68294110922629403</v>
      </c>
      <c r="J272">
        <v>0.38254206700716897</v>
      </c>
      <c r="K272">
        <v>0.82253924013495705</v>
      </c>
      <c r="L272" t="s">
        <v>33</v>
      </c>
      <c r="M272" t="s">
        <v>34</v>
      </c>
      <c r="N272" t="s">
        <v>35</v>
      </c>
      <c r="O272">
        <v>0.90656728491669203</v>
      </c>
      <c r="P272" t="s">
        <v>36</v>
      </c>
    </row>
    <row r="273" spans="1:16">
      <c r="A273">
        <v>272</v>
      </c>
      <c r="B273" t="s">
        <v>323</v>
      </c>
      <c r="C273">
        <v>93</v>
      </c>
      <c r="D273">
        <v>137</v>
      </c>
      <c r="E273">
        <v>77.049002629427505</v>
      </c>
      <c r="F273">
        <v>0.68148433921420604</v>
      </c>
      <c r="G273">
        <v>4662.5545293005698</v>
      </c>
      <c r="H273">
        <v>704.63454913429598</v>
      </c>
      <c r="I273">
        <v>0.59059183723160502</v>
      </c>
      <c r="J273">
        <v>0.11800649771699</v>
      </c>
      <c r="K273">
        <v>0.49832409334244099</v>
      </c>
      <c r="L273" t="s">
        <v>241</v>
      </c>
      <c r="M273" t="s">
        <v>34</v>
      </c>
      <c r="N273" t="s">
        <v>35</v>
      </c>
      <c r="O273">
        <v>0.78621315106304002</v>
      </c>
      <c r="P273" t="s">
        <v>36</v>
      </c>
    </row>
    <row r="274" spans="1:16">
      <c r="A274">
        <v>273</v>
      </c>
      <c r="B274" t="s">
        <v>324</v>
      </c>
      <c r="C274">
        <v>70</v>
      </c>
      <c r="D274">
        <v>94</v>
      </c>
      <c r="E274">
        <v>70.368522188366697</v>
      </c>
      <c r="F274">
        <v>0.75040958286596204</v>
      </c>
      <c r="G274">
        <v>3889.0787954631401</v>
      </c>
      <c r="H274">
        <v>378.47165948992199</v>
      </c>
      <c r="I274">
        <v>0.74552112987531205</v>
      </c>
      <c r="J274">
        <v>0.34118495919561698</v>
      </c>
      <c r="K274">
        <v>0.78390604871326297</v>
      </c>
      <c r="L274" t="s">
        <v>325</v>
      </c>
      <c r="M274" t="s">
        <v>34</v>
      </c>
      <c r="N274" t="s">
        <v>35</v>
      </c>
      <c r="O274">
        <v>0.68956206401374498</v>
      </c>
      <c r="P274" t="s">
        <v>36</v>
      </c>
    </row>
    <row r="275" spans="1:16">
      <c r="A275">
        <v>274</v>
      </c>
      <c r="B275" t="s">
        <v>326</v>
      </c>
      <c r="C275">
        <v>73</v>
      </c>
      <c r="D275">
        <v>97</v>
      </c>
      <c r="E275">
        <v>58.856526573927603</v>
      </c>
      <c r="F275">
        <v>0.75280894638386397</v>
      </c>
      <c r="G275">
        <v>2720.6904896030301</v>
      </c>
      <c r="H275">
        <v>710.38729953693303</v>
      </c>
      <c r="I275">
        <v>0.59293362701242802</v>
      </c>
      <c r="J275">
        <v>6.7748334895456702E-2</v>
      </c>
      <c r="K275">
        <v>0.44865196078431402</v>
      </c>
      <c r="L275" t="s">
        <v>169</v>
      </c>
      <c r="M275" t="s">
        <v>34</v>
      </c>
      <c r="N275" t="s">
        <v>35</v>
      </c>
      <c r="O275">
        <v>0.80324309068229305</v>
      </c>
      <c r="P275" t="s">
        <v>36</v>
      </c>
    </row>
    <row r="276" spans="1:16">
      <c r="A276">
        <v>275</v>
      </c>
      <c r="B276" t="s">
        <v>327</v>
      </c>
      <c r="C276">
        <v>250</v>
      </c>
      <c r="D276">
        <v>98</v>
      </c>
      <c r="E276">
        <v>98.201008791638401</v>
      </c>
      <c r="F276">
        <v>2.5418241867956901</v>
      </c>
      <c r="G276">
        <v>7573.9385943289199</v>
      </c>
      <c r="H276">
        <v>889.545770859718</v>
      </c>
      <c r="I276">
        <v>0.74034184166168704</v>
      </c>
      <c r="J276">
        <v>0.12028045027926999</v>
      </c>
      <c r="K276">
        <v>0.50429498852030696</v>
      </c>
      <c r="L276" t="s">
        <v>33</v>
      </c>
      <c r="M276" t="s">
        <v>34</v>
      </c>
      <c r="N276" t="s">
        <v>35</v>
      </c>
      <c r="O276">
        <v>0.88932439002944697</v>
      </c>
      <c r="P276" t="s">
        <v>36</v>
      </c>
    </row>
    <row r="277" spans="1:16">
      <c r="A277">
        <v>276</v>
      </c>
      <c r="B277" t="s">
        <v>328</v>
      </c>
      <c r="C277">
        <v>80</v>
      </c>
      <c r="D277">
        <v>45</v>
      </c>
      <c r="E277">
        <v>52.262245750454397</v>
      </c>
      <c r="F277">
        <v>1.79781417708529</v>
      </c>
      <c r="G277">
        <v>2145.1912502835498</v>
      </c>
      <c r="H277">
        <v>266.13417940005002</v>
      </c>
      <c r="I277">
        <v>0.61542333590140696</v>
      </c>
      <c r="J277">
        <v>0.38060507289259399</v>
      </c>
      <c r="K277">
        <v>0.82924446997989099</v>
      </c>
      <c r="L277" t="s">
        <v>75</v>
      </c>
      <c r="M277" t="s">
        <v>34</v>
      </c>
      <c r="N277" t="s">
        <v>35</v>
      </c>
      <c r="O277">
        <v>0.74831818889071</v>
      </c>
      <c r="P277" t="s">
        <v>36</v>
      </c>
    </row>
    <row r="278" spans="1:16">
      <c r="A278">
        <v>277</v>
      </c>
      <c r="B278" t="s">
        <v>329</v>
      </c>
      <c r="C278">
        <v>81</v>
      </c>
      <c r="D278">
        <v>93</v>
      </c>
      <c r="E278">
        <v>85.842145040502999</v>
      </c>
      <c r="F278">
        <v>0.86440689401994697</v>
      </c>
      <c r="G278">
        <v>5787.5</v>
      </c>
      <c r="H278">
        <v>328.49242150783499</v>
      </c>
      <c r="I278">
        <v>0.75165174804591905</v>
      </c>
      <c r="J278">
        <v>0.673984887808317</v>
      </c>
      <c r="K278">
        <v>0.90606653620352295</v>
      </c>
      <c r="L278" t="s">
        <v>33</v>
      </c>
      <c r="M278" t="s">
        <v>34</v>
      </c>
      <c r="N278" t="s">
        <v>35</v>
      </c>
      <c r="O278">
        <v>0.93032775530946199</v>
      </c>
      <c r="P278" t="s">
        <v>36</v>
      </c>
    </row>
    <row r="279" spans="1:16">
      <c r="A279">
        <v>278</v>
      </c>
      <c r="B279" t="s">
        <v>330</v>
      </c>
      <c r="C279">
        <v>74</v>
      </c>
      <c r="D279">
        <v>130</v>
      </c>
      <c r="E279">
        <v>83.590755821133399</v>
      </c>
      <c r="F279">
        <v>0.57293053830020602</v>
      </c>
      <c r="G279">
        <v>5487.90248279773</v>
      </c>
      <c r="H279">
        <v>437.68230472575101</v>
      </c>
      <c r="I279">
        <v>0.74190240869823798</v>
      </c>
      <c r="J279">
        <v>0.359996494891476</v>
      </c>
      <c r="K279">
        <v>0.74545234297712504</v>
      </c>
      <c r="L279" t="s">
        <v>331</v>
      </c>
      <c r="M279" t="s">
        <v>34</v>
      </c>
      <c r="N279" t="s">
        <v>35</v>
      </c>
      <c r="O279">
        <v>0.72552668688597999</v>
      </c>
      <c r="P279" t="s">
        <v>36</v>
      </c>
    </row>
    <row r="280" spans="1:16">
      <c r="A280">
        <v>279</v>
      </c>
      <c r="B280" t="s">
        <v>332</v>
      </c>
      <c r="C280">
        <v>58</v>
      </c>
      <c r="D280">
        <v>93</v>
      </c>
      <c r="E280">
        <v>54.867800784449102</v>
      </c>
      <c r="F280">
        <v>0.629411764705882</v>
      </c>
      <c r="G280">
        <v>2364.4219780718299</v>
      </c>
      <c r="H280">
        <v>689.82013502722202</v>
      </c>
      <c r="I280">
        <v>0.67369656984798598</v>
      </c>
      <c r="J280">
        <v>6.2440032165995099E-2</v>
      </c>
      <c r="K280">
        <v>0.54310197671639704</v>
      </c>
      <c r="L280" t="s">
        <v>33</v>
      </c>
      <c r="M280" t="s">
        <v>34</v>
      </c>
      <c r="N280" t="s">
        <v>35</v>
      </c>
      <c r="O280">
        <v>0.93298208368532998</v>
      </c>
      <c r="P280" t="s">
        <v>36</v>
      </c>
    </row>
    <row r="281" spans="1:16">
      <c r="A281">
        <v>280</v>
      </c>
      <c r="B281" t="s">
        <v>333</v>
      </c>
      <c r="C281">
        <v>118</v>
      </c>
      <c r="D281">
        <v>160</v>
      </c>
      <c r="E281">
        <v>108.776013682411</v>
      </c>
      <c r="F281">
        <v>0.74061438459364004</v>
      </c>
      <c r="G281">
        <v>9293.0047621928206</v>
      </c>
      <c r="H281">
        <v>774.83092988242299</v>
      </c>
      <c r="I281">
        <v>0.70868548158294198</v>
      </c>
      <c r="J281">
        <v>0.19451456505002701</v>
      </c>
      <c r="K281">
        <v>0.62564040986231195</v>
      </c>
      <c r="L281" t="s">
        <v>33</v>
      </c>
      <c r="M281" t="s">
        <v>34</v>
      </c>
      <c r="N281" t="s">
        <v>35</v>
      </c>
      <c r="O281">
        <v>0.95000160293355096</v>
      </c>
      <c r="P281" t="s">
        <v>36</v>
      </c>
    </row>
    <row r="282" spans="1:16">
      <c r="A282">
        <v>281</v>
      </c>
      <c r="B282" t="s">
        <v>334</v>
      </c>
      <c r="C282">
        <v>97</v>
      </c>
      <c r="D282">
        <v>56</v>
      </c>
      <c r="E282">
        <v>61.930487077685797</v>
      </c>
      <c r="F282">
        <v>1.7369618520536001</v>
      </c>
      <c r="G282">
        <v>3012.3045153119101</v>
      </c>
      <c r="H282">
        <v>321.03009669791101</v>
      </c>
      <c r="I282">
        <v>0.483338280788634</v>
      </c>
      <c r="J282">
        <v>0.36729687862424898</v>
      </c>
      <c r="K282">
        <v>0.79149418105131597</v>
      </c>
      <c r="L282" t="s">
        <v>96</v>
      </c>
      <c r="M282" t="s">
        <v>34</v>
      </c>
      <c r="N282" t="s">
        <v>35</v>
      </c>
      <c r="O282">
        <v>0.76104332154318999</v>
      </c>
      <c r="P282" t="s">
        <v>36</v>
      </c>
    </row>
    <row r="283" spans="1:16">
      <c r="A283">
        <v>282</v>
      </c>
      <c r="B283" t="s">
        <v>335</v>
      </c>
      <c r="C283">
        <v>72</v>
      </c>
      <c r="D283">
        <v>72</v>
      </c>
      <c r="E283">
        <v>61.384157306679597</v>
      </c>
      <c r="F283">
        <v>1.0010244414807199</v>
      </c>
      <c r="G283">
        <v>2959.3918786389399</v>
      </c>
      <c r="H283">
        <v>410.41364915215502</v>
      </c>
      <c r="I283">
        <v>0.52135714122049004</v>
      </c>
      <c r="J283">
        <v>0.22078458613913399</v>
      </c>
      <c r="K283">
        <v>0.64780713170223803</v>
      </c>
      <c r="L283" t="s">
        <v>33</v>
      </c>
      <c r="M283" t="s">
        <v>34</v>
      </c>
      <c r="N283" t="s">
        <v>35</v>
      </c>
      <c r="O283">
        <v>0.80024192704869102</v>
      </c>
      <c r="P283" t="s">
        <v>36</v>
      </c>
    </row>
    <row r="284" spans="1:16">
      <c r="A284">
        <v>283</v>
      </c>
      <c r="B284" t="s">
        <v>336</v>
      </c>
      <c r="C284">
        <v>155</v>
      </c>
      <c r="D284">
        <v>101</v>
      </c>
      <c r="E284">
        <v>88.136492408749504</v>
      </c>
      <c r="F284">
        <v>1.5369754370988999</v>
      </c>
      <c r="G284">
        <v>6101.0053655954598</v>
      </c>
      <c r="H284">
        <v>732.86524061182297</v>
      </c>
      <c r="I284">
        <v>0.55910590856002396</v>
      </c>
      <c r="J284">
        <v>0.14274569626599501</v>
      </c>
      <c r="K284">
        <v>0.59108647130823</v>
      </c>
      <c r="L284" t="s">
        <v>45</v>
      </c>
      <c r="M284" t="s">
        <v>34</v>
      </c>
      <c r="N284" t="s">
        <v>35</v>
      </c>
      <c r="O284">
        <v>0.65973984308991396</v>
      </c>
      <c r="P284" t="s">
        <v>36</v>
      </c>
    </row>
    <row r="285" spans="1:16">
      <c r="A285">
        <v>284</v>
      </c>
      <c r="B285" t="s">
        <v>337</v>
      </c>
      <c r="C285">
        <v>223</v>
      </c>
      <c r="D285">
        <v>65</v>
      </c>
      <c r="E285">
        <v>81.184670029602202</v>
      </c>
      <c r="F285">
        <v>3.4161652785753001</v>
      </c>
      <c r="G285">
        <v>5176.5205338374299</v>
      </c>
      <c r="H285">
        <v>734.90441605567901</v>
      </c>
      <c r="I285">
        <v>0.82311070844241896</v>
      </c>
      <c r="J285">
        <v>0.12044425535659101</v>
      </c>
      <c r="K285">
        <v>0.54902578977236904</v>
      </c>
      <c r="L285" t="s">
        <v>45</v>
      </c>
      <c r="M285" t="s">
        <v>34</v>
      </c>
      <c r="N285" t="s">
        <v>35</v>
      </c>
      <c r="O285">
        <v>0.91018953221711796</v>
      </c>
      <c r="P285" t="s">
        <v>36</v>
      </c>
    </row>
    <row r="286" spans="1:16">
      <c r="A286">
        <v>285</v>
      </c>
      <c r="B286" t="s">
        <v>338</v>
      </c>
      <c r="C286">
        <v>87</v>
      </c>
      <c r="D286">
        <v>88</v>
      </c>
      <c r="E286">
        <v>82.5977885710207</v>
      </c>
      <c r="F286">
        <v>0.98148148148148195</v>
      </c>
      <c r="G286">
        <v>5358.2962491493399</v>
      </c>
      <c r="H286">
        <v>335.54231808527697</v>
      </c>
      <c r="I286">
        <v>0.63682466084519096</v>
      </c>
      <c r="J286">
        <v>0.59805618228235802</v>
      </c>
      <c r="K286">
        <v>0.90132006600329995</v>
      </c>
      <c r="L286" t="s">
        <v>132</v>
      </c>
      <c r="M286" t="s">
        <v>34</v>
      </c>
      <c r="N286" t="s">
        <v>35</v>
      </c>
      <c r="O286">
        <v>0.69242504180064901</v>
      </c>
      <c r="P286" t="s">
        <v>36</v>
      </c>
    </row>
    <row r="287" spans="1:16">
      <c r="A287">
        <v>286</v>
      </c>
      <c r="B287" t="s">
        <v>339</v>
      </c>
      <c r="C287">
        <v>197</v>
      </c>
      <c r="D287">
        <v>96</v>
      </c>
      <c r="E287">
        <v>108.12426521997</v>
      </c>
      <c r="F287">
        <v>2.0442634876838901</v>
      </c>
      <c r="G287">
        <v>9181.9774037807201</v>
      </c>
      <c r="H287">
        <v>725.06780553102499</v>
      </c>
      <c r="I287">
        <v>0.77922859490142005</v>
      </c>
      <c r="J287">
        <v>0.21947691126595301</v>
      </c>
      <c r="K287">
        <v>0.62337413345980397</v>
      </c>
      <c r="L287" t="s">
        <v>340</v>
      </c>
      <c r="M287" t="s">
        <v>34</v>
      </c>
      <c r="N287" t="s">
        <v>35</v>
      </c>
      <c r="O287">
        <v>0.69729374602851402</v>
      </c>
      <c r="P287" t="s">
        <v>36</v>
      </c>
    </row>
    <row r="288" spans="1:16">
      <c r="A288">
        <v>287</v>
      </c>
      <c r="B288" t="s">
        <v>341</v>
      </c>
      <c r="C288">
        <v>53</v>
      </c>
      <c r="D288">
        <v>107</v>
      </c>
      <c r="E288">
        <v>53.528742580604501</v>
      </c>
      <c r="F288">
        <v>0.49489795918367302</v>
      </c>
      <c r="G288">
        <v>2250.4219996219299</v>
      </c>
      <c r="H288">
        <v>464.748299198876</v>
      </c>
      <c r="I288">
        <v>0.67649254998066</v>
      </c>
      <c r="J288">
        <v>0.13092971139530399</v>
      </c>
      <c r="K288">
        <v>0.53888315478520799</v>
      </c>
      <c r="L288" t="s">
        <v>132</v>
      </c>
      <c r="M288" t="s">
        <v>34</v>
      </c>
      <c r="N288" t="s">
        <v>35</v>
      </c>
      <c r="O288">
        <v>0.802601365501595</v>
      </c>
      <c r="P288" t="s">
        <v>36</v>
      </c>
    </row>
    <row r="289" spans="1:16">
      <c r="A289">
        <v>288</v>
      </c>
      <c r="B289" t="s">
        <v>342</v>
      </c>
      <c r="C289">
        <v>98</v>
      </c>
      <c r="D289">
        <v>88</v>
      </c>
      <c r="E289">
        <v>98.787982673828694</v>
      </c>
      <c r="F289">
        <v>1.1118012634279699</v>
      </c>
      <c r="G289">
        <v>7664.7521364839304</v>
      </c>
      <c r="H289">
        <v>487.94411311906299</v>
      </c>
      <c r="I289">
        <v>0.53256936737864702</v>
      </c>
      <c r="J289">
        <v>0.40454590898092802</v>
      </c>
      <c r="K289">
        <v>0.92061196800914002</v>
      </c>
      <c r="L289" t="s">
        <v>33</v>
      </c>
      <c r="M289" t="s">
        <v>34</v>
      </c>
      <c r="N289" t="s">
        <v>35</v>
      </c>
      <c r="O289">
        <v>0.92576418713810904</v>
      </c>
      <c r="P289" t="s">
        <v>36</v>
      </c>
    </row>
    <row r="290" spans="1:16">
      <c r="A290">
        <v>289</v>
      </c>
      <c r="B290" t="s">
        <v>343</v>
      </c>
      <c r="C290">
        <v>75</v>
      </c>
      <c r="D290">
        <v>83</v>
      </c>
      <c r="E290">
        <v>67.163846470057706</v>
      </c>
      <c r="F290">
        <v>0.90789471834980195</v>
      </c>
      <c r="G290">
        <v>3542.9171920604899</v>
      </c>
      <c r="H290">
        <v>644.82502769335497</v>
      </c>
      <c r="I290">
        <v>0.66059835766553199</v>
      </c>
      <c r="J290">
        <v>0.107074756359243</v>
      </c>
      <c r="K290">
        <v>0.68033792847561103</v>
      </c>
      <c r="L290" t="s">
        <v>33</v>
      </c>
      <c r="M290" t="s">
        <v>34</v>
      </c>
      <c r="N290" t="s">
        <v>35</v>
      </c>
      <c r="O290">
        <v>0.93851120848344405</v>
      </c>
      <c r="P290" t="s">
        <v>36</v>
      </c>
    </row>
    <row r="291" spans="1:16">
      <c r="A291">
        <v>290</v>
      </c>
      <c r="B291" t="s">
        <v>344</v>
      </c>
      <c r="C291">
        <v>88</v>
      </c>
      <c r="D291">
        <v>118</v>
      </c>
      <c r="E291">
        <v>70.220454280535805</v>
      </c>
      <c r="F291">
        <v>0.74242846552332697</v>
      </c>
      <c r="G291">
        <v>3872.7293852552002</v>
      </c>
      <c r="H291">
        <v>681.89040806355695</v>
      </c>
      <c r="I291">
        <v>0.54853977016436095</v>
      </c>
      <c r="J291">
        <v>0.10466412620453699</v>
      </c>
      <c r="K291">
        <v>0.504199078911723</v>
      </c>
      <c r="L291" t="s">
        <v>33</v>
      </c>
      <c r="M291" t="s">
        <v>34</v>
      </c>
      <c r="N291" t="s">
        <v>35</v>
      </c>
      <c r="O291">
        <v>0.94024855087063497</v>
      </c>
      <c r="P291" t="s">
        <v>36</v>
      </c>
    </row>
    <row r="292" spans="1:16">
      <c r="A292">
        <v>291</v>
      </c>
      <c r="B292" t="s">
        <v>345</v>
      </c>
      <c r="C292">
        <v>107</v>
      </c>
      <c r="D292">
        <v>131</v>
      </c>
      <c r="E292">
        <v>97.781934540441299</v>
      </c>
      <c r="F292">
        <v>0.81475633485574905</v>
      </c>
      <c r="G292">
        <v>7509.4327395085102</v>
      </c>
      <c r="H292">
        <v>624.22804023804895</v>
      </c>
      <c r="I292">
        <v>0.50968909565626397</v>
      </c>
      <c r="J292">
        <v>0.24217563622045801</v>
      </c>
      <c r="K292">
        <v>0.70798593108473595</v>
      </c>
      <c r="L292" t="s">
        <v>33</v>
      </c>
      <c r="M292" t="s">
        <v>34</v>
      </c>
      <c r="N292" t="s">
        <v>35</v>
      </c>
      <c r="O292">
        <v>0.92725521646298503</v>
      </c>
      <c r="P292" t="s">
        <v>36</v>
      </c>
    </row>
    <row r="293" spans="1:16">
      <c r="A293">
        <v>292</v>
      </c>
      <c r="B293" t="s">
        <v>346</v>
      </c>
      <c r="C293">
        <v>82</v>
      </c>
      <c r="D293">
        <v>99</v>
      </c>
      <c r="E293">
        <v>74.593021387006999</v>
      </c>
      <c r="F293">
        <v>0.82407081384611802</v>
      </c>
      <c r="G293">
        <v>4370.0487175803401</v>
      </c>
      <c r="H293">
        <v>662.26258197660002</v>
      </c>
      <c r="I293">
        <v>0.64004020011635598</v>
      </c>
      <c r="J293">
        <v>0.12520904601337501</v>
      </c>
      <c r="K293">
        <v>0.72215945375055302</v>
      </c>
      <c r="L293" t="s">
        <v>33</v>
      </c>
      <c r="M293" t="s">
        <v>34</v>
      </c>
      <c r="N293" t="s">
        <v>35</v>
      </c>
      <c r="O293">
        <v>0.93261452925875898</v>
      </c>
      <c r="P293" t="s">
        <v>36</v>
      </c>
    </row>
    <row r="294" spans="1:16">
      <c r="A294">
        <v>293</v>
      </c>
      <c r="B294" t="s">
        <v>347</v>
      </c>
      <c r="C294">
        <v>141</v>
      </c>
      <c r="D294">
        <v>138</v>
      </c>
      <c r="E294">
        <v>102.86925079356899</v>
      </c>
      <c r="F294">
        <v>1.0237152972575301</v>
      </c>
      <c r="G294">
        <v>8311.1483637051006</v>
      </c>
      <c r="H294">
        <v>805.51809315951004</v>
      </c>
      <c r="I294">
        <v>0.507223815740797</v>
      </c>
      <c r="J294">
        <v>0.16096086582948499</v>
      </c>
      <c r="K294">
        <v>0.56547944097243297</v>
      </c>
      <c r="L294" t="s">
        <v>132</v>
      </c>
      <c r="M294" t="s">
        <v>34</v>
      </c>
      <c r="N294" t="s">
        <v>35</v>
      </c>
      <c r="O294">
        <v>0.76676843812366602</v>
      </c>
      <c r="P294" t="s">
        <v>36</v>
      </c>
    </row>
    <row r="295" spans="1:16">
      <c r="A295">
        <v>294</v>
      </c>
      <c r="B295" t="s">
        <v>348</v>
      </c>
      <c r="C295">
        <v>138</v>
      </c>
      <c r="D295">
        <v>135</v>
      </c>
      <c r="E295">
        <v>96.378405210147307</v>
      </c>
      <c r="F295">
        <v>1.02142039571843</v>
      </c>
      <c r="G295">
        <v>7295.4040967863903</v>
      </c>
      <c r="H295">
        <v>789.50364986813599</v>
      </c>
      <c r="I295">
        <v>0.51075056125121798</v>
      </c>
      <c r="J295">
        <v>0.147079089461671</v>
      </c>
      <c r="K295">
        <v>0.51138222393548904</v>
      </c>
      <c r="L295" t="s">
        <v>33</v>
      </c>
      <c r="M295" t="s">
        <v>34</v>
      </c>
      <c r="N295" t="s">
        <v>35</v>
      </c>
      <c r="O295">
        <v>0.93146481317018104</v>
      </c>
      <c r="P295" t="s">
        <v>36</v>
      </c>
    </row>
    <row r="296" spans="1:16">
      <c r="A296">
        <v>295</v>
      </c>
      <c r="B296" t="s">
        <v>349</v>
      </c>
      <c r="C296">
        <v>104</v>
      </c>
      <c r="D296">
        <v>222</v>
      </c>
      <c r="E296">
        <v>105.91923816579499</v>
      </c>
      <c r="F296">
        <v>0.46877626333359201</v>
      </c>
      <c r="G296">
        <v>8811.2916850661604</v>
      </c>
      <c r="H296">
        <v>930.62530267829504</v>
      </c>
      <c r="I296">
        <v>0.79989504728584204</v>
      </c>
      <c r="J296">
        <v>0.12784970477194599</v>
      </c>
      <c r="K296">
        <v>0.44422380913130499</v>
      </c>
      <c r="L296" t="s">
        <v>33</v>
      </c>
      <c r="M296" t="s">
        <v>34</v>
      </c>
      <c r="N296" t="s">
        <v>35</v>
      </c>
      <c r="O296">
        <v>0.94993297806453603</v>
      </c>
      <c r="P296" t="s">
        <v>36</v>
      </c>
    </row>
    <row r="297" spans="1:16">
      <c r="A297">
        <v>296</v>
      </c>
      <c r="B297" t="s">
        <v>350</v>
      </c>
      <c r="C297">
        <v>100</v>
      </c>
      <c r="D297">
        <v>84</v>
      </c>
      <c r="E297">
        <v>75.928221148082201</v>
      </c>
      <c r="F297">
        <v>1.1884058172371901</v>
      </c>
      <c r="G297">
        <v>4527.8948415879004</v>
      </c>
      <c r="H297">
        <v>452.28693226793501</v>
      </c>
      <c r="I297">
        <v>0.575509487744151</v>
      </c>
      <c r="J297">
        <v>0.27814939261872401</v>
      </c>
      <c r="K297">
        <v>0.709570726480796</v>
      </c>
      <c r="L297" t="s">
        <v>132</v>
      </c>
      <c r="M297" t="s">
        <v>34</v>
      </c>
      <c r="N297" t="s">
        <v>35</v>
      </c>
      <c r="O297">
        <v>0.66778023585967405</v>
      </c>
      <c r="P297" t="s">
        <v>36</v>
      </c>
    </row>
    <row r="298" spans="1:16">
      <c r="A298">
        <v>297</v>
      </c>
      <c r="B298" t="s">
        <v>351</v>
      </c>
      <c r="C298">
        <v>85</v>
      </c>
      <c r="D298">
        <v>142</v>
      </c>
      <c r="E298">
        <v>78.960721678679306</v>
      </c>
      <c r="F298">
        <v>0.59774028245210298</v>
      </c>
      <c r="G298">
        <v>4896.7969882797697</v>
      </c>
      <c r="H298">
        <v>579.64082702139206</v>
      </c>
      <c r="I298">
        <v>0.68270463676667303</v>
      </c>
      <c r="J298">
        <v>0.18314877936469201</v>
      </c>
      <c r="K298">
        <v>0.57879203120058997</v>
      </c>
      <c r="L298" t="s">
        <v>33</v>
      </c>
      <c r="M298" t="s">
        <v>34</v>
      </c>
      <c r="N298" t="s">
        <v>35</v>
      </c>
      <c r="O298">
        <v>0.94658604547198499</v>
      </c>
      <c r="P298" t="s">
        <v>36</v>
      </c>
    </row>
    <row r="299" spans="1:16">
      <c r="A299">
        <v>298</v>
      </c>
      <c r="B299" t="s">
        <v>352</v>
      </c>
      <c r="C299">
        <v>92</v>
      </c>
      <c r="D299">
        <v>78</v>
      </c>
      <c r="E299">
        <v>66.516902223705799</v>
      </c>
      <c r="F299">
        <v>1.1818181818181801</v>
      </c>
      <c r="G299">
        <v>3474.9928241965999</v>
      </c>
      <c r="H299">
        <v>680.83207300061804</v>
      </c>
      <c r="I299">
        <v>0.68225583004042301</v>
      </c>
      <c r="J299">
        <v>9.4207127779037295E-2</v>
      </c>
      <c r="K299">
        <v>0.60321473722232299</v>
      </c>
      <c r="L299" t="s">
        <v>132</v>
      </c>
      <c r="M299" t="s">
        <v>34</v>
      </c>
      <c r="N299" t="s">
        <v>35</v>
      </c>
      <c r="O299">
        <v>0.80492612201636204</v>
      </c>
      <c r="P299" t="s">
        <v>36</v>
      </c>
    </row>
    <row r="300" spans="1:16">
      <c r="A300">
        <v>299</v>
      </c>
      <c r="B300" t="s">
        <v>353</v>
      </c>
      <c r="C300">
        <v>133</v>
      </c>
      <c r="D300">
        <v>73</v>
      </c>
      <c r="E300">
        <v>84.088468674705396</v>
      </c>
      <c r="F300">
        <v>1.8237962971314201</v>
      </c>
      <c r="G300">
        <v>5553.4487546313803</v>
      </c>
      <c r="H300">
        <v>402.65609979940501</v>
      </c>
      <c r="I300">
        <v>0.56186745089832102</v>
      </c>
      <c r="J300">
        <v>0.430431520879825</v>
      </c>
      <c r="K300">
        <v>0.77012181297277205</v>
      </c>
      <c r="L300" t="s">
        <v>33</v>
      </c>
      <c r="M300" t="s">
        <v>34</v>
      </c>
      <c r="N300" t="s">
        <v>35</v>
      </c>
      <c r="O300">
        <v>0.95605443128655798</v>
      </c>
      <c r="P300" t="s">
        <v>36</v>
      </c>
    </row>
    <row r="301" spans="1:16">
      <c r="A301">
        <v>300</v>
      </c>
      <c r="B301" t="s">
        <v>354</v>
      </c>
      <c r="C301">
        <v>58</v>
      </c>
      <c r="D301">
        <v>59</v>
      </c>
      <c r="E301">
        <v>59.201164998851397</v>
      </c>
      <c r="F301">
        <v>0.99074074074074103</v>
      </c>
      <c r="G301">
        <v>2752.64615500945</v>
      </c>
      <c r="H301">
        <v>246.93532868136501</v>
      </c>
      <c r="I301">
        <v>0.68590449898999495</v>
      </c>
      <c r="J301">
        <v>0.567275196780338</v>
      </c>
      <c r="K301">
        <v>0.93445683435087501</v>
      </c>
      <c r="L301" t="s">
        <v>52</v>
      </c>
      <c r="M301" t="s">
        <v>34</v>
      </c>
      <c r="N301" t="s">
        <v>35</v>
      </c>
      <c r="O301">
        <v>0.773802150047879</v>
      </c>
      <c r="P301" t="s">
        <v>36</v>
      </c>
    </row>
    <row r="302" spans="1:16">
      <c r="A302">
        <v>301</v>
      </c>
      <c r="B302" t="s">
        <v>355</v>
      </c>
      <c r="C302">
        <v>44</v>
      </c>
      <c r="D302">
        <v>74</v>
      </c>
      <c r="E302">
        <v>50.7316767005941</v>
      </c>
      <c r="F302">
        <v>0.6</v>
      </c>
      <c r="G302">
        <v>2021.3816257088799</v>
      </c>
      <c r="H302">
        <v>238.92810703567801</v>
      </c>
      <c r="I302">
        <v>0.78111345665426402</v>
      </c>
      <c r="J302">
        <v>0.44496278838867798</v>
      </c>
      <c r="K302">
        <v>0.87707984006191198</v>
      </c>
      <c r="L302" t="s">
        <v>33</v>
      </c>
      <c r="M302" t="s">
        <v>34</v>
      </c>
      <c r="N302" t="s">
        <v>35</v>
      </c>
      <c r="O302">
        <v>0.91096193118568602</v>
      </c>
      <c r="P302" t="s">
        <v>36</v>
      </c>
    </row>
    <row r="303" spans="1:16">
      <c r="A303">
        <v>302</v>
      </c>
      <c r="B303" t="s">
        <v>356</v>
      </c>
      <c r="C303">
        <v>53</v>
      </c>
      <c r="D303">
        <v>57</v>
      </c>
      <c r="E303">
        <v>52.026346766685798</v>
      </c>
      <c r="F303">
        <v>0.92862291570516997</v>
      </c>
      <c r="G303">
        <v>2125.86922003781</v>
      </c>
      <c r="H303">
        <v>246.693442396807</v>
      </c>
      <c r="I303">
        <v>0.74450251619016405</v>
      </c>
      <c r="J303">
        <v>0.43896631749384901</v>
      </c>
      <c r="K303">
        <v>0.83200511895759399</v>
      </c>
      <c r="L303" t="s">
        <v>33</v>
      </c>
      <c r="M303" t="s">
        <v>34</v>
      </c>
      <c r="N303" t="s">
        <v>35</v>
      </c>
      <c r="O303">
        <v>0.79111887166808403</v>
      </c>
      <c r="P303" t="s">
        <v>36</v>
      </c>
    </row>
    <row r="304" spans="1:16">
      <c r="A304">
        <v>303</v>
      </c>
      <c r="B304" t="s">
        <v>357</v>
      </c>
      <c r="C304">
        <v>85</v>
      </c>
      <c r="D304">
        <v>119</v>
      </c>
      <c r="E304">
        <v>76.839947412975604</v>
      </c>
      <c r="F304">
        <v>0.71336354020016601</v>
      </c>
      <c r="G304">
        <v>4637.2872589792096</v>
      </c>
      <c r="H304">
        <v>497.42762672735302</v>
      </c>
      <c r="I304">
        <v>0.61239991571011199</v>
      </c>
      <c r="J304">
        <v>0.23551255250359401</v>
      </c>
      <c r="K304">
        <v>0.63652684837604001</v>
      </c>
      <c r="L304" t="s">
        <v>321</v>
      </c>
      <c r="M304" t="s">
        <v>34</v>
      </c>
      <c r="N304" t="s">
        <v>35</v>
      </c>
      <c r="O304">
        <v>0.70762932643336696</v>
      </c>
      <c r="P304" t="s">
        <v>36</v>
      </c>
    </row>
    <row r="305" spans="1:16">
      <c r="A305">
        <v>304</v>
      </c>
      <c r="B305" t="s">
        <v>358</v>
      </c>
      <c r="C305">
        <v>152</v>
      </c>
      <c r="D305">
        <v>144</v>
      </c>
      <c r="E305">
        <v>120.725841528641</v>
      </c>
      <c r="F305">
        <v>1.04905660377358</v>
      </c>
      <c r="G305">
        <v>11446.965241587901</v>
      </c>
      <c r="H305">
        <v>851.76802687852296</v>
      </c>
      <c r="I305">
        <v>0.53206145574966102</v>
      </c>
      <c r="J305">
        <v>0.19827025290922901</v>
      </c>
      <c r="K305">
        <v>0.63109763592412005</v>
      </c>
      <c r="L305" t="s">
        <v>33</v>
      </c>
      <c r="M305" t="s">
        <v>34</v>
      </c>
      <c r="N305" t="s">
        <v>35</v>
      </c>
      <c r="O305">
        <v>0.93922494063665596</v>
      </c>
      <c r="P305" t="s">
        <v>36</v>
      </c>
    </row>
    <row r="306" spans="1:16">
      <c r="A306">
        <v>305</v>
      </c>
      <c r="B306" t="s">
        <v>359</v>
      </c>
      <c r="C306">
        <v>90</v>
      </c>
      <c r="D306">
        <v>80</v>
      </c>
      <c r="E306">
        <v>82.340758896883798</v>
      </c>
      <c r="F306">
        <v>1.125</v>
      </c>
      <c r="G306">
        <v>5325</v>
      </c>
      <c r="H306">
        <v>313.13708305358898</v>
      </c>
      <c r="I306">
        <v>0.69686953560986598</v>
      </c>
      <c r="J306">
        <v>0.68243371205720205</v>
      </c>
      <c r="K306">
        <v>0.89495798319327702</v>
      </c>
      <c r="L306" t="s">
        <v>33</v>
      </c>
      <c r="M306" t="s">
        <v>34</v>
      </c>
      <c r="N306" t="s">
        <v>35</v>
      </c>
      <c r="O306">
        <v>0.91569273806840101</v>
      </c>
      <c r="P306" t="s">
        <v>36</v>
      </c>
    </row>
    <row r="307" spans="1:16">
      <c r="A307">
        <v>306</v>
      </c>
      <c r="B307" t="s">
        <v>360</v>
      </c>
      <c r="C307">
        <v>163</v>
      </c>
      <c r="D307">
        <v>74</v>
      </c>
      <c r="E307">
        <v>70.995032063878199</v>
      </c>
      <c r="F307">
        <v>2.1972673263198201</v>
      </c>
      <c r="G307">
        <v>3958.63810434783</v>
      </c>
      <c r="H307">
        <v>677.10909580334396</v>
      </c>
      <c r="I307">
        <v>0.54851610961266795</v>
      </c>
      <c r="J307">
        <v>0.108502156272217</v>
      </c>
      <c r="K307">
        <v>0.459001137421156</v>
      </c>
      <c r="L307" t="s">
        <v>33</v>
      </c>
      <c r="M307" t="s">
        <v>34</v>
      </c>
      <c r="N307" t="s">
        <v>35</v>
      </c>
      <c r="O307">
        <v>0.93978673698125603</v>
      </c>
      <c r="P307" t="s">
        <v>36</v>
      </c>
    </row>
    <row r="308" spans="1:16">
      <c r="A308">
        <v>307</v>
      </c>
      <c r="B308" t="s">
        <v>361</v>
      </c>
      <c r="C308">
        <v>93</v>
      </c>
      <c r="D308">
        <v>107</v>
      </c>
      <c r="E308">
        <v>76.327201754806794</v>
      </c>
      <c r="F308">
        <v>0.86294416243654803</v>
      </c>
      <c r="G308">
        <v>4575.6053931947099</v>
      </c>
      <c r="H308">
        <v>728.38222806712895</v>
      </c>
      <c r="I308">
        <v>0.69884955798576998</v>
      </c>
      <c r="J308">
        <v>0.108377653947185</v>
      </c>
      <c r="K308">
        <v>0.57581879056543805</v>
      </c>
      <c r="L308" t="s">
        <v>33</v>
      </c>
      <c r="M308" t="s">
        <v>34</v>
      </c>
      <c r="N308" t="s">
        <v>35</v>
      </c>
      <c r="O308">
        <v>0.94711495128144596</v>
      </c>
      <c r="P308" t="s">
        <v>36</v>
      </c>
    </row>
    <row r="309" spans="1:16">
      <c r="A309">
        <v>308</v>
      </c>
      <c r="B309" t="s">
        <v>362</v>
      </c>
      <c r="C309">
        <v>166</v>
      </c>
      <c r="D309">
        <v>186</v>
      </c>
      <c r="E309">
        <v>119.13528104021501</v>
      </c>
      <c r="F309">
        <v>0.89442813359649498</v>
      </c>
      <c r="G309">
        <v>11147.325141776901</v>
      </c>
      <c r="H309">
        <v>1964.43563181732</v>
      </c>
      <c r="I309">
        <v>0.64380182814354703</v>
      </c>
      <c r="J309">
        <v>3.6299858053895802E-2</v>
      </c>
      <c r="K309">
        <v>0.41349424691671099</v>
      </c>
      <c r="L309" t="s">
        <v>33</v>
      </c>
      <c r="M309" t="s">
        <v>34</v>
      </c>
      <c r="N309" t="s">
        <v>35</v>
      </c>
      <c r="O309">
        <v>0.94274955026893004</v>
      </c>
      <c r="P309" t="s">
        <v>36</v>
      </c>
    </row>
    <row r="310" spans="1:16">
      <c r="A310">
        <v>309</v>
      </c>
      <c r="B310" t="s">
        <v>363</v>
      </c>
      <c r="C310">
        <v>85</v>
      </c>
      <c r="D310">
        <v>123</v>
      </c>
      <c r="E310">
        <v>88.168693878229604</v>
      </c>
      <c r="F310">
        <v>0.69163752246701204</v>
      </c>
      <c r="G310">
        <v>6105.4642956521702</v>
      </c>
      <c r="H310">
        <v>466.50797940420102</v>
      </c>
      <c r="I310">
        <v>0.62563470548420697</v>
      </c>
      <c r="J310">
        <v>0.35254162886899698</v>
      </c>
      <c r="K310">
        <v>0.77954265110541798</v>
      </c>
      <c r="L310" t="s">
        <v>33</v>
      </c>
      <c r="M310" t="s">
        <v>34</v>
      </c>
      <c r="N310" t="s">
        <v>35</v>
      </c>
      <c r="O310">
        <v>0.93893434242824803</v>
      </c>
      <c r="P310" t="s">
        <v>36</v>
      </c>
    </row>
    <row r="311" spans="1:16">
      <c r="A311">
        <v>310</v>
      </c>
      <c r="B311" t="s">
        <v>364</v>
      </c>
      <c r="C311">
        <v>88</v>
      </c>
      <c r="D311">
        <v>58</v>
      </c>
      <c r="E311">
        <v>62.2033737289442</v>
      </c>
      <c r="F311">
        <v>1.5188679245283001</v>
      </c>
      <c r="G311">
        <v>3038.9094646502799</v>
      </c>
      <c r="H311">
        <v>385.15596230693501</v>
      </c>
      <c r="I311">
        <v>0.649605097703015</v>
      </c>
      <c r="J311">
        <v>0.257427165828154</v>
      </c>
      <c r="K311">
        <v>0.73919016630513401</v>
      </c>
      <c r="L311" t="s">
        <v>33</v>
      </c>
      <c r="M311" t="s">
        <v>34</v>
      </c>
      <c r="N311" t="s">
        <v>35</v>
      </c>
      <c r="O311">
        <v>0.92773388924049305</v>
      </c>
      <c r="P311" t="s">
        <v>36</v>
      </c>
    </row>
    <row r="312" spans="1:16">
      <c r="A312">
        <v>311</v>
      </c>
      <c r="B312" t="s">
        <v>365</v>
      </c>
      <c r="C312">
        <v>79</v>
      </c>
      <c r="D312">
        <v>111</v>
      </c>
      <c r="E312">
        <v>68.855657731059793</v>
      </c>
      <c r="F312">
        <v>0.70639779335513397</v>
      </c>
      <c r="G312">
        <v>3723.6524903591699</v>
      </c>
      <c r="H312">
        <v>719.43956100287699</v>
      </c>
      <c r="I312">
        <v>0.69221059808552798</v>
      </c>
      <c r="J312">
        <v>9.0404568347391398E-2</v>
      </c>
      <c r="K312">
        <v>0.52573814869997704</v>
      </c>
      <c r="L312" t="s">
        <v>33</v>
      </c>
      <c r="M312" t="s">
        <v>34</v>
      </c>
      <c r="N312" t="s">
        <v>35</v>
      </c>
      <c r="O312">
        <v>0.93667146135541701</v>
      </c>
      <c r="P312" t="s">
        <v>36</v>
      </c>
    </row>
    <row r="313" spans="1:16">
      <c r="A313">
        <v>312</v>
      </c>
      <c r="B313" t="s">
        <v>366</v>
      </c>
      <c r="C313">
        <v>78</v>
      </c>
      <c r="D313">
        <v>117</v>
      </c>
      <c r="E313">
        <v>85.317276797582807</v>
      </c>
      <c r="F313">
        <v>0.66822425175237199</v>
      </c>
      <c r="G313">
        <v>5716.9428567107798</v>
      </c>
      <c r="H313">
        <v>599.39154275272199</v>
      </c>
      <c r="I313">
        <v>0.62360165401746104</v>
      </c>
      <c r="J313">
        <v>0.199964312137804</v>
      </c>
      <c r="K313">
        <v>0.78866539541940905</v>
      </c>
      <c r="L313" t="s">
        <v>33</v>
      </c>
      <c r="M313" t="s">
        <v>34</v>
      </c>
      <c r="N313" t="s">
        <v>35</v>
      </c>
      <c r="O313">
        <v>0.94665143012926001</v>
      </c>
      <c r="P313" t="s">
        <v>36</v>
      </c>
    </row>
    <row r="314" spans="1:16">
      <c r="A314">
        <v>313</v>
      </c>
      <c r="B314" t="s">
        <v>367</v>
      </c>
      <c r="C314">
        <v>100</v>
      </c>
      <c r="D314">
        <v>112</v>
      </c>
      <c r="E314">
        <v>83.111695735042105</v>
      </c>
      <c r="F314">
        <v>0.89174033804820796</v>
      </c>
      <c r="G314">
        <v>5425.1801999999998</v>
      </c>
      <c r="H314">
        <v>618.59817947978604</v>
      </c>
      <c r="I314">
        <v>0.69743065432632501</v>
      </c>
      <c r="J314">
        <v>0.178158585930554</v>
      </c>
      <c r="K314">
        <v>0.67022272819081496</v>
      </c>
      <c r="L314" t="s">
        <v>33</v>
      </c>
      <c r="M314" t="s">
        <v>34</v>
      </c>
      <c r="N314" t="s">
        <v>35</v>
      </c>
      <c r="O314">
        <v>0.88338322197012298</v>
      </c>
      <c r="P314" t="s">
        <v>36</v>
      </c>
    </row>
    <row r="315" spans="1:16">
      <c r="A315">
        <v>314</v>
      </c>
      <c r="B315" t="s">
        <v>368</v>
      </c>
      <c r="C315">
        <v>155</v>
      </c>
      <c r="D315">
        <v>85</v>
      </c>
      <c r="E315">
        <v>92.300246396008006</v>
      </c>
      <c r="F315">
        <v>1.82468032826848</v>
      </c>
      <c r="G315">
        <v>6691.0704431001896</v>
      </c>
      <c r="H315">
        <v>612.31075231137504</v>
      </c>
      <c r="I315">
        <v>0.61163839431292899</v>
      </c>
      <c r="J315">
        <v>0.224265100171753</v>
      </c>
      <c r="K315">
        <v>0.62736736485639</v>
      </c>
      <c r="L315" t="s">
        <v>33</v>
      </c>
      <c r="M315" t="s">
        <v>34</v>
      </c>
      <c r="N315" t="s">
        <v>35</v>
      </c>
      <c r="O315">
        <v>0.942193470608643</v>
      </c>
      <c r="P315" t="s">
        <v>36</v>
      </c>
    </row>
    <row r="316" spans="1:16">
      <c r="A316">
        <v>315</v>
      </c>
      <c r="B316" t="s">
        <v>369</v>
      </c>
      <c r="C316">
        <v>77</v>
      </c>
      <c r="D316">
        <v>62</v>
      </c>
      <c r="E316">
        <v>61.488887478596098</v>
      </c>
      <c r="F316">
        <v>1.2399325402782999</v>
      </c>
      <c r="G316">
        <v>2969.4987867674899</v>
      </c>
      <c r="H316">
        <v>322.198026162541</v>
      </c>
      <c r="I316">
        <v>0.66212392625022498</v>
      </c>
      <c r="J316">
        <v>0.35945726463500499</v>
      </c>
      <c r="K316">
        <v>0.76574297650530798</v>
      </c>
      <c r="L316" t="s">
        <v>132</v>
      </c>
      <c r="M316" t="s">
        <v>34</v>
      </c>
      <c r="N316" t="s">
        <v>35</v>
      </c>
      <c r="O316">
        <v>0.84224647862370094</v>
      </c>
      <c r="P316" t="s">
        <v>36</v>
      </c>
    </row>
    <row r="317" spans="1:16">
      <c r="A317">
        <v>316</v>
      </c>
      <c r="B317" t="s">
        <v>370</v>
      </c>
      <c r="C317">
        <v>63</v>
      </c>
      <c r="D317">
        <v>63</v>
      </c>
      <c r="E317">
        <v>57.414471505480201</v>
      </c>
      <c r="F317">
        <v>0.99137930921085105</v>
      </c>
      <c r="G317">
        <v>2589.0034219281702</v>
      </c>
      <c r="H317">
        <v>447.14635331309398</v>
      </c>
      <c r="I317">
        <v>0.58916600082085002</v>
      </c>
      <c r="J317">
        <v>0.16272081171466199</v>
      </c>
      <c r="K317">
        <v>0.72146288933068303</v>
      </c>
      <c r="L317" t="s">
        <v>132</v>
      </c>
      <c r="M317" t="s">
        <v>34</v>
      </c>
      <c r="N317" t="s">
        <v>35</v>
      </c>
      <c r="O317">
        <v>0.80437714571680197</v>
      </c>
      <c r="P317" t="s">
        <v>36</v>
      </c>
    </row>
    <row r="318" spans="1:16">
      <c r="A318">
        <v>317</v>
      </c>
      <c r="B318" t="s">
        <v>371</v>
      </c>
      <c r="C318">
        <v>74</v>
      </c>
      <c r="D318">
        <v>92</v>
      </c>
      <c r="E318">
        <v>59.704092689548901</v>
      </c>
      <c r="F318">
        <v>0.79942540200543599</v>
      </c>
      <c r="G318">
        <v>2799.6135516068098</v>
      </c>
      <c r="H318">
        <v>495.567754358831</v>
      </c>
      <c r="I318">
        <v>0.66078512197236905</v>
      </c>
      <c r="J318">
        <v>0.14325238830155401</v>
      </c>
      <c r="K318">
        <v>0.60530882447458101</v>
      </c>
      <c r="L318" t="s">
        <v>83</v>
      </c>
      <c r="M318" t="s">
        <v>34</v>
      </c>
      <c r="N318" t="s">
        <v>35</v>
      </c>
      <c r="O318">
        <v>0.76354752216423505</v>
      </c>
      <c r="P318" t="s">
        <v>36</v>
      </c>
    </row>
    <row r="319" spans="1:16">
      <c r="A319">
        <v>318</v>
      </c>
      <c r="B319" t="s">
        <v>372</v>
      </c>
      <c r="C319">
        <v>118</v>
      </c>
      <c r="D319">
        <v>66</v>
      </c>
      <c r="E319">
        <v>69.065590278817297</v>
      </c>
      <c r="F319">
        <v>1.7993000064651501</v>
      </c>
      <c r="G319">
        <v>3746.39303364839</v>
      </c>
      <c r="H319">
        <v>498.04530740945199</v>
      </c>
      <c r="I319">
        <v>0.60557871805931696</v>
      </c>
      <c r="J319">
        <v>0.189795318626306</v>
      </c>
      <c r="K319">
        <v>0.673957219251337</v>
      </c>
      <c r="L319" t="s">
        <v>33</v>
      </c>
      <c r="M319" t="s">
        <v>34</v>
      </c>
      <c r="N319" t="s">
        <v>35</v>
      </c>
      <c r="O319">
        <v>0.95500724608718501</v>
      </c>
      <c r="P319" t="s">
        <v>36</v>
      </c>
    </row>
    <row r="320" spans="1:16">
      <c r="A320">
        <v>319</v>
      </c>
      <c r="B320" t="s">
        <v>373</v>
      </c>
      <c r="C320">
        <v>58</v>
      </c>
      <c r="D320">
        <v>127</v>
      </c>
      <c r="E320">
        <v>66.415826711155404</v>
      </c>
      <c r="F320">
        <v>0.45922746781115897</v>
      </c>
      <c r="G320">
        <v>3464.4400230623801</v>
      </c>
      <c r="H320">
        <v>655.16810826830203</v>
      </c>
      <c r="I320">
        <v>0.69130858623151903</v>
      </c>
      <c r="J320">
        <v>0.101423224349492</v>
      </c>
      <c r="K320">
        <v>0.56608218379638597</v>
      </c>
      <c r="L320" t="s">
        <v>33</v>
      </c>
      <c r="M320" t="s">
        <v>34</v>
      </c>
      <c r="N320" t="s">
        <v>35</v>
      </c>
      <c r="O320">
        <v>0.95647533940935303</v>
      </c>
      <c r="P320" t="s">
        <v>36</v>
      </c>
    </row>
    <row r="321" spans="1:16">
      <c r="A321">
        <v>320</v>
      </c>
      <c r="B321" t="s">
        <v>374</v>
      </c>
      <c r="C321">
        <v>69</v>
      </c>
      <c r="D321">
        <v>67</v>
      </c>
      <c r="E321">
        <v>50.351630742310398</v>
      </c>
      <c r="F321">
        <v>1.0256184458626301</v>
      </c>
      <c r="G321">
        <v>1991.2095323251399</v>
      </c>
      <c r="H321">
        <v>335.36073823586798</v>
      </c>
      <c r="I321">
        <v>0.57685443744330001</v>
      </c>
      <c r="J321">
        <v>0.222485848690406</v>
      </c>
      <c r="K321">
        <v>0.63710291040517397</v>
      </c>
      <c r="L321" t="s">
        <v>33</v>
      </c>
      <c r="M321" t="s">
        <v>34</v>
      </c>
      <c r="N321" t="s">
        <v>35</v>
      </c>
      <c r="O321">
        <v>0.91344754836876396</v>
      </c>
      <c r="P321" t="s">
        <v>36</v>
      </c>
    </row>
    <row r="322" spans="1:16">
      <c r="A322">
        <v>321</v>
      </c>
      <c r="B322" t="s">
        <v>375</v>
      </c>
      <c r="C322">
        <v>102</v>
      </c>
      <c r="D322">
        <v>49</v>
      </c>
      <c r="E322">
        <v>57.957406152728403</v>
      </c>
      <c r="F322">
        <v>2.10112361284297</v>
      </c>
      <c r="G322">
        <v>2638.2002835538801</v>
      </c>
      <c r="H322">
        <v>538.84306721542202</v>
      </c>
      <c r="I322">
        <v>0.80984660006711595</v>
      </c>
      <c r="J322">
        <v>0.114180785808773</v>
      </c>
      <c r="K322">
        <v>0.66238758069933201</v>
      </c>
      <c r="L322" t="s">
        <v>321</v>
      </c>
      <c r="M322" t="s">
        <v>34</v>
      </c>
      <c r="N322" t="s">
        <v>35</v>
      </c>
      <c r="O322">
        <v>0.80330341081288903</v>
      </c>
      <c r="P322" t="s">
        <v>36</v>
      </c>
    </row>
    <row r="323" spans="1:16">
      <c r="A323">
        <v>322</v>
      </c>
      <c r="B323" t="s">
        <v>376</v>
      </c>
      <c r="C323">
        <v>114</v>
      </c>
      <c r="D323">
        <v>203</v>
      </c>
      <c r="E323">
        <v>119.860592592812</v>
      </c>
      <c r="F323">
        <v>0.56295453630398695</v>
      </c>
      <c r="G323">
        <v>11283.4711395085</v>
      </c>
      <c r="H323">
        <v>1127.01705095374</v>
      </c>
      <c r="I323">
        <v>0.61563599373474598</v>
      </c>
      <c r="J323">
        <v>0.111632747349624</v>
      </c>
      <c r="K323">
        <v>0.59275569401825501</v>
      </c>
      <c r="L323" t="s">
        <v>83</v>
      </c>
      <c r="M323" t="s">
        <v>34</v>
      </c>
      <c r="N323" t="s">
        <v>35</v>
      </c>
      <c r="O323">
        <v>0.78117397701675395</v>
      </c>
      <c r="P323" t="s">
        <v>36</v>
      </c>
    </row>
    <row r="324" spans="1:16">
      <c r="A324">
        <v>323</v>
      </c>
      <c r="B324" t="s">
        <v>377</v>
      </c>
      <c r="C324">
        <v>83</v>
      </c>
      <c r="D324">
        <v>144</v>
      </c>
      <c r="E324">
        <v>86.7416119042297</v>
      </c>
      <c r="F324">
        <v>0.57886545734780903</v>
      </c>
      <c r="G324">
        <v>5909.4200041587901</v>
      </c>
      <c r="H324">
        <v>502.88920287888999</v>
      </c>
      <c r="I324">
        <v>0.65579693986974896</v>
      </c>
      <c r="J324">
        <v>0.29363654087944302</v>
      </c>
      <c r="K324">
        <v>0.69196630582338403</v>
      </c>
      <c r="L324" t="s">
        <v>33</v>
      </c>
      <c r="M324" t="s">
        <v>34</v>
      </c>
      <c r="N324" t="s">
        <v>35</v>
      </c>
      <c r="O324">
        <v>0.93755860504420696</v>
      </c>
      <c r="P324" t="s">
        <v>36</v>
      </c>
    </row>
    <row r="325" spans="1:16">
      <c r="A325">
        <v>324</v>
      </c>
      <c r="B325" t="s">
        <v>378</v>
      </c>
      <c r="C325">
        <v>121</v>
      </c>
      <c r="D325">
        <v>159</v>
      </c>
      <c r="E325">
        <v>111.44764346058599</v>
      </c>
      <c r="F325">
        <v>0.76114368079350703</v>
      </c>
      <c r="G325">
        <v>9755.0985470699507</v>
      </c>
      <c r="H325">
        <v>822.91025248040296</v>
      </c>
      <c r="I325">
        <v>0.58909960014983598</v>
      </c>
      <c r="J325">
        <v>0.18102417577702001</v>
      </c>
      <c r="K325">
        <v>0.620361443505548</v>
      </c>
      <c r="L325" t="s">
        <v>144</v>
      </c>
      <c r="M325" t="s">
        <v>34</v>
      </c>
      <c r="N325" t="s">
        <v>35</v>
      </c>
      <c r="O325">
        <v>0.70646868526585804</v>
      </c>
      <c r="P325" t="s">
        <v>36</v>
      </c>
    </row>
    <row r="326" spans="1:16">
      <c r="A326">
        <v>325</v>
      </c>
      <c r="B326" t="s">
        <v>379</v>
      </c>
      <c r="C326">
        <v>81</v>
      </c>
      <c r="D326">
        <v>50</v>
      </c>
      <c r="E326">
        <v>59.330486342392703</v>
      </c>
      <c r="F326">
        <v>1.63736263736264</v>
      </c>
      <c r="G326">
        <v>2764.6852661625699</v>
      </c>
      <c r="H326">
        <v>275.89718824687202</v>
      </c>
      <c r="I326">
        <v>0.62020744750110202</v>
      </c>
      <c r="J326">
        <v>0.45641616036801902</v>
      </c>
      <c r="K326">
        <v>0.874148221250999</v>
      </c>
      <c r="L326" t="s">
        <v>83</v>
      </c>
      <c r="M326" t="s">
        <v>34</v>
      </c>
      <c r="N326" t="s">
        <v>35</v>
      </c>
      <c r="O326">
        <v>0.82817073507803396</v>
      </c>
      <c r="P326" t="s">
        <v>36</v>
      </c>
    </row>
    <row r="327" spans="1:16">
      <c r="A327">
        <v>326</v>
      </c>
      <c r="B327" t="s">
        <v>380</v>
      </c>
      <c r="C327">
        <v>98</v>
      </c>
      <c r="D327">
        <v>82</v>
      </c>
      <c r="E327">
        <v>64.075143752230801</v>
      </c>
      <c r="F327">
        <v>1.19205298013245</v>
      </c>
      <c r="G327">
        <v>3224.5495860113401</v>
      </c>
      <c r="H327">
        <v>622.75174827544595</v>
      </c>
      <c r="I327">
        <v>0.55260524073612405</v>
      </c>
      <c r="J327">
        <v>0.104483812928846</v>
      </c>
      <c r="K327">
        <v>0.48219683499288801</v>
      </c>
      <c r="L327" t="s">
        <v>321</v>
      </c>
      <c r="M327" t="s">
        <v>34</v>
      </c>
      <c r="N327" t="s">
        <v>35</v>
      </c>
      <c r="O327">
        <v>0.81096395121446896</v>
      </c>
      <c r="P327" t="s">
        <v>36</v>
      </c>
    </row>
    <row r="328" spans="1:16">
      <c r="A328">
        <v>327</v>
      </c>
      <c r="B328" t="s">
        <v>381</v>
      </c>
      <c r="C328">
        <v>39</v>
      </c>
      <c r="D328">
        <v>68</v>
      </c>
      <c r="E328">
        <v>51.551310477043401</v>
      </c>
      <c r="F328">
        <v>0.57599999999999996</v>
      </c>
      <c r="G328">
        <v>2087.2251595463099</v>
      </c>
      <c r="H328">
        <v>257.62988994256301</v>
      </c>
      <c r="I328">
        <v>0.60599863785494601</v>
      </c>
      <c r="J328">
        <v>0.39517245878715201</v>
      </c>
      <c r="K328">
        <v>0.89060121765601197</v>
      </c>
      <c r="L328" t="s">
        <v>45</v>
      </c>
      <c r="M328" t="s">
        <v>34</v>
      </c>
      <c r="N328" t="s">
        <v>35</v>
      </c>
      <c r="O328">
        <v>0.78602098606366799</v>
      </c>
      <c r="P328" t="s">
        <v>36</v>
      </c>
    </row>
    <row r="329" spans="1:16">
      <c r="A329">
        <v>328</v>
      </c>
      <c r="B329" t="s">
        <v>382</v>
      </c>
      <c r="C329">
        <v>152</v>
      </c>
      <c r="D329">
        <v>122</v>
      </c>
      <c r="E329">
        <v>102.092749526348</v>
      </c>
      <c r="F329">
        <v>1.2440629639883301</v>
      </c>
      <c r="G329">
        <v>8186.1496911153099</v>
      </c>
      <c r="H329">
        <v>787.95213999758596</v>
      </c>
      <c r="I329">
        <v>0.54411190934160203</v>
      </c>
      <c r="J329">
        <v>0.165687546571848</v>
      </c>
      <c r="K329">
        <v>0.56380517566128896</v>
      </c>
      <c r="L329" t="s">
        <v>83</v>
      </c>
      <c r="M329" t="s">
        <v>34</v>
      </c>
      <c r="N329" t="s">
        <v>35</v>
      </c>
      <c r="O329">
        <v>0.766896641227924</v>
      </c>
      <c r="P329" t="s">
        <v>36</v>
      </c>
    </row>
    <row r="330" spans="1:16">
      <c r="A330">
        <v>329</v>
      </c>
      <c r="B330" t="s">
        <v>383</v>
      </c>
      <c r="C330">
        <v>63</v>
      </c>
      <c r="D330">
        <v>93</v>
      </c>
      <c r="E330">
        <v>64.733336483313295</v>
      </c>
      <c r="F330">
        <v>0.68235294117647105</v>
      </c>
      <c r="G330">
        <v>3291.1362748582201</v>
      </c>
      <c r="H330">
        <v>480.38856432282398</v>
      </c>
      <c r="I330">
        <v>0.68647663528931202</v>
      </c>
      <c r="J330">
        <v>0.17921337078566399</v>
      </c>
      <c r="K330">
        <v>0.74898525233391999</v>
      </c>
      <c r="L330" t="s">
        <v>33</v>
      </c>
      <c r="M330" t="s">
        <v>34</v>
      </c>
      <c r="N330" t="s">
        <v>35</v>
      </c>
      <c r="O330">
        <v>0.94260571827286899</v>
      </c>
      <c r="P330" t="s">
        <v>36</v>
      </c>
    </row>
    <row r="331" spans="1:16">
      <c r="A331">
        <v>330</v>
      </c>
      <c r="B331" t="s">
        <v>384</v>
      </c>
      <c r="C331">
        <v>69</v>
      </c>
      <c r="D331">
        <v>83</v>
      </c>
      <c r="E331">
        <v>58.058539301652303</v>
      </c>
      <c r="F331">
        <v>0.82894736842105299</v>
      </c>
      <c r="G331">
        <v>2647.41540567108</v>
      </c>
      <c r="H331">
        <v>571.04023840489594</v>
      </c>
      <c r="I331">
        <v>0.70429447173247794</v>
      </c>
      <c r="J331">
        <v>0.10202310384463401</v>
      </c>
      <c r="K331">
        <v>0.54537660747091199</v>
      </c>
      <c r="L331" t="s">
        <v>321</v>
      </c>
      <c r="M331" t="s">
        <v>34</v>
      </c>
      <c r="N331" t="s">
        <v>35</v>
      </c>
      <c r="O331">
        <v>0.76587658334828901</v>
      </c>
      <c r="P331" t="s">
        <v>36</v>
      </c>
    </row>
    <row r="332" spans="1:16">
      <c r="A332">
        <v>331</v>
      </c>
      <c r="B332" t="s">
        <v>385</v>
      </c>
      <c r="C332">
        <v>157</v>
      </c>
      <c r="D332">
        <v>49</v>
      </c>
      <c r="E332">
        <v>68.793790944123302</v>
      </c>
      <c r="F332">
        <v>3.2</v>
      </c>
      <c r="G332">
        <v>3716.9640952741001</v>
      </c>
      <c r="H332">
        <v>587.835137750792</v>
      </c>
      <c r="I332">
        <v>0.85081644892536901</v>
      </c>
      <c r="J332">
        <v>0.13517212622557501</v>
      </c>
      <c r="K332">
        <v>0.68794014084507005</v>
      </c>
      <c r="L332" t="s">
        <v>96</v>
      </c>
      <c r="M332" t="s">
        <v>34</v>
      </c>
      <c r="N332" t="s">
        <v>35</v>
      </c>
      <c r="O332">
        <v>0.877410327029713</v>
      </c>
      <c r="P332" t="s">
        <v>36</v>
      </c>
    </row>
    <row r="333" spans="1:16">
      <c r="A333">
        <v>332</v>
      </c>
      <c r="B333" t="s">
        <v>386</v>
      </c>
      <c r="C333">
        <v>88</v>
      </c>
      <c r="D333">
        <v>98</v>
      </c>
      <c r="E333">
        <v>73.589224377395595</v>
      </c>
      <c r="F333">
        <v>0.89944134078212301</v>
      </c>
      <c r="G333">
        <v>4253.2247500945195</v>
      </c>
      <c r="H333">
        <v>641.12474797725702</v>
      </c>
      <c r="I333">
        <v>0.657405448021817</v>
      </c>
      <c r="J333">
        <v>0.13002986562560401</v>
      </c>
      <c r="K333">
        <v>0.62969808995687004</v>
      </c>
      <c r="L333" t="s">
        <v>83</v>
      </c>
      <c r="M333" t="s">
        <v>34</v>
      </c>
      <c r="N333" t="s">
        <v>35</v>
      </c>
      <c r="O333">
        <v>0.80603594178323501</v>
      </c>
      <c r="P333" t="s">
        <v>36</v>
      </c>
    </row>
    <row r="334" spans="1:16">
      <c r="A334">
        <v>333</v>
      </c>
      <c r="B334" t="s">
        <v>387</v>
      </c>
      <c r="C334">
        <v>84</v>
      </c>
      <c r="D334">
        <v>83</v>
      </c>
      <c r="E334">
        <v>78.472689281880804</v>
      </c>
      <c r="F334">
        <v>1.0066348319023199</v>
      </c>
      <c r="G334">
        <v>4836.4528015122896</v>
      </c>
      <c r="H334">
        <v>326.12528069040098</v>
      </c>
      <c r="I334">
        <v>0.68297596730351795</v>
      </c>
      <c r="J334">
        <v>0.57143638027566301</v>
      </c>
      <c r="K334">
        <v>0.86464367327416702</v>
      </c>
      <c r="L334" t="s">
        <v>33</v>
      </c>
      <c r="M334" t="s">
        <v>34</v>
      </c>
      <c r="N334" t="s">
        <v>35</v>
      </c>
      <c r="O334">
        <v>0.94831798232629505</v>
      </c>
      <c r="P334" t="s">
        <v>36</v>
      </c>
    </row>
    <row r="335" spans="1:16">
      <c r="A335">
        <v>334</v>
      </c>
      <c r="B335" t="s">
        <v>388</v>
      </c>
      <c r="C335">
        <v>77</v>
      </c>
      <c r="D335">
        <v>57</v>
      </c>
      <c r="E335">
        <v>57.505042353332101</v>
      </c>
      <c r="F335">
        <v>1.34747137397655</v>
      </c>
      <c r="G335">
        <v>2597.1781270321399</v>
      </c>
      <c r="H335">
        <v>306.27047979168299</v>
      </c>
      <c r="I335">
        <v>0.62682563018128901</v>
      </c>
      <c r="J335">
        <v>0.34793756751122701</v>
      </c>
      <c r="K335">
        <v>0.80868196964087402</v>
      </c>
      <c r="L335" t="s">
        <v>33</v>
      </c>
      <c r="M335" t="s">
        <v>34</v>
      </c>
      <c r="N335" t="s">
        <v>35</v>
      </c>
      <c r="O335">
        <v>0.88795101830344503</v>
      </c>
      <c r="P335" t="s">
        <v>36</v>
      </c>
    </row>
    <row r="336" spans="1:16">
      <c r="A336">
        <v>335</v>
      </c>
      <c r="B336" t="s">
        <v>389</v>
      </c>
      <c r="C336">
        <v>98</v>
      </c>
      <c r="D336">
        <v>54</v>
      </c>
      <c r="E336">
        <v>56.936195421370201</v>
      </c>
      <c r="F336">
        <v>1.80808080808081</v>
      </c>
      <c r="G336">
        <v>2546.04906238185</v>
      </c>
      <c r="H336">
        <v>531.73919126863098</v>
      </c>
      <c r="I336">
        <v>0.72379910753305299</v>
      </c>
      <c r="J336">
        <v>0.113156443947714</v>
      </c>
      <c r="K336">
        <v>0.61316533629237202</v>
      </c>
      <c r="L336" t="s">
        <v>33</v>
      </c>
      <c r="M336" t="s">
        <v>34</v>
      </c>
      <c r="N336" t="s">
        <v>35</v>
      </c>
      <c r="O336">
        <v>0.93945449100661005</v>
      </c>
      <c r="P336" t="s">
        <v>36</v>
      </c>
    </row>
    <row r="337" spans="1:16">
      <c r="A337">
        <v>336</v>
      </c>
      <c r="B337" t="s">
        <v>390</v>
      </c>
      <c r="C337">
        <v>127</v>
      </c>
      <c r="D337">
        <v>68</v>
      </c>
      <c r="E337">
        <v>70.159790979247504</v>
      </c>
      <c r="F337">
        <v>1.8640000000000001</v>
      </c>
      <c r="G337">
        <v>3866.04099017013</v>
      </c>
      <c r="H337">
        <v>615.04121011516304</v>
      </c>
      <c r="I337">
        <v>0.63433673138434599</v>
      </c>
      <c r="J337">
        <v>0.12843041506265299</v>
      </c>
      <c r="K337">
        <v>0.58114750435676299</v>
      </c>
      <c r="L337" t="s">
        <v>45</v>
      </c>
      <c r="M337" t="s">
        <v>34</v>
      </c>
      <c r="N337" t="s">
        <v>35</v>
      </c>
      <c r="O337">
        <v>0.78805273902020001</v>
      </c>
      <c r="P337" t="s">
        <v>36</v>
      </c>
    </row>
    <row r="338" spans="1:16">
      <c r="A338">
        <v>337</v>
      </c>
      <c r="B338" t="s">
        <v>391</v>
      </c>
      <c r="C338">
        <v>506</v>
      </c>
      <c r="D338">
        <v>62</v>
      </c>
      <c r="E338">
        <v>79.087225665789305</v>
      </c>
      <c r="F338">
        <v>8.1436874446866092</v>
      </c>
      <c r="G338">
        <v>4912.5</v>
      </c>
      <c r="H338">
        <v>1162.4621075391799</v>
      </c>
      <c r="I338">
        <v>0.301159128999341</v>
      </c>
      <c r="J338">
        <v>4.5683021112489397E-2</v>
      </c>
      <c r="K338">
        <v>0.20684210526315799</v>
      </c>
      <c r="L338" t="s">
        <v>169</v>
      </c>
      <c r="M338" t="s">
        <v>34</v>
      </c>
      <c r="N338" t="s">
        <v>35</v>
      </c>
      <c r="O338">
        <v>0.77881906675412604</v>
      </c>
      <c r="P338" t="s">
        <v>36</v>
      </c>
    </row>
    <row r="339" spans="1:16">
      <c r="A339">
        <v>338</v>
      </c>
      <c r="B339" t="s">
        <v>392</v>
      </c>
      <c r="C339">
        <v>90</v>
      </c>
      <c r="D339">
        <v>77</v>
      </c>
      <c r="E339">
        <v>78.611232613961405</v>
      </c>
      <c r="F339">
        <v>1.1648106459046801</v>
      </c>
      <c r="G339">
        <v>4853.5453667296797</v>
      </c>
      <c r="H339">
        <v>322.79917914172898</v>
      </c>
      <c r="I339">
        <v>0.65554269924386999</v>
      </c>
      <c r="J339">
        <v>0.58533448868314897</v>
      </c>
      <c r="K339">
        <v>0.85196587440319305</v>
      </c>
      <c r="L339" t="s">
        <v>33</v>
      </c>
      <c r="M339" t="s">
        <v>34</v>
      </c>
      <c r="N339" t="s">
        <v>35</v>
      </c>
      <c r="O339">
        <v>0.92977943357869497</v>
      </c>
      <c r="P339" t="s">
        <v>36</v>
      </c>
    </row>
    <row r="340" spans="1:16">
      <c r="A340">
        <v>339</v>
      </c>
      <c r="B340" t="s">
        <v>393</v>
      </c>
      <c r="C340">
        <v>230</v>
      </c>
      <c r="D340">
        <v>226</v>
      </c>
      <c r="E340">
        <v>145.137873259222</v>
      </c>
      <c r="F340">
        <v>1.0180588569926801</v>
      </c>
      <c r="G340">
        <v>16544.414082419698</v>
      </c>
      <c r="H340">
        <v>1891.5901809516199</v>
      </c>
      <c r="I340">
        <v>0.60902064137613898</v>
      </c>
      <c r="J340">
        <v>5.81041501425806E-2</v>
      </c>
      <c r="K340">
        <v>0.42522987825143499</v>
      </c>
      <c r="L340" t="s">
        <v>45</v>
      </c>
      <c r="M340" t="s">
        <v>34</v>
      </c>
      <c r="N340" t="s">
        <v>35</v>
      </c>
      <c r="O340">
        <v>0.79185009503826198</v>
      </c>
      <c r="P340" t="s">
        <v>36</v>
      </c>
    </row>
    <row r="341" spans="1:16">
      <c r="A341">
        <v>340</v>
      </c>
      <c r="B341" t="s">
        <v>394</v>
      </c>
      <c r="C341">
        <v>201</v>
      </c>
      <c r="D341">
        <v>173</v>
      </c>
      <c r="E341">
        <v>119.9757938736</v>
      </c>
      <c r="F341">
        <v>1.1572327345808899</v>
      </c>
      <c r="G341">
        <v>11305.1712657845</v>
      </c>
      <c r="H341">
        <v>1437.70796008089</v>
      </c>
      <c r="I341">
        <v>0.64750774532331201</v>
      </c>
      <c r="J341">
        <v>6.8729891048949901E-2</v>
      </c>
      <c r="K341">
        <v>0.49090944294925198</v>
      </c>
      <c r="L341" t="s">
        <v>33</v>
      </c>
      <c r="M341" t="s">
        <v>34</v>
      </c>
      <c r="N341" t="s">
        <v>35</v>
      </c>
      <c r="O341">
        <v>0.93491292743959897</v>
      </c>
      <c r="P341" t="s">
        <v>36</v>
      </c>
    </row>
    <row r="342" spans="1:16">
      <c r="A342">
        <v>341</v>
      </c>
      <c r="B342" t="s">
        <v>395</v>
      </c>
      <c r="C342">
        <v>59</v>
      </c>
      <c r="D342">
        <v>146</v>
      </c>
      <c r="E342">
        <v>82.491181892304496</v>
      </c>
      <c r="F342">
        <v>0.40671641791044799</v>
      </c>
      <c r="G342">
        <v>5344.4735659735397</v>
      </c>
      <c r="H342">
        <v>631.02193745675299</v>
      </c>
      <c r="I342">
        <v>0.83653246080314103</v>
      </c>
      <c r="J342">
        <v>0.16866535390281301</v>
      </c>
      <c r="K342">
        <v>0.721613485851896</v>
      </c>
      <c r="L342" t="s">
        <v>132</v>
      </c>
      <c r="M342" t="s">
        <v>34</v>
      </c>
      <c r="N342" t="s">
        <v>35</v>
      </c>
      <c r="O342">
        <v>0.88506073210048297</v>
      </c>
      <c r="P342" t="s">
        <v>36</v>
      </c>
    </row>
    <row r="343" spans="1:16">
      <c r="A343">
        <v>342</v>
      </c>
      <c r="B343" t="s">
        <v>396</v>
      </c>
      <c r="C343">
        <v>69</v>
      </c>
      <c r="D343">
        <v>86</v>
      </c>
      <c r="E343">
        <v>59.829164046871803</v>
      </c>
      <c r="F343">
        <v>0.80254777070063699</v>
      </c>
      <c r="G343">
        <v>2811.3554007561402</v>
      </c>
      <c r="H343">
        <v>404.84637160311598</v>
      </c>
      <c r="I343">
        <v>0.68660037273864805</v>
      </c>
      <c r="J343">
        <v>0.21554855329379399</v>
      </c>
      <c r="K343">
        <v>0.59374705716169096</v>
      </c>
      <c r="L343" t="s">
        <v>52</v>
      </c>
      <c r="M343" t="s">
        <v>34</v>
      </c>
      <c r="N343" t="s">
        <v>35</v>
      </c>
      <c r="O343">
        <v>0.86191232146378005</v>
      </c>
      <c r="P343" t="s">
        <v>36</v>
      </c>
    </row>
    <row r="344" spans="1:16">
      <c r="A344">
        <v>343</v>
      </c>
      <c r="B344" t="s">
        <v>397</v>
      </c>
      <c r="C344">
        <v>53</v>
      </c>
      <c r="D344">
        <v>78</v>
      </c>
      <c r="E344">
        <v>58.179016476396797</v>
      </c>
      <c r="F344">
        <v>0.68531468531468498</v>
      </c>
      <c r="G344">
        <v>2658.4140998109601</v>
      </c>
      <c r="H344">
        <v>261.110980855278</v>
      </c>
      <c r="I344">
        <v>0.79186003327648102</v>
      </c>
      <c r="J344">
        <v>0.48998436623331898</v>
      </c>
      <c r="K344">
        <v>0.88277972459404797</v>
      </c>
      <c r="L344" t="s">
        <v>83</v>
      </c>
      <c r="M344" t="s">
        <v>34</v>
      </c>
      <c r="N344" t="s">
        <v>35</v>
      </c>
      <c r="O344">
        <v>0.81384076920028903</v>
      </c>
      <c r="P344" t="s">
        <v>36</v>
      </c>
    </row>
    <row r="345" spans="1:16">
      <c r="A345">
        <v>344</v>
      </c>
      <c r="B345" t="s">
        <v>398</v>
      </c>
      <c r="C345">
        <v>87</v>
      </c>
      <c r="D345">
        <v>53</v>
      </c>
      <c r="E345">
        <v>60.8282547687784</v>
      </c>
      <c r="F345">
        <v>1.65326138948658</v>
      </c>
      <c r="G345">
        <v>2906.0333489602999</v>
      </c>
      <c r="H345">
        <v>303.52834297532598</v>
      </c>
      <c r="I345">
        <v>0.50686398804494504</v>
      </c>
      <c r="J345">
        <v>0.39638020310599997</v>
      </c>
      <c r="K345">
        <v>0.82879064049849505</v>
      </c>
      <c r="L345" t="s">
        <v>75</v>
      </c>
      <c r="M345" t="s">
        <v>34</v>
      </c>
      <c r="N345" t="s">
        <v>35</v>
      </c>
      <c r="O345">
        <v>0.846834515748908</v>
      </c>
      <c r="P345" t="s">
        <v>36</v>
      </c>
    </row>
    <row r="346" spans="1:16">
      <c r="A346">
        <v>345</v>
      </c>
      <c r="B346" t="s">
        <v>399</v>
      </c>
      <c r="C346">
        <v>77</v>
      </c>
      <c r="D346">
        <v>127</v>
      </c>
      <c r="E346">
        <v>75.857154726293203</v>
      </c>
      <c r="F346">
        <v>0.60944206008583701</v>
      </c>
      <c r="G346">
        <v>4519.4228744801503</v>
      </c>
      <c r="H346">
        <v>848.74962728386299</v>
      </c>
      <c r="I346">
        <v>0.81492070192858301</v>
      </c>
      <c r="J346">
        <v>7.8837646363829297E-2</v>
      </c>
      <c r="K346">
        <v>0.58578639130769805</v>
      </c>
      <c r="L346" t="s">
        <v>75</v>
      </c>
      <c r="M346" t="s">
        <v>34</v>
      </c>
      <c r="N346" t="s">
        <v>35</v>
      </c>
      <c r="O346">
        <v>0.86191279313510205</v>
      </c>
      <c r="P346" t="s">
        <v>36</v>
      </c>
    </row>
    <row r="347" spans="1:16">
      <c r="A347">
        <v>346</v>
      </c>
      <c r="B347" t="s">
        <v>400</v>
      </c>
      <c r="C347">
        <v>107</v>
      </c>
      <c r="D347">
        <v>135</v>
      </c>
      <c r="E347">
        <v>90.853703655443894</v>
      </c>
      <c r="F347">
        <v>0.79032258064516103</v>
      </c>
      <c r="G347">
        <v>6482.9870404536896</v>
      </c>
      <c r="H347">
        <v>556.12401590450997</v>
      </c>
      <c r="I347">
        <v>0.60731266631002401</v>
      </c>
      <c r="J347">
        <v>0.263415736954771</v>
      </c>
      <c r="K347">
        <v>0.58913786350068198</v>
      </c>
      <c r="L347" t="s">
        <v>33</v>
      </c>
      <c r="M347" t="s">
        <v>34</v>
      </c>
      <c r="N347" t="s">
        <v>35</v>
      </c>
      <c r="O347">
        <v>0.88332306086455403</v>
      </c>
      <c r="P347" t="s">
        <v>36</v>
      </c>
    </row>
    <row r="348" spans="1:16">
      <c r="A348">
        <v>347</v>
      </c>
      <c r="B348" t="s">
        <v>401</v>
      </c>
      <c r="C348">
        <v>108</v>
      </c>
      <c r="D348">
        <v>174</v>
      </c>
      <c r="E348">
        <v>113.857432891299</v>
      </c>
      <c r="F348">
        <v>0.62005351108195605</v>
      </c>
      <c r="G348">
        <v>10181.520891493399</v>
      </c>
      <c r="H348">
        <v>747.008793066066</v>
      </c>
      <c r="I348">
        <v>0.55156623507296698</v>
      </c>
      <c r="J348">
        <v>0.22928259736610199</v>
      </c>
      <c r="K348">
        <v>0.65843249581883501</v>
      </c>
      <c r="L348" t="s">
        <v>33</v>
      </c>
      <c r="M348" t="s">
        <v>34</v>
      </c>
      <c r="N348" t="s">
        <v>35</v>
      </c>
      <c r="O348">
        <v>0.93846106672191798</v>
      </c>
      <c r="P348" t="s">
        <v>36</v>
      </c>
    </row>
    <row r="349" spans="1:16">
      <c r="A349">
        <v>348</v>
      </c>
      <c r="B349" t="s">
        <v>402</v>
      </c>
      <c r="C349">
        <v>49</v>
      </c>
      <c r="D349">
        <v>125</v>
      </c>
      <c r="E349">
        <v>57.465538083256398</v>
      </c>
      <c r="F349">
        <v>0.39348066874854398</v>
      </c>
      <c r="G349">
        <v>2593.6109829867701</v>
      </c>
      <c r="H349">
        <v>524.02865310834795</v>
      </c>
      <c r="I349">
        <v>0.48364587316393498</v>
      </c>
      <c r="J349">
        <v>0.118687404378233</v>
      </c>
      <c r="K349">
        <v>0.58809652197357798</v>
      </c>
      <c r="L349" t="s">
        <v>33</v>
      </c>
      <c r="M349" t="s">
        <v>34</v>
      </c>
      <c r="N349" t="s">
        <v>35</v>
      </c>
      <c r="O349">
        <v>0.88219126469096798</v>
      </c>
      <c r="P349" t="s">
        <v>36</v>
      </c>
    </row>
    <row r="350" spans="1:16">
      <c r="A350">
        <v>349</v>
      </c>
      <c r="B350" t="s">
        <v>403</v>
      </c>
      <c r="C350">
        <v>95</v>
      </c>
      <c r="D350">
        <v>78</v>
      </c>
      <c r="E350">
        <v>86.204344362545996</v>
      </c>
      <c r="F350">
        <v>1.21448917913042</v>
      </c>
      <c r="G350">
        <v>5836.4421822306203</v>
      </c>
      <c r="H350">
        <v>338.04256861707398</v>
      </c>
      <c r="I350">
        <v>0.64178505629317295</v>
      </c>
      <c r="J350">
        <v>0.64182298433842999</v>
      </c>
      <c r="K350">
        <v>0.92534640399660695</v>
      </c>
      <c r="L350" t="s">
        <v>132</v>
      </c>
      <c r="M350" t="s">
        <v>34</v>
      </c>
      <c r="N350" t="s">
        <v>35</v>
      </c>
      <c r="O350">
        <v>0.77834080747217504</v>
      </c>
      <c r="P350" t="s">
        <v>36</v>
      </c>
    </row>
    <row r="351" spans="1:16">
      <c r="A351">
        <v>350</v>
      </c>
      <c r="B351" t="s">
        <v>404</v>
      </c>
      <c r="C351">
        <v>76</v>
      </c>
      <c r="D351">
        <v>83</v>
      </c>
      <c r="E351">
        <v>77.7681672504375</v>
      </c>
      <c r="F351">
        <v>0.91891876782278203</v>
      </c>
      <c r="G351">
        <v>4750</v>
      </c>
      <c r="H351">
        <v>267.27921843528702</v>
      </c>
      <c r="I351">
        <v>0.70434596719271603</v>
      </c>
      <c r="J351">
        <v>0.83555124039708895</v>
      </c>
      <c r="K351">
        <v>0.95477386934673403</v>
      </c>
      <c r="L351" t="s">
        <v>33</v>
      </c>
      <c r="M351" t="s">
        <v>34</v>
      </c>
      <c r="N351" t="s">
        <v>35</v>
      </c>
      <c r="O351">
        <v>0.90397984250202001</v>
      </c>
      <c r="P351" t="s">
        <v>36</v>
      </c>
    </row>
    <row r="352" spans="1:16">
      <c r="A352">
        <v>351</v>
      </c>
      <c r="B352" t="s">
        <v>405</v>
      </c>
      <c r="C352">
        <v>68</v>
      </c>
      <c r="D352">
        <v>98</v>
      </c>
      <c r="E352">
        <v>63.041966146828202</v>
      </c>
      <c r="F352">
        <v>0.69832402234636903</v>
      </c>
      <c r="G352">
        <v>3121.3996706994299</v>
      </c>
      <c r="H352">
        <v>621.28713532541099</v>
      </c>
      <c r="I352">
        <v>0.60866020287429101</v>
      </c>
      <c r="J352">
        <v>0.101618907672619</v>
      </c>
      <c r="K352">
        <v>0.53308795532427999</v>
      </c>
      <c r="L352" t="s">
        <v>33</v>
      </c>
      <c r="M352" t="s">
        <v>34</v>
      </c>
      <c r="N352" t="s">
        <v>35</v>
      </c>
      <c r="O352">
        <v>0.93731694220984196</v>
      </c>
      <c r="P352" t="s">
        <v>36</v>
      </c>
    </row>
    <row r="353" spans="1:16">
      <c r="A353">
        <v>352</v>
      </c>
      <c r="B353" t="s">
        <v>406</v>
      </c>
      <c r="C353">
        <v>133</v>
      </c>
      <c r="D353">
        <v>110</v>
      </c>
      <c r="E353">
        <v>96.879767443319693</v>
      </c>
      <c r="F353">
        <v>1.2090056609408999</v>
      </c>
      <c r="G353">
        <v>7371.5031697542499</v>
      </c>
      <c r="H353">
        <v>744.40835037107104</v>
      </c>
      <c r="I353">
        <v>0.56030892081945405</v>
      </c>
      <c r="J353">
        <v>0.167164266994035</v>
      </c>
      <c r="K353">
        <v>0.65261329543660196</v>
      </c>
      <c r="L353" t="s">
        <v>33</v>
      </c>
      <c r="M353" t="s">
        <v>34</v>
      </c>
      <c r="N353" t="s">
        <v>35</v>
      </c>
      <c r="O353">
        <v>0.947650406480393</v>
      </c>
      <c r="P353" t="s">
        <v>36</v>
      </c>
    </row>
    <row r="354" spans="1:16">
      <c r="A354">
        <v>353</v>
      </c>
      <c r="B354" t="s">
        <v>407</v>
      </c>
      <c r="C354">
        <v>70</v>
      </c>
      <c r="D354">
        <v>47</v>
      </c>
      <c r="E354">
        <v>51.0811186277231</v>
      </c>
      <c r="F354">
        <v>1.49999995550379</v>
      </c>
      <c r="G354">
        <v>2049.32425406427</v>
      </c>
      <c r="H354">
        <v>264.19519611939103</v>
      </c>
      <c r="I354">
        <v>0.753803559292751</v>
      </c>
      <c r="J354">
        <v>0.368952715376687</v>
      </c>
      <c r="K354">
        <v>0.81082034695677696</v>
      </c>
      <c r="L354" t="s">
        <v>33</v>
      </c>
      <c r="M354" t="s">
        <v>34</v>
      </c>
      <c r="N354" t="s">
        <v>35</v>
      </c>
      <c r="O354">
        <v>0.92934515289437103</v>
      </c>
      <c r="P354" t="s">
        <v>36</v>
      </c>
    </row>
    <row r="355" spans="1:16">
      <c r="A355">
        <v>354</v>
      </c>
      <c r="B355" t="s">
        <v>408</v>
      </c>
      <c r="C355">
        <v>83</v>
      </c>
      <c r="D355">
        <v>103</v>
      </c>
      <c r="E355">
        <v>78.087095527123196</v>
      </c>
      <c r="F355">
        <v>0.80851063829787195</v>
      </c>
      <c r="G355">
        <v>4789.03951190926</v>
      </c>
      <c r="H355">
        <v>586.767400449359</v>
      </c>
      <c r="I355">
        <v>0.61468518521567606</v>
      </c>
      <c r="J355">
        <v>0.17479392296027901</v>
      </c>
      <c r="K355">
        <v>0.73314523652415298</v>
      </c>
      <c r="L355" t="s">
        <v>33</v>
      </c>
      <c r="M355" t="s">
        <v>34</v>
      </c>
      <c r="N355" t="s">
        <v>35</v>
      </c>
      <c r="O355">
        <v>0.94624755338202304</v>
      </c>
      <c r="P355" t="s">
        <v>36</v>
      </c>
    </row>
    <row r="356" spans="1:16">
      <c r="A356">
        <v>355</v>
      </c>
      <c r="B356" t="s">
        <v>409</v>
      </c>
      <c r="C356">
        <v>152</v>
      </c>
      <c r="D356">
        <v>115</v>
      </c>
      <c r="E356">
        <v>92.737971903492706</v>
      </c>
      <c r="F356">
        <v>1.3209342622978699</v>
      </c>
      <c r="G356">
        <v>6754.6845119092604</v>
      </c>
      <c r="H356">
        <v>717.00578668449202</v>
      </c>
      <c r="I356">
        <v>0.60422507684368998</v>
      </c>
      <c r="J356">
        <v>0.16510856848885</v>
      </c>
      <c r="K356">
        <v>0.552790346907994</v>
      </c>
      <c r="L356" t="s">
        <v>33</v>
      </c>
      <c r="M356" t="s">
        <v>34</v>
      </c>
      <c r="N356" t="s">
        <v>35</v>
      </c>
      <c r="O356">
        <v>0.93551237106553098</v>
      </c>
      <c r="P356" t="s">
        <v>36</v>
      </c>
    </row>
    <row r="357" spans="1:16">
      <c r="A357">
        <v>356</v>
      </c>
      <c r="B357" t="s">
        <v>410</v>
      </c>
      <c r="C357">
        <v>83</v>
      </c>
      <c r="D357">
        <v>88</v>
      </c>
      <c r="E357">
        <v>67.335502542815306</v>
      </c>
      <c r="F357">
        <v>0.95031055900621098</v>
      </c>
      <c r="G357">
        <v>3561.0501742911201</v>
      </c>
      <c r="H357">
        <v>626.06844758562397</v>
      </c>
      <c r="I357">
        <v>0.59044446483368396</v>
      </c>
      <c r="J357">
        <v>0.114167981578794</v>
      </c>
      <c r="K357">
        <v>0.61215156238023505</v>
      </c>
      <c r="L357" t="s">
        <v>33</v>
      </c>
      <c r="M357" t="s">
        <v>34</v>
      </c>
      <c r="N357" t="s">
        <v>35</v>
      </c>
      <c r="O357">
        <v>0.94949488632687495</v>
      </c>
      <c r="P357" t="s">
        <v>36</v>
      </c>
    </row>
    <row r="358" spans="1:16">
      <c r="A358">
        <v>357</v>
      </c>
      <c r="B358" t="s">
        <v>411</v>
      </c>
      <c r="C358">
        <v>108</v>
      </c>
      <c r="D358">
        <v>223</v>
      </c>
      <c r="E358">
        <v>95.005936069431698</v>
      </c>
      <c r="F358">
        <v>0.48351561330304699</v>
      </c>
      <c r="G358">
        <v>7089.1042661625697</v>
      </c>
      <c r="H358">
        <v>1146.4256882373099</v>
      </c>
      <c r="I358">
        <v>0.63090948864877205</v>
      </c>
      <c r="J358">
        <v>6.7781224502076007E-2</v>
      </c>
      <c r="K358">
        <v>0.38361496947712997</v>
      </c>
      <c r="L358" t="s">
        <v>83</v>
      </c>
      <c r="M358" t="s">
        <v>34</v>
      </c>
      <c r="N358" t="s">
        <v>35</v>
      </c>
      <c r="O358">
        <v>0.87339134436997201</v>
      </c>
      <c r="P358" t="s">
        <v>36</v>
      </c>
    </row>
    <row r="359" spans="1:16">
      <c r="A359">
        <v>358</v>
      </c>
      <c r="B359" t="s">
        <v>412</v>
      </c>
      <c r="C359">
        <v>163</v>
      </c>
      <c r="D359">
        <v>84</v>
      </c>
      <c r="E359">
        <v>94.876373852690406</v>
      </c>
      <c r="F359">
        <v>1.93189185781076</v>
      </c>
      <c r="G359">
        <v>7069.7822359168204</v>
      </c>
      <c r="H359">
        <v>705.04310379546598</v>
      </c>
      <c r="I359">
        <v>0.69580568150219602</v>
      </c>
      <c r="J359">
        <v>0.17872469427578899</v>
      </c>
      <c r="K359">
        <v>0.64724452306436298</v>
      </c>
      <c r="L359" t="s">
        <v>33</v>
      </c>
      <c r="M359" t="s">
        <v>34</v>
      </c>
      <c r="N359" t="s">
        <v>35</v>
      </c>
      <c r="O359">
        <v>0.89454185669170705</v>
      </c>
      <c r="P359" t="s">
        <v>36</v>
      </c>
    </row>
    <row r="360" spans="1:16">
      <c r="A360">
        <v>359</v>
      </c>
      <c r="B360" t="s">
        <v>413</v>
      </c>
      <c r="C360">
        <v>121</v>
      </c>
      <c r="D360">
        <v>71</v>
      </c>
      <c r="E360">
        <v>66.897050535717796</v>
      </c>
      <c r="F360">
        <v>1.7028579525331</v>
      </c>
      <c r="G360">
        <v>3514.8259327032101</v>
      </c>
      <c r="H360">
        <v>424.37951476117797</v>
      </c>
      <c r="I360">
        <v>0.60432399455299401</v>
      </c>
      <c r="J360">
        <v>0.24524765431942</v>
      </c>
      <c r="K360">
        <v>0.624749022508718</v>
      </c>
      <c r="L360" t="s">
        <v>33</v>
      </c>
      <c r="M360" t="s">
        <v>34</v>
      </c>
      <c r="N360" t="s">
        <v>35</v>
      </c>
      <c r="O360">
        <v>0.95394134702298194</v>
      </c>
      <c r="P360" t="s">
        <v>36</v>
      </c>
    </row>
    <row r="361" spans="1:16">
      <c r="A361">
        <v>360</v>
      </c>
      <c r="B361" t="s">
        <v>414</v>
      </c>
      <c r="C361">
        <v>94</v>
      </c>
      <c r="D361">
        <v>61</v>
      </c>
      <c r="E361">
        <v>55.081228006466702</v>
      </c>
      <c r="F361">
        <v>1.5420472097879101</v>
      </c>
      <c r="G361">
        <v>2382.85222230624</v>
      </c>
      <c r="H361">
        <v>415.09476924916999</v>
      </c>
      <c r="I361">
        <v>0.59240294534846905</v>
      </c>
      <c r="J361">
        <v>0.17378506555610501</v>
      </c>
      <c r="K361">
        <v>0.54575163398692805</v>
      </c>
      <c r="L361" t="s">
        <v>241</v>
      </c>
      <c r="M361" t="s">
        <v>34</v>
      </c>
      <c r="N361" t="s">
        <v>35</v>
      </c>
      <c r="O361">
        <v>0.63772292370439398</v>
      </c>
      <c r="P361" t="s">
        <v>36</v>
      </c>
    </row>
    <row r="362" spans="1:16">
      <c r="A362">
        <v>361</v>
      </c>
      <c r="B362" t="s">
        <v>415</v>
      </c>
      <c r="C362">
        <v>58</v>
      </c>
      <c r="D362">
        <v>83</v>
      </c>
      <c r="E362">
        <v>52.049984776047502</v>
      </c>
      <c r="F362">
        <v>0.70394736842105299</v>
      </c>
      <c r="G362">
        <v>2127.8014230623799</v>
      </c>
      <c r="H362">
        <v>541.66269871379995</v>
      </c>
      <c r="I362">
        <v>0.738884938562405</v>
      </c>
      <c r="J362">
        <v>9.1134559902569703E-2</v>
      </c>
      <c r="K362">
        <v>0.52336038604957202</v>
      </c>
      <c r="L362" t="s">
        <v>132</v>
      </c>
      <c r="M362" t="s">
        <v>34</v>
      </c>
      <c r="N362" t="s">
        <v>35</v>
      </c>
      <c r="O362">
        <v>0.81320765637804304</v>
      </c>
      <c r="P362" t="s">
        <v>36</v>
      </c>
    </row>
    <row r="363" spans="1:16">
      <c r="A363">
        <v>362</v>
      </c>
      <c r="B363" t="s">
        <v>416</v>
      </c>
      <c r="C363">
        <v>103</v>
      </c>
      <c r="D363">
        <v>135</v>
      </c>
      <c r="E363">
        <v>90.750539523808598</v>
      </c>
      <c r="F363">
        <v>0.76206847392708499</v>
      </c>
      <c r="G363">
        <v>6468.2725712665397</v>
      </c>
      <c r="H363">
        <v>533.544266436307</v>
      </c>
      <c r="I363">
        <v>0.549436456574807</v>
      </c>
      <c r="J363">
        <v>0.28553362711222702</v>
      </c>
      <c r="K363">
        <v>0.70985368718090902</v>
      </c>
      <c r="L363" t="s">
        <v>52</v>
      </c>
      <c r="M363" t="s">
        <v>34</v>
      </c>
      <c r="N363" t="s">
        <v>35</v>
      </c>
      <c r="O363">
        <v>0.71067227775280395</v>
      </c>
      <c r="P363" t="s">
        <v>36</v>
      </c>
    </row>
    <row r="364" spans="1:16">
      <c r="A364">
        <v>363</v>
      </c>
      <c r="B364" t="s">
        <v>417</v>
      </c>
      <c r="C364">
        <v>97</v>
      </c>
      <c r="D364">
        <v>160</v>
      </c>
      <c r="E364">
        <v>97.219061188362105</v>
      </c>
      <c r="F364">
        <v>0.60883116242393598</v>
      </c>
      <c r="G364">
        <v>7423.2267584121</v>
      </c>
      <c r="H364">
        <v>727.84593507123998</v>
      </c>
      <c r="I364">
        <v>0.68497851743298699</v>
      </c>
      <c r="J364">
        <v>0.17608553026029999</v>
      </c>
      <c r="K364">
        <v>0.62291401631370202</v>
      </c>
      <c r="L364" t="s">
        <v>33</v>
      </c>
      <c r="M364" t="s">
        <v>34</v>
      </c>
      <c r="N364" t="s">
        <v>35</v>
      </c>
      <c r="O364">
        <v>0.90969418524662804</v>
      </c>
      <c r="P364" t="s">
        <v>36</v>
      </c>
    </row>
    <row r="365" spans="1:16">
      <c r="A365">
        <v>364</v>
      </c>
      <c r="B365" t="s">
        <v>418</v>
      </c>
      <c r="C365">
        <v>98</v>
      </c>
      <c r="D365">
        <v>50</v>
      </c>
      <c r="E365">
        <v>55.794669978572102</v>
      </c>
      <c r="F365">
        <v>1.9836736083359701</v>
      </c>
      <c r="G365">
        <v>2444.97998109641</v>
      </c>
      <c r="H365">
        <v>338.87392886825199</v>
      </c>
      <c r="I365">
        <v>0.67137061886951099</v>
      </c>
      <c r="J365">
        <v>0.267552402996032</v>
      </c>
      <c r="K365">
        <v>0.70146262419512995</v>
      </c>
      <c r="L365" t="s">
        <v>33</v>
      </c>
      <c r="M365" t="s">
        <v>34</v>
      </c>
      <c r="N365" t="s">
        <v>35</v>
      </c>
      <c r="O365">
        <v>0.87869108593196399</v>
      </c>
      <c r="P365" t="s">
        <v>36</v>
      </c>
    </row>
    <row r="366" spans="1:16">
      <c r="A366">
        <v>365</v>
      </c>
      <c r="B366" t="s">
        <v>419</v>
      </c>
      <c r="C366">
        <v>77</v>
      </c>
      <c r="D366">
        <v>135</v>
      </c>
      <c r="E366">
        <v>94.931210216874405</v>
      </c>
      <c r="F366">
        <v>0.57489878542510098</v>
      </c>
      <c r="G366">
        <v>7077.9569410207996</v>
      </c>
      <c r="H366">
        <v>511.23850297233298</v>
      </c>
      <c r="I366">
        <v>0.67521408465448896</v>
      </c>
      <c r="J366">
        <v>0.34030683457736499</v>
      </c>
      <c r="K366">
        <v>0.84162807960128705</v>
      </c>
      <c r="L366" t="s">
        <v>83</v>
      </c>
      <c r="M366" t="s">
        <v>34</v>
      </c>
      <c r="N366" t="s">
        <v>35</v>
      </c>
      <c r="O366">
        <v>0.83940561925332202</v>
      </c>
      <c r="P366" t="s">
        <v>36</v>
      </c>
    </row>
    <row r="367" spans="1:16">
      <c r="A367">
        <v>366</v>
      </c>
      <c r="B367" t="s">
        <v>420</v>
      </c>
      <c r="C367">
        <v>160</v>
      </c>
      <c r="D367">
        <v>50</v>
      </c>
      <c r="E367">
        <v>78.520905992594294</v>
      </c>
      <c r="F367">
        <v>3.1911110750124898</v>
      </c>
      <c r="G367">
        <v>4842.3980415878996</v>
      </c>
      <c r="H367">
        <v>445.086757162136</v>
      </c>
      <c r="I367">
        <v>0.66190228672384599</v>
      </c>
      <c r="J367">
        <v>0.30717156033113002</v>
      </c>
      <c r="K367">
        <v>0.68953840292916302</v>
      </c>
      <c r="L367" t="s">
        <v>33</v>
      </c>
      <c r="M367" t="s">
        <v>34</v>
      </c>
      <c r="N367" t="s">
        <v>35</v>
      </c>
      <c r="O367">
        <v>0.93874246640609804</v>
      </c>
      <c r="P367" t="s">
        <v>36</v>
      </c>
    </row>
    <row r="368" spans="1:16">
      <c r="A368">
        <v>367</v>
      </c>
      <c r="B368" t="s">
        <v>421</v>
      </c>
      <c r="C368">
        <v>151</v>
      </c>
      <c r="D368">
        <v>73</v>
      </c>
      <c r="E368">
        <v>93.329902939175994</v>
      </c>
      <c r="F368">
        <v>2.07598810541616</v>
      </c>
      <c r="G368">
        <v>6841.1877550094496</v>
      </c>
      <c r="H368">
        <v>589.14703811085701</v>
      </c>
      <c r="I368">
        <v>0.67299575788646304</v>
      </c>
      <c r="J368">
        <v>0.24768173227482199</v>
      </c>
      <c r="K368">
        <v>0.74497046208626705</v>
      </c>
      <c r="L368" t="s">
        <v>83</v>
      </c>
      <c r="M368" t="s">
        <v>34</v>
      </c>
      <c r="N368" t="s">
        <v>35</v>
      </c>
      <c r="O368">
        <v>0.82308684992524705</v>
      </c>
      <c r="P368" t="s">
        <v>36</v>
      </c>
    </row>
    <row r="369" spans="1:16">
      <c r="A369">
        <v>368</v>
      </c>
      <c r="B369" t="s">
        <v>422</v>
      </c>
      <c r="C369">
        <v>183</v>
      </c>
      <c r="D369">
        <v>121</v>
      </c>
      <c r="E369">
        <v>103.46815139164799</v>
      </c>
      <c r="F369">
        <v>1.50900900900901</v>
      </c>
      <c r="G369">
        <v>8408.2044079395091</v>
      </c>
      <c r="H369">
        <v>1347.6441437353301</v>
      </c>
      <c r="I369">
        <v>0.65307434126793096</v>
      </c>
      <c r="J369">
        <v>5.8178519901133402E-2</v>
      </c>
      <c r="K369">
        <v>0.59004954367666196</v>
      </c>
      <c r="L369" t="s">
        <v>33</v>
      </c>
      <c r="M369" t="s">
        <v>34</v>
      </c>
      <c r="N369" t="s">
        <v>35</v>
      </c>
      <c r="O369">
        <v>0.94231987476565304</v>
      </c>
      <c r="P369" t="s">
        <v>36</v>
      </c>
    </row>
    <row r="370" spans="1:16">
      <c r="A370">
        <v>369</v>
      </c>
      <c r="B370" t="s">
        <v>423</v>
      </c>
      <c r="C370">
        <v>69</v>
      </c>
      <c r="D370">
        <v>44</v>
      </c>
      <c r="E370">
        <v>51.864227966203998</v>
      </c>
      <c r="F370">
        <v>1.55555555555556</v>
      </c>
      <c r="G370">
        <v>2112.6410608695701</v>
      </c>
      <c r="H370">
        <v>220.87448830044801</v>
      </c>
      <c r="I370">
        <v>0.76835936364387103</v>
      </c>
      <c r="J370">
        <v>0.544182369888218</v>
      </c>
      <c r="K370">
        <v>0.87713668620796004</v>
      </c>
      <c r="L370" t="s">
        <v>83</v>
      </c>
      <c r="M370" t="s">
        <v>34</v>
      </c>
      <c r="N370" t="s">
        <v>35</v>
      </c>
      <c r="O370">
        <v>0.80534424153530804</v>
      </c>
      <c r="P370" t="s">
        <v>36</v>
      </c>
    </row>
    <row r="371" spans="1:16">
      <c r="A371">
        <v>370</v>
      </c>
      <c r="B371" t="s">
        <v>424</v>
      </c>
      <c r="C371">
        <v>75</v>
      </c>
      <c r="D371">
        <v>129</v>
      </c>
      <c r="E371">
        <v>77.476412975391995</v>
      </c>
      <c r="F371">
        <v>0.58305754480807304</v>
      </c>
      <c r="G371">
        <v>4714.4267489602998</v>
      </c>
      <c r="H371">
        <v>822.95337066868103</v>
      </c>
      <c r="I371">
        <v>0.75307377689690902</v>
      </c>
      <c r="J371">
        <v>8.7475875843724696E-2</v>
      </c>
      <c r="K371">
        <v>0.64726048362412003</v>
      </c>
      <c r="L371" t="s">
        <v>52</v>
      </c>
      <c r="M371" t="s">
        <v>34</v>
      </c>
      <c r="N371" t="s">
        <v>35</v>
      </c>
      <c r="O371">
        <v>0.72177133659101</v>
      </c>
      <c r="P371" t="s">
        <v>36</v>
      </c>
    </row>
    <row r="372" spans="1:16">
      <c r="A372">
        <v>371</v>
      </c>
      <c r="B372" t="s">
        <v>425</v>
      </c>
      <c r="C372">
        <v>125</v>
      </c>
      <c r="D372">
        <v>82</v>
      </c>
      <c r="E372">
        <v>81.906408250182807</v>
      </c>
      <c r="F372">
        <v>1.52560928863649</v>
      </c>
      <c r="G372">
        <v>5268.9690170132299</v>
      </c>
      <c r="H372">
        <v>469.51469998629199</v>
      </c>
      <c r="I372">
        <v>0.70671044258684801</v>
      </c>
      <c r="J372">
        <v>0.300356559277284</v>
      </c>
      <c r="K372">
        <v>0.65930182819096494</v>
      </c>
      <c r="L372" t="s">
        <v>33</v>
      </c>
      <c r="M372" t="s">
        <v>34</v>
      </c>
      <c r="N372" t="s">
        <v>35</v>
      </c>
      <c r="O372">
        <v>0.93689449739087705</v>
      </c>
      <c r="P372" t="s">
        <v>36</v>
      </c>
    </row>
    <row r="373" spans="1:16">
      <c r="A373">
        <v>372</v>
      </c>
      <c r="B373" t="s">
        <v>426</v>
      </c>
      <c r="C373">
        <v>64</v>
      </c>
      <c r="D373">
        <v>93</v>
      </c>
      <c r="E373">
        <v>58.3057364412536</v>
      </c>
      <c r="F373">
        <v>0.68823529411764695</v>
      </c>
      <c r="G373">
        <v>2670.0073179584101</v>
      </c>
      <c r="H373">
        <v>635.51758470017</v>
      </c>
      <c r="I373">
        <v>0.68399784856818702</v>
      </c>
      <c r="J373">
        <v>8.3074392068491404E-2</v>
      </c>
      <c r="K373">
        <v>0.49527170466764098</v>
      </c>
      <c r="L373" t="s">
        <v>144</v>
      </c>
      <c r="M373" t="s">
        <v>34</v>
      </c>
      <c r="N373" t="s">
        <v>35</v>
      </c>
      <c r="O373">
        <v>0.72600524296519997</v>
      </c>
      <c r="P373" t="s">
        <v>36</v>
      </c>
    </row>
    <row r="374" spans="1:16">
      <c r="A374">
        <v>373</v>
      </c>
      <c r="B374" t="s">
        <v>427</v>
      </c>
      <c r="C374">
        <v>48</v>
      </c>
      <c r="D374">
        <v>83</v>
      </c>
      <c r="E374">
        <v>59.276237667995701</v>
      </c>
      <c r="F374">
        <v>0.57674418581309705</v>
      </c>
      <c r="G374">
        <v>2759.6318120983001</v>
      </c>
      <c r="H374">
        <v>283.69073032348098</v>
      </c>
      <c r="I374">
        <v>0.80603572639061805</v>
      </c>
      <c r="J374">
        <v>0.43089426717587398</v>
      </c>
      <c r="K374">
        <v>0.86101836393990006</v>
      </c>
      <c r="L374" t="s">
        <v>144</v>
      </c>
      <c r="M374" t="s">
        <v>34</v>
      </c>
      <c r="N374" t="s">
        <v>35</v>
      </c>
      <c r="O374">
        <v>0.73492150485854701</v>
      </c>
      <c r="P374" t="s">
        <v>36</v>
      </c>
    </row>
    <row r="375" spans="1:16">
      <c r="A375">
        <v>374</v>
      </c>
      <c r="B375" t="s">
        <v>428</v>
      </c>
      <c r="C375">
        <v>63</v>
      </c>
      <c r="D375">
        <v>98</v>
      </c>
      <c r="E375">
        <v>66.397303261705403</v>
      </c>
      <c r="F375">
        <v>0.64444444444444404</v>
      </c>
      <c r="G375">
        <v>3462.5078200378098</v>
      </c>
      <c r="H375">
        <v>555.83835088771298</v>
      </c>
      <c r="I375">
        <v>0.73334224702912698</v>
      </c>
      <c r="J375">
        <v>0.14083273401547</v>
      </c>
      <c r="K375">
        <v>0.712568439727159</v>
      </c>
      <c r="L375" t="s">
        <v>33</v>
      </c>
      <c r="M375" t="s">
        <v>34</v>
      </c>
      <c r="N375" t="s">
        <v>35</v>
      </c>
      <c r="O375">
        <v>0.95393099253445901</v>
      </c>
      <c r="P375" t="s">
        <v>36</v>
      </c>
    </row>
    <row r="376" spans="1:16">
      <c r="A376">
        <v>375</v>
      </c>
      <c r="B376" t="s">
        <v>429</v>
      </c>
      <c r="C376">
        <v>111</v>
      </c>
      <c r="D376">
        <v>99</v>
      </c>
      <c r="E376">
        <v>93.034408192369895</v>
      </c>
      <c r="F376">
        <v>1.1178704592439499</v>
      </c>
      <c r="G376">
        <v>6797.9361334593596</v>
      </c>
      <c r="H376">
        <v>412.22812655832502</v>
      </c>
      <c r="I376">
        <v>0.57786663467228905</v>
      </c>
      <c r="J376">
        <v>0.50270326145946098</v>
      </c>
      <c r="K376">
        <v>0.83603560787467801</v>
      </c>
      <c r="L376" t="s">
        <v>83</v>
      </c>
      <c r="M376" t="s">
        <v>34</v>
      </c>
      <c r="N376" t="s">
        <v>35</v>
      </c>
      <c r="O376">
        <v>0.82475753084199299</v>
      </c>
      <c r="P376" t="s">
        <v>36</v>
      </c>
    </row>
    <row r="377" spans="1:16">
      <c r="A377">
        <v>376</v>
      </c>
      <c r="B377" t="s">
        <v>430</v>
      </c>
      <c r="C377">
        <v>46</v>
      </c>
      <c r="D377">
        <v>75</v>
      </c>
      <c r="E377">
        <v>52.406886574335999</v>
      </c>
      <c r="F377">
        <v>0.61740888614178402</v>
      </c>
      <c r="G377">
        <v>2157.0817304347802</v>
      </c>
      <c r="H377">
        <v>313.92622075112001</v>
      </c>
      <c r="I377">
        <v>0.79611594767020999</v>
      </c>
      <c r="J377">
        <v>0.27505610013045301</v>
      </c>
      <c r="K377">
        <v>0.78742336281265302</v>
      </c>
      <c r="L377" t="s">
        <v>83</v>
      </c>
      <c r="M377" t="s">
        <v>34</v>
      </c>
      <c r="N377" t="s">
        <v>35</v>
      </c>
      <c r="O377">
        <v>0.88574063403454395</v>
      </c>
      <c r="P377" t="s">
        <v>36</v>
      </c>
    </row>
    <row r="378" spans="1:16">
      <c r="A378">
        <v>377</v>
      </c>
      <c r="B378" t="s">
        <v>431</v>
      </c>
      <c r="C378">
        <v>58</v>
      </c>
      <c r="D378">
        <v>82</v>
      </c>
      <c r="E378">
        <v>56.654640623420903</v>
      </c>
      <c r="F378">
        <v>0.70860931368378199</v>
      </c>
      <c r="G378">
        <v>2520.9304230623802</v>
      </c>
      <c r="H378">
        <v>516.26331774721996</v>
      </c>
      <c r="I378">
        <v>0.69586527319521096</v>
      </c>
      <c r="J378">
        <v>0.118857936823795</v>
      </c>
      <c r="K378">
        <v>0.61039334940799606</v>
      </c>
      <c r="L378" t="s">
        <v>33</v>
      </c>
      <c r="M378" t="s">
        <v>34</v>
      </c>
      <c r="N378" t="s">
        <v>35</v>
      </c>
      <c r="O378">
        <v>0.88762851511368901</v>
      </c>
      <c r="P378" t="s">
        <v>36</v>
      </c>
    </row>
    <row r="379" spans="1:16">
      <c r="A379">
        <v>378</v>
      </c>
      <c r="B379" t="s">
        <v>432</v>
      </c>
      <c r="C379">
        <v>80</v>
      </c>
      <c r="D379">
        <v>90</v>
      </c>
      <c r="E379">
        <v>62.185117100738303</v>
      </c>
      <c r="F379">
        <v>0.88887132444288397</v>
      </c>
      <c r="G379">
        <v>3037.1258926276</v>
      </c>
      <c r="H379">
        <v>477.93370875337899</v>
      </c>
      <c r="I379">
        <v>0.66330500591283004</v>
      </c>
      <c r="J379">
        <v>0.167084950144158</v>
      </c>
      <c r="K379">
        <v>0.601088395352258</v>
      </c>
      <c r="L379" t="s">
        <v>96</v>
      </c>
      <c r="M379" t="s">
        <v>34</v>
      </c>
      <c r="N379" t="s">
        <v>35</v>
      </c>
      <c r="O379">
        <v>0.699375922350291</v>
      </c>
      <c r="P379" t="s">
        <v>36</v>
      </c>
    </row>
    <row r="380" spans="1:16">
      <c r="A380">
        <v>379</v>
      </c>
      <c r="B380" t="s">
        <v>433</v>
      </c>
      <c r="C380">
        <v>88</v>
      </c>
      <c r="D380">
        <v>49</v>
      </c>
      <c r="E380">
        <v>62.801358556873303</v>
      </c>
      <c r="F380">
        <v>1.7888888888888901</v>
      </c>
      <c r="G380">
        <v>3097.6187103969801</v>
      </c>
      <c r="H380">
        <v>495.73214596136802</v>
      </c>
      <c r="I380">
        <v>0.81076067820780995</v>
      </c>
      <c r="J380">
        <v>0.15839579910024601</v>
      </c>
      <c r="K380">
        <v>0.76915411868910499</v>
      </c>
      <c r="L380" t="s">
        <v>83</v>
      </c>
      <c r="M380" t="s">
        <v>34</v>
      </c>
      <c r="N380" t="s">
        <v>35</v>
      </c>
      <c r="O380">
        <v>0.85011479904517095</v>
      </c>
      <c r="P380" t="s">
        <v>36</v>
      </c>
    </row>
    <row r="381" spans="1:16">
      <c r="A381">
        <v>380</v>
      </c>
      <c r="B381" t="s">
        <v>434</v>
      </c>
      <c r="C381">
        <v>113</v>
      </c>
      <c r="D381">
        <v>190</v>
      </c>
      <c r="E381">
        <v>119.20039053545</v>
      </c>
      <c r="F381">
        <v>0.59779466689371397</v>
      </c>
      <c r="G381">
        <v>11159.5128839319</v>
      </c>
      <c r="H381">
        <v>892.46948752548406</v>
      </c>
      <c r="I381">
        <v>0.58999255008934504</v>
      </c>
      <c r="J381">
        <v>0.176063101440843</v>
      </c>
      <c r="K381">
        <v>0.647381399920675</v>
      </c>
      <c r="L381" t="s">
        <v>75</v>
      </c>
      <c r="M381" t="s">
        <v>34</v>
      </c>
      <c r="N381" t="s">
        <v>35</v>
      </c>
      <c r="O381">
        <v>0.68057083576962096</v>
      </c>
      <c r="P381" t="s">
        <v>36</v>
      </c>
    </row>
    <row r="382" spans="1:16">
      <c r="A382">
        <v>381</v>
      </c>
      <c r="B382" t="s">
        <v>435</v>
      </c>
      <c r="C382">
        <v>98</v>
      </c>
      <c r="D382">
        <v>78</v>
      </c>
      <c r="E382">
        <v>70.999030319847606</v>
      </c>
      <c r="F382">
        <v>1.2517482517482501</v>
      </c>
      <c r="G382">
        <v>3959.0839973534999</v>
      </c>
      <c r="H382">
        <v>624.68132931761102</v>
      </c>
      <c r="I382">
        <v>0.62908473955164901</v>
      </c>
      <c r="J382">
        <v>0.127493348729843</v>
      </c>
      <c r="K382">
        <v>0.653235892782696</v>
      </c>
      <c r="L382" t="s">
        <v>321</v>
      </c>
      <c r="M382" t="s">
        <v>34</v>
      </c>
      <c r="N382" t="s">
        <v>35</v>
      </c>
      <c r="O382">
        <v>0.88979358054521496</v>
      </c>
      <c r="P382" t="s">
        <v>36</v>
      </c>
    </row>
    <row r="383" spans="1:16">
      <c r="A383">
        <v>382</v>
      </c>
      <c r="B383" t="s">
        <v>436</v>
      </c>
      <c r="C383">
        <v>63</v>
      </c>
      <c r="D383">
        <v>82</v>
      </c>
      <c r="E383">
        <v>58.099268993430599</v>
      </c>
      <c r="F383">
        <v>0.76158940397351005</v>
      </c>
      <c r="G383">
        <v>2651.1311807183401</v>
      </c>
      <c r="H383">
        <v>517.24415812813697</v>
      </c>
      <c r="I383">
        <v>0.72358999779723399</v>
      </c>
      <c r="J383">
        <v>0.124523091122674</v>
      </c>
      <c r="K383">
        <v>0.61670642741071102</v>
      </c>
      <c r="L383" t="s">
        <v>144</v>
      </c>
      <c r="M383" t="s">
        <v>34</v>
      </c>
      <c r="N383" t="s">
        <v>35</v>
      </c>
      <c r="O383">
        <v>0.79743336380067997</v>
      </c>
      <c r="P383" t="s">
        <v>36</v>
      </c>
    </row>
    <row r="384" spans="1:16">
      <c r="A384">
        <v>383</v>
      </c>
      <c r="B384" t="s">
        <v>437</v>
      </c>
      <c r="C384">
        <v>82</v>
      </c>
      <c r="D384">
        <v>83</v>
      </c>
      <c r="E384">
        <v>71.040332454903606</v>
      </c>
      <c r="F384">
        <v>0.99342105131070002</v>
      </c>
      <c r="G384">
        <v>3963.6915584121002</v>
      </c>
      <c r="H384">
        <v>716.62933174299201</v>
      </c>
      <c r="I384">
        <v>0.577902926153811</v>
      </c>
      <c r="J384">
        <v>9.6988569947958597E-2</v>
      </c>
      <c r="K384">
        <v>0.67358743148695399</v>
      </c>
      <c r="L384" t="s">
        <v>75</v>
      </c>
      <c r="M384" t="s">
        <v>34</v>
      </c>
      <c r="N384" t="s">
        <v>35</v>
      </c>
      <c r="O384">
        <v>0.80088523535488199</v>
      </c>
      <c r="P384" t="s">
        <v>36</v>
      </c>
    </row>
    <row r="385" spans="1:16">
      <c r="A385">
        <v>384</v>
      </c>
      <c r="B385" t="s">
        <v>438</v>
      </c>
      <c r="C385">
        <v>318</v>
      </c>
      <c r="D385">
        <v>141</v>
      </c>
      <c r="E385">
        <v>142.56533026246399</v>
      </c>
      <c r="F385">
        <v>2.2488406798957099</v>
      </c>
      <c r="G385">
        <v>15963.1182340265</v>
      </c>
      <c r="H385">
        <v>1772.2052383459099</v>
      </c>
      <c r="I385">
        <v>0.66081844317918803</v>
      </c>
      <c r="J385">
        <v>6.3870389190796295E-2</v>
      </c>
      <c r="K385">
        <v>0.49928640828603199</v>
      </c>
      <c r="L385" t="s">
        <v>45</v>
      </c>
      <c r="M385" t="s">
        <v>34</v>
      </c>
      <c r="N385" t="s">
        <v>35</v>
      </c>
      <c r="O385">
        <v>0.80015709984823602</v>
      </c>
      <c r="P385" t="s">
        <v>36</v>
      </c>
    </row>
    <row r="386" spans="1:16">
      <c r="A386">
        <v>385</v>
      </c>
      <c r="B386" t="s">
        <v>439</v>
      </c>
      <c r="C386">
        <v>100</v>
      </c>
      <c r="D386">
        <v>67</v>
      </c>
      <c r="E386">
        <v>69.2639587129744</v>
      </c>
      <c r="F386">
        <v>1.5</v>
      </c>
      <c r="G386">
        <v>3767.9445289225</v>
      </c>
      <c r="H386">
        <v>393.07077779780298</v>
      </c>
      <c r="I386">
        <v>0.69553168508640595</v>
      </c>
      <c r="J386">
        <v>0.30645933041711498</v>
      </c>
      <c r="K386">
        <v>0.71832143261929005</v>
      </c>
      <c r="L386" t="s">
        <v>83</v>
      </c>
      <c r="M386" t="s">
        <v>34</v>
      </c>
      <c r="N386" t="s">
        <v>35</v>
      </c>
      <c r="O386">
        <v>0.83545562488050995</v>
      </c>
      <c r="P386" t="s">
        <v>36</v>
      </c>
    </row>
    <row r="387" spans="1:16">
      <c r="A387">
        <v>386</v>
      </c>
      <c r="B387" t="s">
        <v>440</v>
      </c>
      <c r="C387">
        <v>131</v>
      </c>
      <c r="D387">
        <v>117</v>
      </c>
      <c r="E387">
        <v>88.723929293610496</v>
      </c>
      <c r="F387">
        <v>1.1240515391858299</v>
      </c>
      <c r="G387">
        <v>6182.6037856332696</v>
      </c>
      <c r="H387">
        <v>660.43546987170805</v>
      </c>
      <c r="I387">
        <v>0.59262600520543396</v>
      </c>
      <c r="J387">
        <v>0.17812320461943601</v>
      </c>
      <c r="K387">
        <v>0.56102232112752004</v>
      </c>
      <c r="L387" t="s">
        <v>33</v>
      </c>
      <c r="M387" t="s">
        <v>34</v>
      </c>
      <c r="N387" t="s">
        <v>35</v>
      </c>
      <c r="O387">
        <v>0.92081968903590805</v>
      </c>
      <c r="P387" t="s">
        <v>36</v>
      </c>
    </row>
    <row r="388" spans="1:16">
      <c r="A388">
        <v>387</v>
      </c>
      <c r="B388" t="s">
        <v>441</v>
      </c>
      <c r="C388">
        <v>68</v>
      </c>
      <c r="D388">
        <v>88</v>
      </c>
      <c r="E388">
        <v>67.2032817129531</v>
      </c>
      <c r="F388">
        <v>0.77639756791915804</v>
      </c>
      <c r="G388">
        <v>3547.07886011342</v>
      </c>
      <c r="H388">
        <v>550.70555794125005</v>
      </c>
      <c r="I388">
        <v>0.69139547611892904</v>
      </c>
      <c r="J388">
        <v>0.146974431450939</v>
      </c>
      <c r="K388">
        <v>0.63861386138613896</v>
      </c>
      <c r="L388" t="s">
        <v>83</v>
      </c>
      <c r="M388" t="s">
        <v>34</v>
      </c>
      <c r="N388" t="s">
        <v>35</v>
      </c>
      <c r="O388">
        <v>0.79600354259629702</v>
      </c>
      <c r="P388" t="s">
        <v>36</v>
      </c>
    </row>
    <row r="389" spans="1:16">
      <c r="A389">
        <v>388</v>
      </c>
      <c r="B389" t="s">
        <v>442</v>
      </c>
      <c r="C389">
        <v>53</v>
      </c>
      <c r="D389">
        <v>95</v>
      </c>
      <c r="E389">
        <v>54.759047308765602</v>
      </c>
      <c r="F389">
        <v>0.55619935280904698</v>
      </c>
      <c r="G389">
        <v>2355.0582249527401</v>
      </c>
      <c r="H389">
        <v>388.340369734246</v>
      </c>
      <c r="I389">
        <v>0.75705960267367101</v>
      </c>
      <c r="J389">
        <v>0.196239502102033</v>
      </c>
      <c r="K389">
        <v>0.66522524035433905</v>
      </c>
      <c r="L389" t="s">
        <v>33</v>
      </c>
      <c r="M389" t="s">
        <v>34</v>
      </c>
      <c r="N389" t="s">
        <v>35</v>
      </c>
      <c r="O389">
        <v>0.93753605309741295</v>
      </c>
      <c r="P389" t="s">
        <v>36</v>
      </c>
    </row>
    <row r="390" spans="1:16">
      <c r="A390">
        <v>389</v>
      </c>
      <c r="B390" t="s">
        <v>443</v>
      </c>
      <c r="C390">
        <v>93</v>
      </c>
      <c r="D390">
        <v>88</v>
      </c>
      <c r="E390">
        <v>80.978112227752405</v>
      </c>
      <c r="F390">
        <v>1.05590062111801</v>
      </c>
      <c r="G390">
        <v>5150.21284650284</v>
      </c>
      <c r="H390">
        <v>734.66025299704597</v>
      </c>
      <c r="I390">
        <v>0.64472122108897001</v>
      </c>
      <c r="J390">
        <v>0.119911808703623</v>
      </c>
      <c r="K390">
        <v>0.69471510485584798</v>
      </c>
      <c r="L390" t="s">
        <v>33</v>
      </c>
      <c r="M390" t="s">
        <v>34</v>
      </c>
      <c r="N390" t="s">
        <v>35</v>
      </c>
      <c r="O390">
        <v>0.94263968065858605</v>
      </c>
      <c r="P390" t="s">
        <v>36</v>
      </c>
    </row>
    <row r="391" spans="1:16">
      <c r="A391">
        <v>390</v>
      </c>
      <c r="B391" t="s">
        <v>444</v>
      </c>
      <c r="C391">
        <v>49</v>
      </c>
      <c r="D391">
        <v>76</v>
      </c>
      <c r="E391">
        <v>52.048166848771899</v>
      </c>
      <c r="F391">
        <v>0.64495989329607395</v>
      </c>
      <c r="G391">
        <v>2127.6527920604899</v>
      </c>
      <c r="H391">
        <v>317.64919794839398</v>
      </c>
      <c r="I391">
        <v>0.74454214838896104</v>
      </c>
      <c r="J391">
        <v>0.26498122010959502</v>
      </c>
      <c r="K391">
        <v>0.72090446693861099</v>
      </c>
      <c r="L391" t="s">
        <v>75</v>
      </c>
      <c r="M391" t="s">
        <v>34</v>
      </c>
      <c r="N391" t="s">
        <v>35</v>
      </c>
      <c r="O391">
        <v>0.82476717684632594</v>
      </c>
      <c r="P391" t="s">
        <v>36</v>
      </c>
    </row>
    <row r="392" spans="1:16">
      <c r="A392">
        <v>391</v>
      </c>
      <c r="B392" t="s">
        <v>445</v>
      </c>
      <c r="C392">
        <v>63</v>
      </c>
      <c r="D392">
        <v>49</v>
      </c>
      <c r="E392">
        <v>50.223681698036799</v>
      </c>
      <c r="F392">
        <v>1.30337078651685</v>
      </c>
      <c r="G392">
        <v>1981.1026241965999</v>
      </c>
      <c r="H392">
        <v>250.97768684522001</v>
      </c>
      <c r="I392">
        <v>0.797434393475415</v>
      </c>
      <c r="J392">
        <v>0.39522700627235202</v>
      </c>
      <c r="K392">
        <v>0.84318066801619396</v>
      </c>
      <c r="L392" t="s">
        <v>33</v>
      </c>
      <c r="M392" t="s">
        <v>34</v>
      </c>
      <c r="N392" t="s">
        <v>35</v>
      </c>
      <c r="O392">
        <v>0.92797982704925697</v>
      </c>
      <c r="P392" t="s">
        <v>36</v>
      </c>
    </row>
    <row r="393" spans="1:16">
      <c r="A393">
        <v>392</v>
      </c>
      <c r="B393" t="s">
        <v>446</v>
      </c>
      <c r="C393">
        <v>88</v>
      </c>
      <c r="D393">
        <v>88</v>
      </c>
      <c r="E393">
        <v>69.981541934426403</v>
      </c>
      <c r="F393">
        <v>1</v>
      </c>
      <c r="G393">
        <v>3846.4216979206099</v>
      </c>
      <c r="H393">
        <v>687.35198421509403</v>
      </c>
      <c r="I393">
        <v>0.44913669435774201</v>
      </c>
      <c r="J393">
        <v>0.10230771346821201</v>
      </c>
      <c r="K393">
        <v>0.569044373103479</v>
      </c>
      <c r="L393" t="s">
        <v>33</v>
      </c>
      <c r="M393" t="s">
        <v>34</v>
      </c>
      <c r="N393" t="s">
        <v>35</v>
      </c>
      <c r="O393">
        <v>0.93227774265668995</v>
      </c>
      <c r="P393" t="s">
        <v>36</v>
      </c>
    </row>
    <row r="394" spans="1:16">
      <c r="A394">
        <v>393</v>
      </c>
      <c r="B394" t="s">
        <v>447</v>
      </c>
      <c r="C394">
        <v>117</v>
      </c>
      <c r="D394">
        <v>45</v>
      </c>
      <c r="E394">
        <v>55.601002787101002</v>
      </c>
      <c r="F394">
        <v>2.6136365427736599</v>
      </c>
      <c r="G394">
        <v>2428.0360468809099</v>
      </c>
      <c r="H394">
        <v>395.76362664761803</v>
      </c>
      <c r="I394">
        <v>0.78225849158397698</v>
      </c>
      <c r="J394">
        <v>0.19480192305057101</v>
      </c>
      <c r="K394">
        <v>0.65031847133758003</v>
      </c>
      <c r="L394" t="s">
        <v>33</v>
      </c>
      <c r="M394" t="s">
        <v>34</v>
      </c>
      <c r="N394" t="s">
        <v>35</v>
      </c>
      <c r="O394">
        <v>0.92805666356933403</v>
      </c>
      <c r="P394" t="s">
        <v>36</v>
      </c>
    </row>
    <row r="395" spans="1:16">
      <c r="A395">
        <v>394</v>
      </c>
      <c r="B395" t="s">
        <v>448</v>
      </c>
      <c r="C395">
        <v>121</v>
      </c>
      <c r="D395">
        <v>88</v>
      </c>
      <c r="E395">
        <v>75.807243772620893</v>
      </c>
      <c r="F395">
        <v>1.37020187780309</v>
      </c>
      <c r="G395">
        <v>4513.4776344045404</v>
      </c>
      <c r="H395">
        <v>555.16587300476795</v>
      </c>
      <c r="I395">
        <v>0.70784165235248298</v>
      </c>
      <c r="J395">
        <v>0.18402449553684599</v>
      </c>
      <c r="K395">
        <v>0.58656390643410405</v>
      </c>
      <c r="L395" t="s">
        <v>33</v>
      </c>
      <c r="M395" t="s">
        <v>34</v>
      </c>
      <c r="N395" t="s">
        <v>35</v>
      </c>
      <c r="O395">
        <v>0.93667489776352397</v>
      </c>
      <c r="P395" t="s">
        <v>36</v>
      </c>
    </row>
    <row r="396" spans="1:16">
      <c r="A396">
        <v>395</v>
      </c>
      <c r="B396" t="s">
        <v>449</v>
      </c>
      <c r="C396">
        <v>73</v>
      </c>
      <c r="D396">
        <v>83</v>
      </c>
      <c r="E396">
        <v>65.139877285447795</v>
      </c>
      <c r="F396">
        <v>0.88157894736842102</v>
      </c>
      <c r="G396">
        <v>3332.6043243856302</v>
      </c>
      <c r="H396">
        <v>585.09300093443505</v>
      </c>
      <c r="I396">
        <v>0.605342098458311</v>
      </c>
      <c r="J396">
        <v>0.12233305223174</v>
      </c>
      <c r="K396">
        <v>0.63405254079122197</v>
      </c>
      <c r="L396" t="s">
        <v>33</v>
      </c>
      <c r="M396" t="s">
        <v>34</v>
      </c>
      <c r="N396" t="s">
        <v>35</v>
      </c>
      <c r="O396">
        <v>0.92946728001666601</v>
      </c>
      <c r="P396" t="s">
        <v>36</v>
      </c>
    </row>
    <row r="397" spans="1:16">
      <c r="A397">
        <v>396</v>
      </c>
      <c r="B397" t="s">
        <v>450</v>
      </c>
      <c r="C397">
        <v>189</v>
      </c>
      <c r="D397">
        <v>180</v>
      </c>
      <c r="E397">
        <v>135.236824150091</v>
      </c>
      <c r="F397">
        <v>1.0475232317863701</v>
      </c>
      <c r="G397">
        <v>14364.14591569</v>
      </c>
      <c r="H397">
        <v>1633.6292310299</v>
      </c>
      <c r="I397">
        <v>0.62148696853242003</v>
      </c>
      <c r="J397">
        <v>6.7636742122771598E-2</v>
      </c>
      <c r="K397">
        <v>0.54176944120548898</v>
      </c>
      <c r="L397" t="s">
        <v>52</v>
      </c>
      <c r="M397" t="s">
        <v>34</v>
      </c>
      <c r="N397" t="s">
        <v>35</v>
      </c>
      <c r="O397">
        <v>0.74321926270039895</v>
      </c>
      <c r="P397" t="s">
        <v>36</v>
      </c>
    </row>
    <row r="398" spans="1:16">
      <c r="A398">
        <v>397</v>
      </c>
      <c r="B398" t="s">
        <v>451</v>
      </c>
      <c r="C398">
        <v>66</v>
      </c>
      <c r="D398">
        <v>69</v>
      </c>
      <c r="E398">
        <v>55.027948805636697</v>
      </c>
      <c r="F398">
        <v>0.952755905511811</v>
      </c>
      <c r="G398">
        <v>2378.2446612476401</v>
      </c>
      <c r="H398">
        <v>264.044099759537</v>
      </c>
      <c r="I398">
        <v>0.724196914935898</v>
      </c>
      <c r="J398">
        <v>0.428660493740885</v>
      </c>
      <c r="K398">
        <v>0.72560311989842197</v>
      </c>
      <c r="L398" t="s">
        <v>75</v>
      </c>
      <c r="M398" t="s">
        <v>34</v>
      </c>
      <c r="N398" t="s">
        <v>35</v>
      </c>
      <c r="O398">
        <v>0.82222415910374702</v>
      </c>
      <c r="P398" t="s">
        <v>36</v>
      </c>
    </row>
    <row r="399" spans="1:16">
      <c r="A399">
        <v>398</v>
      </c>
      <c r="B399" t="s">
        <v>452</v>
      </c>
      <c r="C399">
        <v>166</v>
      </c>
      <c r="D399">
        <v>105</v>
      </c>
      <c r="E399">
        <v>96.999825838920501</v>
      </c>
      <c r="F399">
        <v>1.5815216161080199</v>
      </c>
      <c r="G399">
        <v>7389.7847829867696</v>
      </c>
      <c r="H399">
        <v>721.18983896970803</v>
      </c>
      <c r="I399">
        <v>0.68642176795072996</v>
      </c>
      <c r="J399">
        <v>0.178542847136514</v>
      </c>
      <c r="K399">
        <v>0.56249575743862401</v>
      </c>
      <c r="L399" t="s">
        <v>83</v>
      </c>
      <c r="M399" t="s">
        <v>34</v>
      </c>
      <c r="N399" t="s">
        <v>35</v>
      </c>
      <c r="O399">
        <v>0.82682566212461905</v>
      </c>
      <c r="P399" t="s">
        <v>36</v>
      </c>
    </row>
    <row r="400" spans="1:16">
      <c r="A400">
        <v>399</v>
      </c>
      <c r="B400" t="s">
        <v>453</v>
      </c>
      <c r="C400">
        <v>59</v>
      </c>
      <c r="D400">
        <v>77</v>
      </c>
      <c r="E400">
        <v>57.950875372815503</v>
      </c>
      <c r="F400">
        <v>0.76949821846609001</v>
      </c>
      <c r="G400">
        <v>2637.6057595463099</v>
      </c>
      <c r="H400">
        <v>270.73229558074001</v>
      </c>
      <c r="I400">
        <v>0.67481406523022702</v>
      </c>
      <c r="J400">
        <v>0.452209430537169</v>
      </c>
      <c r="K400">
        <v>0.78885135135135098</v>
      </c>
      <c r="L400" t="s">
        <v>144</v>
      </c>
      <c r="M400" t="s">
        <v>34</v>
      </c>
      <c r="N400" t="s">
        <v>35</v>
      </c>
      <c r="O400">
        <v>0.80580671700345896</v>
      </c>
      <c r="P400" t="s">
        <v>36</v>
      </c>
    </row>
    <row r="401" spans="1:16">
      <c r="A401">
        <v>400</v>
      </c>
      <c r="B401" t="s">
        <v>454</v>
      </c>
      <c r="C401">
        <v>85</v>
      </c>
      <c r="D401">
        <v>111</v>
      </c>
      <c r="E401">
        <v>84.348003336401504</v>
      </c>
      <c r="F401">
        <v>0.76847290640394095</v>
      </c>
      <c r="G401">
        <v>5587.7825160680504</v>
      </c>
      <c r="H401">
        <v>471.62747710798101</v>
      </c>
      <c r="I401">
        <v>0.47326555682607002</v>
      </c>
      <c r="J401">
        <v>0.31568297446876797</v>
      </c>
      <c r="K401">
        <v>0.82826613791584003</v>
      </c>
      <c r="L401" t="s">
        <v>132</v>
      </c>
      <c r="M401" t="s">
        <v>34</v>
      </c>
      <c r="N401" t="s">
        <v>35</v>
      </c>
      <c r="O401">
        <v>0.67970169354462995</v>
      </c>
      <c r="P401" t="s">
        <v>36</v>
      </c>
    </row>
    <row r="402" spans="1:16">
      <c r="A402">
        <v>401</v>
      </c>
      <c r="B402" t="s">
        <v>455</v>
      </c>
      <c r="C402">
        <v>63</v>
      </c>
      <c r="D402">
        <v>83</v>
      </c>
      <c r="E402">
        <v>61.994624203917802</v>
      </c>
      <c r="F402">
        <v>0.76315789473684204</v>
      </c>
      <c r="G402">
        <v>3018.5470173913</v>
      </c>
      <c r="H402">
        <v>478.33058440198101</v>
      </c>
      <c r="I402">
        <v>0.63298984337949404</v>
      </c>
      <c r="J402">
        <v>0.165787395127304</v>
      </c>
      <c r="K402">
        <v>0.64785632257241299</v>
      </c>
      <c r="L402" t="s">
        <v>279</v>
      </c>
      <c r="M402" t="s">
        <v>34</v>
      </c>
      <c r="N402" t="s">
        <v>35</v>
      </c>
      <c r="O402">
        <v>0.81423378038960204</v>
      </c>
      <c r="P402" t="s">
        <v>36</v>
      </c>
    </row>
    <row r="403" spans="1:16">
      <c r="A403">
        <v>402</v>
      </c>
      <c r="B403" t="s">
        <v>456</v>
      </c>
      <c r="C403">
        <v>116</v>
      </c>
      <c r="D403">
        <v>133</v>
      </c>
      <c r="E403">
        <v>88.916750888790702</v>
      </c>
      <c r="F403">
        <v>0.87360403583446999</v>
      </c>
      <c r="G403">
        <v>6209.5059969754302</v>
      </c>
      <c r="H403">
        <v>734.07856503880498</v>
      </c>
      <c r="I403">
        <v>0.68692893372484798</v>
      </c>
      <c r="J403">
        <v>0.144804423521286</v>
      </c>
      <c r="K403">
        <v>0.53095928015860905</v>
      </c>
      <c r="L403" t="s">
        <v>33</v>
      </c>
      <c r="M403" t="s">
        <v>34</v>
      </c>
      <c r="N403" t="s">
        <v>35</v>
      </c>
      <c r="O403">
        <v>0.94316898914523795</v>
      </c>
      <c r="P403" t="s">
        <v>36</v>
      </c>
    </row>
    <row r="404" spans="1:16">
      <c r="A404">
        <v>403</v>
      </c>
      <c r="B404" t="s">
        <v>457</v>
      </c>
      <c r="C404">
        <v>83</v>
      </c>
      <c r="D404">
        <v>83</v>
      </c>
      <c r="E404">
        <v>65.410947320000901</v>
      </c>
      <c r="F404">
        <v>1</v>
      </c>
      <c r="G404">
        <v>3360.3983217391301</v>
      </c>
      <c r="H404">
        <v>548.15051020860699</v>
      </c>
      <c r="I404">
        <v>0.56729252987925605</v>
      </c>
      <c r="J404">
        <v>0.140540332862232</v>
      </c>
      <c r="K404">
        <v>0.59677972812458802</v>
      </c>
      <c r="L404" t="s">
        <v>75</v>
      </c>
      <c r="M404" t="s">
        <v>34</v>
      </c>
      <c r="N404" t="s">
        <v>35</v>
      </c>
      <c r="O404">
        <v>0.80702145929882496</v>
      </c>
      <c r="P404" t="s">
        <v>36</v>
      </c>
    </row>
    <row r="405" spans="1:16">
      <c r="A405">
        <v>404</v>
      </c>
      <c r="B405" t="s">
        <v>458</v>
      </c>
      <c r="C405">
        <v>103</v>
      </c>
      <c r="D405">
        <v>73</v>
      </c>
      <c r="E405">
        <v>69.127213813913997</v>
      </c>
      <c r="F405">
        <v>1.4029850746268699</v>
      </c>
      <c r="G405">
        <v>3753.0814287334601</v>
      </c>
      <c r="H405">
        <v>649.41925086985498</v>
      </c>
      <c r="I405">
        <v>0.67130204802795301</v>
      </c>
      <c r="J405">
        <v>0.111827221523149</v>
      </c>
      <c r="K405">
        <v>0.66918429003021196</v>
      </c>
      <c r="L405" t="s">
        <v>33</v>
      </c>
      <c r="M405" t="s">
        <v>34</v>
      </c>
      <c r="N405" t="s">
        <v>35</v>
      </c>
      <c r="O405">
        <v>0.93580389334755998</v>
      </c>
      <c r="P405" t="s">
        <v>36</v>
      </c>
    </row>
    <row r="406" spans="1:16">
      <c r="A406">
        <v>405</v>
      </c>
      <c r="B406" t="s">
        <v>459</v>
      </c>
      <c r="C406">
        <v>124</v>
      </c>
      <c r="D406">
        <v>91</v>
      </c>
      <c r="E406">
        <v>92.760415996776203</v>
      </c>
      <c r="F406">
        <v>1.3652447326808299</v>
      </c>
      <c r="G406">
        <v>6757.9543939508503</v>
      </c>
      <c r="H406">
        <v>508.02199582535297</v>
      </c>
      <c r="I406">
        <v>0.69868607624530399</v>
      </c>
      <c r="J406">
        <v>0.32904863076899499</v>
      </c>
      <c r="K406">
        <v>0.68636123481017397</v>
      </c>
      <c r="L406" t="s">
        <v>33</v>
      </c>
      <c r="M406" t="s">
        <v>34</v>
      </c>
      <c r="N406" t="s">
        <v>35</v>
      </c>
      <c r="O406">
        <v>0.64984331411102902</v>
      </c>
      <c r="P406" t="s">
        <v>36</v>
      </c>
    </row>
    <row r="407" spans="1:16">
      <c r="A407">
        <v>406</v>
      </c>
      <c r="B407" t="s">
        <v>460</v>
      </c>
      <c r="C407">
        <v>112</v>
      </c>
      <c r="D407">
        <v>130</v>
      </c>
      <c r="E407">
        <v>89.433494094271595</v>
      </c>
      <c r="F407">
        <v>0.86761366855635402</v>
      </c>
      <c r="G407">
        <v>6281.8892948960302</v>
      </c>
      <c r="H407">
        <v>605.04248476204702</v>
      </c>
      <c r="I407">
        <v>0.55818127755209901</v>
      </c>
      <c r="J407">
        <v>0.21563954200209601</v>
      </c>
      <c r="K407">
        <v>0.58988960069226404</v>
      </c>
      <c r="L407" t="s">
        <v>33</v>
      </c>
      <c r="M407" t="s">
        <v>34</v>
      </c>
      <c r="N407" t="s">
        <v>35</v>
      </c>
      <c r="O407">
        <v>0.93701270757650301</v>
      </c>
      <c r="P407" t="s">
        <v>36</v>
      </c>
    </row>
    <row r="408" spans="1:16">
      <c r="A408">
        <v>407</v>
      </c>
      <c r="B408" t="s">
        <v>461</v>
      </c>
      <c r="C408">
        <v>120</v>
      </c>
      <c r="D408">
        <v>99</v>
      </c>
      <c r="E408">
        <v>91.160419669500399</v>
      </c>
      <c r="F408">
        <v>1.20988653036933</v>
      </c>
      <c r="G408">
        <v>6526.8331860113403</v>
      </c>
      <c r="H408">
        <v>474.00873099959398</v>
      </c>
      <c r="I408">
        <v>0.67365992313468603</v>
      </c>
      <c r="J408">
        <v>0.36503936023174</v>
      </c>
      <c r="K408">
        <v>0.75858554449972404</v>
      </c>
      <c r="L408" t="s">
        <v>52</v>
      </c>
      <c r="M408" t="s">
        <v>34</v>
      </c>
      <c r="N408" t="s">
        <v>35</v>
      </c>
      <c r="O408">
        <v>0.79161781962405298</v>
      </c>
      <c r="P408" t="s">
        <v>36</v>
      </c>
    </row>
    <row r="409" spans="1:16">
      <c r="A409">
        <v>408</v>
      </c>
      <c r="B409" t="s">
        <v>462</v>
      </c>
      <c r="C409">
        <v>76</v>
      </c>
      <c r="D409">
        <v>138</v>
      </c>
      <c r="E409">
        <v>86.6761366443681</v>
      </c>
      <c r="F409">
        <v>0.552045754890235</v>
      </c>
      <c r="G409">
        <v>5900.5021440453702</v>
      </c>
      <c r="H409">
        <v>457.80719862450701</v>
      </c>
      <c r="I409">
        <v>0.60292288085071499</v>
      </c>
      <c r="J409">
        <v>0.35378026420450498</v>
      </c>
      <c r="K409">
        <v>0.72066004683500595</v>
      </c>
      <c r="L409" t="s">
        <v>33</v>
      </c>
      <c r="M409" t="s">
        <v>34</v>
      </c>
      <c r="N409" t="s">
        <v>35</v>
      </c>
      <c r="O409">
        <v>0.91910972944804004</v>
      </c>
      <c r="P409" t="s">
        <v>36</v>
      </c>
    </row>
    <row r="410" spans="1:16">
      <c r="A410">
        <v>409</v>
      </c>
      <c r="B410" t="s">
        <v>463</v>
      </c>
      <c r="C410">
        <v>111</v>
      </c>
      <c r="D410">
        <v>136</v>
      </c>
      <c r="E410">
        <v>105.41957831740601</v>
      </c>
      <c r="F410">
        <v>0.813198876111911</v>
      </c>
      <c r="G410">
        <v>8728.3555860113393</v>
      </c>
      <c r="H410">
        <v>669.533126300003</v>
      </c>
      <c r="I410">
        <v>0.60213392365052798</v>
      </c>
      <c r="J410">
        <v>0.244679822106453</v>
      </c>
      <c r="K410">
        <v>0.70204906273909695</v>
      </c>
      <c r="L410" t="s">
        <v>33</v>
      </c>
      <c r="M410" t="s">
        <v>34</v>
      </c>
      <c r="N410" t="s">
        <v>35</v>
      </c>
      <c r="O410">
        <v>0.94444588934808504</v>
      </c>
      <c r="P410" t="s">
        <v>36</v>
      </c>
    </row>
    <row r="411" spans="1:16">
      <c r="A411">
        <v>410</v>
      </c>
      <c r="B411" t="s">
        <v>464</v>
      </c>
      <c r="C411">
        <v>125</v>
      </c>
      <c r="D411">
        <v>111</v>
      </c>
      <c r="E411">
        <v>100.59420808781699</v>
      </c>
      <c r="F411">
        <v>1.13111721322224</v>
      </c>
      <c r="G411">
        <v>7947.5969330812904</v>
      </c>
      <c r="H411">
        <v>680.446876364584</v>
      </c>
      <c r="I411">
        <v>0.69710584114373397</v>
      </c>
      <c r="J411">
        <v>0.21570352781063801</v>
      </c>
      <c r="K411">
        <v>0.686312763117363</v>
      </c>
      <c r="L411" t="s">
        <v>331</v>
      </c>
      <c r="M411" t="s">
        <v>34</v>
      </c>
      <c r="N411" t="s">
        <v>35</v>
      </c>
      <c r="O411">
        <v>0.630771555616774</v>
      </c>
      <c r="P411" t="s">
        <v>36</v>
      </c>
    </row>
    <row r="412" spans="1:16">
      <c r="A412">
        <v>411</v>
      </c>
      <c r="B412" t="s">
        <v>465</v>
      </c>
      <c r="C412">
        <v>96</v>
      </c>
      <c r="D412">
        <v>70</v>
      </c>
      <c r="E412">
        <v>64.528372446363505</v>
      </c>
      <c r="F412">
        <v>1.3675116850081099</v>
      </c>
      <c r="G412">
        <v>3270.3279345935698</v>
      </c>
      <c r="H412">
        <v>502.08766557330699</v>
      </c>
      <c r="I412">
        <v>0.59031361324268605</v>
      </c>
      <c r="J412">
        <v>0.163020440779583</v>
      </c>
      <c r="K412">
        <v>0.68938183413228105</v>
      </c>
      <c r="L412" t="s">
        <v>33</v>
      </c>
      <c r="M412" t="s">
        <v>34</v>
      </c>
      <c r="N412" t="s">
        <v>35</v>
      </c>
      <c r="O412">
        <v>0.94858022499080996</v>
      </c>
      <c r="P412" t="s">
        <v>36</v>
      </c>
    </row>
    <row r="413" spans="1:16">
      <c r="A413">
        <v>412</v>
      </c>
      <c r="B413" t="s">
        <v>466</v>
      </c>
      <c r="C413">
        <v>73</v>
      </c>
      <c r="D413">
        <v>73</v>
      </c>
      <c r="E413">
        <v>71.4281999850473</v>
      </c>
      <c r="F413">
        <v>1</v>
      </c>
      <c r="G413">
        <v>4007.0918109640802</v>
      </c>
      <c r="H413">
        <v>396.74446702853498</v>
      </c>
      <c r="I413">
        <v>0.74959162395873602</v>
      </c>
      <c r="J413">
        <v>0.31990232723954298</v>
      </c>
      <c r="K413">
        <v>0.856525606811539</v>
      </c>
      <c r="L413" t="s">
        <v>33</v>
      </c>
      <c r="M413" t="s">
        <v>34</v>
      </c>
      <c r="N413" t="s">
        <v>35</v>
      </c>
      <c r="O413">
        <v>0.94749000376555803</v>
      </c>
      <c r="P413" t="s">
        <v>36</v>
      </c>
    </row>
    <row r="414" spans="1:16">
      <c r="A414">
        <v>413</v>
      </c>
      <c r="B414" t="s">
        <v>467</v>
      </c>
      <c r="C414">
        <v>63</v>
      </c>
      <c r="D414">
        <v>78</v>
      </c>
      <c r="E414">
        <v>62.811904418455804</v>
      </c>
      <c r="F414">
        <v>0.80419580419580405</v>
      </c>
      <c r="G414">
        <v>3098.6591274102102</v>
      </c>
      <c r="H414">
        <v>491.68978779751302</v>
      </c>
      <c r="I414">
        <v>0.56646322446259101</v>
      </c>
      <c r="J414">
        <v>0.16106504236535099</v>
      </c>
      <c r="K414">
        <v>0.77432773733472005</v>
      </c>
      <c r="L414" t="s">
        <v>33</v>
      </c>
      <c r="M414" t="s">
        <v>34</v>
      </c>
      <c r="N414" t="s">
        <v>35</v>
      </c>
      <c r="O414">
        <v>0.927679217185998</v>
      </c>
      <c r="P414" t="s">
        <v>36</v>
      </c>
    </row>
    <row r="415" spans="1:16">
      <c r="A415">
        <v>414</v>
      </c>
      <c r="B415" t="s">
        <v>468</v>
      </c>
      <c r="C415">
        <v>78</v>
      </c>
      <c r="D415">
        <v>93</v>
      </c>
      <c r="E415">
        <v>78.140393997637304</v>
      </c>
      <c r="F415">
        <v>0.83625730994152003</v>
      </c>
      <c r="G415">
        <v>4795.5792759924398</v>
      </c>
      <c r="H415">
        <v>580.78605900484604</v>
      </c>
      <c r="I415">
        <v>0.68547801144325904</v>
      </c>
      <c r="J415">
        <v>0.17865639749599399</v>
      </c>
      <c r="K415">
        <v>0.80385171159499702</v>
      </c>
      <c r="L415" t="s">
        <v>83</v>
      </c>
      <c r="M415" t="s">
        <v>34</v>
      </c>
      <c r="N415" t="s">
        <v>35</v>
      </c>
      <c r="O415">
        <v>0.78737437539548705</v>
      </c>
      <c r="P415" t="s">
        <v>36</v>
      </c>
    </row>
    <row r="416" spans="1:16">
      <c r="A416">
        <v>415</v>
      </c>
      <c r="B416" t="s">
        <v>469</v>
      </c>
      <c r="C416">
        <v>73</v>
      </c>
      <c r="D416">
        <v>88</v>
      </c>
      <c r="E416">
        <v>64.3286391925717</v>
      </c>
      <c r="F416">
        <v>0.83229813664596297</v>
      </c>
      <c r="G416">
        <v>3250.1141183364798</v>
      </c>
      <c r="H416">
        <v>525.70305262327201</v>
      </c>
      <c r="I416">
        <v>0.55356703580312705</v>
      </c>
      <c r="J416">
        <v>0.147784020181878</v>
      </c>
      <c r="K416">
        <v>0.61104901358073005</v>
      </c>
      <c r="L416" t="s">
        <v>33</v>
      </c>
      <c r="M416" t="s">
        <v>34</v>
      </c>
      <c r="N416" t="s">
        <v>35</v>
      </c>
      <c r="O416">
        <v>0.95006341612690803</v>
      </c>
      <c r="P416" t="s">
        <v>36</v>
      </c>
    </row>
    <row r="417" spans="1:16">
      <c r="A417">
        <v>416</v>
      </c>
      <c r="B417" t="s">
        <v>470</v>
      </c>
      <c r="C417">
        <v>89</v>
      </c>
      <c r="D417">
        <v>119</v>
      </c>
      <c r="E417">
        <v>79.920743994142498</v>
      </c>
      <c r="F417">
        <v>0.74253629840672397</v>
      </c>
      <c r="G417">
        <v>5016.5935758034002</v>
      </c>
      <c r="H417">
        <v>457.62951177928801</v>
      </c>
      <c r="I417">
        <v>0.74212073971944204</v>
      </c>
      <c r="J417">
        <v>0.301016799873778</v>
      </c>
      <c r="K417">
        <v>0.643950089670699</v>
      </c>
      <c r="L417" t="s">
        <v>33</v>
      </c>
      <c r="M417" t="s">
        <v>34</v>
      </c>
      <c r="N417" t="s">
        <v>35</v>
      </c>
      <c r="O417">
        <v>0.90871918626794401</v>
      </c>
      <c r="P417" t="s">
        <v>36</v>
      </c>
    </row>
    <row r="418" spans="1:16">
      <c r="A418">
        <v>417</v>
      </c>
      <c r="B418" t="s">
        <v>471</v>
      </c>
      <c r="C418">
        <v>140</v>
      </c>
      <c r="D418">
        <v>64</v>
      </c>
      <c r="E418">
        <v>75.827212096373799</v>
      </c>
      <c r="F418">
        <v>2.1957597156569801</v>
      </c>
      <c r="G418">
        <v>4515.8557304347796</v>
      </c>
      <c r="H418">
        <v>638.81158652917202</v>
      </c>
      <c r="I418">
        <v>0.77299822278417296</v>
      </c>
      <c r="J418">
        <v>0.13906068159724999</v>
      </c>
      <c r="K418">
        <v>0.69448444535875098</v>
      </c>
      <c r="L418" t="s">
        <v>33</v>
      </c>
      <c r="M418" t="s">
        <v>34</v>
      </c>
      <c r="N418" t="s">
        <v>35</v>
      </c>
      <c r="O418">
        <v>0.94600241309021704</v>
      </c>
      <c r="P418" t="s">
        <v>36</v>
      </c>
    </row>
    <row r="419" spans="1:16">
      <c r="A419">
        <v>418</v>
      </c>
      <c r="B419" t="s">
        <v>472</v>
      </c>
      <c r="C419">
        <v>116</v>
      </c>
      <c r="D419">
        <v>171</v>
      </c>
      <c r="E419">
        <v>86.799407301032701</v>
      </c>
      <c r="F419">
        <v>0.67515923566878999</v>
      </c>
      <c r="G419">
        <v>5917.2974472589804</v>
      </c>
      <c r="H419">
        <v>1226.15031701212</v>
      </c>
      <c r="I419">
        <v>0.63199308214622296</v>
      </c>
      <c r="J419">
        <v>4.9459057395371903E-2</v>
      </c>
      <c r="K419">
        <v>0.39311175622568501</v>
      </c>
      <c r="L419" t="s">
        <v>52</v>
      </c>
      <c r="M419" t="s">
        <v>34</v>
      </c>
      <c r="N419" t="s">
        <v>35</v>
      </c>
      <c r="O419">
        <v>0.64352401525618497</v>
      </c>
      <c r="P419" t="s">
        <v>36</v>
      </c>
    </row>
    <row r="420" spans="1:16">
      <c r="A420">
        <v>419</v>
      </c>
      <c r="B420" t="s">
        <v>473</v>
      </c>
      <c r="C420">
        <v>78</v>
      </c>
      <c r="D420">
        <v>73</v>
      </c>
      <c r="E420">
        <v>63.422055977630201</v>
      </c>
      <c r="F420">
        <v>1.0671641791044799</v>
      </c>
      <c r="G420">
        <v>3159.1519451795798</v>
      </c>
      <c r="H420">
        <v>537.72993495163701</v>
      </c>
      <c r="I420">
        <v>0.530895707241267</v>
      </c>
      <c r="J420">
        <v>0.137294124096764</v>
      </c>
      <c r="K420">
        <v>0.65607926659875904</v>
      </c>
      <c r="L420" t="s">
        <v>33</v>
      </c>
      <c r="M420" t="s">
        <v>34</v>
      </c>
      <c r="N420" t="s">
        <v>35</v>
      </c>
      <c r="O420">
        <v>0.92741830842510797</v>
      </c>
      <c r="P420" t="s">
        <v>36</v>
      </c>
    </row>
    <row r="421" spans="1:16">
      <c r="A421">
        <v>420</v>
      </c>
      <c r="B421" t="s">
        <v>474</v>
      </c>
      <c r="C421">
        <v>161</v>
      </c>
      <c r="D421">
        <v>143</v>
      </c>
      <c r="E421">
        <v>113.325146508576</v>
      </c>
      <c r="F421">
        <v>1.12977102259769</v>
      </c>
      <c r="G421">
        <v>10086.545681285401</v>
      </c>
      <c r="H421">
        <v>827.80115914230805</v>
      </c>
      <c r="I421">
        <v>0.76403588986314097</v>
      </c>
      <c r="J421">
        <v>0.184969559963888</v>
      </c>
      <c r="K421">
        <v>0.58056651068089105</v>
      </c>
      <c r="L421" t="s">
        <v>33</v>
      </c>
      <c r="M421" t="s">
        <v>34</v>
      </c>
      <c r="N421" t="s">
        <v>35</v>
      </c>
      <c r="O421">
        <v>0.93547729145456404</v>
      </c>
      <c r="P421" t="s">
        <v>36</v>
      </c>
    </row>
    <row r="422" spans="1:16">
      <c r="A422">
        <v>421</v>
      </c>
      <c r="B422" t="s">
        <v>475</v>
      </c>
      <c r="C422">
        <v>107</v>
      </c>
      <c r="D422">
        <v>63</v>
      </c>
      <c r="E422">
        <v>71.363259822643101</v>
      </c>
      <c r="F422">
        <v>1.69827582237978</v>
      </c>
      <c r="G422">
        <v>3999.8088918714602</v>
      </c>
      <c r="H422">
        <v>602.48516025532899</v>
      </c>
      <c r="I422">
        <v>0.67222032002908605</v>
      </c>
      <c r="J422">
        <v>0.138470224689027</v>
      </c>
      <c r="K422">
        <v>0.644667497125335</v>
      </c>
      <c r="L422" t="s">
        <v>33</v>
      </c>
      <c r="M422" t="s">
        <v>34</v>
      </c>
      <c r="N422" t="s">
        <v>35</v>
      </c>
      <c r="O422">
        <v>0.94928881412503496</v>
      </c>
      <c r="P422" t="s">
        <v>36</v>
      </c>
    </row>
    <row r="423" spans="1:16">
      <c r="A423">
        <v>422</v>
      </c>
      <c r="B423" t="s">
        <v>476</v>
      </c>
      <c r="C423">
        <v>86</v>
      </c>
      <c r="D423">
        <v>114</v>
      </c>
      <c r="E423">
        <v>82.835724138879598</v>
      </c>
      <c r="F423">
        <v>0.75598082561304203</v>
      </c>
      <c r="G423">
        <v>5389.2114975425302</v>
      </c>
      <c r="H423">
        <v>596.58909950121597</v>
      </c>
      <c r="I423">
        <v>0.39921273150693298</v>
      </c>
      <c r="J423">
        <v>0.19027619747265501</v>
      </c>
      <c r="K423">
        <v>0.66069606413994197</v>
      </c>
      <c r="L423" t="s">
        <v>178</v>
      </c>
      <c r="M423" t="s">
        <v>34</v>
      </c>
      <c r="N423" t="s">
        <v>35</v>
      </c>
      <c r="O423">
        <v>0.69431521829767096</v>
      </c>
      <c r="P423" t="s">
        <v>36</v>
      </c>
    </row>
    <row r="424" spans="1:16">
      <c r="A424">
        <v>423</v>
      </c>
      <c r="B424" t="s">
        <v>477</v>
      </c>
      <c r="C424">
        <v>73</v>
      </c>
      <c r="D424">
        <v>58</v>
      </c>
      <c r="E424">
        <v>53.905697808907199</v>
      </c>
      <c r="F424">
        <v>1.2429906542056099</v>
      </c>
      <c r="G424">
        <v>2282.2290340264699</v>
      </c>
      <c r="H424">
        <v>389.54039891854597</v>
      </c>
      <c r="I424">
        <v>0.70974797478587304</v>
      </c>
      <c r="J424">
        <v>0.18900099074128701</v>
      </c>
      <c r="K424">
        <v>0.702263892064944</v>
      </c>
      <c r="L424" t="s">
        <v>33</v>
      </c>
      <c r="M424" t="s">
        <v>34</v>
      </c>
      <c r="N424" t="s">
        <v>35</v>
      </c>
      <c r="O424">
        <v>0.88097326651846697</v>
      </c>
      <c r="P424" t="s">
        <v>36</v>
      </c>
    </row>
    <row r="425" spans="1:16">
      <c r="A425">
        <v>424</v>
      </c>
      <c r="B425" t="s">
        <v>478</v>
      </c>
      <c r="C425">
        <v>63</v>
      </c>
      <c r="D425">
        <v>127</v>
      </c>
      <c r="E425">
        <v>68.938060414604706</v>
      </c>
      <c r="F425">
        <v>0.49356223091645901</v>
      </c>
      <c r="G425">
        <v>3732.5703504725898</v>
      </c>
      <c r="H425">
        <v>810.11944180042894</v>
      </c>
      <c r="I425">
        <v>0.726061515990583</v>
      </c>
      <c r="J425">
        <v>7.1469337506353398E-2</v>
      </c>
      <c r="K425">
        <v>0.60794519221458299</v>
      </c>
      <c r="L425" t="s">
        <v>321</v>
      </c>
      <c r="M425" t="s">
        <v>34</v>
      </c>
      <c r="N425" t="s">
        <v>35</v>
      </c>
      <c r="O425">
        <v>0.77661294423877802</v>
      </c>
      <c r="P425" t="s">
        <v>36</v>
      </c>
    </row>
    <row r="426" spans="1:16">
      <c r="A426">
        <v>425</v>
      </c>
      <c r="B426" t="s">
        <v>479</v>
      </c>
      <c r="C426">
        <v>380</v>
      </c>
      <c r="D426">
        <v>141</v>
      </c>
      <c r="E426">
        <v>123.171515929842</v>
      </c>
      <c r="F426">
        <v>2.6900395037681402</v>
      </c>
      <c r="G426">
        <v>11915.450159546301</v>
      </c>
      <c r="H426">
        <v>1585.40821431056</v>
      </c>
      <c r="I426">
        <v>0.65075796988398804</v>
      </c>
      <c r="J426">
        <v>5.9571441660024899E-2</v>
      </c>
      <c r="K426">
        <v>0.28014900650680402</v>
      </c>
      <c r="L426" t="s">
        <v>331</v>
      </c>
      <c r="M426" t="s">
        <v>34</v>
      </c>
      <c r="N426" t="s">
        <v>35</v>
      </c>
      <c r="O426">
        <v>0.68857287313629201</v>
      </c>
      <c r="P426" t="s">
        <v>36</v>
      </c>
    </row>
    <row r="427" spans="1:16">
      <c r="A427">
        <v>426</v>
      </c>
      <c r="B427" t="s">
        <v>480</v>
      </c>
      <c r="C427">
        <v>94</v>
      </c>
      <c r="D427">
        <v>77</v>
      </c>
      <c r="E427">
        <v>72.837041363606104</v>
      </c>
      <c r="F427">
        <v>1.2132921616051799</v>
      </c>
      <c r="G427">
        <v>4166.7215069943304</v>
      </c>
      <c r="H427">
        <v>396.45556955150897</v>
      </c>
      <c r="I427">
        <v>0.663030950657717</v>
      </c>
      <c r="J427">
        <v>0.33313118648407197</v>
      </c>
      <c r="K427">
        <v>0.75812645356698605</v>
      </c>
      <c r="L427" t="s">
        <v>33</v>
      </c>
      <c r="M427" t="s">
        <v>34</v>
      </c>
      <c r="N427" t="s">
        <v>35</v>
      </c>
      <c r="O427">
        <v>0.88846879624803698</v>
      </c>
      <c r="P427" t="s">
        <v>36</v>
      </c>
    </row>
    <row r="428" spans="1:16">
      <c r="A428">
        <v>427</v>
      </c>
      <c r="B428" t="s">
        <v>481</v>
      </c>
      <c r="C428">
        <v>63</v>
      </c>
      <c r="D428">
        <v>88</v>
      </c>
      <c r="E428">
        <v>60.781570332955397</v>
      </c>
      <c r="F428">
        <v>0.72049693620517097</v>
      </c>
      <c r="G428">
        <v>2901.57441890359</v>
      </c>
      <c r="H428">
        <v>552.30246277415199</v>
      </c>
      <c r="I428">
        <v>0.68405880732133595</v>
      </c>
      <c r="J428">
        <v>0.119533495077874</v>
      </c>
      <c r="K428">
        <v>0.63749469353100596</v>
      </c>
      <c r="L428" t="s">
        <v>83</v>
      </c>
      <c r="M428" t="s">
        <v>34</v>
      </c>
      <c r="N428" t="s">
        <v>35</v>
      </c>
      <c r="O428">
        <v>0.81596425002748396</v>
      </c>
      <c r="P428" t="s">
        <v>36</v>
      </c>
    </row>
    <row r="429" spans="1:16">
      <c r="A429">
        <v>428</v>
      </c>
      <c r="B429" t="s">
        <v>482</v>
      </c>
      <c r="C429">
        <v>104</v>
      </c>
      <c r="D429">
        <v>171</v>
      </c>
      <c r="E429">
        <v>109.653655566588</v>
      </c>
      <c r="F429">
        <v>0.60509554140127397</v>
      </c>
      <c r="G429">
        <v>9443.5679671077505</v>
      </c>
      <c r="H429">
        <v>708.69798854921203</v>
      </c>
      <c r="I429">
        <v>0.71807798699963898</v>
      </c>
      <c r="J429">
        <v>0.236278156712979</v>
      </c>
      <c r="K429">
        <v>0.64520944402132496</v>
      </c>
      <c r="L429" t="s">
        <v>321</v>
      </c>
      <c r="M429" t="s">
        <v>34</v>
      </c>
      <c r="N429" t="s">
        <v>35</v>
      </c>
      <c r="O429">
        <v>0.76074333099225899</v>
      </c>
      <c r="P429" t="s">
        <v>36</v>
      </c>
    </row>
    <row r="430" spans="1:16">
      <c r="A430">
        <v>429</v>
      </c>
      <c r="B430" t="s">
        <v>483</v>
      </c>
      <c r="C430">
        <v>115</v>
      </c>
      <c r="D430">
        <v>123</v>
      </c>
      <c r="E430">
        <v>105.170657589732</v>
      </c>
      <c r="F430">
        <v>0.93213270906172496</v>
      </c>
      <c r="G430">
        <v>8687.1847984877095</v>
      </c>
      <c r="H430">
        <v>780.23770883311397</v>
      </c>
      <c r="I430">
        <v>0.50945288254221099</v>
      </c>
      <c r="J430">
        <v>0.179322610443267</v>
      </c>
      <c r="K430">
        <v>0.67501270383886902</v>
      </c>
      <c r="L430" t="s">
        <v>33</v>
      </c>
      <c r="M430" t="s">
        <v>34</v>
      </c>
      <c r="N430" t="s">
        <v>35</v>
      </c>
      <c r="O430">
        <v>0.93224219393367203</v>
      </c>
      <c r="P430" t="s">
        <v>36</v>
      </c>
    </row>
    <row r="431" spans="1:16">
      <c r="A431">
        <v>430</v>
      </c>
      <c r="B431" t="s">
        <v>484</v>
      </c>
      <c r="C431">
        <v>68</v>
      </c>
      <c r="D431">
        <v>94</v>
      </c>
      <c r="E431">
        <v>60.647542451367997</v>
      </c>
      <c r="F431">
        <v>0.72509573162144902</v>
      </c>
      <c r="G431">
        <v>2888.7921527410199</v>
      </c>
      <c r="H431">
        <v>526.28701735558695</v>
      </c>
      <c r="I431">
        <v>0.597031008211381</v>
      </c>
      <c r="J431">
        <v>0.13106322375851601</v>
      </c>
      <c r="K431">
        <v>0.64466483133768904</v>
      </c>
      <c r="L431" t="s">
        <v>75</v>
      </c>
      <c r="M431" t="s">
        <v>34</v>
      </c>
      <c r="N431" t="s">
        <v>35</v>
      </c>
      <c r="O431">
        <v>0.76907148758775601</v>
      </c>
      <c r="P431" t="s">
        <v>36</v>
      </c>
    </row>
    <row r="432" spans="1:16">
      <c r="A432">
        <v>431</v>
      </c>
      <c r="B432" t="s">
        <v>485</v>
      </c>
      <c r="C432">
        <v>58</v>
      </c>
      <c r="D432">
        <v>83</v>
      </c>
      <c r="E432">
        <v>66.691642312565904</v>
      </c>
      <c r="F432">
        <v>0.70394736842105299</v>
      </c>
      <c r="G432">
        <v>3493.2744374291101</v>
      </c>
      <c r="H432">
        <v>252.62387964466299</v>
      </c>
      <c r="I432">
        <v>0.67518956325234902</v>
      </c>
      <c r="J432">
        <v>0.68785004325027899</v>
      </c>
      <c r="K432">
        <v>0.91298605446140702</v>
      </c>
      <c r="L432" t="s">
        <v>33</v>
      </c>
      <c r="M432" t="s">
        <v>34</v>
      </c>
      <c r="N432" t="s">
        <v>35</v>
      </c>
      <c r="O432">
        <v>0.93133182140551196</v>
      </c>
      <c r="P432" t="s">
        <v>36</v>
      </c>
    </row>
    <row r="433" spans="1:16">
      <c r="A433">
        <v>432</v>
      </c>
      <c r="B433" t="s">
        <v>486</v>
      </c>
      <c r="C433">
        <v>117</v>
      </c>
      <c r="D433">
        <v>60</v>
      </c>
      <c r="E433">
        <v>75.413040680042499</v>
      </c>
      <c r="F433">
        <v>1.94545454545455</v>
      </c>
      <c r="G433">
        <v>4466.6588688090696</v>
      </c>
      <c r="H433">
        <v>505.18906908429199</v>
      </c>
      <c r="I433">
        <v>0.68204526924349296</v>
      </c>
      <c r="J433">
        <v>0.21993014441947401</v>
      </c>
      <c r="K433">
        <v>0.76922289341660699</v>
      </c>
      <c r="L433" t="s">
        <v>33</v>
      </c>
      <c r="M433" t="s">
        <v>34</v>
      </c>
      <c r="N433" t="s">
        <v>35</v>
      </c>
      <c r="O433">
        <v>0.90420576717192702</v>
      </c>
      <c r="P433" t="s">
        <v>36</v>
      </c>
    </row>
    <row r="434" spans="1:16">
      <c r="A434">
        <v>433</v>
      </c>
      <c r="B434" t="s">
        <v>487</v>
      </c>
      <c r="C434">
        <v>122</v>
      </c>
      <c r="D434">
        <v>47</v>
      </c>
      <c r="E434">
        <v>52.3797968436077</v>
      </c>
      <c r="F434">
        <v>2.59697704272314</v>
      </c>
      <c r="G434">
        <v>2154.85226540643</v>
      </c>
      <c r="H434">
        <v>427.91540287473902</v>
      </c>
      <c r="I434">
        <v>0.59591635726647696</v>
      </c>
      <c r="J434">
        <v>0.147880709724309</v>
      </c>
      <c r="K434">
        <v>0.53026590102776106</v>
      </c>
      <c r="L434" t="s">
        <v>96</v>
      </c>
      <c r="M434" t="s">
        <v>34</v>
      </c>
      <c r="N434" t="s">
        <v>35</v>
      </c>
      <c r="O434">
        <v>0.75925917980420898</v>
      </c>
      <c r="P434" t="s">
        <v>36</v>
      </c>
    </row>
    <row r="435" spans="1:16">
      <c r="A435">
        <v>434</v>
      </c>
      <c r="B435" t="s">
        <v>488</v>
      </c>
      <c r="C435">
        <v>98</v>
      </c>
      <c r="D435">
        <v>73</v>
      </c>
      <c r="E435">
        <v>75.727317823715495</v>
      </c>
      <c r="F435">
        <v>1.33582089552239</v>
      </c>
      <c r="G435">
        <v>4503.9652502835497</v>
      </c>
      <c r="H435">
        <v>926.24799153110303</v>
      </c>
      <c r="I435">
        <v>0.60258323606853703</v>
      </c>
      <c r="J435">
        <v>6.5970585206916704E-2</v>
      </c>
      <c r="K435">
        <v>0.65055817947617001</v>
      </c>
      <c r="L435" t="s">
        <v>75</v>
      </c>
      <c r="M435" t="s">
        <v>34</v>
      </c>
      <c r="N435" t="s">
        <v>35</v>
      </c>
      <c r="O435">
        <v>0.832038228377044</v>
      </c>
      <c r="P435" t="s">
        <v>36</v>
      </c>
    </row>
    <row r="436" spans="1:16">
      <c r="A436">
        <v>435</v>
      </c>
      <c r="B436" t="s">
        <v>489</v>
      </c>
      <c r="C436">
        <v>68</v>
      </c>
      <c r="D436">
        <v>59</v>
      </c>
      <c r="E436">
        <v>59.201164998851397</v>
      </c>
      <c r="F436">
        <v>1.1574074074074101</v>
      </c>
      <c r="G436">
        <v>2752.64615500945</v>
      </c>
      <c r="H436">
        <v>370.12235939647798</v>
      </c>
      <c r="I436">
        <v>0.56583459345197895</v>
      </c>
      <c r="J436">
        <v>0.25250478223038197</v>
      </c>
      <c r="K436">
        <v>0.779723812731559</v>
      </c>
      <c r="L436" t="s">
        <v>83</v>
      </c>
      <c r="M436" t="s">
        <v>34</v>
      </c>
      <c r="N436" t="s">
        <v>35</v>
      </c>
      <c r="O436">
        <v>0.860352371713762</v>
      </c>
      <c r="P436" t="s">
        <v>36</v>
      </c>
    </row>
    <row r="437" spans="1:16">
      <c r="A437">
        <v>436</v>
      </c>
      <c r="B437" t="s">
        <v>490</v>
      </c>
      <c r="C437">
        <v>183</v>
      </c>
      <c r="D437">
        <v>106</v>
      </c>
      <c r="E437">
        <v>102.254814106506</v>
      </c>
      <c r="F437">
        <v>1.7157670204458899</v>
      </c>
      <c r="G437">
        <v>8212.1601164461299</v>
      </c>
      <c r="H437">
        <v>683.640686030388</v>
      </c>
      <c r="I437">
        <v>0.65829702110022503</v>
      </c>
      <c r="J437">
        <v>0.22080630477058</v>
      </c>
      <c r="K437">
        <v>0.60698474079119402</v>
      </c>
      <c r="L437" t="s">
        <v>45</v>
      </c>
      <c r="M437" t="s">
        <v>34</v>
      </c>
      <c r="N437" t="s">
        <v>35</v>
      </c>
      <c r="O437">
        <v>0.66468147529083799</v>
      </c>
      <c r="P437" t="s">
        <v>36</v>
      </c>
    </row>
    <row r="438" spans="1:16">
      <c r="A438">
        <v>437</v>
      </c>
      <c r="B438" t="s">
        <v>491</v>
      </c>
      <c r="C438">
        <v>86</v>
      </c>
      <c r="D438">
        <v>85</v>
      </c>
      <c r="E438">
        <v>59.432467164441299</v>
      </c>
      <c r="F438">
        <v>1.01157968802045</v>
      </c>
      <c r="G438">
        <v>2774.19765028355</v>
      </c>
      <c r="H438">
        <v>638.32781396005498</v>
      </c>
      <c r="I438">
        <v>0.67534824819830297</v>
      </c>
      <c r="J438">
        <v>8.5557823238768593E-2</v>
      </c>
      <c r="K438">
        <v>0.48785906584071698</v>
      </c>
      <c r="L438" t="s">
        <v>33</v>
      </c>
      <c r="M438" t="s">
        <v>34</v>
      </c>
      <c r="N438" t="s">
        <v>35</v>
      </c>
      <c r="O438">
        <v>0.95801020723680597</v>
      </c>
      <c r="P438" t="s">
        <v>36</v>
      </c>
    </row>
    <row r="439" spans="1:16">
      <c r="A439">
        <v>438</v>
      </c>
      <c r="B439" t="s">
        <v>492</v>
      </c>
      <c r="C439">
        <v>143</v>
      </c>
      <c r="D439">
        <v>180</v>
      </c>
      <c r="E439">
        <v>109.72784088765</v>
      </c>
      <c r="F439">
        <v>0.791059382109776</v>
      </c>
      <c r="G439">
        <v>9456.3502332703192</v>
      </c>
      <c r="H439">
        <v>867.11550152125596</v>
      </c>
      <c r="I439">
        <v>0.59960787950776795</v>
      </c>
      <c r="J439">
        <v>0.15804454565342699</v>
      </c>
      <c r="K439">
        <v>0.54286299371155</v>
      </c>
      <c r="L439" t="s">
        <v>279</v>
      </c>
      <c r="M439" t="s">
        <v>34</v>
      </c>
      <c r="N439" t="s">
        <v>35</v>
      </c>
      <c r="O439">
        <v>0.86217584066595998</v>
      </c>
      <c r="P439" t="s">
        <v>36</v>
      </c>
    </row>
    <row r="440" spans="1:16">
      <c r="A440">
        <v>439</v>
      </c>
      <c r="B440" t="s">
        <v>493</v>
      </c>
      <c r="C440">
        <v>154</v>
      </c>
      <c r="D440">
        <v>126</v>
      </c>
      <c r="E440">
        <v>103.976279172408</v>
      </c>
      <c r="F440">
        <v>1.22388316426574</v>
      </c>
      <c r="G440">
        <v>8490.9918759924403</v>
      </c>
      <c r="H440">
        <v>866.28024826588796</v>
      </c>
      <c r="I440">
        <v>0.58114722796235097</v>
      </c>
      <c r="J440">
        <v>0.142184241237957</v>
      </c>
      <c r="K440">
        <v>0.59379677365707595</v>
      </c>
      <c r="L440" t="s">
        <v>132</v>
      </c>
      <c r="M440" t="s">
        <v>34</v>
      </c>
      <c r="N440" t="s">
        <v>35</v>
      </c>
      <c r="O440">
        <v>0.73878884002729095</v>
      </c>
      <c r="P440" t="s">
        <v>36</v>
      </c>
    </row>
    <row r="441" spans="1:16">
      <c r="A441">
        <v>440</v>
      </c>
      <c r="B441" t="s">
        <v>494</v>
      </c>
      <c r="C441">
        <v>79</v>
      </c>
      <c r="D441">
        <v>92</v>
      </c>
      <c r="E441">
        <v>72.071757806119507</v>
      </c>
      <c r="F441">
        <v>0.85809658598253802</v>
      </c>
      <c r="G441">
        <v>4079.6237398865801</v>
      </c>
      <c r="H441">
        <v>415.321744060931</v>
      </c>
      <c r="I441">
        <v>0.68879613349744795</v>
      </c>
      <c r="J441">
        <v>0.29720809647657198</v>
      </c>
      <c r="K441">
        <v>0.73208332222014805</v>
      </c>
      <c r="L441" t="s">
        <v>33</v>
      </c>
      <c r="M441" t="s">
        <v>34</v>
      </c>
      <c r="N441" t="s">
        <v>35</v>
      </c>
      <c r="O441">
        <v>0.93185266972948799</v>
      </c>
      <c r="P441" t="s">
        <v>36</v>
      </c>
    </row>
    <row r="442" spans="1:16">
      <c r="A442">
        <v>441</v>
      </c>
      <c r="B442" t="s">
        <v>495</v>
      </c>
      <c r="C442">
        <v>69</v>
      </c>
      <c r="D442">
        <v>93</v>
      </c>
      <c r="E442">
        <v>65.302364536909394</v>
      </c>
      <c r="F442">
        <v>0.74117647058823499</v>
      </c>
      <c r="G442">
        <v>3349.25099659735</v>
      </c>
      <c r="H442">
        <v>428.55416480790001</v>
      </c>
      <c r="I442">
        <v>0.62230289281237305</v>
      </c>
      <c r="J442">
        <v>0.22916385491361099</v>
      </c>
      <c r="K442">
        <v>0.73381529243193999</v>
      </c>
      <c r="L442" t="s">
        <v>178</v>
      </c>
      <c r="M442" t="s">
        <v>34</v>
      </c>
      <c r="N442" t="s">
        <v>35</v>
      </c>
      <c r="O442">
        <v>0.68494867011711902</v>
      </c>
      <c r="P442" t="s">
        <v>36</v>
      </c>
    </row>
    <row r="443" spans="1:16">
      <c r="A443">
        <v>442</v>
      </c>
      <c r="B443" t="s">
        <v>496</v>
      </c>
      <c r="C443">
        <v>114</v>
      </c>
      <c r="D443">
        <v>44</v>
      </c>
      <c r="E443">
        <v>56.599499021510901</v>
      </c>
      <c r="F443">
        <v>2.5976059415747699</v>
      </c>
      <c r="G443">
        <v>2516.0255999999999</v>
      </c>
      <c r="H443">
        <v>340.79800067611399</v>
      </c>
      <c r="I443">
        <v>0.55475383312605797</v>
      </c>
      <c r="J443">
        <v>0.27222677807446299</v>
      </c>
      <c r="K443">
        <v>0.73107320233211004</v>
      </c>
      <c r="L443" t="s">
        <v>75</v>
      </c>
      <c r="M443" t="s">
        <v>34</v>
      </c>
      <c r="N443" t="s">
        <v>35</v>
      </c>
      <c r="O443">
        <v>0.715768900534278</v>
      </c>
      <c r="P443" t="s">
        <v>36</v>
      </c>
    </row>
    <row r="444" spans="1:16">
      <c r="A444">
        <v>443</v>
      </c>
      <c r="B444" t="s">
        <v>497</v>
      </c>
      <c r="C444">
        <v>88</v>
      </c>
      <c r="D444">
        <v>68</v>
      </c>
      <c r="E444">
        <v>62.822448509728503</v>
      </c>
      <c r="F444">
        <v>1.288</v>
      </c>
      <c r="G444">
        <v>3099.6995444234399</v>
      </c>
      <c r="H444">
        <v>515.09538828258906</v>
      </c>
      <c r="I444">
        <v>0.56362856748239798</v>
      </c>
      <c r="J444">
        <v>0.14680949348651801</v>
      </c>
      <c r="K444">
        <v>0.68857925842770795</v>
      </c>
      <c r="L444" t="s">
        <v>33</v>
      </c>
      <c r="M444" t="s">
        <v>34</v>
      </c>
      <c r="N444" t="s">
        <v>35</v>
      </c>
      <c r="O444">
        <v>0.943907727375497</v>
      </c>
      <c r="P444" t="s">
        <v>36</v>
      </c>
    </row>
    <row r="445" spans="1:16">
      <c r="A445">
        <v>444</v>
      </c>
      <c r="B445" t="s">
        <v>498</v>
      </c>
      <c r="C445">
        <v>60</v>
      </c>
      <c r="D445">
        <v>69</v>
      </c>
      <c r="E445">
        <v>58.978582370256703</v>
      </c>
      <c r="F445">
        <v>0.864023404058609</v>
      </c>
      <c r="G445">
        <v>2731.9864457466902</v>
      </c>
      <c r="H445">
        <v>311.52616238252</v>
      </c>
      <c r="I445">
        <v>0.63801652119531604</v>
      </c>
      <c r="J445">
        <v>0.35375236666754101</v>
      </c>
      <c r="K445">
        <v>0.81127245442909501</v>
      </c>
      <c r="L445" t="s">
        <v>33</v>
      </c>
      <c r="M445" t="s">
        <v>34</v>
      </c>
      <c r="N445" t="s">
        <v>35</v>
      </c>
      <c r="O445">
        <v>0.93954751848580798</v>
      </c>
      <c r="P445" t="s">
        <v>36</v>
      </c>
    </row>
    <row r="446" spans="1:16">
      <c r="A446">
        <v>445</v>
      </c>
      <c r="B446" t="s">
        <v>499</v>
      </c>
      <c r="C446">
        <v>45</v>
      </c>
      <c r="D446">
        <v>80</v>
      </c>
      <c r="E446">
        <v>57.272564561961801</v>
      </c>
      <c r="F446">
        <v>0.56939830859206797</v>
      </c>
      <c r="G446">
        <v>2576.2211557656001</v>
      </c>
      <c r="H446">
        <v>228.073047176133</v>
      </c>
      <c r="I446">
        <v>0.61733779462838001</v>
      </c>
      <c r="J446">
        <v>0.62236487835587195</v>
      </c>
      <c r="K446">
        <v>0.91947376796986902</v>
      </c>
      <c r="L446" t="s">
        <v>33</v>
      </c>
      <c r="M446" t="s">
        <v>34</v>
      </c>
      <c r="N446" t="s">
        <v>35</v>
      </c>
      <c r="O446">
        <v>0.93940529789690397</v>
      </c>
      <c r="P446" t="s">
        <v>36</v>
      </c>
    </row>
    <row r="447" spans="1:16">
      <c r="A447">
        <v>446</v>
      </c>
      <c r="B447" t="s">
        <v>500</v>
      </c>
      <c r="C447">
        <v>83</v>
      </c>
      <c r="D447">
        <v>83</v>
      </c>
      <c r="E447">
        <v>60.505398968150502</v>
      </c>
      <c r="F447">
        <v>1</v>
      </c>
      <c r="G447">
        <v>2875.2667315690001</v>
      </c>
      <c r="H447">
        <v>580.06980238966298</v>
      </c>
      <c r="I447">
        <v>0.58681328189419202</v>
      </c>
      <c r="J447">
        <v>0.10738101105073999</v>
      </c>
      <c r="K447">
        <v>0.53664558366622295</v>
      </c>
      <c r="L447" t="s">
        <v>83</v>
      </c>
      <c r="M447" t="s">
        <v>34</v>
      </c>
      <c r="N447" t="s">
        <v>35</v>
      </c>
      <c r="O447">
        <v>0.71381495261893602</v>
      </c>
      <c r="P447" t="s">
        <v>36</v>
      </c>
    </row>
    <row r="448" spans="1:16">
      <c r="A448">
        <v>447</v>
      </c>
      <c r="B448" t="s">
        <v>501</v>
      </c>
      <c r="C448">
        <v>78</v>
      </c>
      <c r="D448">
        <v>78</v>
      </c>
      <c r="E448">
        <v>66.789467076184096</v>
      </c>
      <c r="F448">
        <v>1</v>
      </c>
      <c r="G448">
        <v>3503.5299765595501</v>
      </c>
      <c r="H448">
        <v>522.48654547629201</v>
      </c>
      <c r="I448">
        <v>0.51598834227982204</v>
      </c>
      <c r="J448">
        <v>0.16127441635273501</v>
      </c>
      <c r="K448">
        <v>0.70192364957417697</v>
      </c>
      <c r="L448" t="s">
        <v>33</v>
      </c>
      <c r="M448" t="s">
        <v>34</v>
      </c>
      <c r="N448" t="s">
        <v>35</v>
      </c>
      <c r="O448">
        <v>0.95048777853640498</v>
      </c>
      <c r="P448" t="s">
        <v>36</v>
      </c>
    </row>
    <row r="449" spans="1:16">
      <c r="A449">
        <v>448</v>
      </c>
      <c r="B449" t="s">
        <v>502</v>
      </c>
      <c r="C449">
        <v>120</v>
      </c>
      <c r="D449">
        <v>91</v>
      </c>
      <c r="E449">
        <v>83.060448101615094</v>
      </c>
      <c r="F449">
        <v>1.3153007533488801</v>
      </c>
      <c r="G449">
        <v>5418.4918049149301</v>
      </c>
      <c r="H449">
        <v>446.77055891555301</v>
      </c>
      <c r="I449">
        <v>0.60616815549606196</v>
      </c>
      <c r="J449">
        <v>0.34112943268277601</v>
      </c>
      <c r="K449">
        <v>0.68904513495123598</v>
      </c>
      <c r="L449" t="s">
        <v>279</v>
      </c>
      <c r="M449" t="s">
        <v>34</v>
      </c>
      <c r="N449" t="s">
        <v>35</v>
      </c>
      <c r="O449">
        <v>0.86474224135575095</v>
      </c>
      <c r="P449" t="s">
        <v>36</v>
      </c>
    </row>
    <row r="450" spans="1:16">
      <c r="A450">
        <v>449</v>
      </c>
      <c r="B450" t="s">
        <v>503</v>
      </c>
      <c r="C450">
        <v>91</v>
      </c>
      <c r="D450">
        <v>135</v>
      </c>
      <c r="E450">
        <v>102.50527706174</v>
      </c>
      <c r="F450">
        <v>0.67195101748264796</v>
      </c>
      <c r="G450">
        <v>8252.4391179584109</v>
      </c>
      <c r="H450">
        <v>508.98013872509398</v>
      </c>
      <c r="I450">
        <v>0.65326313351649001</v>
      </c>
      <c r="J450">
        <v>0.40030454544899402</v>
      </c>
      <c r="K450">
        <v>0.76886753261140495</v>
      </c>
      <c r="L450" t="s">
        <v>45</v>
      </c>
      <c r="M450" t="s">
        <v>34</v>
      </c>
      <c r="N450" t="s">
        <v>35</v>
      </c>
      <c r="O450">
        <v>0.70591734227568603</v>
      </c>
      <c r="P450" t="s">
        <v>36</v>
      </c>
    </row>
    <row r="451" spans="1:16">
      <c r="A451">
        <v>450</v>
      </c>
      <c r="B451" t="s">
        <v>504</v>
      </c>
      <c r="C451">
        <v>73</v>
      </c>
      <c r="D451">
        <v>63</v>
      </c>
      <c r="E451">
        <v>51.105193841319803</v>
      </c>
      <c r="F451">
        <v>1.1551724137931001</v>
      </c>
      <c r="G451">
        <v>2051.2564570888499</v>
      </c>
      <c r="H451">
        <v>380.70732625598498</v>
      </c>
      <c r="I451">
        <v>0.63243135917690096</v>
      </c>
      <c r="J451">
        <v>0.177847332819074</v>
      </c>
      <c r="K451">
        <v>0.67628754839025795</v>
      </c>
      <c r="L451" t="s">
        <v>45</v>
      </c>
      <c r="M451" t="s">
        <v>34</v>
      </c>
      <c r="N451" t="s">
        <v>35</v>
      </c>
      <c r="O451">
        <v>0.90035789036300695</v>
      </c>
      <c r="P451" t="s">
        <v>36</v>
      </c>
    </row>
    <row r="452" spans="1:16">
      <c r="A452">
        <v>451</v>
      </c>
      <c r="B452" t="s">
        <v>505</v>
      </c>
      <c r="C452">
        <v>128</v>
      </c>
      <c r="D452">
        <v>107</v>
      </c>
      <c r="E452">
        <v>96.861208568535304</v>
      </c>
      <c r="F452">
        <v>1.18781728797832</v>
      </c>
      <c r="G452">
        <v>7368.6791807183399</v>
      </c>
      <c r="H452">
        <v>648.03991861021996</v>
      </c>
      <c r="I452">
        <v>0.65410870129174303</v>
      </c>
      <c r="J452">
        <v>0.220493603398356</v>
      </c>
      <c r="K452">
        <v>0.57267445218375701</v>
      </c>
      <c r="L452" t="s">
        <v>83</v>
      </c>
      <c r="M452" t="s">
        <v>34</v>
      </c>
      <c r="N452" t="s">
        <v>35</v>
      </c>
      <c r="O452">
        <v>0.85934022980243197</v>
      </c>
      <c r="P452" t="s">
        <v>36</v>
      </c>
    </row>
    <row r="453" spans="1:16">
      <c r="A453">
        <v>452</v>
      </c>
      <c r="B453" t="s">
        <v>506</v>
      </c>
      <c r="C453">
        <v>83</v>
      </c>
      <c r="D453">
        <v>98</v>
      </c>
      <c r="E453">
        <v>80.319919138158099</v>
      </c>
      <c r="F453">
        <v>0.84916201117318402</v>
      </c>
      <c r="G453">
        <v>5066.8308544423398</v>
      </c>
      <c r="H453">
        <v>929.04492554830495</v>
      </c>
      <c r="I453">
        <v>0.61774541117335402</v>
      </c>
      <c r="J453">
        <v>7.3768820486809897E-2</v>
      </c>
      <c r="K453">
        <v>0.66324247553454396</v>
      </c>
      <c r="L453" t="s">
        <v>75</v>
      </c>
      <c r="M453" t="s">
        <v>34</v>
      </c>
      <c r="N453" t="s">
        <v>35</v>
      </c>
      <c r="O453">
        <v>0.74097340318307303</v>
      </c>
      <c r="P453" t="s">
        <v>36</v>
      </c>
    </row>
    <row r="454" spans="1:16">
      <c r="A454">
        <v>453</v>
      </c>
      <c r="B454" t="s">
        <v>507</v>
      </c>
      <c r="C454">
        <v>99</v>
      </c>
      <c r="D454">
        <v>136</v>
      </c>
      <c r="E454">
        <v>89.329749046610601</v>
      </c>
      <c r="F454">
        <v>0.729378075931568</v>
      </c>
      <c r="G454">
        <v>6267.3234567107802</v>
      </c>
      <c r="H454">
        <v>671.85568998658096</v>
      </c>
      <c r="I454">
        <v>0.68803704568130397</v>
      </c>
      <c r="J454">
        <v>0.17447771865440401</v>
      </c>
      <c r="K454">
        <v>0.64909256038052399</v>
      </c>
      <c r="L454" t="s">
        <v>279</v>
      </c>
      <c r="M454" t="s">
        <v>34</v>
      </c>
      <c r="N454" t="s">
        <v>35</v>
      </c>
      <c r="O454">
        <v>0.85652848191720898</v>
      </c>
      <c r="P454" t="s">
        <v>36</v>
      </c>
    </row>
    <row r="455" spans="1:16">
      <c r="A455">
        <v>454</v>
      </c>
      <c r="B455" t="s">
        <v>508</v>
      </c>
      <c r="C455">
        <v>102</v>
      </c>
      <c r="D455">
        <v>45</v>
      </c>
      <c r="E455">
        <v>58.364129782319402</v>
      </c>
      <c r="F455">
        <v>2.2484431429616598</v>
      </c>
      <c r="G455">
        <v>2675.3580340264698</v>
      </c>
      <c r="H455">
        <v>464.24182914858301</v>
      </c>
      <c r="I455">
        <v>0.72043741183759202</v>
      </c>
      <c r="J455">
        <v>0.15599232711609601</v>
      </c>
      <c r="K455">
        <v>0.69316081330868795</v>
      </c>
      <c r="L455" t="s">
        <v>33</v>
      </c>
      <c r="M455" t="s">
        <v>34</v>
      </c>
      <c r="N455" t="s">
        <v>35</v>
      </c>
      <c r="O455">
        <v>0.94973676958640596</v>
      </c>
      <c r="P455" t="s">
        <v>36</v>
      </c>
    </row>
    <row r="456" spans="1:16">
      <c r="A456">
        <v>455</v>
      </c>
      <c r="B456" t="s">
        <v>509</v>
      </c>
      <c r="C456">
        <v>73</v>
      </c>
      <c r="D456">
        <v>74</v>
      </c>
      <c r="E456">
        <v>65.042481045299198</v>
      </c>
      <c r="F456">
        <v>0.99259259259259303</v>
      </c>
      <c r="G456">
        <v>3322.6460472589802</v>
      </c>
      <c r="H456">
        <v>573.68218305805499</v>
      </c>
      <c r="I456">
        <v>0.60069279662055997</v>
      </c>
      <c r="J456">
        <v>0.126867744602221</v>
      </c>
      <c r="K456">
        <v>0.68544183479487297</v>
      </c>
      <c r="L456" t="s">
        <v>33</v>
      </c>
      <c r="M456" t="s">
        <v>34</v>
      </c>
      <c r="N456" t="s">
        <v>35</v>
      </c>
      <c r="O456">
        <v>0.94757235299777698</v>
      </c>
      <c r="P456" t="s">
        <v>36</v>
      </c>
    </row>
    <row r="457" spans="1:16">
      <c r="A457">
        <v>456</v>
      </c>
      <c r="B457" t="s">
        <v>510</v>
      </c>
      <c r="C457">
        <v>63</v>
      </c>
      <c r="D457">
        <v>88</v>
      </c>
      <c r="E457">
        <v>64.545966295398898</v>
      </c>
      <c r="F457">
        <v>0.72049689440993803</v>
      </c>
      <c r="G457">
        <v>3272.1115066162602</v>
      </c>
      <c r="H457">
        <v>674.64094499121597</v>
      </c>
      <c r="I457">
        <v>0.65018363938623003</v>
      </c>
      <c r="J457">
        <v>9.0342596400529204E-2</v>
      </c>
      <c r="K457">
        <v>0.64879759519038105</v>
      </c>
      <c r="L457" t="s">
        <v>52</v>
      </c>
      <c r="M457" t="s">
        <v>34</v>
      </c>
      <c r="N457" t="s">
        <v>35</v>
      </c>
      <c r="O457">
        <v>0.64820438233039801</v>
      </c>
      <c r="P457" t="s">
        <v>36</v>
      </c>
    </row>
    <row r="458" spans="1:16">
      <c r="A458">
        <v>457</v>
      </c>
      <c r="B458" t="s">
        <v>511</v>
      </c>
      <c r="C458">
        <v>78</v>
      </c>
      <c r="D458">
        <v>68</v>
      </c>
      <c r="E458">
        <v>64.375691003528999</v>
      </c>
      <c r="F458">
        <v>1.14533015408316</v>
      </c>
      <c r="G458">
        <v>3254.8703103969801</v>
      </c>
      <c r="H458">
        <v>310.91399093472398</v>
      </c>
      <c r="I458">
        <v>0.52060607280360505</v>
      </c>
      <c r="J458">
        <v>0.42311948165533902</v>
      </c>
      <c r="K458">
        <v>0.76765870929295099</v>
      </c>
      <c r="L458" t="s">
        <v>512</v>
      </c>
      <c r="M458" t="s">
        <v>34</v>
      </c>
      <c r="N458" t="s">
        <v>35</v>
      </c>
      <c r="O458">
        <v>0.67545789078870999</v>
      </c>
      <c r="P458" t="s">
        <v>36</v>
      </c>
    </row>
    <row r="459" spans="1:16">
      <c r="A459">
        <v>458</v>
      </c>
      <c r="B459" t="s">
        <v>513</v>
      </c>
      <c r="C459">
        <v>50</v>
      </c>
      <c r="D459">
        <v>78</v>
      </c>
      <c r="E459">
        <v>52.698568341298902</v>
      </c>
      <c r="F459">
        <v>0.64581317111633496</v>
      </c>
      <c r="G459">
        <v>2181.1599527410199</v>
      </c>
      <c r="H459">
        <v>304.40899119304601</v>
      </c>
      <c r="I459">
        <v>0.68613881589424697</v>
      </c>
      <c r="J459">
        <v>0.29578927815541201</v>
      </c>
      <c r="K459">
        <v>0.732541306843708</v>
      </c>
      <c r="L459" t="s">
        <v>75</v>
      </c>
      <c r="M459" t="s">
        <v>34</v>
      </c>
      <c r="N459" t="s">
        <v>35</v>
      </c>
      <c r="O459">
        <v>0.73191925366243704</v>
      </c>
      <c r="P459" t="s">
        <v>36</v>
      </c>
    </row>
    <row r="460" spans="1:16">
      <c r="A460">
        <v>459</v>
      </c>
      <c r="B460" t="s">
        <v>514</v>
      </c>
      <c r="C460">
        <v>155</v>
      </c>
      <c r="D460">
        <v>129</v>
      </c>
      <c r="E460">
        <v>101.819900325577</v>
      </c>
      <c r="F460">
        <v>1.2033897274973899</v>
      </c>
      <c r="G460">
        <v>8142.45217655955</v>
      </c>
      <c r="H460">
        <v>1054.30940120521</v>
      </c>
      <c r="I460">
        <v>0.58978591278613501</v>
      </c>
      <c r="J460">
        <v>9.2051087207545998E-2</v>
      </c>
      <c r="K460">
        <v>0.61526971327171198</v>
      </c>
      <c r="L460" t="s">
        <v>75</v>
      </c>
      <c r="M460" t="s">
        <v>34</v>
      </c>
      <c r="N460" t="s">
        <v>35</v>
      </c>
      <c r="O460">
        <v>0.82072153017780802</v>
      </c>
      <c r="P460" t="s">
        <v>36</v>
      </c>
    </row>
    <row r="461" spans="1:16">
      <c r="A461">
        <v>460</v>
      </c>
      <c r="B461" t="s">
        <v>515</v>
      </c>
      <c r="C461">
        <v>70</v>
      </c>
      <c r="D461">
        <v>99</v>
      </c>
      <c r="E461">
        <v>65.103552445574607</v>
      </c>
      <c r="F461">
        <v>0.71270718232044195</v>
      </c>
      <c r="G461">
        <v>3328.88854933837</v>
      </c>
      <c r="H461">
        <v>465.304057215711</v>
      </c>
      <c r="I461">
        <v>0.57069379694471301</v>
      </c>
      <c r="J461">
        <v>0.19321259815245601</v>
      </c>
      <c r="K461">
        <v>0.66920640611927795</v>
      </c>
      <c r="L461" t="s">
        <v>33</v>
      </c>
      <c r="M461" t="s">
        <v>34</v>
      </c>
      <c r="N461" t="s">
        <v>35</v>
      </c>
      <c r="O461">
        <v>0.89576711466291903</v>
      </c>
      <c r="P461" t="s">
        <v>36</v>
      </c>
    </row>
    <row r="462" spans="1:16">
      <c r="A462">
        <v>461</v>
      </c>
      <c r="B462" t="s">
        <v>516</v>
      </c>
      <c r="C462">
        <v>89</v>
      </c>
      <c r="D462">
        <v>126</v>
      </c>
      <c r="E462">
        <v>86.588759282361494</v>
      </c>
      <c r="F462">
        <v>0.70465994299541901</v>
      </c>
      <c r="G462">
        <v>5888.6116638941403</v>
      </c>
      <c r="H462">
        <v>539.11932999372505</v>
      </c>
      <c r="I462">
        <v>0.71771472204977405</v>
      </c>
      <c r="J462">
        <v>0.25459681809437001</v>
      </c>
      <c r="K462">
        <v>0.68331004984391397</v>
      </c>
      <c r="L462" t="s">
        <v>33</v>
      </c>
      <c r="M462" t="s">
        <v>34</v>
      </c>
      <c r="N462" t="s">
        <v>35</v>
      </c>
      <c r="O462">
        <v>0.95216343030276096</v>
      </c>
      <c r="P462" t="s">
        <v>36</v>
      </c>
    </row>
    <row r="463" spans="1:16">
      <c r="A463">
        <v>462</v>
      </c>
      <c r="B463" t="s">
        <v>517</v>
      </c>
      <c r="C463">
        <v>126</v>
      </c>
      <c r="D463">
        <v>150</v>
      </c>
      <c r="E463">
        <v>95.503604988965293</v>
      </c>
      <c r="F463">
        <v>0.84237987054338603</v>
      </c>
      <c r="G463">
        <v>7163.5683981096399</v>
      </c>
      <c r="H463">
        <v>1197.6213258190801</v>
      </c>
      <c r="I463">
        <v>0.604583873635265</v>
      </c>
      <c r="J463">
        <v>6.2762499991565093E-2</v>
      </c>
      <c r="K463">
        <v>0.44638424776794</v>
      </c>
      <c r="L463" t="s">
        <v>33</v>
      </c>
      <c r="M463" t="s">
        <v>34</v>
      </c>
      <c r="N463" t="s">
        <v>35</v>
      </c>
      <c r="O463">
        <v>0.86839651924406402</v>
      </c>
      <c r="P463" t="s">
        <v>36</v>
      </c>
    </row>
    <row r="464" spans="1:16">
      <c r="A464">
        <v>463</v>
      </c>
      <c r="B464" t="s">
        <v>518</v>
      </c>
      <c r="C464">
        <v>127</v>
      </c>
      <c r="D464">
        <v>191</v>
      </c>
      <c r="E464">
        <v>98.407953665185104</v>
      </c>
      <c r="F464">
        <v>0.66571431461256902</v>
      </c>
      <c r="G464">
        <v>7605.8942597353498</v>
      </c>
      <c r="H464">
        <v>1157.68151674965</v>
      </c>
      <c r="I464">
        <v>0.67663998490839095</v>
      </c>
      <c r="J464">
        <v>7.1315174362985706E-2</v>
      </c>
      <c r="K464">
        <v>0.43056069733786601</v>
      </c>
      <c r="L464" t="s">
        <v>83</v>
      </c>
      <c r="M464" t="s">
        <v>34</v>
      </c>
      <c r="N464" t="s">
        <v>35</v>
      </c>
      <c r="O464">
        <v>0.79422803448702906</v>
      </c>
      <c r="P464" t="s">
        <v>36</v>
      </c>
    </row>
    <row r="465" spans="1:16">
      <c r="A465">
        <v>464</v>
      </c>
      <c r="B465" t="s">
        <v>519</v>
      </c>
      <c r="C465">
        <v>103</v>
      </c>
      <c r="D465">
        <v>63</v>
      </c>
      <c r="E465">
        <v>68.617509319478003</v>
      </c>
      <c r="F465">
        <v>1.6206896551724099</v>
      </c>
      <c r="G465">
        <v>3697.9393270321402</v>
      </c>
      <c r="H465">
        <v>695.30440865993501</v>
      </c>
      <c r="I465">
        <v>0.62510130601131297</v>
      </c>
      <c r="J465">
        <v>9.6121309590152595E-2</v>
      </c>
      <c r="K465">
        <v>0.63083164300202799</v>
      </c>
      <c r="L465" t="s">
        <v>33</v>
      </c>
      <c r="M465" t="s">
        <v>34</v>
      </c>
      <c r="N465" t="s">
        <v>35</v>
      </c>
      <c r="O465">
        <v>0.95094415963045897</v>
      </c>
      <c r="P465" t="s">
        <v>36</v>
      </c>
    </row>
    <row r="466" spans="1:16">
      <c r="A466">
        <v>465</v>
      </c>
      <c r="B466" t="s">
        <v>520</v>
      </c>
      <c r="C466">
        <v>87</v>
      </c>
      <c r="D466">
        <v>188</v>
      </c>
      <c r="E466">
        <v>104.99507063841899</v>
      </c>
      <c r="F466">
        <v>0.45993661673933101</v>
      </c>
      <c r="G466">
        <v>8658.2017531190904</v>
      </c>
      <c r="H466">
        <v>720.92525520397305</v>
      </c>
      <c r="I466">
        <v>0.56030752767403602</v>
      </c>
      <c r="J466">
        <v>0.209342345543852</v>
      </c>
      <c r="K466">
        <v>0.62150455035261198</v>
      </c>
      <c r="L466" t="s">
        <v>33</v>
      </c>
      <c r="M466" t="s">
        <v>34</v>
      </c>
      <c r="N466" t="s">
        <v>35</v>
      </c>
      <c r="O466">
        <v>0.92952989613516002</v>
      </c>
      <c r="P466" t="s">
        <v>36</v>
      </c>
    </row>
    <row r="467" spans="1:16">
      <c r="A467">
        <v>466</v>
      </c>
      <c r="B467" t="s">
        <v>521</v>
      </c>
      <c r="C467">
        <v>66</v>
      </c>
      <c r="D467">
        <v>159</v>
      </c>
      <c r="E467">
        <v>82.504945333109703</v>
      </c>
      <c r="F467">
        <v>0.41626242570931699</v>
      </c>
      <c r="G467">
        <v>5346.2571379962201</v>
      </c>
      <c r="H467">
        <v>529.92148140223105</v>
      </c>
      <c r="I467">
        <v>0.62873055988559301</v>
      </c>
      <c r="J467">
        <v>0.23924157753202599</v>
      </c>
      <c r="K467">
        <v>0.64055988887701698</v>
      </c>
      <c r="L467" t="s">
        <v>279</v>
      </c>
      <c r="M467" t="s">
        <v>34</v>
      </c>
      <c r="N467" t="s">
        <v>35</v>
      </c>
      <c r="O467">
        <v>0.91446821933533096</v>
      </c>
      <c r="P467" t="s">
        <v>36</v>
      </c>
    </row>
    <row r="468" spans="1:16">
      <c r="A468">
        <v>467</v>
      </c>
      <c r="B468" t="s">
        <v>522</v>
      </c>
      <c r="C468">
        <v>52</v>
      </c>
      <c r="D468">
        <v>109</v>
      </c>
      <c r="E468">
        <v>60.087974679573598</v>
      </c>
      <c r="F468">
        <v>0.47359422093461701</v>
      </c>
      <c r="G468">
        <v>2835.7308850661602</v>
      </c>
      <c r="H468">
        <v>413.318561340933</v>
      </c>
      <c r="I468">
        <v>0.660934381995398</v>
      </c>
      <c r="J468">
        <v>0.208595559558472</v>
      </c>
      <c r="K468">
        <v>0.59902668759811595</v>
      </c>
      <c r="L468" t="s">
        <v>33</v>
      </c>
      <c r="M468" t="s">
        <v>34</v>
      </c>
      <c r="N468" t="s">
        <v>35</v>
      </c>
      <c r="O468">
        <v>0.93805750042299096</v>
      </c>
      <c r="P468" t="s">
        <v>36</v>
      </c>
    </row>
    <row r="469" spans="1:16">
      <c r="A469">
        <v>468</v>
      </c>
      <c r="B469" t="s">
        <v>523</v>
      </c>
      <c r="C469">
        <v>92</v>
      </c>
      <c r="D469">
        <v>80</v>
      </c>
      <c r="E469">
        <v>69.418156276366304</v>
      </c>
      <c r="F469">
        <v>1.1385020453380399</v>
      </c>
      <c r="G469">
        <v>3784.7398321361102</v>
      </c>
      <c r="H469">
        <v>402.50111043536202</v>
      </c>
      <c r="I469">
        <v>0.66397802511241599</v>
      </c>
      <c r="J469">
        <v>0.29357003811145499</v>
      </c>
      <c r="K469">
        <v>0.71339720961506103</v>
      </c>
      <c r="L469" t="s">
        <v>33</v>
      </c>
      <c r="M469" t="s">
        <v>34</v>
      </c>
      <c r="N469" t="s">
        <v>35</v>
      </c>
      <c r="O469">
        <v>0.95476228197852697</v>
      </c>
      <c r="P469" t="s">
        <v>36</v>
      </c>
    </row>
    <row r="470" spans="1:16">
      <c r="A470">
        <v>469</v>
      </c>
      <c r="B470" t="s">
        <v>524</v>
      </c>
      <c r="C470">
        <v>88</v>
      </c>
      <c r="D470">
        <v>85</v>
      </c>
      <c r="E470">
        <v>78.208175881937706</v>
      </c>
      <c r="F470">
        <v>1.0387770227328299</v>
      </c>
      <c r="G470">
        <v>4803.9026120982999</v>
      </c>
      <c r="H470">
        <v>373.64333603724202</v>
      </c>
      <c r="I470">
        <v>0.62790310082287104</v>
      </c>
      <c r="J470">
        <v>0.43240387433808097</v>
      </c>
      <c r="K470">
        <v>0.80022282743253303</v>
      </c>
      <c r="L470" t="s">
        <v>33</v>
      </c>
      <c r="M470" t="s">
        <v>34</v>
      </c>
      <c r="N470" t="s">
        <v>35</v>
      </c>
      <c r="O470">
        <v>0.95419802784942498</v>
      </c>
      <c r="P470" t="s">
        <v>36</v>
      </c>
    </row>
    <row r="471" spans="1:16">
      <c r="A471">
        <v>470</v>
      </c>
      <c r="B471" t="s">
        <v>525</v>
      </c>
      <c r="C471">
        <v>50</v>
      </c>
      <c r="D471">
        <v>93</v>
      </c>
      <c r="E471">
        <v>56.587795410333399</v>
      </c>
      <c r="F471">
        <v>0.53914005142930999</v>
      </c>
      <c r="G471">
        <v>2514.9851829867698</v>
      </c>
      <c r="H471">
        <v>367.015446651189</v>
      </c>
      <c r="I471">
        <v>0.70569510451374196</v>
      </c>
      <c r="J471">
        <v>0.23462625520753599</v>
      </c>
      <c r="K471">
        <v>0.69650942619576806</v>
      </c>
      <c r="L471" t="s">
        <v>75</v>
      </c>
      <c r="M471" t="s">
        <v>34</v>
      </c>
      <c r="N471" t="s">
        <v>35</v>
      </c>
      <c r="O471">
        <v>0.83757656778338696</v>
      </c>
      <c r="P471" t="s">
        <v>36</v>
      </c>
    </row>
    <row r="472" spans="1:16">
      <c r="A472">
        <v>471</v>
      </c>
      <c r="B472" t="s">
        <v>526</v>
      </c>
      <c r="C472">
        <v>112</v>
      </c>
      <c r="D472">
        <v>73</v>
      </c>
      <c r="E472">
        <v>77.159449611928693</v>
      </c>
      <c r="F472">
        <v>1.5373135552052899</v>
      </c>
      <c r="G472">
        <v>4675.9313194707001</v>
      </c>
      <c r="H472">
        <v>630.06541078712598</v>
      </c>
      <c r="I472">
        <v>0.62403276371577698</v>
      </c>
      <c r="J472">
        <v>0.148015334409312</v>
      </c>
      <c r="K472">
        <v>0.70094915556347803</v>
      </c>
      <c r="L472" t="s">
        <v>75</v>
      </c>
      <c r="M472" t="s">
        <v>34</v>
      </c>
      <c r="N472" t="s">
        <v>35</v>
      </c>
      <c r="O472">
        <v>0.82679488043959304</v>
      </c>
      <c r="P472" t="s">
        <v>36</v>
      </c>
    </row>
    <row r="473" spans="1:16">
      <c r="A473">
        <v>472</v>
      </c>
      <c r="B473" t="s">
        <v>527</v>
      </c>
      <c r="C473">
        <v>107</v>
      </c>
      <c r="D473">
        <v>68</v>
      </c>
      <c r="E473">
        <v>64.424177191989003</v>
      </c>
      <c r="F473">
        <v>1.5760000000000001</v>
      </c>
      <c r="G473">
        <v>3259.7751334593599</v>
      </c>
      <c r="H473">
        <v>880.50452786238304</v>
      </c>
      <c r="I473">
        <v>0.687811871436392</v>
      </c>
      <c r="J473">
        <v>5.2836533820986298E-2</v>
      </c>
      <c r="K473">
        <v>0.50899301445844602</v>
      </c>
      <c r="L473" t="s">
        <v>33</v>
      </c>
      <c r="M473" t="s">
        <v>34</v>
      </c>
      <c r="N473" t="s">
        <v>35</v>
      </c>
      <c r="O473">
        <v>0.95300027304202795</v>
      </c>
      <c r="P473" t="s">
        <v>36</v>
      </c>
    </row>
    <row r="474" spans="1:16">
      <c r="A474">
        <v>473</v>
      </c>
      <c r="B474" t="s">
        <v>528</v>
      </c>
      <c r="C474">
        <v>86</v>
      </c>
      <c r="D474">
        <v>277</v>
      </c>
      <c r="E474">
        <v>66.036697681803702</v>
      </c>
      <c r="F474">
        <v>0.31018518805880901</v>
      </c>
      <c r="G474">
        <v>3425</v>
      </c>
      <c r="H474">
        <v>735.26911377906799</v>
      </c>
      <c r="I474">
        <v>0.90692888015425899</v>
      </c>
      <c r="J474">
        <v>7.9611864229790705E-2</v>
      </c>
      <c r="K474">
        <v>0.209480122324159</v>
      </c>
      <c r="L474" t="s">
        <v>169</v>
      </c>
      <c r="M474" t="s">
        <v>34</v>
      </c>
      <c r="N474" t="s">
        <v>35</v>
      </c>
      <c r="O474">
        <v>0.86856959178648696</v>
      </c>
      <c r="P474" t="s">
        <v>36</v>
      </c>
    </row>
    <row r="475" spans="1:16">
      <c r="A475">
        <v>474</v>
      </c>
      <c r="B475" t="s">
        <v>529</v>
      </c>
      <c r="C475">
        <v>75</v>
      </c>
      <c r="D475">
        <v>60</v>
      </c>
      <c r="E475">
        <v>65.916082608182506</v>
      </c>
      <c r="F475">
        <v>1.25</v>
      </c>
      <c r="G475">
        <v>3412.5</v>
      </c>
      <c r="H475">
        <v>237.78174459934201</v>
      </c>
      <c r="I475">
        <v>0.64151041975281198</v>
      </c>
      <c r="J475">
        <v>0.75844746794701101</v>
      </c>
      <c r="K475">
        <v>0.94137931034482802</v>
      </c>
      <c r="L475" t="s">
        <v>45</v>
      </c>
      <c r="M475" t="s">
        <v>34</v>
      </c>
      <c r="N475" t="s">
        <v>35</v>
      </c>
      <c r="O475">
        <v>0.67129807619585802</v>
      </c>
      <c r="P475" t="s">
        <v>36</v>
      </c>
    </row>
    <row r="476" spans="1:16">
      <c r="A476">
        <v>475</v>
      </c>
      <c r="B476" t="s">
        <v>530</v>
      </c>
      <c r="C476">
        <v>68</v>
      </c>
      <c r="D476">
        <v>39</v>
      </c>
      <c r="E476">
        <v>50.3685408189735</v>
      </c>
      <c r="F476">
        <v>1.7361111111111101</v>
      </c>
      <c r="G476">
        <v>1992.5472113421599</v>
      </c>
      <c r="H476">
        <v>224.597465497722</v>
      </c>
      <c r="I476">
        <v>0.82332700581117801</v>
      </c>
      <c r="J476">
        <v>0.49637372231241</v>
      </c>
      <c r="K476">
        <v>0.888756298064174</v>
      </c>
      <c r="L476" t="s">
        <v>33</v>
      </c>
      <c r="M476" t="s">
        <v>34</v>
      </c>
      <c r="N476" t="s">
        <v>35</v>
      </c>
      <c r="O476">
        <v>0.935470806254178</v>
      </c>
      <c r="P476" t="s">
        <v>36</v>
      </c>
    </row>
    <row r="477" spans="1:16">
      <c r="A477">
        <v>476</v>
      </c>
      <c r="B477" t="s">
        <v>531</v>
      </c>
      <c r="C477">
        <v>79</v>
      </c>
      <c r="D477">
        <v>63</v>
      </c>
      <c r="E477">
        <v>52.524113956468099</v>
      </c>
      <c r="F477">
        <v>1.2413793103448301</v>
      </c>
      <c r="G477">
        <v>2166.7427455576599</v>
      </c>
      <c r="H477">
        <v>603.41120343540001</v>
      </c>
      <c r="I477">
        <v>0.35914246765765501</v>
      </c>
      <c r="J477">
        <v>7.47808636297915E-2</v>
      </c>
      <c r="K477">
        <v>0.549677613966291</v>
      </c>
      <c r="L477" t="s">
        <v>169</v>
      </c>
      <c r="M477" t="s">
        <v>34</v>
      </c>
      <c r="N477" t="s">
        <v>35</v>
      </c>
      <c r="O477">
        <v>0.79270361194054595</v>
      </c>
      <c r="P477" t="s">
        <v>36</v>
      </c>
    </row>
    <row r="478" spans="1:16">
      <c r="A478">
        <v>477</v>
      </c>
      <c r="B478" t="s">
        <v>532</v>
      </c>
      <c r="C478">
        <v>114</v>
      </c>
      <c r="D478">
        <v>71</v>
      </c>
      <c r="E478">
        <v>59.5708173762211</v>
      </c>
      <c r="F478">
        <v>1.6104545750925401</v>
      </c>
      <c r="G478">
        <v>2787.1285474480201</v>
      </c>
      <c r="H478">
        <v>480.06918335624403</v>
      </c>
      <c r="I478">
        <v>0.65770968111884098</v>
      </c>
      <c r="J478">
        <v>0.15197046994633701</v>
      </c>
      <c r="K478">
        <v>0.54296965485290705</v>
      </c>
      <c r="L478" t="s">
        <v>45</v>
      </c>
      <c r="M478" t="s">
        <v>34</v>
      </c>
      <c r="N478" t="s">
        <v>35</v>
      </c>
      <c r="O478">
        <v>0.71713444090101097</v>
      </c>
      <c r="P478" t="s">
        <v>36</v>
      </c>
    </row>
    <row r="479" spans="1:16">
      <c r="A479">
        <v>478</v>
      </c>
      <c r="B479" t="s">
        <v>533</v>
      </c>
      <c r="C479">
        <v>58</v>
      </c>
      <c r="D479">
        <v>140</v>
      </c>
      <c r="E479">
        <v>65.087563093671804</v>
      </c>
      <c r="F479">
        <v>0.41106294424398199</v>
      </c>
      <c r="G479">
        <v>3327.2536083175801</v>
      </c>
      <c r="H479">
        <v>390.04135973453498</v>
      </c>
      <c r="I479">
        <v>0.62101224980965997</v>
      </c>
      <c r="J479">
        <v>0.27483652275315401</v>
      </c>
      <c r="K479">
        <v>0.58907425924951295</v>
      </c>
      <c r="L479" t="s">
        <v>321</v>
      </c>
      <c r="M479" t="s">
        <v>34</v>
      </c>
      <c r="N479" t="s">
        <v>35</v>
      </c>
      <c r="O479">
        <v>0.69252501502002395</v>
      </c>
      <c r="P479" t="s">
        <v>36</v>
      </c>
    </row>
    <row r="480" spans="1:16">
      <c r="A480">
        <v>479</v>
      </c>
      <c r="B480" t="s">
        <v>534</v>
      </c>
      <c r="C480">
        <v>112</v>
      </c>
      <c r="D480">
        <v>126</v>
      </c>
      <c r="E480">
        <v>100.203088326184</v>
      </c>
      <c r="F480">
        <v>0.88793101974106103</v>
      </c>
      <c r="G480">
        <v>7885.9150672967899</v>
      </c>
      <c r="H480">
        <v>608.78426643630701</v>
      </c>
      <c r="I480">
        <v>0.67637024972193605</v>
      </c>
      <c r="J480">
        <v>0.26738381752435703</v>
      </c>
      <c r="K480">
        <v>0.62610778725764404</v>
      </c>
      <c r="L480" t="s">
        <v>331</v>
      </c>
      <c r="M480" t="s">
        <v>34</v>
      </c>
      <c r="N480" t="s">
        <v>35</v>
      </c>
      <c r="O480">
        <v>0.68436365578385405</v>
      </c>
      <c r="P480" t="s">
        <v>36</v>
      </c>
    </row>
    <row r="481" spans="1:16">
      <c r="A481">
        <v>480</v>
      </c>
      <c r="B481" t="s">
        <v>535</v>
      </c>
      <c r="C481">
        <v>111</v>
      </c>
      <c r="D481">
        <v>152</v>
      </c>
      <c r="E481">
        <v>103.153084323286</v>
      </c>
      <c r="F481">
        <v>0.73381300097414803</v>
      </c>
      <c r="G481">
        <v>8357.0753432892307</v>
      </c>
      <c r="H481">
        <v>1037.64840997229</v>
      </c>
      <c r="I481">
        <v>0.64119128333442299</v>
      </c>
      <c r="J481">
        <v>9.7535728422710105E-2</v>
      </c>
      <c r="K481">
        <v>0.55243662802122195</v>
      </c>
      <c r="L481" t="s">
        <v>33</v>
      </c>
      <c r="M481" t="s">
        <v>34</v>
      </c>
      <c r="N481" t="s">
        <v>35</v>
      </c>
      <c r="O481">
        <v>0.94524712389631804</v>
      </c>
      <c r="P481" t="s">
        <v>36</v>
      </c>
    </row>
    <row r="482" spans="1:16">
      <c r="A482">
        <v>481</v>
      </c>
      <c r="B482" t="s">
        <v>536</v>
      </c>
      <c r="C482">
        <v>103</v>
      </c>
      <c r="D482">
        <v>44</v>
      </c>
      <c r="E482">
        <v>50.548562983273101</v>
      </c>
      <c r="F482">
        <v>2.31940990857662</v>
      </c>
      <c r="G482">
        <v>2006.81578752363</v>
      </c>
      <c r="H482">
        <v>379.29751050679602</v>
      </c>
      <c r="I482">
        <v>0.67748006906272995</v>
      </c>
      <c r="J482">
        <v>0.175290099869785</v>
      </c>
      <c r="K482">
        <v>0.61205802357207595</v>
      </c>
      <c r="L482" t="s">
        <v>33</v>
      </c>
      <c r="M482" t="s">
        <v>34</v>
      </c>
      <c r="N482" t="s">
        <v>35</v>
      </c>
      <c r="O482">
        <v>0.95324927450355701</v>
      </c>
      <c r="P482" t="s">
        <v>36</v>
      </c>
    </row>
    <row r="483" spans="1:16">
      <c r="A483">
        <v>482</v>
      </c>
      <c r="B483" t="s">
        <v>537</v>
      </c>
      <c r="C483">
        <v>161</v>
      </c>
      <c r="D483">
        <v>142</v>
      </c>
      <c r="E483">
        <v>96.9139455408407</v>
      </c>
      <c r="F483">
        <v>1.13846157096548</v>
      </c>
      <c r="G483">
        <v>7376.7052548204201</v>
      </c>
      <c r="H483">
        <v>1298.2192048275001</v>
      </c>
      <c r="I483">
        <v>0.59298222333390305</v>
      </c>
      <c r="J483">
        <v>5.5001715606411601E-2</v>
      </c>
      <c r="K483">
        <v>0.39979217347875801</v>
      </c>
      <c r="L483" t="s">
        <v>33</v>
      </c>
      <c r="M483" t="s">
        <v>34</v>
      </c>
      <c r="N483" t="s">
        <v>35</v>
      </c>
      <c r="O483">
        <v>0.94687200331168597</v>
      </c>
      <c r="P483" t="s">
        <v>36</v>
      </c>
    </row>
    <row r="484" spans="1:16">
      <c r="A484">
        <v>483</v>
      </c>
      <c r="B484" t="s">
        <v>538</v>
      </c>
      <c r="C484">
        <v>83</v>
      </c>
      <c r="D484">
        <v>83</v>
      </c>
      <c r="E484">
        <v>59.645424784492597</v>
      </c>
      <c r="F484">
        <v>1</v>
      </c>
      <c r="G484">
        <v>2794.1142045368601</v>
      </c>
      <c r="H484">
        <v>429.247723941907</v>
      </c>
      <c r="I484">
        <v>0.57356316446140698</v>
      </c>
      <c r="J484">
        <v>0.19056275161787101</v>
      </c>
      <c r="K484">
        <v>0.60419746737802904</v>
      </c>
      <c r="L484" t="s">
        <v>33</v>
      </c>
      <c r="M484" t="s">
        <v>34</v>
      </c>
      <c r="N484" t="s">
        <v>35</v>
      </c>
      <c r="O484">
        <v>0.95692180105102997</v>
      </c>
      <c r="P484" t="s">
        <v>36</v>
      </c>
    </row>
    <row r="485" spans="1:16">
      <c r="A485">
        <v>484</v>
      </c>
      <c r="B485" t="s">
        <v>539</v>
      </c>
      <c r="C485">
        <v>44</v>
      </c>
      <c r="D485">
        <v>93</v>
      </c>
      <c r="E485">
        <v>50.9382859873851</v>
      </c>
      <c r="F485">
        <v>0.47647058823529398</v>
      </c>
      <c r="G485">
        <v>2037.87966691871</v>
      </c>
      <c r="H485">
        <v>341.561268483763</v>
      </c>
      <c r="I485">
        <v>0.61087708952027797</v>
      </c>
      <c r="J485">
        <v>0.21950841033204099</v>
      </c>
      <c r="K485">
        <v>0.68972282307963195</v>
      </c>
      <c r="L485" t="s">
        <v>45</v>
      </c>
      <c r="M485" t="s">
        <v>34</v>
      </c>
      <c r="N485" t="s">
        <v>35</v>
      </c>
      <c r="O485">
        <v>0.77118385483117302</v>
      </c>
      <c r="P485" t="s">
        <v>36</v>
      </c>
    </row>
    <row r="486" spans="1:16">
      <c r="A486">
        <v>485</v>
      </c>
      <c r="B486" t="s">
        <v>540</v>
      </c>
      <c r="C486">
        <v>133</v>
      </c>
      <c r="D486">
        <v>94</v>
      </c>
      <c r="E486">
        <v>86.362260045336896</v>
      </c>
      <c r="F486">
        <v>1.4044600160417899</v>
      </c>
      <c r="G486">
        <v>5857.84504650284</v>
      </c>
      <c r="H486">
        <v>719.78002322051805</v>
      </c>
      <c r="I486">
        <v>0.53032214502040598</v>
      </c>
      <c r="J486">
        <v>0.14208497829964001</v>
      </c>
      <c r="K486">
        <v>0.55266995737042901</v>
      </c>
      <c r="L486" t="s">
        <v>96</v>
      </c>
      <c r="M486" t="s">
        <v>34</v>
      </c>
      <c r="N486" t="s">
        <v>35</v>
      </c>
      <c r="O486">
        <v>0.75288761458544196</v>
      </c>
      <c r="P486" t="s">
        <v>36</v>
      </c>
    </row>
    <row r="487" spans="1:16">
      <c r="A487">
        <v>486</v>
      </c>
      <c r="B487" t="s">
        <v>541</v>
      </c>
      <c r="C487">
        <v>63</v>
      </c>
      <c r="D487">
        <v>93</v>
      </c>
      <c r="E487">
        <v>63.971689410444803</v>
      </c>
      <c r="F487">
        <v>0.682352973911595</v>
      </c>
      <c r="G487">
        <v>3214.1454158790202</v>
      </c>
      <c r="H487">
        <v>592.93583097758506</v>
      </c>
      <c r="I487">
        <v>0.73401615514457297</v>
      </c>
      <c r="J487">
        <v>0.114884118041452</v>
      </c>
      <c r="K487">
        <v>0.65649666059502099</v>
      </c>
      <c r="L487" t="s">
        <v>33</v>
      </c>
      <c r="M487" t="s">
        <v>34</v>
      </c>
      <c r="N487" t="s">
        <v>35</v>
      </c>
      <c r="O487">
        <v>0.93912476668066003</v>
      </c>
      <c r="P487" t="s">
        <v>36</v>
      </c>
    </row>
    <row r="488" spans="1:16">
      <c r="A488">
        <v>487</v>
      </c>
      <c r="B488" t="s">
        <v>542</v>
      </c>
      <c r="C488">
        <v>83</v>
      </c>
      <c r="D488">
        <v>58</v>
      </c>
      <c r="E488">
        <v>53.443826814141602</v>
      </c>
      <c r="F488">
        <v>1.42056074766355</v>
      </c>
      <c r="G488">
        <v>2243.2877115311899</v>
      </c>
      <c r="H488">
        <v>490.91873398148499</v>
      </c>
      <c r="I488">
        <v>0.68393764454838102</v>
      </c>
      <c r="J488">
        <v>0.116970307131594</v>
      </c>
      <c r="K488">
        <v>0.60989210813431904</v>
      </c>
      <c r="L488" t="s">
        <v>33</v>
      </c>
      <c r="M488" t="s">
        <v>34</v>
      </c>
      <c r="N488" t="s">
        <v>35</v>
      </c>
      <c r="O488">
        <v>0.92962369913032505</v>
      </c>
      <c r="P488" t="s">
        <v>36</v>
      </c>
    </row>
    <row r="489" spans="1:16">
      <c r="A489">
        <v>488</v>
      </c>
      <c r="B489" t="s">
        <v>543</v>
      </c>
      <c r="C489">
        <v>63</v>
      </c>
      <c r="D489">
        <v>146</v>
      </c>
      <c r="E489">
        <v>78.596787330374994</v>
      </c>
      <c r="F489">
        <v>0.42875974338717199</v>
      </c>
      <c r="G489">
        <v>4851.7617947069903</v>
      </c>
      <c r="H489">
        <v>447.23163400349398</v>
      </c>
      <c r="I489">
        <v>0.69082998730196499</v>
      </c>
      <c r="J489">
        <v>0.30482059365601</v>
      </c>
      <c r="K489">
        <v>0.70695629575085595</v>
      </c>
      <c r="L489" t="s">
        <v>52</v>
      </c>
      <c r="M489" t="s">
        <v>34</v>
      </c>
      <c r="N489" t="s">
        <v>35</v>
      </c>
      <c r="O489">
        <v>0.68043637743530205</v>
      </c>
      <c r="P489" t="s">
        <v>36</v>
      </c>
    </row>
    <row r="490" spans="1:16">
      <c r="A490">
        <v>489</v>
      </c>
      <c r="B490" t="s">
        <v>544</v>
      </c>
      <c r="C490">
        <v>154</v>
      </c>
      <c r="D490">
        <v>68</v>
      </c>
      <c r="E490">
        <v>82.769445492887598</v>
      </c>
      <c r="F490">
        <v>2.2580096922558699</v>
      </c>
      <c r="G490">
        <v>5380.5908994328902</v>
      </c>
      <c r="H490">
        <v>483.29347651160299</v>
      </c>
      <c r="I490">
        <v>0.51584220050829599</v>
      </c>
      <c r="J490">
        <v>0.28947960450502003</v>
      </c>
      <c r="K490">
        <v>0.71787499008487299</v>
      </c>
      <c r="L490" t="s">
        <v>33</v>
      </c>
      <c r="M490" t="s">
        <v>34</v>
      </c>
      <c r="N490" t="s">
        <v>35</v>
      </c>
      <c r="O490">
        <v>0.95793272709765398</v>
      </c>
      <c r="P490" t="s">
        <v>36</v>
      </c>
    </row>
    <row r="491" spans="1:16">
      <c r="A491">
        <v>490</v>
      </c>
      <c r="B491" t="s">
        <v>545</v>
      </c>
      <c r="C491">
        <v>115</v>
      </c>
      <c r="D491">
        <v>99</v>
      </c>
      <c r="E491">
        <v>77.918481306080295</v>
      </c>
      <c r="F491">
        <v>1.16071132789701</v>
      </c>
      <c r="G491">
        <v>4768.3798026465001</v>
      </c>
      <c r="H491">
        <v>646.004636170553</v>
      </c>
      <c r="I491">
        <v>0.686441288649702</v>
      </c>
      <c r="J491">
        <v>0.14358511957806799</v>
      </c>
      <c r="K491">
        <v>0.57134207152016003</v>
      </c>
      <c r="L491" t="s">
        <v>33</v>
      </c>
      <c r="M491" t="s">
        <v>34</v>
      </c>
      <c r="N491" t="s">
        <v>35</v>
      </c>
      <c r="O491">
        <v>0.94422376440629896</v>
      </c>
      <c r="P491" t="s">
        <v>36</v>
      </c>
    </row>
    <row r="492" spans="1:16">
      <c r="A492">
        <v>491</v>
      </c>
      <c r="B492" t="s">
        <v>546</v>
      </c>
      <c r="C492">
        <v>79</v>
      </c>
      <c r="D492">
        <v>49</v>
      </c>
      <c r="E492">
        <v>55.365657180099603</v>
      </c>
      <c r="F492">
        <v>1.6</v>
      </c>
      <c r="G492">
        <v>2407.52496862004</v>
      </c>
      <c r="H492">
        <v>359.560090018148</v>
      </c>
      <c r="I492">
        <v>0.71243023680025996</v>
      </c>
      <c r="J492">
        <v>0.23401177079341401</v>
      </c>
      <c r="K492">
        <v>0.78017532029669601</v>
      </c>
      <c r="L492" t="s">
        <v>33</v>
      </c>
      <c r="M492" t="s">
        <v>34</v>
      </c>
      <c r="N492" t="s">
        <v>35</v>
      </c>
      <c r="O492">
        <v>0.93375312444533298</v>
      </c>
      <c r="P492" t="s">
        <v>36</v>
      </c>
    </row>
    <row r="493" spans="1:16">
      <c r="A493">
        <v>492</v>
      </c>
      <c r="B493" t="s">
        <v>547</v>
      </c>
      <c r="C493">
        <v>90</v>
      </c>
      <c r="D493">
        <v>42</v>
      </c>
      <c r="E493">
        <v>55.874319797821798</v>
      </c>
      <c r="F493">
        <v>2.1421161801017901</v>
      </c>
      <c r="G493">
        <v>2451.9656381852601</v>
      </c>
      <c r="H493">
        <v>228.26013625984601</v>
      </c>
      <c r="I493">
        <v>0.63678059552622102</v>
      </c>
      <c r="J493">
        <v>0.59137655000563505</v>
      </c>
      <c r="K493">
        <v>0.90063875088715395</v>
      </c>
      <c r="L493" t="s">
        <v>83</v>
      </c>
      <c r="M493" t="s">
        <v>34</v>
      </c>
      <c r="N493" t="s">
        <v>35</v>
      </c>
      <c r="O493">
        <v>0.74826725041030695</v>
      </c>
      <c r="P493" t="s">
        <v>36</v>
      </c>
    </row>
    <row r="494" spans="1:16">
      <c r="A494">
        <v>493</v>
      </c>
      <c r="B494" t="s">
        <v>548</v>
      </c>
      <c r="C494">
        <v>73</v>
      </c>
      <c r="D494">
        <v>78</v>
      </c>
      <c r="E494">
        <v>76.821474051147604</v>
      </c>
      <c r="F494">
        <v>0.93706293706293697</v>
      </c>
      <c r="G494">
        <v>4635.0577939508503</v>
      </c>
      <c r="H494">
        <v>540.81415021575003</v>
      </c>
      <c r="I494">
        <v>0.52683261006142801</v>
      </c>
      <c r="J494">
        <v>0.19914477911675799</v>
      </c>
      <c r="K494">
        <v>0.83718120805369101</v>
      </c>
      <c r="L494" t="s">
        <v>33</v>
      </c>
      <c r="M494" t="s">
        <v>34</v>
      </c>
      <c r="N494" t="s">
        <v>35</v>
      </c>
      <c r="O494">
        <v>0.93904259717586802</v>
      </c>
      <c r="P494" t="s">
        <v>36</v>
      </c>
    </row>
    <row r="495" spans="1:16">
      <c r="A495">
        <v>494</v>
      </c>
      <c r="B495" t="s">
        <v>549</v>
      </c>
      <c r="C495">
        <v>105</v>
      </c>
      <c r="D495">
        <v>97</v>
      </c>
      <c r="E495">
        <v>88.2437849428253</v>
      </c>
      <c r="F495">
        <v>1.0871230927576201</v>
      </c>
      <c r="G495">
        <v>6115.8684657844997</v>
      </c>
      <c r="H495">
        <v>433.59455159954399</v>
      </c>
      <c r="I495">
        <v>0.67811143327415802</v>
      </c>
      <c r="J495">
        <v>0.40879009825200102</v>
      </c>
      <c r="K495">
        <v>0.82520455639338997</v>
      </c>
      <c r="L495" t="s">
        <v>45</v>
      </c>
      <c r="M495" t="s">
        <v>34</v>
      </c>
      <c r="N495" t="s">
        <v>35</v>
      </c>
      <c r="O495">
        <v>0.78682550647656102</v>
      </c>
      <c r="P495" t="s">
        <v>36</v>
      </c>
    </row>
    <row r="496" spans="1:16">
      <c r="A496">
        <v>495</v>
      </c>
      <c r="B496" t="s">
        <v>550</v>
      </c>
      <c r="C496">
        <v>63</v>
      </c>
      <c r="D496">
        <v>68</v>
      </c>
      <c r="E496">
        <v>61.945763845247797</v>
      </c>
      <c r="F496">
        <v>0.92</v>
      </c>
      <c r="G496">
        <v>3013.7908253308101</v>
      </c>
      <c r="H496">
        <v>445.49465127934599</v>
      </c>
      <c r="I496">
        <v>0.66393703014453398</v>
      </c>
      <c r="J496">
        <v>0.19082619124080599</v>
      </c>
      <c r="K496">
        <v>0.79944015139567903</v>
      </c>
      <c r="L496" t="s">
        <v>33</v>
      </c>
      <c r="M496" t="s">
        <v>34</v>
      </c>
      <c r="N496" t="s">
        <v>35</v>
      </c>
      <c r="O496">
        <v>0.94517514870117503</v>
      </c>
      <c r="P496" t="s">
        <v>36</v>
      </c>
    </row>
    <row r="497" spans="1:16">
      <c r="A497">
        <v>496</v>
      </c>
      <c r="B497" t="s">
        <v>551</v>
      </c>
      <c r="C497">
        <v>92</v>
      </c>
      <c r="D497">
        <v>75</v>
      </c>
      <c r="E497">
        <v>66.405853188118598</v>
      </c>
      <c r="F497">
        <v>1.2254704534560501</v>
      </c>
      <c r="G497">
        <v>3463.39960604915</v>
      </c>
      <c r="H497">
        <v>426.27148684936998</v>
      </c>
      <c r="I497">
        <v>0.67832876844621603</v>
      </c>
      <c r="J497">
        <v>0.23951896128431599</v>
      </c>
      <c r="K497">
        <v>0.64462764191656496</v>
      </c>
      <c r="L497" t="s">
        <v>33</v>
      </c>
      <c r="M497" t="s">
        <v>34</v>
      </c>
      <c r="N497" t="s">
        <v>35</v>
      </c>
      <c r="O497">
        <v>0.87621518092260398</v>
      </c>
      <c r="P497" t="s">
        <v>36</v>
      </c>
    </row>
    <row r="498" spans="1:16">
      <c r="A498">
        <v>497</v>
      </c>
      <c r="B498" t="s">
        <v>552</v>
      </c>
      <c r="C498">
        <v>88</v>
      </c>
      <c r="D498">
        <v>78</v>
      </c>
      <c r="E498">
        <v>73.104162847643906</v>
      </c>
      <c r="F498">
        <v>1.1258741527368801</v>
      </c>
      <c r="G498">
        <v>4197.3394933837399</v>
      </c>
      <c r="H498">
        <v>695.38190334195701</v>
      </c>
      <c r="I498">
        <v>0.464388727396087</v>
      </c>
      <c r="J498">
        <v>0.10907800667513699</v>
      </c>
      <c r="K498">
        <v>0.70750344482024297</v>
      </c>
      <c r="L498" t="s">
        <v>33</v>
      </c>
      <c r="M498" t="s">
        <v>34</v>
      </c>
      <c r="N498" t="s">
        <v>35</v>
      </c>
      <c r="O498">
        <v>0.93720737403256704</v>
      </c>
      <c r="P498" t="s">
        <v>36</v>
      </c>
    </row>
    <row r="499" spans="1:16">
      <c r="A499">
        <v>498</v>
      </c>
      <c r="B499" t="s">
        <v>553</v>
      </c>
      <c r="C499">
        <v>76</v>
      </c>
      <c r="D499">
        <v>147</v>
      </c>
      <c r="E499">
        <v>86.107697765580397</v>
      </c>
      <c r="F499">
        <v>0.51451567981306101</v>
      </c>
      <c r="G499">
        <v>5823.3626540642699</v>
      </c>
      <c r="H499">
        <v>488.316675056375</v>
      </c>
      <c r="I499">
        <v>0.64397871780157101</v>
      </c>
      <c r="J499">
        <v>0.30688848362117499</v>
      </c>
      <c r="K499">
        <v>0.72219866914895603</v>
      </c>
      <c r="L499" t="s">
        <v>33</v>
      </c>
      <c r="M499" t="s">
        <v>34</v>
      </c>
      <c r="N499" t="s">
        <v>35</v>
      </c>
      <c r="O499">
        <v>0.93755846146043598</v>
      </c>
      <c r="P499" t="s">
        <v>36</v>
      </c>
    </row>
    <row r="500" spans="1:16">
      <c r="A500">
        <v>499</v>
      </c>
      <c r="B500" t="s">
        <v>554</v>
      </c>
      <c r="C500">
        <v>78</v>
      </c>
      <c r="D500">
        <v>53</v>
      </c>
      <c r="E500">
        <v>63.455654280961902</v>
      </c>
      <c r="F500">
        <v>1.4666667625741701</v>
      </c>
      <c r="G500">
        <v>3162.5</v>
      </c>
      <c r="H500">
        <v>224.35028612613701</v>
      </c>
      <c r="I500">
        <v>0.60517808037777898</v>
      </c>
      <c r="J500">
        <v>0.78956364395247702</v>
      </c>
      <c r="K500">
        <v>0.96564885496183195</v>
      </c>
      <c r="L500" t="s">
        <v>33</v>
      </c>
      <c r="M500" t="s">
        <v>34</v>
      </c>
      <c r="N500" t="s">
        <v>35</v>
      </c>
      <c r="O500">
        <v>0.93947281387089099</v>
      </c>
      <c r="P500" t="s">
        <v>36</v>
      </c>
    </row>
    <row r="501" spans="1:16">
      <c r="A501">
        <v>500</v>
      </c>
      <c r="B501" t="s">
        <v>555</v>
      </c>
      <c r="C501">
        <v>55</v>
      </c>
      <c r="D501">
        <v>106</v>
      </c>
      <c r="E501">
        <v>60.610086425694497</v>
      </c>
      <c r="F501">
        <v>0.51323157047617296</v>
      </c>
      <c r="G501">
        <v>2885.2250086956501</v>
      </c>
      <c r="H501">
        <v>497.96781272743101</v>
      </c>
      <c r="I501">
        <v>0.90523786814271301</v>
      </c>
      <c r="J501">
        <v>0.14621334332312</v>
      </c>
      <c r="K501">
        <v>0.60385105919681503</v>
      </c>
      <c r="L501" t="s">
        <v>33</v>
      </c>
      <c r="M501" t="s">
        <v>34</v>
      </c>
      <c r="N501" t="s">
        <v>35</v>
      </c>
      <c r="O501">
        <v>0.95460928930378597</v>
      </c>
      <c r="P501" t="s">
        <v>36</v>
      </c>
    </row>
    <row r="502" spans="1:16">
      <c r="A502">
        <v>501</v>
      </c>
      <c r="B502" t="s">
        <v>556</v>
      </c>
      <c r="C502">
        <v>53</v>
      </c>
      <c r="D502">
        <v>83</v>
      </c>
      <c r="E502">
        <v>57.905139289518502</v>
      </c>
      <c r="F502">
        <v>0.64473687116459699</v>
      </c>
      <c r="G502">
        <v>2633.4440914933798</v>
      </c>
      <c r="H502">
        <v>522.51864519596097</v>
      </c>
      <c r="I502">
        <v>0.75047573686989399</v>
      </c>
      <c r="J502">
        <v>0.121207748042945</v>
      </c>
      <c r="K502">
        <v>0.64602931524830498</v>
      </c>
      <c r="L502" t="s">
        <v>45</v>
      </c>
      <c r="M502" t="s">
        <v>34</v>
      </c>
      <c r="N502" t="s">
        <v>35</v>
      </c>
      <c r="O502">
        <v>0.80441021635154897</v>
      </c>
      <c r="P502" t="s">
        <v>36</v>
      </c>
    </row>
    <row r="503" spans="1:16">
      <c r="A503">
        <v>502</v>
      </c>
      <c r="B503" t="s">
        <v>557</v>
      </c>
      <c r="C503">
        <v>40</v>
      </c>
      <c r="D503">
        <v>86</v>
      </c>
      <c r="E503">
        <v>52.062708489580501</v>
      </c>
      <c r="F503">
        <v>0.47085203811522602</v>
      </c>
      <c r="G503">
        <v>2128.84184007561</v>
      </c>
      <c r="H503">
        <v>285.23283795553698</v>
      </c>
      <c r="I503">
        <v>0.74372326538451095</v>
      </c>
      <c r="J503">
        <v>0.328816964059302</v>
      </c>
      <c r="K503">
        <v>0.734437493590401</v>
      </c>
      <c r="L503" t="s">
        <v>331</v>
      </c>
      <c r="M503" t="s">
        <v>34</v>
      </c>
      <c r="N503" t="s">
        <v>35</v>
      </c>
      <c r="O503">
        <v>0.65830500853487395</v>
      </c>
      <c r="P503" t="s">
        <v>36</v>
      </c>
    </row>
    <row r="504" spans="1:16">
      <c r="A504">
        <v>503</v>
      </c>
      <c r="B504" t="s">
        <v>558</v>
      </c>
      <c r="C504">
        <v>53</v>
      </c>
      <c r="D504">
        <v>88</v>
      </c>
      <c r="E504">
        <v>63.173909710779398</v>
      </c>
      <c r="F504">
        <v>0.60869567277719705</v>
      </c>
      <c r="G504">
        <v>3134.4791988657798</v>
      </c>
      <c r="H504">
        <v>650.38679600808905</v>
      </c>
      <c r="I504">
        <v>0.72147093847545896</v>
      </c>
      <c r="J504">
        <v>9.31176108598855E-2</v>
      </c>
      <c r="K504">
        <v>0.67117532860189</v>
      </c>
      <c r="L504" t="s">
        <v>83</v>
      </c>
      <c r="M504" t="s">
        <v>34</v>
      </c>
      <c r="N504" t="s">
        <v>35</v>
      </c>
      <c r="O504">
        <v>0.87377400687378504</v>
      </c>
      <c r="P504" t="s">
        <v>36</v>
      </c>
    </row>
    <row r="505" spans="1:16">
      <c r="A505">
        <v>504</v>
      </c>
      <c r="B505" t="s">
        <v>559</v>
      </c>
      <c r="C505">
        <v>220</v>
      </c>
      <c r="D505">
        <v>181</v>
      </c>
      <c r="E505">
        <v>123.65913149158899</v>
      </c>
      <c r="F505">
        <v>1.2168675097486199</v>
      </c>
      <c r="G505">
        <v>12009.9794767486</v>
      </c>
      <c r="H505">
        <v>1429.71403367789</v>
      </c>
      <c r="I505">
        <v>0.641054996459961</v>
      </c>
      <c r="J505">
        <v>7.3833553190578702E-2</v>
      </c>
      <c r="K505">
        <v>0.37463373020288598</v>
      </c>
      <c r="L505" t="s">
        <v>33</v>
      </c>
      <c r="M505" t="s">
        <v>34</v>
      </c>
      <c r="N505" t="s">
        <v>35</v>
      </c>
      <c r="O505">
        <v>0.93265197877448403</v>
      </c>
      <c r="P505" t="s">
        <v>36</v>
      </c>
    </row>
    <row r="506" spans="1:16">
      <c r="A506">
        <v>505</v>
      </c>
      <c r="B506" t="s">
        <v>560</v>
      </c>
      <c r="C506">
        <v>85</v>
      </c>
      <c r="D506">
        <v>65</v>
      </c>
      <c r="E506">
        <v>66.244644262193603</v>
      </c>
      <c r="F506">
        <v>1.3109243697479001</v>
      </c>
      <c r="G506">
        <v>3446.6043028355398</v>
      </c>
      <c r="H506">
        <v>349.298397129411</v>
      </c>
      <c r="I506">
        <v>0.55080582323212501</v>
      </c>
      <c r="J506">
        <v>0.35498344878170301</v>
      </c>
      <c r="K506">
        <v>0.833027984337393</v>
      </c>
      <c r="L506" t="s">
        <v>83</v>
      </c>
      <c r="M506" t="s">
        <v>34</v>
      </c>
      <c r="N506" t="s">
        <v>35</v>
      </c>
      <c r="O506">
        <v>0.85945327405432603</v>
      </c>
      <c r="P506" t="s">
        <v>36</v>
      </c>
    </row>
    <row r="507" spans="1:16">
      <c r="A507">
        <v>506</v>
      </c>
      <c r="B507" t="s">
        <v>561</v>
      </c>
      <c r="C507">
        <v>49</v>
      </c>
      <c r="D507">
        <v>59</v>
      </c>
      <c r="E507">
        <v>50.469882297944302</v>
      </c>
      <c r="F507">
        <v>0.82407407407407396</v>
      </c>
      <c r="G507">
        <v>2000.5732854442299</v>
      </c>
      <c r="H507">
        <v>325.78871147694798</v>
      </c>
      <c r="I507">
        <v>0.56310000202176302</v>
      </c>
      <c r="J507">
        <v>0.236860294646698</v>
      </c>
      <c r="K507">
        <v>0.75626474884818495</v>
      </c>
      <c r="L507" t="s">
        <v>132</v>
      </c>
      <c r="M507" t="s">
        <v>34</v>
      </c>
      <c r="N507" t="s">
        <v>35</v>
      </c>
      <c r="O507">
        <v>0.84359181447030795</v>
      </c>
      <c r="P507" t="s">
        <v>36</v>
      </c>
    </row>
    <row r="508" spans="1:16">
      <c r="A508">
        <v>507</v>
      </c>
      <c r="B508" t="s">
        <v>562</v>
      </c>
      <c r="C508">
        <v>70</v>
      </c>
      <c r="D508">
        <v>97</v>
      </c>
      <c r="E508">
        <v>70.054516816944997</v>
      </c>
      <c r="F508">
        <v>0.722583635703408</v>
      </c>
      <c r="G508">
        <v>3854.4477720226801</v>
      </c>
      <c r="H508">
        <v>393.129468002838</v>
      </c>
      <c r="I508">
        <v>0.76124614366231702</v>
      </c>
      <c r="J508">
        <v>0.31340132771810197</v>
      </c>
      <c r="K508">
        <v>0.67190900611462301</v>
      </c>
      <c r="L508" t="s">
        <v>33</v>
      </c>
      <c r="M508" t="s">
        <v>34</v>
      </c>
      <c r="N508" t="s">
        <v>35</v>
      </c>
      <c r="O508">
        <v>0.95027452713262905</v>
      </c>
      <c r="P508" t="s">
        <v>36</v>
      </c>
    </row>
    <row r="509" spans="1:16">
      <c r="A509">
        <v>508</v>
      </c>
      <c r="B509" t="s">
        <v>563</v>
      </c>
      <c r="C509">
        <v>99</v>
      </c>
      <c r="D509">
        <v>110</v>
      </c>
      <c r="E509">
        <v>80.452929434406798</v>
      </c>
      <c r="F509">
        <v>0.90099009900990101</v>
      </c>
      <c r="G509">
        <v>5083.62615765596</v>
      </c>
      <c r="H509">
        <v>561.43060269200305</v>
      </c>
      <c r="I509">
        <v>0.55706483648558902</v>
      </c>
      <c r="J509">
        <v>0.20267085815878599</v>
      </c>
      <c r="K509">
        <v>0.66225845176780396</v>
      </c>
      <c r="L509" t="s">
        <v>83</v>
      </c>
      <c r="M509" t="s">
        <v>34</v>
      </c>
      <c r="N509" t="s">
        <v>35</v>
      </c>
      <c r="O509">
        <v>0.82515544351849701</v>
      </c>
      <c r="P509" t="s">
        <v>36</v>
      </c>
    </row>
    <row r="510" spans="1:16">
      <c r="A510">
        <v>509</v>
      </c>
      <c r="B510" t="s">
        <v>564</v>
      </c>
      <c r="C510">
        <v>65</v>
      </c>
      <c r="D510">
        <v>65</v>
      </c>
      <c r="E510">
        <v>62.825493143142197</v>
      </c>
      <c r="F510">
        <v>1</v>
      </c>
      <c r="G510">
        <v>3100</v>
      </c>
      <c r="H510">
        <v>228.99494767189</v>
      </c>
      <c r="I510">
        <v>0.74001542356448502</v>
      </c>
      <c r="J510">
        <v>0.74288186512713905</v>
      </c>
      <c r="K510">
        <v>0.92883895131086103</v>
      </c>
      <c r="L510" t="s">
        <v>33</v>
      </c>
      <c r="M510" t="s">
        <v>34</v>
      </c>
      <c r="N510" t="s">
        <v>35</v>
      </c>
      <c r="O510">
        <v>0.93855980215023904</v>
      </c>
      <c r="P510" t="s">
        <v>36</v>
      </c>
    </row>
    <row r="511" spans="1:16">
      <c r="A511">
        <v>510</v>
      </c>
      <c r="B511" t="s">
        <v>565</v>
      </c>
      <c r="C511">
        <v>73</v>
      </c>
      <c r="D511">
        <v>88</v>
      </c>
      <c r="E511">
        <v>67.290520364162106</v>
      </c>
      <c r="F511">
        <v>0.83229813664596297</v>
      </c>
      <c r="G511">
        <v>3556.2939822306198</v>
      </c>
      <c r="H511">
        <v>744.209582274789</v>
      </c>
      <c r="I511">
        <v>0.63685506213383603</v>
      </c>
      <c r="J511">
        <v>8.0689496168056096E-2</v>
      </c>
      <c r="K511">
        <v>0.64983704508419304</v>
      </c>
      <c r="L511" t="s">
        <v>33</v>
      </c>
      <c r="M511" t="s">
        <v>34</v>
      </c>
      <c r="N511" t="s">
        <v>35</v>
      </c>
      <c r="O511">
        <v>0.94172959891140096</v>
      </c>
      <c r="P511" t="s">
        <v>36</v>
      </c>
    </row>
    <row r="512" spans="1:16">
      <c r="A512">
        <v>511</v>
      </c>
      <c r="B512" t="s">
        <v>566</v>
      </c>
      <c r="C512">
        <v>87</v>
      </c>
      <c r="D512">
        <v>112</v>
      </c>
      <c r="E512">
        <v>76.573501021475394</v>
      </c>
      <c r="F512">
        <v>0.78048780487804903</v>
      </c>
      <c r="G512">
        <v>4605.1829625708897</v>
      </c>
      <c r="H512">
        <v>528.78565165727002</v>
      </c>
      <c r="I512">
        <v>0.53218696863202197</v>
      </c>
      <c r="J512">
        <v>0.20696524825763499</v>
      </c>
      <c r="K512">
        <v>0.63204275631349205</v>
      </c>
      <c r="L512" t="s">
        <v>132</v>
      </c>
      <c r="M512" t="s">
        <v>34</v>
      </c>
      <c r="N512" t="s">
        <v>35</v>
      </c>
      <c r="O512">
        <v>0.78575327012245699</v>
      </c>
      <c r="P512" t="s">
        <v>36</v>
      </c>
    </row>
    <row r="513" spans="1:16">
      <c r="A513">
        <v>512</v>
      </c>
      <c r="B513" t="s">
        <v>567</v>
      </c>
      <c r="C513">
        <v>64</v>
      </c>
      <c r="D513">
        <v>117</v>
      </c>
      <c r="E513">
        <v>71.242499615178104</v>
      </c>
      <c r="F513">
        <v>0.548257358981461</v>
      </c>
      <c r="G513">
        <v>3986.2834706994299</v>
      </c>
      <c r="H513">
        <v>433.63994656189601</v>
      </c>
      <c r="I513">
        <v>0.73048416418766304</v>
      </c>
      <c r="J513">
        <v>0.26639095720254502</v>
      </c>
      <c r="K513">
        <v>0.70053545775107695</v>
      </c>
      <c r="L513" t="s">
        <v>178</v>
      </c>
      <c r="M513" t="s">
        <v>34</v>
      </c>
      <c r="N513" t="s">
        <v>35</v>
      </c>
      <c r="O513">
        <v>0.69118952795587596</v>
      </c>
      <c r="P513" t="s">
        <v>36</v>
      </c>
    </row>
    <row r="514" spans="1:16">
      <c r="A514">
        <v>513</v>
      </c>
      <c r="B514" t="s">
        <v>568</v>
      </c>
      <c r="C514">
        <v>50</v>
      </c>
      <c r="D514">
        <v>76</v>
      </c>
      <c r="E514">
        <v>59.037912942149603</v>
      </c>
      <c r="F514">
        <v>0.65656566372128899</v>
      </c>
      <c r="G514">
        <v>2737.4857928166398</v>
      </c>
      <c r="H514">
        <v>226.398647661209</v>
      </c>
      <c r="I514">
        <v>0.73615290218597096</v>
      </c>
      <c r="J514">
        <v>0.67114147988790196</v>
      </c>
      <c r="K514">
        <v>0.91518012422360295</v>
      </c>
      <c r="L514" t="s">
        <v>33</v>
      </c>
      <c r="M514" t="s">
        <v>34</v>
      </c>
      <c r="N514" t="s">
        <v>35</v>
      </c>
      <c r="O514">
        <v>0.94171028831542603</v>
      </c>
      <c r="P514" t="s">
        <v>36</v>
      </c>
    </row>
    <row r="515" spans="1:16">
      <c r="A515">
        <v>514</v>
      </c>
      <c r="B515" t="s">
        <v>569</v>
      </c>
      <c r="C515">
        <v>61</v>
      </c>
      <c r="D515">
        <v>118</v>
      </c>
      <c r="E515">
        <v>57.710356563671198</v>
      </c>
      <c r="F515">
        <v>0.52013311014276697</v>
      </c>
      <c r="G515">
        <v>2615.7570022684299</v>
      </c>
      <c r="H515">
        <v>522.82700769393296</v>
      </c>
      <c r="I515">
        <v>0.60973465209722999</v>
      </c>
      <c r="J515">
        <v>0.12025170226442999</v>
      </c>
      <c r="K515">
        <v>0.50425489240996002</v>
      </c>
      <c r="L515" t="s">
        <v>570</v>
      </c>
      <c r="M515" t="s">
        <v>34</v>
      </c>
      <c r="N515" t="s">
        <v>35</v>
      </c>
      <c r="O515">
        <v>0.88346712014274797</v>
      </c>
      <c r="P515" t="s">
        <v>36</v>
      </c>
    </row>
    <row r="516" spans="1:16">
      <c r="A516">
        <v>515</v>
      </c>
      <c r="B516" t="s">
        <v>571</v>
      </c>
      <c r="C516">
        <v>122</v>
      </c>
      <c r="D516">
        <v>83</v>
      </c>
      <c r="E516">
        <v>80.492907216286895</v>
      </c>
      <c r="F516">
        <v>1.4750309732073601</v>
      </c>
      <c r="G516">
        <v>5088.6796117202302</v>
      </c>
      <c r="H516">
        <v>503.76044885811598</v>
      </c>
      <c r="I516">
        <v>0.74279470589097896</v>
      </c>
      <c r="J516">
        <v>0.25198044445862899</v>
      </c>
      <c r="K516">
        <v>0.65893606374379299</v>
      </c>
      <c r="L516" t="s">
        <v>33</v>
      </c>
      <c r="M516" t="s">
        <v>34</v>
      </c>
      <c r="N516" t="s">
        <v>35</v>
      </c>
      <c r="O516">
        <v>0.94019917233295103</v>
      </c>
      <c r="P516" t="s">
        <v>36</v>
      </c>
    </row>
    <row r="517" spans="1:16">
      <c r="A517">
        <v>516</v>
      </c>
      <c r="B517" t="s">
        <v>572</v>
      </c>
      <c r="C517">
        <v>55</v>
      </c>
      <c r="D517">
        <v>91</v>
      </c>
      <c r="E517">
        <v>68.577507551692307</v>
      </c>
      <c r="F517">
        <v>0.60151801362186297</v>
      </c>
      <c r="G517">
        <v>3693.6290279773202</v>
      </c>
      <c r="H517">
        <v>272.78087326308997</v>
      </c>
      <c r="I517">
        <v>0.69776496217626705</v>
      </c>
      <c r="J517">
        <v>0.623785546879978</v>
      </c>
      <c r="K517">
        <v>0.88928251923420998</v>
      </c>
      <c r="L517" t="s">
        <v>279</v>
      </c>
      <c r="M517" t="s">
        <v>34</v>
      </c>
      <c r="N517" t="s">
        <v>35</v>
      </c>
      <c r="O517">
        <v>0.89625939170478397</v>
      </c>
      <c r="P517" t="s">
        <v>36</v>
      </c>
    </row>
    <row r="518" spans="1:16">
      <c r="A518">
        <v>517</v>
      </c>
      <c r="B518" t="s">
        <v>573</v>
      </c>
      <c r="C518">
        <v>78</v>
      </c>
      <c r="D518">
        <v>68</v>
      </c>
      <c r="E518">
        <v>62.8134108255746</v>
      </c>
      <c r="F518">
        <v>1.1439999999999999</v>
      </c>
      <c r="G518">
        <v>3098.8077584121002</v>
      </c>
      <c r="H518">
        <v>633.88858014759796</v>
      </c>
      <c r="I518">
        <v>0.62738408909090904</v>
      </c>
      <c r="J518">
        <v>9.6912242507904103E-2</v>
      </c>
      <c r="K518">
        <v>0.65813314814230295</v>
      </c>
      <c r="L518" t="s">
        <v>33</v>
      </c>
      <c r="M518" t="s">
        <v>34</v>
      </c>
      <c r="N518" t="s">
        <v>35</v>
      </c>
      <c r="O518">
        <v>0.93341965229698498</v>
      </c>
      <c r="P518" t="s">
        <v>36</v>
      </c>
    </row>
    <row r="519" spans="1:16">
      <c r="A519">
        <v>518</v>
      </c>
      <c r="B519" t="s">
        <v>574</v>
      </c>
      <c r="C519">
        <v>76</v>
      </c>
      <c r="D519">
        <v>55</v>
      </c>
      <c r="E519">
        <v>59.406988371280903</v>
      </c>
      <c r="F519">
        <v>1.3819850614867299</v>
      </c>
      <c r="G519">
        <v>2771.8195542533099</v>
      </c>
      <c r="H519">
        <v>252.24970147723701</v>
      </c>
      <c r="I519">
        <v>0.65916721832893699</v>
      </c>
      <c r="J519">
        <v>0.54741097005066597</v>
      </c>
      <c r="K519">
        <v>0.84076461836707095</v>
      </c>
      <c r="L519" t="s">
        <v>33</v>
      </c>
      <c r="M519" t="s">
        <v>34</v>
      </c>
      <c r="N519" t="s">
        <v>35</v>
      </c>
      <c r="O519">
        <v>0.94441289522163796</v>
      </c>
      <c r="P519" t="s">
        <v>36</v>
      </c>
    </row>
    <row r="520" spans="1:16">
      <c r="A520">
        <v>519</v>
      </c>
      <c r="B520" t="s">
        <v>575</v>
      </c>
      <c r="C520">
        <v>103</v>
      </c>
      <c r="D520">
        <v>96</v>
      </c>
      <c r="E520">
        <v>77.858954709501106</v>
      </c>
      <c r="F520">
        <v>1.06980659141937</v>
      </c>
      <c r="G520">
        <v>4761.0968835538797</v>
      </c>
      <c r="H520">
        <v>461.03310800998099</v>
      </c>
      <c r="I520">
        <v>0.63942516827156703</v>
      </c>
      <c r="J520">
        <v>0.28148331326410603</v>
      </c>
      <c r="K520">
        <v>0.64646525801699295</v>
      </c>
      <c r="L520" t="s">
        <v>33</v>
      </c>
      <c r="M520" t="s">
        <v>34</v>
      </c>
      <c r="N520" t="s">
        <v>35</v>
      </c>
      <c r="O520">
        <v>0.86403283631564798</v>
      </c>
      <c r="P520" t="s">
        <v>36</v>
      </c>
    </row>
    <row r="521" spans="1:16">
      <c r="A521">
        <v>520</v>
      </c>
      <c r="B521" t="s">
        <v>576</v>
      </c>
      <c r="C521">
        <v>137</v>
      </c>
      <c r="D521">
        <v>135</v>
      </c>
      <c r="E521">
        <v>106.690062041095</v>
      </c>
      <c r="F521">
        <v>1.01619433198381</v>
      </c>
      <c r="G521">
        <v>8940.0061327032108</v>
      </c>
      <c r="H521">
        <v>1328.44140001245</v>
      </c>
      <c r="I521">
        <v>0.58099641686864001</v>
      </c>
      <c r="J521">
        <v>6.3659449316232505E-2</v>
      </c>
      <c r="K521">
        <v>0.54308647994654802</v>
      </c>
      <c r="L521" t="s">
        <v>83</v>
      </c>
      <c r="M521" t="s">
        <v>34</v>
      </c>
      <c r="N521" t="s">
        <v>35</v>
      </c>
      <c r="O521">
        <v>0.82433859135965404</v>
      </c>
      <c r="P521" t="s">
        <v>36</v>
      </c>
    </row>
    <row r="522" spans="1:16">
      <c r="A522">
        <v>521</v>
      </c>
      <c r="B522" t="s">
        <v>577</v>
      </c>
      <c r="C522">
        <v>91</v>
      </c>
      <c r="D522">
        <v>68</v>
      </c>
      <c r="E522">
        <v>72.544158614171593</v>
      </c>
      <c r="F522">
        <v>1.3326162424078301</v>
      </c>
      <c r="G522">
        <v>4133.279531569</v>
      </c>
      <c r="H522">
        <v>307.61058686722902</v>
      </c>
      <c r="I522">
        <v>0.56873327466370505</v>
      </c>
      <c r="J522">
        <v>0.54891119071072603</v>
      </c>
      <c r="K522">
        <v>0.88869359580723495</v>
      </c>
      <c r="L522" t="s">
        <v>132</v>
      </c>
      <c r="M522" t="s">
        <v>34</v>
      </c>
      <c r="N522" t="s">
        <v>35</v>
      </c>
      <c r="O522">
        <v>0.88535328591769402</v>
      </c>
      <c r="P522" t="s">
        <v>36</v>
      </c>
    </row>
    <row r="523" spans="1:16">
      <c r="A523">
        <v>522</v>
      </c>
      <c r="B523" t="s">
        <v>578</v>
      </c>
      <c r="C523">
        <v>65</v>
      </c>
      <c r="D523">
        <v>84</v>
      </c>
      <c r="E523">
        <v>61.205086352575798</v>
      </c>
      <c r="F523">
        <v>0.77611292788891995</v>
      </c>
      <c r="G523">
        <v>2942.1506824196599</v>
      </c>
      <c r="H523">
        <v>302.82927460701598</v>
      </c>
      <c r="I523">
        <v>0.76995475863489904</v>
      </c>
      <c r="J523">
        <v>0.40316150977922999</v>
      </c>
      <c r="K523">
        <v>0.72305219709975499</v>
      </c>
      <c r="L523" t="s">
        <v>33</v>
      </c>
      <c r="M523" t="s">
        <v>34</v>
      </c>
      <c r="N523" t="s">
        <v>35</v>
      </c>
      <c r="O523">
        <v>0.81247451454160002</v>
      </c>
      <c r="P523" t="s">
        <v>36</v>
      </c>
    </row>
    <row r="524" spans="1:16">
      <c r="A524">
        <v>523</v>
      </c>
      <c r="B524" t="s">
        <v>579</v>
      </c>
      <c r="C524">
        <v>58</v>
      </c>
      <c r="D524">
        <v>64</v>
      </c>
      <c r="E524">
        <v>50.116178622900101</v>
      </c>
      <c r="F524">
        <v>0.91452990338316098</v>
      </c>
      <c r="G524">
        <v>1972.6306570888501</v>
      </c>
      <c r="H524">
        <v>329.16961022646501</v>
      </c>
      <c r="I524">
        <v>0.61265920454855105</v>
      </c>
      <c r="J524">
        <v>0.228779009764706</v>
      </c>
      <c r="K524">
        <v>0.70196223620881204</v>
      </c>
      <c r="L524" t="s">
        <v>132</v>
      </c>
      <c r="M524" t="s">
        <v>34</v>
      </c>
      <c r="N524" t="s">
        <v>35</v>
      </c>
      <c r="O524">
        <v>0.85343049977013297</v>
      </c>
      <c r="P524" t="s">
        <v>36</v>
      </c>
    </row>
    <row r="525" spans="1:16">
      <c r="A525">
        <v>524</v>
      </c>
      <c r="B525" t="s">
        <v>580</v>
      </c>
      <c r="C525">
        <v>97</v>
      </c>
      <c r="D525">
        <v>68</v>
      </c>
      <c r="E525">
        <v>68.734621764355296</v>
      </c>
      <c r="F525">
        <v>1.4159999999999999</v>
      </c>
      <c r="G525">
        <v>3710.5729621928199</v>
      </c>
      <c r="H525">
        <v>335.45152816057202</v>
      </c>
      <c r="I525">
        <v>0.63801184949432899</v>
      </c>
      <c r="J525">
        <v>0.41437284808675401</v>
      </c>
      <c r="K525">
        <v>0.80239771156751205</v>
      </c>
      <c r="L525" t="s">
        <v>33</v>
      </c>
      <c r="M525" t="s">
        <v>34</v>
      </c>
      <c r="N525" t="s">
        <v>35</v>
      </c>
      <c r="O525">
        <v>0.92324249262641001</v>
      </c>
      <c r="P525" t="s">
        <v>36</v>
      </c>
    </row>
    <row r="526" spans="1:16">
      <c r="A526">
        <v>525</v>
      </c>
      <c r="B526" t="s">
        <v>581</v>
      </c>
      <c r="C526">
        <v>76</v>
      </c>
      <c r="D526">
        <v>157</v>
      </c>
      <c r="E526">
        <v>90.199387092176394</v>
      </c>
      <c r="F526">
        <v>0.483889100712738</v>
      </c>
      <c r="G526">
        <v>6389.9440332703198</v>
      </c>
      <c r="H526">
        <v>683.87317007645299</v>
      </c>
      <c r="I526">
        <v>0.52501744995501798</v>
      </c>
      <c r="J526">
        <v>0.171694264245325</v>
      </c>
      <c r="K526">
        <v>0.65796360631150397</v>
      </c>
      <c r="L526" t="s">
        <v>83</v>
      </c>
      <c r="M526" t="s">
        <v>34</v>
      </c>
      <c r="N526" t="s">
        <v>35</v>
      </c>
      <c r="O526">
        <v>0.84984163232876397</v>
      </c>
      <c r="P526" t="s">
        <v>36</v>
      </c>
    </row>
    <row r="527" spans="1:16">
      <c r="A527">
        <v>526</v>
      </c>
      <c r="B527" t="s">
        <v>582</v>
      </c>
      <c r="C527">
        <v>60</v>
      </c>
      <c r="D527">
        <v>148</v>
      </c>
      <c r="E527">
        <v>79.943235705666098</v>
      </c>
      <c r="F527">
        <v>0.40494857322234801</v>
      </c>
      <c r="G527">
        <v>5019.4175648393202</v>
      </c>
      <c r="H527">
        <v>427.60380791653802</v>
      </c>
      <c r="I527">
        <v>0.78793548529897395</v>
      </c>
      <c r="J527">
        <v>0.34496899385041202</v>
      </c>
      <c r="K527">
        <v>0.683236222384074</v>
      </c>
      <c r="L527" t="s">
        <v>75</v>
      </c>
      <c r="M527" t="s">
        <v>34</v>
      </c>
      <c r="N527" t="s">
        <v>35</v>
      </c>
      <c r="O527">
        <v>0.81152807257512305</v>
      </c>
      <c r="P527" t="s">
        <v>36</v>
      </c>
    </row>
    <row r="528" spans="1:16">
      <c r="A528">
        <v>527</v>
      </c>
      <c r="B528" t="s">
        <v>583</v>
      </c>
      <c r="C528">
        <v>148</v>
      </c>
      <c r="D528">
        <v>127</v>
      </c>
      <c r="E528">
        <v>93.374501170715504</v>
      </c>
      <c r="F528">
        <v>1.16738197424893</v>
      </c>
      <c r="G528">
        <v>6847.7275190926302</v>
      </c>
      <c r="H528">
        <v>842.54748080585296</v>
      </c>
      <c r="I528">
        <v>0.49725001070807601</v>
      </c>
      <c r="J528">
        <v>0.121218126104795</v>
      </c>
      <c r="K528">
        <v>0.48801982924814102</v>
      </c>
      <c r="L528" t="s">
        <v>33</v>
      </c>
      <c r="M528" t="s">
        <v>34</v>
      </c>
      <c r="N528" t="s">
        <v>35</v>
      </c>
      <c r="O528">
        <v>0.93454699646626505</v>
      </c>
      <c r="P528" t="s">
        <v>36</v>
      </c>
    </row>
    <row r="529" spans="1:16">
      <c r="A529">
        <v>528</v>
      </c>
      <c r="B529" t="s">
        <v>584</v>
      </c>
      <c r="C529">
        <v>90</v>
      </c>
      <c r="D529">
        <v>100</v>
      </c>
      <c r="E529">
        <v>71.368563275372097</v>
      </c>
      <c r="F529">
        <v>0.89714974510727497</v>
      </c>
      <c r="G529">
        <v>4000.40341587902</v>
      </c>
      <c r="H529">
        <v>393.83242937533799</v>
      </c>
      <c r="I529">
        <v>0.74661378073679097</v>
      </c>
      <c r="J529">
        <v>0.32410871174325701</v>
      </c>
      <c r="K529">
        <v>0.66881196729866099</v>
      </c>
      <c r="L529" t="s">
        <v>52</v>
      </c>
      <c r="M529" t="s">
        <v>34</v>
      </c>
      <c r="N529" t="s">
        <v>35</v>
      </c>
      <c r="O529">
        <v>0.79642788553315702</v>
      </c>
      <c r="P529" t="s">
        <v>36</v>
      </c>
    </row>
    <row r="530" spans="1:16">
      <c r="A530">
        <v>529</v>
      </c>
      <c r="B530" t="s">
        <v>585</v>
      </c>
      <c r="C530">
        <v>72</v>
      </c>
      <c r="D530">
        <v>122</v>
      </c>
      <c r="E530">
        <v>79.5528756936626</v>
      </c>
      <c r="F530">
        <v>0.58460728101908499</v>
      </c>
      <c r="G530">
        <v>4970.5179652173902</v>
      </c>
      <c r="H530">
        <v>454.24861302977001</v>
      </c>
      <c r="I530">
        <v>0.75914622618775196</v>
      </c>
      <c r="J530">
        <v>0.302708274124799</v>
      </c>
      <c r="K530">
        <v>0.70004814636494905</v>
      </c>
      <c r="L530" t="s">
        <v>45</v>
      </c>
      <c r="M530" t="s">
        <v>34</v>
      </c>
      <c r="N530" t="s">
        <v>35</v>
      </c>
      <c r="O530">
        <v>0.741563159216862</v>
      </c>
      <c r="P530" t="s">
        <v>36</v>
      </c>
    </row>
    <row r="531" spans="1:16">
      <c r="A531">
        <v>530</v>
      </c>
      <c r="B531" t="s">
        <v>586</v>
      </c>
      <c r="C531">
        <v>68</v>
      </c>
      <c r="D531">
        <v>49</v>
      </c>
      <c r="E531">
        <v>50.906697501964899</v>
      </c>
      <c r="F531">
        <v>1.40449438202247</v>
      </c>
      <c r="G531">
        <v>2035.3529398865801</v>
      </c>
      <c r="H531">
        <v>375.60663302919102</v>
      </c>
      <c r="I531">
        <v>0.610479297670248</v>
      </c>
      <c r="J531">
        <v>0.181293856184742</v>
      </c>
      <c r="K531">
        <v>0.69597479162431397</v>
      </c>
      <c r="L531" t="s">
        <v>33</v>
      </c>
      <c r="M531" t="s">
        <v>34</v>
      </c>
      <c r="N531" t="s">
        <v>35</v>
      </c>
      <c r="O531">
        <v>0.93297110665268801</v>
      </c>
      <c r="P531" t="s">
        <v>36</v>
      </c>
    </row>
    <row r="532" spans="1:16">
      <c r="A532">
        <v>531</v>
      </c>
      <c r="B532" t="s">
        <v>587</v>
      </c>
      <c r="C532">
        <v>123</v>
      </c>
      <c r="D532">
        <v>81</v>
      </c>
      <c r="E532">
        <v>82.992068697498297</v>
      </c>
      <c r="F532">
        <v>1.51520565977601</v>
      </c>
      <c r="G532">
        <v>5409.5739448015102</v>
      </c>
      <c r="H532">
        <v>546.18721321665703</v>
      </c>
      <c r="I532">
        <v>0.74757383458986004</v>
      </c>
      <c r="J532">
        <v>0.227871425073326</v>
      </c>
      <c r="K532">
        <v>0.66366404697215597</v>
      </c>
      <c r="L532" t="s">
        <v>33</v>
      </c>
      <c r="M532" t="s">
        <v>34</v>
      </c>
      <c r="N532" t="s">
        <v>35</v>
      </c>
      <c r="O532">
        <v>0.93610701660616702</v>
      </c>
      <c r="P532" t="s">
        <v>36</v>
      </c>
    </row>
    <row r="533" spans="1:16">
      <c r="A533">
        <v>532</v>
      </c>
      <c r="B533" t="s">
        <v>588</v>
      </c>
      <c r="C533">
        <v>66</v>
      </c>
      <c r="D533">
        <v>97</v>
      </c>
      <c r="E533">
        <v>62.496268504723702</v>
      </c>
      <c r="F533">
        <v>0.67657018417133596</v>
      </c>
      <c r="G533">
        <v>3067.59524801512</v>
      </c>
      <c r="H533">
        <v>376.385472853598</v>
      </c>
      <c r="I533">
        <v>0.60896082697347598</v>
      </c>
      <c r="J533">
        <v>0.27210856665056399</v>
      </c>
      <c r="K533">
        <v>0.61778615900383105</v>
      </c>
      <c r="L533" t="s">
        <v>70</v>
      </c>
      <c r="M533" t="s">
        <v>34</v>
      </c>
      <c r="N533" t="s">
        <v>35</v>
      </c>
      <c r="O533">
        <v>0.81621740582796998</v>
      </c>
      <c r="P533" t="s">
        <v>36</v>
      </c>
    </row>
    <row r="534" spans="1:16">
      <c r="A534">
        <v>533</v>
      </c>
      <c r="B534" t="s">
        <v>589</v>
      </c>
      <c r="C534">
        <v>138</v>
      </c>
      <c r="D534">
        <v>82</v>
      </c>
      <c r="E534">
        <v>87.742682908590893</v>
      </c>
      <c r="F534">
        <v>1.6823912306630699</v>
      </c>
      <c r="G534">
        <v>6046.6064189035897</v>
      </c>
      <c r="H534">
        <v>567.85421474747</v>
      </c>
      <c r="I534">
        <v>0.61227802133646403</v>
      </c>
      <c r="J534">
        <v>0.23563937255069101</v>
      </c>
      <c r="K534">
        <v>0.68838200954346995</v>
      </c>
      <c r="L534" t="s">
        <v>33</v>
      </c>
      <c r="M534" t="s">
        <v>34</v>
      </c>
      <c r="N534" t="s">
        <v>35</v>
      </c>
      <c r="O534">
        <v>0.93333026902411698</v>
      </c>
      <c r="P534" t="s">
        <v>36</v>
      </c>
    </row>
    <row r="535" spans="1:16">
      <c r="A535">
        <v>534</v>
      </c>
      <c r="B535" t="s">
        <v>590</v>
      </c>
      <c r="C535">
        <v>78</v>
      </c>
      <c r="D535">
        <v>58</v>
      </c>
      <c r="E535">
        <v>59.753202531971702</v>
      </c>
      <c r="F535">
        <v>1.3534875494811101</v>
      </c>
      <c r="G535">
        <v>2804.2211126654101</v>
      </c>
      <c r="H535">
        <v>242.28079906971601</v>
      </c>
      <c r="I535">
        <v>0.693044395672751</v>
      </c>
      <c r="J535">
        <v>0.60032181315643995</v>
      </c>
      <c r="K535">
        <v>0.86371543673319895</v>
      </c>
      <c r="L535" t="s">
        <v>33</v>
      </c>
      <c r="M535" t="s">
        <v>34</v>
      </c>
      <c r="N535" t="s">
        <v>35</v>
      </c>
      <c r="O535">
        <v>0.93839374442364598</v>
      </c>
      <c r="P535" t="s">
        <v>36</v>
      </c>
    </row>
    <row r="536" spans="1:16">
      <c r="A536">
        <v>535</v>
      </c>
      <c r="B536" t="s">
        <v>591</v>
      </c>
      <c r="C536">
        <v>97</v>
      </c>
      <c r="D536">
        <v>103</v>
      </c>
      <c r="E536">
        <v>74.629798893261807</v>
      </c>
      <c r="F536">
        <v>0.94668820796388597</v>
      </c>
      <c r="G536">
        <v>4374.3590166351596</v>
      </c>
      <c r="H536">
        <v>487.965194370125</v>
      </c>
      <c r="I536">
        <v>0.58151798579052405</v>
      </c>
      <c r="J536">
        <v>0.230858886505868</v>
      </c>
      <c r="K536">
        <v>0.617468110104062</v>
      </c>
      <c r="L536" t="s">
        <v>144</v>
      </c>
      <c r="M536" t="s">
        <v>34</v>
      </c>
      <c r="N536" t="s">
        <v>35</v>
      </c>
      <c r="O536">
        <v>0.80566720061754005</v>
      </c>
      <c r="P536" t="s">
        <v>36</v>
      </c>
    </row>
    <row r="537" spans="1:16">
      <c r="A537">
        <v>536</v>
      </c>
      <c r="B537" t="s">
        <v>592</v>
      </c>
      <c r="C537">
        <v>78</v>
      </c>
      <c r="D537">
        <v>58</v>
      </c>
      <c r="E537">
        <v>50.123730220716297</v>
      </c>
      <c r="F537">
        <v>1.33644850350474</v>
      </c>
      <c r="G537">
        <v>1973.2251810964101</v>
      </c>
      <c r="H537">
        <v>555.94794528940497</v>
      </c>
      <c r="I537">
        <v>0.43479007917618701</v>
      </c>
      <c r="J537">
        <v>8.0226575410788897E-2</v>
      </c>
      <c r="K537">
        <v>0.44842261703708702</v>
      </c>
      <c r="L537" t="s">
        <v>321</v>
      </c>
      <c r="M537" t="s">
        <v>34</v>
      </c>
      <c r="N537" t="s">
        <v>35</v>
      </c>
      <c r="O537">
        <v>0.73557393318034703</v>
      </c>
      <c r="P537" t="s">
        <v>36</v>
      </c>
    </row>
    <row r="538" spans="1:16">
      <c r="A538">
        <v>537</v>
      </c>
      <c r="B538" t="s">
        <v>593</v>
      </c>
      <c r="C538">
        <v>58</v>
      </c>
      <c r="D538">
        <v>88</v>
      </c>
      <c r="E538">
        <v>69.737740822795601</v>
      </c>
      <c r="F538">
        <v>0.66459627329192505</v>
      </c>
      <c r="G538">
        <v>3819.6681175803401</v>
      </c>
      <c r="H538">
        <v>428.26688356098902</v>
      </c>
      <c r="I538">
        <v>0.64176406439228695</v>
      </c>
      <c r="J538">
        <v>0.26170167804796401</v>
      </c>
      <c r="K538">
        <v>0.82215752767291606</v>
      </c>
      <c r="L538" t="s">
        <v>83</v>
      </c>
      <c r="M538" t="s">
        <v>34</v>
      </c>
      <c r="N538" t="s">
        <v>35</v>
      </c>
      <c r="O538">
        <v>0.79829747877552004</v>
      </c>
      <c r="P538" t="s">
        <v>36</v>
      </c>
    </row>
    <row r="539" spans="1:16">
      <c r="A539">
        <v>538</v>
      </c>
      <c r="B539" t="s">
        <v>594</v>
      </c>
      <c r="C539">
        <v>65</v>
      </c>
      <c r="D539">
        <v>59</v>
      </c>
      <c r="E539">
        <v>56.418658789575403</v>
      </c>
      <c r="F539">
        <v>1.0951205876333101</v>
      </c>
      <c r="G539">
        <v>2499.97345179584</v>
      </c>
      <c r="H539">
        <v>234.21878022318299</v>
      </c>
      <c r="I539">
        <v>0.71523478079305602</v>
      </c>
      <c r="J539">
        <v>0.57266656933802795</v>
      </c>
      <c r="K539">
        <v>0.83685755510224402</v>
      </c>
      <c r="L539" t="s">
        <v>83</v>
      </c>
      <c r="M539" t="s">
        <v>34</v>
      </c>
      <c r="N539" t="s">
        <v>35</v>
      </c>
      <c r="O539">
        <v>0.69978977761473504</v>
      </c>
      <c r="P539" t="s">
        <v>36</v>
      </c>
    </row>
    <row r="540" spans="1:16">
      <c r="A540">
        <v>539</v>
      </c>
      <c r="B540" t="s">
        <v>595</v>
      </c>
      <c r="C540">
        <v>67</v>
      </c>
      <c r="D540">
        <v>104</v>
      </c>
      <c r="E540">
        <v>60.320582272817802</v>
      </c>
      <c r="F540">
        <v>0.64736842105263204</v>
      </c>
      <c r="G540">
        <v>2857.7282733459401</v>
      </c>
      <c r="H540">
        <v>706.87249267443406</v>
      </c>
      <c r="I540">
        <v>0.64583694627586397</v>
      </c>
      <c r="J540">
        <v>7.1870163362099795E-2</v>
      </c>
      <c r="K540">
        <v>0.53396467451677398</v>
      </c>
      <c r="L540" t="s">
        <v>178</v>
      </c>
      <c r="M540" t="s">
        <v>34</v>
      </c>
      <c r="N540" t="s">
        <v>35</v>
      </c>
      <c r="O540">
        <v>0.68405725374982296</v>
      </c>
      <c r="P540" t="s">
        <v>36</v>
      </c>
    </row>
    <row r="541" spans="1:16">
      <c r="A541">
        <v>540</v>
      </c>
      <c r="B541" t="s">
        <v>596</v>
      </c>
      <c r="C541">
        <v>88</v>
      </c>
      <c r="D541">
        <v>59</v>
      </c>
      <c r="E541">
        <v>61.633368503258097</v>
      </c>
      <c r="F541">
        <v>1.49074074074074</v>
      </c>
      <c r="G541">
        <v>2983.4701009451801</v>
      </c>
      <c r="H541">
        <v>431.95776103859401</v>
      </c>
      <c r="I541">
        <v>0.52940952541879904</v>
      </c>
      <c r="J541">
        <v>0.20093194632126199</v>
      </c>
      <c r="K541">
        <v>0.69229177444387002</v>
      </c>
      <c r="L541" t="s">
        <v>75</v>
      </c>
      <c r="M541" t="s">
        <v>34</v>
      </c>
      <c r="N541" t="s">
        <v>35</v>
      </c>
      <c r="O541">
        <v>0.833242228168114</v>
      </c>
      <c r="P541" t="s">
        <v>36</v>
      </c>
    </row>
    <row r="542" spans="1:16">
      <c r="A542">
        <v>541</v>
      </c>
      <c r="B542" t="s">
        <v>597</v>
      </c>
      <c r="C542">
        <v>157</v>
      </c>
      <c r="D542">
        <v>66</v>
      </c>
      <c r="E542">
        <v>70.355074346367203</v>
      </c>
      <c r="F542">
        <v>2.3941177165004999</v>
      </c>
      <c r="G542">
        <v>3887.5924854442401</v>
      </c>
      <c r="H542">
        <v>481.77406636072197</v>
      </c>
      <c r="I542">
        <v>0.513639085560602</v>
      </c>
      <c r="J542">
        <v>0.21047657163681899</v>
      </c>
      <c r="K542">
        <v>0.58182627071516002</v>
      </c>
      <c r="L542" t="s">
        <v>33</v>
      </c>
      <c r="M542" t="s">
        <v>34</v>
      </c>
      <c r="N542" t="s">
        <v>35</v>
      </c>
      <c r="O542">
        <v>0.94481321893954595</v>
      </c>
      <c r="P542" t="s">
        <v>36</v>
      </c>
    </row>
    <row r="543" spans="1:16">
      <c r="A543">
        <v>542</v>
      </c>
      <c r="B543" t="s">
        <v>598</v>
      </c>
      <c r="C543">
        <v>85</v>
      </c>
      <c r="D543">
        <v>123</v>
      </c>
      <c r="E543">
        <v>86.271274489232098</v>
      </c>
      <c r="F543">
        <v>0.68584070796460195</v>
      </c>
      <c r="G543">
        <v>5845.5086733459402</v>
      </c>
      <c r="H543">
        <v>600.40286662319397</v>
      </c>
      <c r="I543">
        <v>0.62524628755607703</v>
      </c>
      <c r="J543">
        <v>0.20377300925856101</v>
      </c>
      <c r="K543">
        <v>0.67560510538883101</v>
      </c>
      <c r="L543" t="s">
        <v>33</v>
      </c>
      <c r="M543" t="s">
        <v>34</v>
      </c>
      <c r="N543" t="s">
        <v>35</v>
      </c>
      <c r="O543">
        <v>0.95206051042819795</v>
      </c>
      <c r="P543" t="s">
        <v>36</v>
      </c>
    </row>
    <row r="544" spans="1:16">
      <c r="A544">
        <v>543</v>
      </c>
      <c r="B544" t="s">
        <v>599</v>
      </c>
      <c r="C544">
        <v>69</v>
      </c>
      <c r="D544">
        <v>114</v>
      </c>
      <c r="E544">
        <v>71.4719019460575</v>
      </c>
      <c r="F544">
        <v>0.60537057544581796</v>
      </c>
      <c r="G544">
        <v>4011.99663402647</v>
      </c>
      <c r="H544">
        <v>398.03917914172899</v>
      </c>
      <c r="I544">
        <v>0.67619039855194096</v>
      </c>
      <c r="J544">
        <v>0.31821363171412897</v>
      </c>
      <c r="K544">
        <v>0.64593553327430697</v>
      </c>
      <c r="L544" t="s">
        <v>75</v>
      </c>
      <c r="M544" t="s">
        <v>34</v>
      </c>
      <c r="N544" t="s">
        <v>35</v>
      </c>
      <c r="O544">
        <v>0.70854634110429804</v>
      </c>
      <c r="P544" t="s">
        <v>36</v>
      </c>
    </row>
    <row r="545" spans="1:16">
      <c r="A545">
        <v>544</v>
      </c>
      <c r="B545" t="s">
        <v>600</v>
      </c>
      <c r="C545">
        <v>74</v>
      </c>
      <c r="D545">
        <v>94</v>
      </c>
      <c r="E545">
        <v>66.772464368858707</v>
      </c>
      <c r="F545">
        <v>0.78315707587143701</v>
      </c>
      <c r="G545">
        <v>3501.7464045368602</v>
      </c>
      <c r="H545">
        <v>506.07361030620098</v>
      </c>
      <c r="I545">
        <v>0.55986209283535004</v>
      </c>
      <c r="J545">
        <v>0.171817411939064</v>
      </c>
      <c r="K545">
        <v>0.64126292868807799</v>
      </c>
      <c r="L545" t="s">
        <v>33</v>
      </c>
      <c r="M545" t="s">
        <v>34</v>
      </c>
      <c r="N545" t="s">
        <v>35</v>
      </c>
      <c r="O545">
        <v>0.93439192091414502</v>
      </c>
      <c r="P545" t="s">
        <v>36</v>
      </c>
    </row>
    <row r="546" spans="1:16">
      <c r="A546">
        <v>545</v>
      </c>
      <c r="B546" t="s">
        <v>601</v>
      </c>
      <c r="C546">
        <v>78</v>
      </c>
      <c r="D546">
        <v>63</v>
      </c>
      <c r="E546">
        <v>54.184073974415298</v>
      </c>
      <c r="F546">
        <v>1.2327586206896599</v>
      </c>
      <c r="G546">
        <v>2305.8613633270302</v>
      </c>
      <c r="H546">
        <v>480.63045060738301</v>
      </c>
      <c r="I546">
        <v>0.43951241527540702</v>
      </c>
      <c r="J546">
        <v>0.125435507656219</v>
      </c>
      <c r="K546">
        <v>0.61514670896114199</v>
      </c>
      <c r="L546" t="s">
        <v>570</v>
      </c>
      <c r="M546" t="s">
        <v>34</v>
      </c>
      <c r="N546" t="s">
        <v>35</v>
      </c>
      <c r="O546">
        <v>0.83317106090241999</v>
      </c>
      <c r="P546" t="s">
        <v>36</v>
      </c>
    </row>
    <row r="547" spans="1:16">
      <c r="A547">
        <v>546</v>
      </c>
      <c r="B547" t="s">
        <v>602</v>
      </c>
      <c r="C547">
        <v>58</v>
      </c>
      <c r="D547">
        <v>83</v>
      </c>
      <c r="E547">
        <v>52.049984776047502</v>
      </c>
      <c r="F547">
        <v>0.70394736842105299</v>
      </c>
      <c r="G547">
        <v>2127.8014230623799</v>
      </c>
      <c r="H547">
        <v>474.99118761062601</v>
      </c>
      <c r="I547">
        <v>0.69356105621870501</v>
      </c>
      <c r="J547">
        <v>0.118514054023933</v>
      </c>
      <c r="K547">
        <v>0.628942975133995</v>
      </c>
      <c r="L547" t="s">
        <v>33</v>
      </c>
      <c r="M547" t="s">
        <v>34</v>
      </c>
      <c r="N547" t="s">
        <v>35</v>
      </c>
      <c r="O547">
        <v>0.94177020610576601</v>
      </c>
      <c r="P547" t="s">
        <v>36</v>
      </c>
    </row>
    <row r="548" spans="1:16">
      <c r="A548">
        <v>547</v>
      </c>
      <c r="B548" t="s">
        <v>603</v>
      </c>
      <c r="C548">
        <v>156</v>
      </c>
      <c r="D548">
        <v>66</v>
      </c>
      <c r="E548">
        <v>72.587188702422097</v>
      </c>
      <c r="F548">
        <v>2.3670870357806701</v>
      </c>
      <c r="G548">
        <v>4138.1843546313803</v>
      </c>
      <c r="H548">
        <v>508.551163356823</v>
      </c>
      <c r="I548">
        <v>0.716316615395169</v>
      </c>
      <c r="J548">
        <v>0.20107144276771999</v>
      </c>
      <c r="K548">
        <v>0.564654822746816</v>
      </c>
      <c r="L548" t="s">
        <v>45</v>
      </c>
      <c r="M548" t="s">
        <v>34</v>
      </c>
      <c r="N548" t="s">
        <v>35</v>
      </c>
      <c r="O548">
        <v>0.75615800732622895</v>
      </c>
      <c r="P548" t="s">
        <v>36</v>
      </c>
    </row>
    <row r="549" spans="1:16">
      <c r="A549">
        <v>548</v>
      </c>
      <c r="B549" t="s">
        <v>604</v>
      </c>
      <c r="C549">
        <v>166</v>
      </c>
      <c r="D549">
        <v>100</v>
      </c>
      <c r="E549">
        <v>89.449362820245</v>
      </c>
      <c r="F549">
        <v>1.6656616040352401</v>
      </c>
      <c r="G549">
        <v>6284.1187599243904</v>
      </c>
      <c r="H549">
        <v>788.94238261699695</v>
      </c>
      <c r="I549">
        <v>0.58707608491006302</v>
      </c>
      <c r="J549">
        <v>0.12687138277427501</v>
      </c>
      <c r="K549">
        <v>0.505318513206645</v>
      </c>
      <c r="L549" t="s">
        <v>45</v>
      </c>
      <c r="M549" t="s">
        <v>34</v>
      </c>
      <c r="N549" t="s">
        <v>35</v>
      </c>
      <c r="O549">
        <v>0.70341971112678603</v>
      </c>
      <c r="P549" t="s">
        <v>36</v>
      </c>
    </row>
    <row r="550" spans="1:16">
      <c r="A550">
        <v>549</v>
      </c>
      <c r="B550" t="s">
        <v>605</v>
      </c>
      <c r="C550">
        <v>92</v>
      </c>
      <c r="D550">
        <v>91</v>
      </c>
      <c r="E550">
        <v>71.994256326336895</v>
      </c>
      <c r="F550">
        <v>1.00893673554149</v>
      </c>
      <c r="G550">
        <v>4070.8545107750501</v>
      </c>
      <c r="H550">
        <v>423.36495843047697</v>
      </c>
      <c r="I550">
        <v>0.68145294565137804</v>
      </c>
      <c r="J550">
        <v>0.28540766164280401</v>
      </c>
      <c r="K550">
        <v>0.68809667370113603</v>
      </c>
      <c r="L550" t="s">
        <v>83</v>
      </c>
      <c r="M550" t="s">
        <v>34</v>
      </c>
      <c r="N550" t="s">
        <v>35</v>
      </c>
      <c r="O550">
        <v>0.86109657052049904</v>
      </c>
      <c r="P550" t="s">
        <v>36</v>
      </c>
    </row>
    <row r="551" spans="1:16">
      <c r="A551">
        <v>550</v>
      </c>
      <c r="B551" t="s">
        <v>606</v>
      </c>
      <c r="C551">
        <v>79</v>
      </c>
      <c r="D551">
        <v>73</v>
      </c>
      <c r="E551">
        <v>54.895386407501299</v>
      </c>
      <c r="F551">
        <v>1.0746268826673999</v>
      </c>
      <c r="G551">
        <v>2366.8000741020801</v>
      </c>
      <c r="H551">
        <v>577.87953058595201</v>
      </c>
      <c r="I551">
        <v>0.58055258447065194</v>
      </c>
      <c r="J551">
        <v>8.9062896586008397E-2</v>
      </c>
      <c r="K551">
        <v>0.53434448508439303</v>
      </c>
      <c r="L551" t="s">
        <v>33</v>
      </c>
      <c r="M551" t="s">
        <v>34</v>
      </c>
      <c r="N551" t="s">
        <v>35</v>
      </c>
      <c r="O551">
        <v>0.95032179714402298</v>
      </c>
      <c r="P551" t="s">
        <v>36</v>
      </c>
    </row>
    <row r="552" spans="1:16">
      <c r="A552">
        <v>551</v>
      </c>
      <c r="B552" t="s">
        <v>607</v>
      </c>
      <c r="C552">
        <v>106</v>
      </c>
      <c r="D552">
        <v>104</v>
      </c>
      <c r="E552">
        <v>86.957330477894303</v>
      </c>
      <c r="F552">
        <v>1.0121872795354601</v>
      </c>
      <c r="G552">
        <v>5938.8489425330799</v>
      </c>
      <c r="H552">
        <v>420.23534820401198</v>
      </c>
      <c r="I552">
        <v>0.53315049274658599</v>
      </c>
      <c r="J552">
        <v>0.42259755704934299</v>
      </c>
      <c r="K552">
        <v>0.78170791352831803</v>
      </c>
      <c r="L552" t="s">
        <v>75</v>
      </c>
      <c r="M552" t="s">
        <v>34</v>
      </c>
      <c r="N552" t="s">
        <v>35</v>
      </c>
      <c r="O552">
        <v>0.75371619766128495</v>
      </c>
      <c r="P552" t="s">
        <v>36</v>
      </c>
    </row>
    <row r="553" spans="1:16">
      <c r="A553">
        <v>552</v>
      </c>
      <c r="B553" t="s">
        <v>608</v>
      </c>
      <c r="C553">
        <v>79</v>
      </c>
      <c r="D553">
        <v>70</v>
      </c>
      <c r="E553">
        <v>63.627609576162399</v>
      </c>
      <c r="F553">
        <v>1.1271768298127101</v>
      </c>
      <c r="G553">
        <v>3179.6630234404502</v>
      </c>
      <c r="H553">
        <v>332.19351905542902</v>
      </c>
      <c r="I553">
        <v>0.60472390585807201</v>
      </c>
      <c r="J553">
        <v>0.36208342931426102</v>
      </c>
      <c r="K553">
        <v>0.78356896930627795</v>
      </c>
      <c r="L553" t="s">
        <v>331</v>
      </c>
      <c r="M553" t="s">
        <v>34</v>
      </c>
      <c r="N553" t="s">
        <v>35</v>
      </c>
      <c r="O553">
        <v>0.65356056348116098</v>
      </c>
      <c r="P553" t="s">
        <v>36</v>
      </c>
    </row>
    <row r="554" spans="1:16">
      <c r="A554">
        <v>553</v>
      </c>
      <c r="B554" t="s">
        <v>609</v>
      </c>
      <c r="C554">
        <v>115</v>
      </c>
      <c r="D554">
        <v>55</v>
      </c>
      <c r="E554">
        <v>67.732013366439602</v>
      </c>
      <c r="F554">
        <v>2.0913596480789201</v>
      </c>
      <c r="G554">
        <v>3603.1127478260901</v>
      </c>
      <c r="H554">
        <v>361.28377749961402</v>
      </c>
      <c r="I554">
        <v>0.67668903983974005</v>
      </c>
      <c r="J554">
        <v>0.34688921207317502</v>
      </c>
      <c r="K554">
        <v>0.74264007597340898</v>
      </c>
      <c r="L554" t="s">
        <v>132</v>
      </c>
      <c r="M554" t="s">
        <v>34</v>
      </c>
      <c r="N554" t="s">
        <v>35</v>
      </c>
      <c r="O554">
        <v>0.721017665483218</v>
      </c>
      <c r="P554" t="s">
        <v>36</v>
      </c>
    </row>
    <row r="555" spans="1:16">
      <c r="A555">
        <v>554</v>
      </c>
      <c r="B555" t="s">
        <v>610</v>
      </c>
      <c r="C555">
        <v>102</v>
      </c>
      <c r="D555">
        <v>64</v>
      </c>
      <c r="E555">
        <v>70.035604704229499</v>
      </c>
      <c r="F555">
        <v>1.60465693788047</v>
      </c>
      <c r="G555">
        <v>3852.3669379962198</v>
      </c>
      <c r="H555">
        <v>438.13397757519903</v>
      </c>
      <c r="I555">
        <v>0.528628504787373</v>
      </c>
      <c r="J555">
        <v>0.25218754993246101</v>
      </c>
      <c r="K555">
        <v>0.78879454639520397</v>
      </c>
      <c r="L555" t="s">
        <v>33</v>
      </c>
      <c r="M555" t="s">
        <v>34</v>
      </c>
      <c r="N555" t="s">
        <v>35</v>
      </c>
      <c r="O555">
        <v>0.87663796942652095</v>
      </c>
      <c r="P555" t="s">
        <v>36</v>
      </c>
    </row>
    <row r="556" spans="1:16">
      <c r="A556">
        <v>555</v>
      </c>
      <c r="B556" t="s">
        <v>611</v>
      </c>
      <c r="C556">
        <v>99</v>
      </c>
      <c r="D556">
        <v>44</v>
      </c>
      <c r="E556">
        <v>51.428186237368301</v>
      </c>
      <c r="F556">
        <v>2.2465947712983501</v>
      </c>
      <c r="G556">
        <v>2077.2668824196599</v>
      </c>
      <c r="H556">
        <v>316.72315476832199</v>
      </c>
      <c r="I556">
        <v>0.46142330499311701</v>
      </c>
      <c r="J556">
        <v>0.26022111418308103</v>
      </c>
      <c r="K556">
        <v>0.66249525976488399</v>
      </c>
      <c r="L556" t="s">
        <v>33</v>
      </c>
      <c r="M556" t="s">
        <v>34</v>
      </c>
      <c r="N556" t="s">
        <v>35</v>
      </c>
      <c r="O556">
        <v>0.93999261190102601</v>
      </c>
      <c r="P556" t="s">
        <v>36</v>
      </c>
    </row>
    <row r="557" spans="1:16">
      <c r="A557">
        <v>556</v>
      </c>
      <c r="B557" t="s">
        <v>612</v>
      </c>
      <c r="C557">
        <v>85</v>
      </c>
      <c r="D557">
        <v>97</v>
      </c>
      <c r="E557">
        <v>75.510844574841101</v>
      </c>
      <c r="F557">
        <v>0.87758593287243902</v>
      </c>
      <c r="G557">
        <v>4478.2520869565196</v>
      </c>
      <c r="H557">
        <v>466.77256316993498</v>
      </c>
      <c r="I557">
        <v>0.637445344850606</v>
      </c>
      <c r="J557">
        <v>0.25829009991837398</v>
      </c>
      <c r="K557">
        <v>0.69454369424402396</v>
      </c>
      <c r="L557" t="s">
        <v>70</v>
      </c>
      <c r="M557" t="s">
        <v>34</v>
      </c>
      <c r="N557" t="s">
        <v>35</v>
      </c>
      <c r="O557">
        <v>0.81777331550344901</v>
      </c>
      <c r="P557" t="s">
        <v>36</v>
      </c>
    </row>
    <row r="558" spans="1:16">
      <c r="A558">
        <v>557</v>
      </c>
      <c r="B558" t="s">
        <v>613</v>
      </c>
      <c r="C558">
        <v>88</v>
      </c>
      <c r="D558">
        <v>119</v>
      </c>
      <c r="E558">
        <v>80.794452343642604</v>
      </c>
      <c r="F558">
        <v>0.74241084159596504</v>
      </c>
      <c r="G558">
        <v>5126.87777920605</v>
      </c>
      <c r="H558">
        <v>564.44121627828304</v>
      </c>
      <c r="I558">
        <v>0.44539186241697998</v>
      </c>
      <c r="J558">
        <v>0.20222059798058101</v>
      </c>
      <c r="K558">
        <v>0.59305744201640198</v>
      </c>
      <c r="L558" t="s">
        <v>75</v>
      </c>
      <c r="M558" t="s">
        <v>34</v>
      </c>
      <c r="N558" t="s">
        <v>35</v>
      </c>
      <c r="O558">
        <v>0.72266059014449502</v>
      </c>
      <c r="P558" t="s">
        <v>36</v>
      </c>
    </row>
    <row r="559" spans="1:16">
      <c r="A559">
        <v>558</v>
      </c>
      <c r="B559" t="s">
        <v>614</v>
      </c>
      <c r="C559">
        <v>86</v>
      </c>
      <c r="D559">
        <v>55</v>
      </c>
      <c r="E559">
        <v>64.588464977989702</v>
      </c>
      <c r="F559">
        <v>1.5544554455445501</v>
      </c>
      <c r="G559">
        <v>3276.4218056710802</v>
      </c>
      <c r="H559">
        <v>328.77662758205298</v>
      </c>
      <c r="I559">
        <v>0.70606041334464498</v>
      </c>
      <c r="J559">
        <v>0.38089721644736602</v>
      </c>
      <c r="K559">
        <v>0.86514913657770798</v>
      </c>
      <c r="L559" t="s">
        <v>169</v>
      </c>
      <c r="M559" t="s">
        <v>34</v>
      </c>
      <c r="N559" t="s">
        <v>35</v>
      </c>
      <c r="O559">
        <v>0.73519306769423398</v>
      </c>
      <c r="P559" t="s">
        <v>36</v>
      </c>
    </row>
    <row r="560" spans="1:16">
      <c r="A560">
        <v>559</v>
      </c>
      <c r="B560" t="s">
        <v>615</v>
      </c>
      <c r="C560">
        <v>63</v>
      </c>
      <c r="D560">
        <v>78</v>
      </c>
      <c r="E560">
        <v>74.786850439278993</v>
      </c>
      <c r="F560">
        <v>0.81118887759951697</v>
      </c>
      <c r="G560">
        <v>4392.7892608695702</v>
      </c>
      <c r="H560">
        <v>397.20554211647601</v>
      </c>
      <c r="I560">
        <v>0.52232678905778995</v>
      </c>
      <c r="J560">
        <v>0.34988041586003998</v>
      </c>
      <c r="K560">
        <v>0.89400768323300805</v>
      </c>
      <c r="L560" t="s">
        <v>33</v>
      </c>
      <c r="M560" t="s">
        <v>34</v>
      </c>
      <c r="N560" t="s">
        <v>35</v>
      </c>
      <c r="O560">
        <v>0.95481941760278699</v>
      </c>
      <c r="P560" t="s">
        <v>36</v>
      </c>
    </row>
    <row r="561" spans="1:16">
      <c r="A561">
        <v>560</v>
      </c>
      <c r="B561" t="s">
        <v>616</v>
      </c>
      <c r="C561">
        <v>77</v>
      </c>
      <c r="D561">
        <v>135</v>
      </c>
      <c r="E561">
        <v>81.248747717243702</v>
      </c>
      <c r="F561">
        <v>0.57158253727279595</v>
      </c>
      <c r="G561">
        <v>5184.6952389414</v>
      </c>
      <c r="H561">
        <v>464.22691767578499</v>
      </c>
      <c r="I561">
        <v>0.64267519394907402</v>
      </c>
      <c r="J561">
        <v>0.30232388471792698</v>
      </c>
      <c r="K561">
        <v>0.67710314841414698</v>
      </c>
      <c r="L561" t="s">
        <v>33</v>
      </c>
      <c r="M561" t="s">
        <v>34</v>
      </c>
      <c r="N561" t="s">
        <v>35</v>
      </c>
      <c r="O561">
        <v>0.95307201632489602</v>
      </c>
      <c r="P561" t="s">
        <v>36</v>
      </c>
    </row>
    <row r="562" spans="1:16">
      <c r="A562">
        <v>561</v>
      </c>
      <c r="B562" t="s">
        <v>617</v>
      </c>
      <c r="C562">
        <v>77</v>
      </c>
      <c r="D562">
        <v>58</v>
      </c>
      <c r="E562">
        <v>54.760775241342301</v>
      </c>
      <c r="F562">
        <v>1.3271028037383199</v>
      </c>
      <c r="G562">
        <v>2355.2068559546301</v>
      </c>
      <c r="H562">
        <v>420.46944848019098</v>
      </c>
      <c r="I562">
        <v>0.74655295637365804</v>
      </c>
      <c r="J562">
        <v>0.16740561875888699</v>
      </c>
      <c r="K562">
        <v>0.65909658098327895</v>
      </c>
      <c r="L562" t="s">
        <v>33</v>
      </c>
      <c r="M562" t="s">
        <v>34</v>
      </c>
      <c r="N562" t="s">
        <v>35</v>
      </c>
      <c r="O562">
        <v>0.89778856881689195</v>
      </c>
      <c r="P562" t="s">
        <v>36</v>
      </c>
    </row>
    <row r="563" spans="1:16">
      <c r="A563">
        <v>562</v>
      </c>
      <c r="B563" t="s">
        <v>618</v>
      </c>
      <c r="C563">
        <v>88</v>
      </c>
      <c r="D563">
        <v>49</v>
      </c>
      <c r="E563">
        <v>55.0021500190499</v>
      </c>
      <c r="F563">
        <v>1.7888888888888901</v>
      </c>
      <c r="G563">
        <v>2376.0151962192799</v>
      </c>
      <c r="H563">
        <v>514.32433446656103</v>
      </c>
      <c r="I563">
        <v>0.81379805981138598</v>
      </c>
      <c r="J563">
        <v>0.112871665231945</v>
      </c>
      <c r="K563">
        <v>0.65350339301774196</v>
      </c>
      <c r="L563" t="s">
        <v>33</v>
      </c>
      <c r="M563" t="s">
        <v>34</v>
      </c>
      <c r="N563" t="s">
        <v>35</v>
      </c>
      <c r="O563">
        <v>0.944819103628325</v>
      </c>
      <c r="P563" t="s">
        <v>36</v>
      </c>
    </row>
    <row r="564" spans="1:16">
      <c r="A564">
        <v>563</v>
      </c>
      <c r="B564" t="s">
        <v>619</v>
      </c>
      <c r="C564">
        <v>68</v>
      </c>
      <c r="D564">
        <v>68</v>
      </c>
      <c r="E564">
        <v>58.640704087495997</v>
      </c>
      <c r="F564">
        <v>1</v>
      </c>
      <c r="G564">
        <v>2700.77393534972</v>
      </c>
      <c r="H564">
        <v>495.919235045081</v>
      </c>
      <c r="I564">
        <v>0.40754586000981902</v>
      </c>
      <c r="J564">
        <v>0.13799907990778201</v>
      </c>
      <c r="K564">
        <v>0.64231177094379599</v>
      </c>
      <c r="L564" t="s">
        <v>178</v>
      </c>
      <c r="M564" t="s">
        <v>34</v>
      </c>
      <c r="N564" t="s">
        <v>35</v>
      </c>
      <c r="O564">
        <v>0.66579324961311004</v>
      </c>
      <c r="P564" t="s">
        <v>36</v>
      </c>
    </row>
    <row r="565" spans="1:16">
      <c r="A565">
        <v>564</v>
      </c>
      <c r="B565" t="s">
        <v>620</v>
      </c>
      <c r="C565">
        <v>96</v>
      </c>
      <c r="D565">
        <v>50</v>
      </c>
      <c r="E565">
        <v>55.177343895610498</v>
      </c>
      <c r="F565">
        <v>1.9365724203801</v>
      </c>
      <c r="G565">
        <v>2391.1755584121001</v>
      </c>
      <c r="H565">
        <v>447.99490181114402</v>
      </c>
      <c r="I565">
        <v>0.63189109770836105</v>
      </c>
      <c r="J565">
        <v>0.14971840211137699</v>
      </c>
      <c r="K565">
        <v>0.62748157104411295</v>
      </c>
      <c r="L565" t="s">
        <v>33</v>
      </c>
      <c r="M565" t="s">
        <v>34</v>
      </c>
      <c r="N565" t="s">
        <v>35</v>
      </c>
      <c r="O565">
        <v>0.95557163272544499</v>
      </c>
      <c r="P565" t="s">
        <v>36</v>
      </c>
    </row>
    <row r="566" spans="1:16">
      <c r="A566">
        <v>565</v>
      </c>
      <c r="B566" t="s">
        <v>621</v>
      </c>
      <c r="C566">
        <v>130</v>
      </c>
      <c r="D566">
        <v>76</v>
      </c>
      <c r="E566">
        <v>77.727592260307802</v>
      </c>
      <c r="F566">
        <v>1.69962642274269</v>
      </c>
      <c r="G566">
        <v>4745.0447353497202</v>
      </c>
      <c r="H566">
        <v>477.731708196868</v>
      </c>
      <c r="I566">
        <v>0.48059741754753499</v>
      </c>
      <c r="J566">
        <v>0.26126548515928</v>
      </c>
      <c r="K566">
        <v>0.627456761006289</v>
      </c>
      <c r="L566" t="s">
        <v>83</v>
      </c>
      <c r="M566" t="s">
        <v>34</v>
      </c>
      <c r="N566" t="s">
        <v>35</v>
      </c>
      <c r="O566">
        <v>0.81407793496529202</v>
      </c>
      <c r="P566" t="s">
        <v>36</v>
      </c>
    </row>
    <row r="567" spans="1:16">
      <c r="A567">
        <v>566</v>
      </c>
      <c r="B567" t="s">
        <v>622</v>
      </c>
      <c r="C567">
        <v>129</v>
      </c>
      <c r="D567">
        <v>83</v>
      </c>
      <c r="E567">
        <v>75.789767173629997</v>
      </c>
      <c r="F567">
        <v>1.5526315789473699</v>
      </c>
      <c r="G567">
        <v>4511.3968003780701</v>
      </c>
      <c r="H567">
        <v>682.23087028119903</v>
      </c>
      <c r="I567">
        <v>0.76782611533992196</v>
      </c>
      <c r="J567">
        <v>0.121803048325758</v>
      </c>
      <c r="K567">
        <v>0.57742647338583897</v>
      </c>
      <c r="L567" t="s">
        <v>33</v>
      </c>
      <c r="M567" t="s">
        <v>34</v>
      </c>
      <c r="N567" t="s">
        <v>35</v>
      </c>
      <c r="O567">
        <v>0.89450077060116895</v>
      </c>
      <c r="P567" t="s">
        <v>36</v>
      </c>
    </row>
    <row r="568" spans="1:16">
      <c r="A568">
        <v>567</v>
      </c>
      <c r="B568" t="s">
        <v>623</v>
      </c>
      <c r="C568">
        <v>86</v>
      </c>
      <c r="D568">
        <v>97</v>
      </c>
      <c r="E568">
        <v>75.132719535382904</v>
      </c>
      <c r="F568">
        <v>0.88202247191011196</v>
      </c>
      <c r="G568">
        <v>4433.5141553875201</v>
      </c>
      <c r="H568">
        <v>420.892914614159</v>
      </c>
      <c r="I568">
        <v>0.63695188793219804</v>
      </c>
      <c r="J568">
        <v>0.31449571590013697</v>
      </c>
      <c r="K568">
        <v>0.68534601599117695</v>
      </c>
      <c r="L568" t="s">
        <v>75</v>
      </c>
      <c r="M568" t="s">
        <v>34</v>
      </c>
      <c r="N568" t="s">
        <v>35</v>
      </c>
      <c r="O568">
        <v>0.70530356395382898</v>
      </c>
      <c r="P568" t="s">
        <v>36</v>
      </c>
    </row>
    <row r="569" spans="1:16">
      <c r="A569">
        <v>568</v>
      </c>
      <c r="B569" t="s">
        <v>624</v>
      </c>
      <c r="C569">
        <v>68</v>
      </c>
      <c r="D569">
        <v>72</v>
      </c>
      <c r="E569">
        <v>61.979359479533102</v>
      </c>
      <c r="F569">
        <v>0.93970924256016697</v>
      </c>
      <c r="G569">
        <v>3017.0607073724</v>
      </c>
      <c r="H569">
        <v>260.44401220663701</v>
      </c>
      <c r="I569">
        <v>0.60666479881338498</v>
      </c>
      <c r="J569">
        <v>0.55893995881774705</v>
      </c>
      <c r="K569">
        <v>0.83462851034085805</v>
      </c>
      <c r="L569" t="s">
        <v>52</v>
      </c>
      <c r="M569" t="s">
        <v>34</v>
      </c>
      <c r="N569" t="s">
        <v>35</v>
      </c>
      <c r="O569">
        <v>0.716322760128144</v>
      </c>
      <c r="P569" t="s">
        <v>36</v>
      </c>
    </row>
    <row r="570" spans="1:16">
      <c r="A570">
        <v>569</v>
      </c>
      <c r="B570" t="s">
        <v>625</v>
      </c>
      <c r="C570">
        <v>79</v>
      </c>
      <c r="D570">
        <v>136</v>
      </c>
      <c r="E570">
        <v>77.782353575202194</v>
      </c>
      <c r="F570">
        <v>0.58279128096774002</v>
      </c>
      <c r="G570">
        <v>4751.7331304347799</v>
      </c>
      <c r="H570">
        <v>524.456012246505</v>
      </c>
      <c r="I570">
        <v>0.64766132928583398</v>
      </c>
      <c r="J570">
        <v>0.21709197452856699</v>
      </c>
      <c r="K570">
        <v>0.60401670161915</v>
      </c>
      <c r="L570" t="s">
        <v>83</v>
      </c>
      <c r="M570" t="s">
        <v>34</v>
      </c>
      <c r="N570" t="s">
        <v>35</v>
      </c>
      <c r="O570">
        <v>0.79916230776034103</v>
      </c>
      <c r="P570" t="s">
        <v>36</v>
      </c>
    </row>
    <row r="571" spans="1:16">
      <c r="A571">
        <v>570</v>
      </c>
      <c r="B571" t="s">
        <v>626</v>
      </c>
      <c r="C571">
        <v>59</v>
      </c>
      <c r="D571">
        <v>68</v>
      </c>
      <c r="E571">
        <v>57.317154578467601</v>
      </c>
      <c r="F571">
        <v>0.86399999999999999</v>
      </c>
      <c r="G571">
        <v>2580.2341928166402</v>
      </c>
      <c r="H571">
        <v>364.32810703567799</v>
      </c>
      <c r="I571">
        <v>0.62158638822537204</v>
      </c>
      <c r="J571">
        <v>0.24427759498721699</v>
      </c>
      <c r="K571">
        <v>0.76617530232147601</v>
      </c>
      <c r="L571" t="s">
        <v>33</v>
      </c>
      <c r="M571" t="s">
        <v>34</v>
      </c>
      <c r="N571" t="s">
        <v>35</v>
      </c>
      <c r="O571">
        <v>0.94106019292225995</v>
      </c>
      <c r="P571" t="s">
        <v>36</v>
      </c>
    </row>
    <row r="572" spans="1:16">
      <c r="A572">
        <v>571</v>
      </c>
      <c r="B572" t="s">
        <v>627</v>
      </c>
      <c r="C572">
        <v>67</v>
      </c>
      <c r="D572">
        <v>88</v>
      </c>
      <c r="E572">
        <v>60.564796155224698</v>
      </c>
      <c r="F572">
        <v>0.76775538049868497</v>
      </c>
      <c r="G572">
        <v>2880.9147096408301</v>
      </c>
      <c r="H572">
        <v>411.46647498079</v>
      </c>
      <c r="I572">
        <v>0.48037242811132302</v>
      </c>
      <c r="J572">
        <v>0.21383133779438901</v>
      </c>
      <c r="K572">
        <v>0.68932038834951503</v>
      </c>
      <c r="L572" t="s">
        <v>83</v>
      </c>
      <c r="M572" t="s">
        <v>34</v>
      </c>
      <c r="N572" t="s">
        <v>35</v>
      </c>
      <c r="O572">
        <v>0.83963545429316</v>
      </c>
      <c r="P572" t="s">
        <v>36</v>
      </c>
    </row>
    <row r="573" spans="1:16">
      <c r="A573">
        <v>572</v>
      </c>
      <c r="B573" t="s">
        <v>628</v>
      </c>
      <c r="C573">
        <v>54</v>
      </c>
      <c r="D573">
        <v>61</v>
      </c>
      <c r="E573">
        <v>51.951725671540899</v>
      </c>
      <c r="F573">
        <v>0.87845907124408995</v>
      </c>
      <c r="G573">
        <v>2119.7753489603001</v>
      </c>
      <c r="H573">
        <v>260.80878813557001</v>
      </c>
      <c r="I573">
        <v>0.65875210371332504</v>
      </c>
      <c r="J573">
        <v>0.39161133981443302</v>
      </c>
      <c r="K573">
        <v>0.77616326530612201</v>
      </c>
      <c r="L573" t="s">
        <v>83</v>
      </c>
      <c r="M573" t="s">
        <v>34</v>
      </c>
      <c r="N573" t="s">
        <v>35</v>
      </c>
      <c r="O573">
        <v>0.83328509202961498</v>
      </c>
      <c r="P573" t="s">
        <v>36</v>
      </c>
    </row>
    <row r="574" spans="1:16">
      <c r="A574">
        <v>573</v>
      </c>
      <c r="B574" t="s">
        <v>629</v>
      </c>
      <c r="C574">
        <v>67</v>
      </c>
      <c r="D574">
        <v>114</v>
      </c>
      <c r="E574">
        <v>69.657642551164201</v>
      </c>
      <c r="F574">
        <v>0.591384639667487</v>
      </c>
      <c r="G574">
        <v>3810.8988884688101</v>
      </c>
      <c r="H574">
        <v>407.87578966638301</v>
      </c>
      <c r="I574">
        <v>0.67108708035541798</v>
      </c>
      <c r="J574">
        <v>0.28786007548255699</v>
      </c>
      <c r="K574">
        <v>0.67509215376513998</v>
      </c>
      <c r="L574" t="s">
        <v>33</v>
      </c>
      <c r="M574" t="s">
        <v>34</v>
      </c>
      <c r="N574" t="s">
        <v>35</v>
      </c>
      <c r="O574">
        <v>0.94626553660457602</v>
      </c>
      <c r="P574" t="s">
        <v>36</v>
      </c>
    </row>
    <row r="575" spans="1:16">
      <c r="A575">
        <v>574</v>
      </c>
      <c r="B575" t="s">
        <v>630</v>
      </c>
      <c r="C575">
        <v>92</v>
      </c>
      <c r="D575">
        <v>114</v>
      </c>
      <c r="E575">
        <v>78.028910220131806</v>
      </c>
      <c r="F575">
        <v>0.80417969429879399</v>
      </c>
      <c r="G575">
        <v>4781.9052238185304</v>
      </c>
      <c r="H575">
        <v>489.04233391005101</v>
      </c>
      <c r="I575">
        <v>0.58592365593145201</v>
      </c>
      <c r="J575">
        <v>0.25125685388138502</v>
      </c>
      <c r="K575">
        <v>0.60409703706485396</v>
      </c>
      <c r="L575" t="s">
        <v>33</v>
      </c>
      <c r="M575" t="s">
        <v>34</v>
      </c>
      <c r="N575" t="s">
        <v>35</v>
      </c>
      <c r="O575">
        <v>0.94297162580285998</v>
      </c>
      <c r="P575" t="s">
        <v>36</v>
      </c>
    </row>
    <row r="576" spans="1:16">
      <c r="A576">
        <v>575</v>
      </c>
      <c r="B576" t="s">
        <v>631</v>
      </c>
      <c r="C576">
        <v>105</v>
      </c>
      <c r="D576">
        <v>137</v>
      </c>
      <c r="E576">
        <v>100.209698184304</v>
      </c>
      <c r="F576">
        <v>0.76892427469373903</v>
      </c>
      <c r="G576">
        <v>7886.9554843100204</v>
      </c>
      <c r="H576">
        <v>651.25642575720099</v>
      </c>
      <c r="I576">
        <v>0.68271670820441199</v>
      </c>
      <c r="J576">
        <v>0.23367659236742899</v>
      </c>
      <c r="K576">
        <v>0.61506363446693102</v>
      </c>
      <c r="L576" t="s">
        <v>241</v>
      </c>
      <c r="M576" t="s">
        <v>34</v>
      </c>
      <c r="N576" t="s">
        <v>35</v>
      </c>
      <c r="O576">
        <v>0.83898065687240497</v>
      </c>
      <c r="P576" t="s">
        <v>36</v>
      </c>
    </row>
    <row r="577" spans="1:16">
      <c r="A577">
        <v>576</v>
      </c>
      <c r="B577" t="s">
        <v>632</v>
      </c>
      <c r="C577">
        <v>36</v>
      </c>
      <c r="D577">
        <v>89</v>
      </c>
      <c r="E577">
        <v>54.009162051885902</v>
      </c>
      <c r="F577">
        <v>0.402070704587835</v>
      </c>
      <c r="G577">
        <v>2290.9982631379999</v>
      </c>
      <c r="H577">
        <v>222.365691735848</v>
      </c>
      <c r="I577">
        <v>0.79617925256119104</v>
      </c>
      <c r="J577">
        <v>0.58223600760509997</v>
      </c>
      <c r="K577">
        <v>0.91914132379248703</v>
      </c>
      <c r="L577" t="s">
        <v>75</v>
      </c>
      <c r="M577" t="s">
        <v>34</v>
      </c>
      <c r="N577" t="s">
        <v>35</v>
      </c>
      <c r="O577">
        <v>0.72893693709306595</v>
      </c>
      <c r="P577" t="s">
        <v>36</v>
      </c>
    </row>
    <row r="578" spans="1:16">
      <c r="A578">
        <v>577</v>
      </c>
      <c r="B578" t="s">
        <v>633</v>
      </c>
      <c r="C578">
        <v>84</v>
      </c>
      <c r="D578">
        <v>110</v>
      </c>
      <c r="E578">
        <v>71.072291817300794</v>
      </c>
      <c r="F578">
        <v>0.76273952334178896</v>
      </c>
      <c r="G578">
        <v>3967.25870245747</v>
      </c>
      <c r="H578">
        <v>429.994464046644</v>
      </c>
      <c r="I578">
        <v>0.70142921605145503</v>
      </c>
      <c r="J578">
        <v>0.26963400149128403</v>
      </c>
      <c r="K578">
        <v>0.61634377814210195</v>
      </c>
      <c r="L578" t="s">
        <v>83</v>
      </c>
      <c r="M578" t="s">
        <v>34</v>
      </c>
      <c r="N578" t="s">
        <v>35</v>
      </c>
      <c r="O578">
        <v>0.76584249479727995</v>
      </c>
      <c r="P578" t="s">
        <v>36</v>
      </c>
    </row>
    <row r="579" spans="1:16">
      <c r="A579">
        <v>578</v>
      </c>
      <c r="B579" t="s">
        <v>634</v>
      </c>
      <c r="C579">
        <v>73</v>
      </c>
      <c r="D579">
        <v>59</v>
      </c>
      <c r="E579">
        <v>64.708482623886297</v>
      </c>
      <c r="F579">
        <v>1.2337663020087399</v>
      </c>
      <c r="G579">
        <v>3288.60954782609</v>
      </c>
      <c r="H579">
        <v>243.17474253011801</v>
      </c>
      <c r="I579">
        <v>0.66078328521825902</v>
      </c>
      <c r="J579">
        <v>0.69885205718363996</v>
      </c>
      <c r="K579">
        <v>0.92907831198824298</v>
      </c>
      <c r="L579" t="s">
        <v>83</v>
      </c>
      <c r="M579" t="s">
        <v>34</v>
      </c>
      <c r="N579" t="s">
        <v>35</v>
      </c>
      <c r="O579">
        <v>0.83622362421016805</v>
      </c>
      <c r="P579" t="s">
        <v>36</v>
      </c>
    </row>
    <row r="580" spans="1:16">
      <c r="A580">
        <v>579</v>
      </c>
      <c r="B580" t="s">
        <v>635</v>
      </c>
      <c r="C580">
        <v>160</v>
      </c>
      <c r="D580">
        <v>181</v>
      </c>
      <c r="E580">
        <v>112.927846292797</v>
      </c>
      <c r="F580">
        <v>0.88253009888616296</v>
      </c>
      <c r="G580">
        <v>10015.9459553875</v>
      </c>
      <c r="H580">
        <v>1059.14551066627</v>
      </c>
      <c r="I580">
        <v>0.61808317000903101</v>
      </c>
      <c r="J580">
        <v>0.112199410991496</v>
      </c>
      <c r="K580">
        <v>0.44728527810965102</v>
      </c>
      <c r="L580" t="s">
        <v>52</v>
      </c>
      <c r="M580" t="s">
        <v>34</v>
      </c>
      <c r="N580" t="s">
        <v>35</v>
      </c>
      <c r="O580">
        <v>0.71214167174093501</v>
      </c>
      <c r="P580" t="s">
        <v>36</v>
      </c>
    </row>
    <row r="581" spans="1:16">
      <c r="A581">
        <v>580</v>
      </c>
      <c r="B581" t="s">
        <v>636</v>
      </c>
      <c r="C581">
        <v>120</v>
      </c>
      <c r="D581">
        <v>121</v>
      </c>
      <c r="E581">
        <v>103.01080603841601</v>
      </c>
      <c r="F581">
        <v>0.99099099099099097</v>
      </c>
      <c r="G581">
        <v>8334.0375379962206</v>
      </c>
      <c r="H581">
        <v>587.70122963780898</v>
      </c>
      <c r="I581">
        <v>0.53230009430066805</v>
      </c>
      <c r="J581">
        <v>0.30321600227081202</v>
      </c>
      <c r="K581">
        <v>0.77317227875679095</v>
      </c>
      <c r="L581" t="s">
        <v>83</v>
      </c>
      <c r="M581" t="s">
        <v>34</v>
      </c>
      <c r="N581" t="s">
        <v>35</v>
      </c>
      <c r="O581">
        <v>0.76591360253516805</v>
      </c>
      <c r="P581" t="s">
        <v>36</v>
      </c>
    </row>
    <row r="582" spans="1:16">
      <c r="A582">
        <v>581</v>
      </c>
      <c r="B582" t="s">
        <v>637</v>
      </c>
      <c r="C582">
        <v>62</v>
      </c>
      <c r="D582">
        <v>140</v>
      </c>
      <c r="E582">
        <v>79.201220853741404</v>
      </c>
      <c r="F582">
        <v>0.44352273400005499</v>
      </c>
      <c r="G582">
        <v>4926.6718196597403</v>
      </c>
      <c r="H582">
        <v>484.42930625656402</v>
      </c>
      <c r="I582">
        <v>0.70771451005472696</v>
      </c>
      <c r="J582">
        <v>0.26381694112296</v>
      </c>
      <c r="K582">
        <v>0.70084150879566998</v>
      </c>
      <c r="L582" t="s">
        <v>144</v>
      </c>
      <c r="M582" t="s">
        <v>34</v>
      </c>
      <c r="N582" t="s">
        <v>35</v>
      </c>
      <c r="O582">
        <v>0.72339521086085101</v>
      </c>
      <c r="P582" t="s">
        <v>36</v>
      </c>
    </row>
    <row r="583" spans="1:16">
      <c r="A583">
        <v>582</v>
      </c>
      <c r="B583" t="s">
        <v>638</v>
      </c>
      <c r="C583">
        <v>55</v>
      </c>
      <c r="D583">
        <v>119</v>
      </c>
      <c r="E583">
        <v>67.793453378003207</v>
      </c>
      <c r="F583">
        <v>0.46466580688356901</v>
      </c>
      <c r="G583">
        <v>3609.6525119092598</v>
      </c>
      <c r="H583">
        <v>432.36242269557499</v>
      </c>
      <c r="I583">
        <v>0.62291690482370699</v>
      </c>
      <c r="J583">
        <v>0.242649486503761</v>
      </c>
      <c r="K583">
        <v>0.65164077383348096</v>
      </c>
      <c r="L583" t="s">
        <v>570</v>
      </c>
      <c r="M583" t="s">
        <v>34</v>
      </c>
      <c r="N583" t="s">
        <v>35</v>
      </c>
      <c r="O583">
        <v>0.78068635688002497</v>
      </c>
      <c r="P583" t="s">
        <v>36</v>
      </c>
    </row>
    <row r="584" spans="1:16">
      <c r="A584">
        <v>583</v>
      </c>
      <c r="B584" t="s">
        <v>639</v>
      </c>
      <c r="C584">
        <v>106</v>
      </c>
      <c r="D584">
        <v>105</v>
      </c>
      <c r="E584">
        <v>78.724295632220901</v>
      </c>
      <c r="F584">
        <v>1.00518134715026</v>
      </c>
      <c r="G584">
        <v>4867.5166809073698</v>
      </c>
      <c r="H584">
        <v>543.79655708655105</v>
      </c>
      <c r="I584">
        <v>0.570789471062633</v>
      </c>
      <c r="J584">
        <v>0.206844703745965</v>
      </c>
      <c r="K584">
        <v>0.636892259821081</v>
      </c>
      <c r="L584" t="s">
        <v>45</v>
      </c>
      <c r="M584" t="s">
        <v>34</v>
      </c>
      <c r="N584" t="s">
        <v>35</v>
      </c>
      <c r="O584">
        <v>0.81137542368668203</v>
      </c>
      <c r="P584" t="s">
        <v>36</v>
      </c>
    </row>
    <row r="585" spans="1:16">
      <c r="A585">
        <v>584</v>
      </c>
      <c r="B585" t="s">
        <v>640</v>
      </c>
      <c r="C585">
        <v>161</v>
      </c>
      <c r="D585">
        <v>74</v>
      </c>
      <c r="E585">
        <v>72.318157696873499</v>
      </c>
      <c r="F585">
        <v>2.19259259259259</v>
      </c>
      <c r="G585">
        <v>4107.5663682419699</v>
      </c>
      <c r="H585">
        <v>1003.10046838076</v>
      </c>
      <c r="I585">
        <v>0.86978340249738395</v>
      </c>
      <c r="J585">
        <v>5.12986087489887E-2</v>
      </c>
      <c r="K585">
        <v>0.42214924005193599</v>
      </c>
      <c r="L585" t="s">
        <v>70</v>
      </c>
      <c r="M585" t="s">
        <v>34</v>
      </c>
      <c r="N585" t="s">
        <v>35</v>
      </c>
      <c r="O585">
        <v>0.69547207004187395</v>
      </c>
      <c r="P585" t="s">
        <v>36</v>
      </c>
    </row>
    <row r="586" spans="1:16">
      <c r="A586">
        <v>585</v>
      </c>
      <c r="B586" t="s">
        <v>641</v>
      </c>
      <c r="C586">
        <v>92</v>
      </c>
      <c r="D586">
        <v>108</v>
      </c>
      <c r="E586">
        <v>84.999495643031693</v>
      </c>
      <c r="F586">
        <v>0.84848484848484895</v>
      </c>
      <c r="G586">
        <v>5674.4343901701304</v>
      </c>
      <c r="H586">
        <v>530.87573129778298</v>
      </c>
      <c r="I586">
        <v>0.68357914039323597</v>
      </c>
      <c r="J586">
        <v>0.25301525012195097</v>
      </c>
      <c r="K586">
        <v>0.66545815830297494</v>
      </c>
      <c r="L586" t="s">
        <v>96</v>
      </c>
      <c r="M586" t="s">
        <v>34</v>
      </c>
      <c r="N586" t="s">
        <v>35</v>
      </c>
      <c r="O586">
        <v>0.72570482076175602</v>
      </c>
      <c r="P586" t="s">
        <v>36</v>
      </c>
    </row>
    <row r="587" spans="1:16">
      <c r="A587">
        <v>586</v>
      </c>
      <c r="B587" t="s">
        <v>642</v>
      </c>
      <c r="C587">
        <v>78</v>
      </c>
      <c r="D587">
        <v>167</v>
      </c>
      <c r="E587">
        <v>86.826655927428604</v>
      </c>
      <c r="F587">
        <v>0.46820812504835702</v>
      </c>
      <c r="G587">
        <v>5921.0132223062401</v>
      </c>
      <c r="H587">
        <v>565.30856925332</v>
      </c>
      <c r="I587">
        <v>0.66709722449909103</v>
      </c>
      <c r="J587">
        <v>0.23282775864765901</v>
      </c>
      <c r="K587">
        <v>0.63795339899111203</v>
      </c>
      <c r="L587" t="s">
        <v>643</v>
      </c>
      <c r="M587" t="s">
        <v>34</v>
      </c>
      <c r="N587" t="s">
        <v>35</v>
      </c>
      <c r="O587">
        <v>0.85739128417494903</v>
      </c>
      <c r="P587" t="s">
        <v>36</v>
      </c>
    </row>
    <row r="588" spans="1:16">
      <c r="A588">
        <v>587</v>
      </c>
      <c r="B588" t="s">
        <v>644</v>
      </c>
      <c r="C588">
        <v>57</v>
      </c>
      <c r="D588">
        <v>60</v>
      </c>
      <c r="E588">
        <v>55.283562993566697</v>
      </c>
      <c r="F588">
        <v>0.94024795943384498</v>
      </c>
      <c r="G588">
        <v>2400.3906805293</v>
      </c>
      <c r="H588">
        <v>217.28769599023099</v>
      </c>
      <c r="I588">
        <v>0.62993083329383803</v>
      </c>
      <c r="J588">
        <v>0.63888328539300998</v>
      </c>
      <c r="K588">
        <v>0.86996336996336998</v>
      </c>
      <c r="L588" t="s">
        <v>83</v>
      </c>
      <c r="M588" t="s">
        <v>34</v>
      </c>
      <c r="N588" t="s">
        <v>35</v>
      </c>
      <c r="O588">
        <v>0.73973678412988297</v>
      </c>
      <c r="P588" t="s">
        <v>36</v>
      </c>
    </row>
    <row r="589" spans="1:16">
      <c r="A589">
        <v>588</v>
      </c>
      <c r="B589" t="s">
        <v>645</v>
      </c>
      <c r="C589">
        <v>73</v>
      </c>
      <c r="D589">
        <v>83</v>
      </c>
      <c r="E589">
        <v>56.7314152489718</v>
      </c>
      <c r="F589">
        <v>0.87581699346405195</v>
      </c>
      <c r="G589">
        <v>2527.7674491493399</v>
      </c>
      <c r="H589">
        <v>593.49709822872398</v>
      </c>
      <c r="I589">
        <v>0.52680858521954199</v>
      </c>
      <c r="J589">
        <v>9.0179906607060101E-2</v>
      </c>
      <c r="K589">
        <v>0.49585981689894498</v>
      </c>
      <c r="L589" t="s">
        <v>33</v>
      </c>
      <c r="M589" t="s">
        <v>34</v>
      </c>
      <c r="N589" t="s">
        <v>35</v>
      </c>
      <c r="O589">
        <v>0.931969155013461</v>
      </c>
      <c r="P589" t="s">
        <v>36</v>
      </c>
    </row>
    <row r="590" spans="1:16">
      <c r="A590">
        <v>589</v>
      </c>
      <c r="B590" t="s">
        <v>646</v>
      </c>
      <c r="C590">
        <v>73</v>
      </c>
      <c r="D590">
        <v>53</v>
      </c>
      <c r="E590">
        <v>58.803449776900699</v>
      </c>
      <c r="F590">
        <v>1.3673469387755099</v>
      </c>
      <c r="G590">
        <v>2715.7856665406398</v>
      </c>
      <c r="H590">
        <v>569.29774644644397</v>
      </c>
      <c r="I590">
        <v>0.61183928857950498</v>
      </c>
      <c r="J590">
        <v>0.10529952849799699</v>
      </c>
      <c r="K590">
        <v>0.69828409829174198</v>
      </c>
      <c r="L590" t="s">
        <v>33</v>
      </c>
      <c r="M590" t="s">
        <v>34</v>
      </c>
      <c r="N590" t="s">
        <v>35</v>
      </c>
      <c r="O590">
        <v>0.94212959959776899</v>
      </c>
      <c r="P590" t="s">
        <v>36</v>
      </c>
    </row>
    <row r="591" spans="1:16">
      <c r="A591">
        <v>590</v>
      </c>
      <c r="B591" t="s">
        <v>647</v>
      </c>
      <c r="C591">
        <v>63</v>
      </c>
      <c r="D591">
        <v>112</v>
      </c>
      <c r="E591">
        <v>62.420520933067401</v>
      </c>
      <c r="F591">
        <v>0.56310679611650505</v>
      </c>
      <c r="G591">
        <v>3060.16369792061</v>
      </c>
      <c r="H591">
        <v>572.88843176085004</v>
      </c>
      <c r="I591">
        <v>0.67495782784158498</v>
      </c>
      <c r="J591">
        <v>0.11716945706642599</v>
      </c>
      <c r="K591">
        <v>0.62844148708869996</v>
      </c>
      <c r="L591" t="s">
        <v>33</v>
      </c>
      <c r="M591" t="s">
        <v>34</v>
      </c>
      <c r="N591" t="s">
        <v>35</v>
      </c>
      <c r="O591">
        <v>0.81740942712231301</v>
      </c>
      <c r="P591" t="s">
        <v>36</v>
      </c>
    </row>
    <row r="592" spans="1:16">
      <c r="A592">
        <v>591</v>
      </c>
      <c r="B592" t="s">
        <v>648</v>
      </c>
      <c r="C592">
        <v>68</v>
      </c>
      <c r="D592">
        <v>48</v>
      </c>
      <c r="E592">
        <v>55.694522789374297</v>
      </c>
      <c r="F592">
        <v>1.4204545454545501</v>
      </c>
      <c r="G592">
        <v>2436.2107519848801</v>
      </c>
      <c r="H592">
        <v>309.67407602237603</v>
      </c>
      <c r="I592">
        <v>0.59670207828802302</v>
      </c>
      <c r="J592">
        <v>0.319238321489901</v>
      </c>
      <c r="K592">
        <v>0.79267820872424799</v>
      </c>
      <c r="L592" t="s">
        <v>83</v>
      </c>
      <c r="M592" t="s">
        <v>34</v>
      </c>
      <c r="N592" t="s">
        <v>35</v>
      </c>
      <c r="O592">
        <v>0.82438575550739401</v>
      </c>
      <c r="P592" t="s">
        <v>36</v>
      </c>
    </row>
    <row r="593" spans="1:16">
      <c r="A593">
        <v>592</v>
      </c>
      <c r="B593" t="s">
        <v>649</v>
      </c>
      <c r="C593">
        <v>81</v>
      </c>
      <c r="D593">
        <v>100</v>
      </c>
      <c r="E593">
        <v>60.0832503488746</v>
      </c>
      <c r="F593">
        <v>0.808743169398907</v>
      </c>
      <c r="G593">
        <v>2835.2849920604899</v>
      </c>
      <c r="H593">
        <v>486.76127218163498</v>
      </c>
      <c r="I593">
        <v>0.50849857701518497</v>
      </c>
      <c r="J593">
        <v>0.15037462180650801</v>
      </c>
      <c r="K593">
        <v>0.50604838709677402</v>
      </c>
      <c r="L593" t="s">
        <v>83</v>
      </c>
      <c r="M593" t="s">
        <v>34</v>
      </c>
      <c r="N593" t="s">
        <v>35</v>
      </c>
      <c r="O593">
        <v>0.73973359824135498</v>
      </c>
      <c r="P593" t="s">
        <v>36</v>
      </c>
    </row>
    <row r="594" spans="1:16">
      <c r="A594">
        <v>593</v>
      </c>
      <c r="B594" t="s">
        <v>650</v>
      </c>
      <c r="C594">
        <v>104</v>
      </c>
      <c r="D594">
        <v>52</v>
      </c>
      <c r="E594">
        <v>65.232776703055805</v>
      </c>
      <c r="F594">
        <v>1.9895833333333299</v>
      </c>
      <c r="G594">
        <v>3342.1167085066199</v>
      </c>
      <c r="H594">
        <v>321.29857346783501</v>
      </c>
      <c r="I594">
        <v>0.69128467657385595</v>
      </c>
      <c r="J594">
        <v>0.406830852721699</v>
      </c>
      <c r="K594">
        <v>0.77987028751777498</v>
      </c>
      <c r="L594" t="s">
        <v>33</v>
      </c>
      <c r="M594" t="s">
        <v>34</v>
      </c>
      <c r="N594" t="s">
        <v>35</v>
      </c>
      <c r="O594">
        <v>0.93441755651602998</v>
      </c>
      <c r="P594" t="s">
        <v>36</v>
      </c>
    </row>
    <row r="595" spans="1:16">
      <c r="A595">
        <v>594</v>
      </c>
      <c r="B595" t="s">
        <v>651</v>
      </c>
      <c r="C595">
        <v>89</v>
      </c>
      <c r="D595">
        <v>155</v>
      </c>
      <c r="E595">
        <v>91.821284611606899</v>
      </c>
      <c r="F595">
        <v>0.56963654281593801</v>
      </c>
      <c r="G595">
        <v>6621.8083962192804</v>
      </c>
      <c r="H595">
        <v>684.69902109332702</v>
      </c>
      <c r="I595">
        <v>0.59510972786303595</v>
      </c>
      <c r="J595">
        <v>0.17749538282687699</v>
      </c>
      <c r="K595">
        <v>0.67444782536294401</v>
      </c>
      <c r="L595" t="s">
        <v>75</v>
      </c>
      <c r="M595" t="s">
        <v>34</v>
      </c>
      <c r="N595" t="s">
        <v>35</v>
      </c>
      <c r="O595">
        <v>0.68802720125609096</v>
      </c>
      <c r="P595" t="s">
        <v>36</v>
      </c>
    </row>
    <row r="596" spans="1:16">
      <c r="A596">
        <v>595</v>
      </c>
      <c r="B596" t="s">
        <v>652</v>
      </c>
      <c r="C596">
        <v>95</v>
      </c>
      <c r="D596">
        <v>109</v>
      </c>
      <c r="E596">
        <v>93.190903577325003</v>
      </c>
      <c r="F596">
        <v>0.87775449310894305</v>
      </c>
      <c r="G596">
        <v>6820.8253077504696</v>
      </c>
      <c r="H596">
        <v>518.68445736688102</v>
      </c>
      <c r="I596">
        <v>0.51773638226782204</v>
      </c>
      <c r="J596">
        <v>0.31859600230315299</v>
      </c>
      <c r="K596">
        <v>0.70821630297231397</v>
      </c>
      <c r="L596" t="s">
        <v>45</v>
      </c>
      <c r="M596" t="s">
        <v>34</v>
      </c>
      <c r="N596" t="s">
        <v>35</v>
      </c>
      <c r="O596">
        <v>0.73093656097137905</v>
      </c>
      <c r="P596" t="s">
        <v>36</v>
      </c>
    </row>
    <row r="597" spans="1:16">
      <c r="A597">
        <v>596</v>
      </c>
      <c r="B597" t="s">
        <v>653</v>
      </c>
      <c r="C597">
        <v>66</v>
      </c>
      <c r="D597">
        <v>109</v>
      </c>
      <c r="E597">
        <v>69.894954523859099</v>
      </c>
      <c r="F597">
        <v>0.60351496336643995</v>
      </c>
      <c r="G597">
        <v>3836.9093137996201</v>
      </c>
      <c r="H597">
        <v>347.272516928237</v>
      </c>
      <c r="I597">
        <v>0.71425256292392203</v>
      </c>
      <c r="J597">
        <v>0.39980716167918701</v>
      </c>
      <c r="K597">
        <v>0.74259989068837595</v>
      </c>
      <c r="L597" t="s">
        <v>241</v>
      </c>
      <c r="M597" t="s">
        <v>34</v>
      </c>
      <c r="N597" t="s">
        <v>35</v>
      </c>
      <c r="O597">
        <v>0.92673660335587904</v>
      </c>
      <c r="P597" t="s">
        <v>36</v>
      </c>
    </row>
    <row r="598" spans="1:16">
      <c r="A598">
        <v>597</v>
      </c>
      <c r="B598" t="s">
        <v>654</v>
      </c>
      <c r="C598">
        <v>58</v>
      </c>
      <c r="D598">
        <v>78</v>
      </c>
      <c r="E598">
        <v>64.191699101474896</v>
      </c>
      <c r="F598">
        <v>0.74825180123107504</v>
      </c>
      <c r="G598">
        <v>3236.2914351606801</v>
      </c>
      <c r="H598">
        <v>559.21924963723097</v>
      </c>
      <c r="I598">
        <v>0.58027172011318695</v>
      </c>
      <c r="J598">
        <v>0.130044881433861</v>
      </c>
      <c r="K598">
        <v>0.71341043871432797</v>
      </c>
      <c r="L598" t="s">
        <v>33</v>
      </c>
      <c r="M598" t="s">
        <v>34</v>
      </c>
      <c r="N598" t="s">
        <v>35</v>
      </c>
      <c r="O598">
        <v>0.94784543184695202</v>
      </c>
      <c r="P598" t="s">
        <v>36</v>
      </c>
    </row>
    <row r="599" spans="1:16">
      <c r="A599">
        <v>598</v>
      </c>
      <c r="B599" t="s">
        <v>655</v>
      </c>
      <c r="C599">
        <v>78</v>
      </c>
      <c r="D599">
        <v>63</v>
      </c>
      <c r="E599">
        <v>61.438084838905098</v>
      </c>
      <c r="F599">
        <v>1.2327586206896599</v>
      </c>
      <c r="G599">
        <v>2964.5939637051001</v>
      </c>
      <c r="H599">
        <v>643.71189542956995</v>
      </c>
      <c r="I599">
        <v>0.70756536991726904</v>
      </c>
      <c r="J599">
        <v>8.9906691155950999E-2</v>
      </c>
      <c r="K599">
        <v>0.64477129465007299</v>
      </c>
      <c r="L599" t="s">
        <v>45</v>
      </c>
      <c r="M599" t="s">
        <v>34</v>
      </c>
      <c r="N599" t="s">
        <v>35</v>
      </c>
      <c r="O599">
        <v>0.73382712455158905</v>
      </c>
      <c r="P599" t="s">
        <v>36</v>
      </c>
    </row>
    <row r="600" spans="1:16">
      <c r="A600">
        <v>599</v>
      </c>
      <c r="B600" t="s">
        <v>656</v>
      </c>
      <c r="C600">
        <v>33</v>
      </c>
      <c r="D600">
        <v>163</v>
      </c>
      <c r="E600">
        <v>57.133617516248101</v>
      </c>
      <c r="F600">
        <v>0.20042920543435799</v>
      </c>
      <c r="G600">
        <v>2563.7361516068099</v>
      </c>
      <c r="H600">
        <v>489.82829919887598</v>
      </c>
      <c r="I600">
        <v>0.82528306674128504</v>
      </c>
      <c r="J600">
        <v>0.134275088368909</v>
      </c>
      <c r="K600">
        <v>0.61804435845067895</v>
      </c>
      <c r="L600" t="s">
        <v>45</v>
      </c>
      <c r="M600" t="s">
        <v>34</v>
      </c>
      <c r="N600" t="s">
        <v>35</v>
      </c>
      <c r="O600">
        <v>0.84064895004048801</v>
      </c>
      <c r="P600" t="s">
        <v>36</v>
      </c>
    </row>
    <row r="601" spans="1:16">
      <c r="A601">
        <v>600</v>
      </c>
      <c r="B601" t="s">
        <v>657</v>
      </c>
      <c r="C601">
        <v>61</v>
      </c>
      <c r="D601">
        <v>74</v>
      </c>
      <c r="E601">
        <v>65.084655516752505</v>
      </c>
      <c r="F601">
        <v>0.831716359607381</v>
      </c>
      <c r="G601">
        <v>3326.9563463138002</v>
      </c>
      <c r="H601">
        <v>241.21306176828301</v>
      </c>
      <c r="I601">
        <v>0.70095356934561304</v>
      </c>
      <c r="J601">
        <v>0.718547237193356</v>
      </c>
      <c r="K601">
        <v>0.91767792718924202</v>
      </c>
      <c r="L601" t="s">
        <v>33</v>
      </c>
      <c r="M601" t="s">
        <v>34</v>
      </c>
      <c r="N601" t="s">
        <v>35</v>
      </c>
      <c r="O601">
        <v>0.90016235425680902</v>
      </c>
      <c r="P601" t="s">
        <v>36</v>
      </c>
    </row>
    <row r="602" spans="1:16">
      <c r="A602">
        <v>601</v>
      </c>
      <c r="B602" t="s">
        <v>658</v>
      </c>
      <c r="C602">
        <v>83</v>
      </c>
      <c r="D602">
        <v>63</v>
      </c>
      <c r="E602">
        <v>68.033095581595603</v>
      </c>
      <c r="F602">
        <v>1.31034482758621</v>
      </c>
      <c r="G602">
        <v>3635.2170442344</v>
      </c>
      <c r="H602">
        <v>684.74213928160498</v>
      </c>
      <c r="I602">
        <v>0.57227846375103997</v>
      </c>
      <c r="J602">
        <v>9.7428518635088404E-2</v>
      </c>
      <c r="K602">
        <v>0.73321941421590697</v>
      </c>
      <c r="L602" t="s">
        <v>33</v>
      </c>
      <c r="M602" t="s">
        <v>34</v>
      </c>
      <c r="N602" t="s">
        <v>35</v>
      </c>
      <c r="O602">
        <v>0.93851290690839395</v>
      </c>
      <c r="P602" t="s">
        <v>36</v>
      </c>
    </row>
    <row r="603" spans="1:16">
      <c r="A603">
        <v>602</v>
      </c>
      <c r="B603" t="s">
        <v>659</v>
      </c>
      <c r="C603">
        <v>60</v>
      </c>
      <c r="D603">
        <v>50</v>
      </c>
      <c r="E603">
        <v>56.840525549694497</v>
      </c>
      <c r="F603">
        <v>1.2</v>
      </c>
      <c r="G603">
        <v>2537.5</v>
      </c>
      <c r="H603">
        <v>193.63960921764399</v>
      </c>
      <c r="I603">
        <v>0.73186239544649001</v>
      </c>
      <c r="J603">
        <v>0.85040835803479997</v>
      </c>
      <c r="K603">
        <v>0.97129186602870798</v>
      </c>
      <c r="L603" t="s">
        <v>570</v>
      </c>
      <c r="M603" t="s">
        <v>34</v>
      </c>
      <c r="N603" t="s">
        <v>35</v>
      </c>
      <c r="O603">
        <v>0.68741548028587396</v>
      </c>
      <c r="P603" t="s">
        <v>36</v>
      </c>
    </row>
    <row r="604" spans="1:16">
      <c r="A604">
        <v>603</v>
      </c>
      <c r="B604" t="s">
        <v>660</v>
      </c>
      <c r="C604">
        <v>122</v>
      </c>
      <c r="D604">
        <v>102</v>
      </c>
      <c r="E604">
        <v>81.077372329465604</v>
      </c>
      <c r="F604">
        <v>1.1970915618537501</v>
      </c>
      <c r="G604">
        <v>5162.8464816635196</v>
      </c>
      <c r="H604">
        <v>635.05489338211396</v>
      </c>
      <c r="I604">
        <v>0.59658054067088795</v>
      </c>
      <c r="J604">
        <v>0.16087054821430599</v>
      </c>
      <c r="K604">
        <v>0.55148763217222896</v>
      </c>
      <c r="L604" t="s">
        <v>83</v>
      </c>
      <c r="M604" t="s">
        <v>34</v>
      </c>
      <c r="N604" t="s">
        <v>35</v>
      </c>
      <c r="O604">
        <v>0.80122335151868196</v>
      </c>
      <c r="P604" t="s">
        <v>36</v>
      </c>
    </row>
    <row r="605" spans="1:16">
      <c r="A605">
        <v>604</v>
      </c>
      <c r="B605" t="s">
        <v>661</v>
      </c>
      <c r="C605">
        <v>101</v>
      </c>
      <c r="D605">
        <v>114</v>
      </c>
      <c r="E605">
        <v>92.108344183505196</v>
      </c>
      <c r="F605">
        <v>0.88995213704117604</v>
      </c>
      <c r="G605">
        <v>6663.2764457466901</v>
      </c>
      <c r="H605">
        <v>470.31785352199</v>
      </c>
      <c r="I605">
        <v>0.70112699740944395</v>
      </c>
      <c r="J605">
        <v>0.378542604095783</v>
      </c>
      <c r="K605">
        <v>0.76541291765549502</v>
      </c>
      <c r="L605" t="s">
        <v>83</v>
      </c>
      <c r="M605" t="s">
        <v>34</v>
      </c>
      <c r="N605" t="s">
        <v>35</v>
      </c>
      <c r="O605">
        <v>0.81464050042552105</v>
      </c>
      <c r="P605" t="s">
        <v>36</v>
      </c>
    </row>
    <row r="606" spans="1:16">
      <c r="A606">
        <v>605</v>
      </c>
      <c r="B606" t="s">
        <v>662</v>
      </c>
      <c r="C606">
        <v>109</v>
      </c>
      <c r="D606">
        <v>75</v>
      </c>
      <c r="E606">
        <v>67.101829978097797</v>
      </c>
      <c r="F606">
        <v>1.44386116913865</v>
      </c>
      <c r="G606">
        <v>3536.3774279773202</v>
      </c>
      <c r="H606">
        <v>483.83593928575499</v>
      </c>
      <c r="I606">
        <v>0.70997766469604995</v>
      </c>
      <c r="J606">
        <v>0.189833224521477</v>
      </c>
      <c r="K606">
        <v>0.58781530251747904</v>
      </c>
      <c r="L606" t="s">
        <v>45</v>
      </c>
      <c r="M606" t="s">
        <v>34</v>
      </c>
      <c r="N606" t="s">
        <v>35</v>
      </c>
      <c r="O606">
        <v>0.68314421408526904</v>
      </c>
      <c r="P606" t="s">
        <v>36</v>
      </c>
    </row>
    <row r="607" spans="1:16">
      <c r="A607">
        <v>606</v>
      </c>
      <c r="B607" t="s">
        <v>663</v>
      </c>
      <c r="C607">
        <v>73</v>
      </c>
      <c r="D607">
        <v>82</v>
      </c>
      <c r="E607">
        <v>66.788050349231597</v>
      </c>
      <c r="F607">
        <v>0.88741719578970502</v>
      </c>
      <c r="G607">
        <v>3503.3813455576601</v>
      </c>
      <c r="H607">
        <v>443.04919794839401</v>
      </c>
      <c r="I607">
        <v>0.59393689313466003</v>
      </c>
      <c r="J607">
        <v>0.22428145651037701</v>
      </c>
      <c r="K607">
        <v>0.74052780395853002</v>
      </c>
      <c r="L607" t="s">
        <v>70</v>
      </c>
      <c r="M607" t="s">
        <v>34</v>
      </c>
      <c r="N607" t="s">
        <v>35</v>
      </c>
      <c r="O607">
        <v>0.68455874485891999</v>
      </c>
      <c r="P607" t="s">
        <v>36</v>
      </c>
    </row>
    <row r="608" spans="1:16">
      <c r="A608">
        <v>607</v>
      </c>
      <c r="B608" t="s">
        <v>664</v>
      </c>
      <c r="C608">
        <v>81</v>
      </c>
      <c r="D608">
        <v>117</v>
      </c>
      <c r="E608">
        <v>71.1175429954923</v>
      </c>
      <c r="F608">
        <v>0.69302325581395396</v>
      </c>
      <c r="G608">
        <v>3972.3121565217398</v>
      </c>
      <c r="H608">
        <v>591.06332391034005</v>
      </c>
      <c r="I608">
        <v>0.76330930637468897</v>
      </c>
      <c r="J608">
        <v>0.14288452975503599</v>
      </c>
      <c r="K608">
        <v>0.567780586773172</v>
      </c>
      <c r="L608" t="s">
        <v>33</v>
      </c>
      <c r="M608" t="s">
        <v>34</v>
      </c>
      <c r="N608" t="s">
        <v>35</v>
      </c>
      <c r="O608">
        <v>0.93590135985612699</v>
      </c>
      <c r="P608" t="s">
        <v>36</v>
      </c>
    </row>
    <row r="609" spans="1:16">
      <c r="A609">
        <v>608</v>
      </c>
      <c r="B609" t="s">
        <v>665</v>
      </c>
      <c r="C609">
        <v>63</v>
      </c>
      <c r="D609">
        <v>63</v>
      </c>
      <c r="E609">
        <v>53.703457303133497</v>
      </c>
      <c r="F609">
        <v>1</v>
      </c>
      <c r="G609">
        <v>2265.1364688090698</v>
      </c>
      <c r="H609">
        <v>470.41025967680901</v>
      </c>
      <c r="I609">
        <v>0.63254719705844398</v>
      </c>
      <c r="J609">
        <v>0.12863248686959999</v>
      </c>
      <c r="K609">
        <v>0.70266033473189204</v>
      </c>
      <c r="L609" t="s">
        <v>83</v>
      </c>
      <c r="M609" t="s">
        <v>34</v>
      </c>
      <c r="N609" t="s">
        <v>35</v>
      </c>
      <c r="O609">
        <v>0.760485115764447</v>
      </c>
      <c r="P609" t="s">
        <v>36</v>
      </c>
    </row>
    <row r="610" spans="1:16">
      <c r="A610">
        <v>609</v>
      </c>
      <c r="B610" t="s">
        <v>666</v>
      </c>
      <c r="C610">
        <v>55</v>
      </c>
      <c r="D610">
        <v>70</v>
      </c>
      <c r="E610">
        <v>56.418958354775597</v>
      </c>
      <c r="F610">
        <v>0.78571428571428603</v>
      </c>
      <c r="G610">
        <v>2500</v>
      </c>
      <c r="H610">
        <v>224.85281229019199</v>
      </c>
      <c r="I610">
        <v>0.65777785550025503</v>
      </c>
      <c r="J610">
        <v>0.62137421166471396</v>
      </c>
      <c r="K610">
        <v>0.87719298245613997</v>
      </c>
      <c r="L610" t="s">
        <v>75</v>
      </c>
      <c r="M610" t="s">
        <v>34</v>
      </c>
      <c r="N610" t="s">
        <v>35</v>
      </c>
      <c r="O610">
        <v>0.63738727965100295</v>
      </c>
      <c r="P610" t="s">
        <v>36</v>
      </c>
    </row>
    <row r="611" spans="1:16">
      <c r="A611">
        <v>610</v>
      </c>
      <c r="B611" t="s">
        <v>667</v>
      </c>
      <c r="C611">
        <v>83</v>
      </c>
      <c r="D611">
        <v>138</v>
      </c>
      <c r="E611">
        <v>78.747129073406498</v>
      </c>
      <c r="F611">
        <v>0.60079051383399196</v>
      </c>
      <c r="G611">
        <v>4870.3406699432899</v>
      </c>
      <c r="H611">
        <v>755.65477664491402</v>
      </c>
      <c r="I611">
        <v>0.68915388093497298</v>
      </c>
      <c r="J611">
        <v>0.10718211937717601</v>
      </c>
      <c r="K611">
        <v>0.55375671747726996</v>
      </c>
      <c r="L611" t="s">
        <v>33</v>
      </c>
      <c r="M611" t="s">
        <v>34</v>
      </c>
      <c r="N611" t="s">
        <v>35</v>
      </c>
      <c r="O611">
        <v>0.94926841462929401</v>
      </c>
      <c r="P611" t="s">
        <v>36</v>
      </c>
    </row>
    <row r="612" spans="1:16">
      <c r="A612">
        <v>611</v>
      </c>
      <c r="B612" t="s">
        <v>668</v>
      </c>
      <c r="C612">
        <v>68</v>
      </c>
      <c r="D612">
        <v>58</v>
      </c>
      <c r="E612">
        <v>53.463298589789098</v>
      </c>
      <c r="F612">
        <v>1.1682243230551399</v>
      </c>
      <c r="G612">
        <v>2244.9226525519898</v>
      </c>
      <c r="H612">
        <v>490.25727456714799</v>
      </c>
      <c r="I612">
        <v>0.53657007060190098</v>
      </c>
      <c r="J612">
        <v>0.117371634660198</v>
      </c>
      <c r="K612">
        <v>0.62946447176495102</v>
      </c>
      <c r="L612" t="s">
        <v>33</v>
      </c>
      <c r="M612" t="s">
        <v>34</v>
      </c>
      <c r="N612" t="s">
        <v>35</v>
      </c>
      <c r="O612">
        <v>0.95350648121908499</v>
      </c>
      <c r="P612" t="s">
        <v>36</v>
      </c>
    </row>
    <row r="613" spans="1:16">
      <c r="A613">
        <v>612</v>
      </c>
      <c r="B613" t="s">
        <v>669</v>
      </c>
      <c r="C613">
        <v>115</v>
      </c>
      <c r="D613">
        <v>64</v>
      </c>
      <c r="E613">
        <v>73.842093616684593</v>
      </c>
      <c r="F613">
        <v>1.7932271476672099</v>
      </c>
      <c r="G613">
        <v>4282.5050574669203</v>
      </c>
      <c r="H613">
        <v>376.088789368194</v>
      </c>
      <c r="I613">
        <v>0.719759864517869</v>
      </c>
      <c r="J613">
        <v>0.38047574196142703</v>
      </c>
      <c r="K613">
        <v>0.70490519877675795</v>
      </c>
      <c r="L613" t="s">
        <v>33</v>
      </c>
      <c r="M613" t="s">
        <v>34</v>
      </c>
      <c r="N613" t="s">
        <v>35</v>
      </c>
      <c r="O613">
        <v>0.90733896247687496</v>
      </c>
      <c r="P613" t="s">
        <v>36</v>
      </c>
    </row>
    <row r="614" spans="1:16">
      <c r="A614">
        <v>613</v>
      </c>
      <c r="B614" t="s">
        <v>670</v>
      </c>
      <c r="C614">
        <v>103</v>
      </c>
      <c r="D614">
        <v>118</v>
      </c>
      <c r="E614">
        <v>94.596714065896407</v>
      </c>
      <c r="F614">
        <v>0.87096774193548399</v>
      </c>
      <c r="G614">
        <v>7028.1655553875198</v>
      </c>
      <c r="H614">
        <v>598.76056682794001</v>
      </c>
      <c r="I614">
        <v>0.64472319779767295</v>
      </c>
      <c r="J614">
        <v>0.24634597198919</v>
      </c>
      <c r="K614">
        <v>0.75752138669058999</v>
      </c>
      <c r="L614" t="s">
        <v>33</v>
      </c>
      <c r="M614" t="s">
        <v>34</v>
      </c>
      <c r="N614" t="s">
        <v>35</v>
      </c>
      <c r="O614">
        <v>0.94611574123059194</v>
      </c>
      <c r="P614" t="s">
        <v>36</v>
      </c>
    </row>
    <row r="615" spans="1:16">
      <c r="A615">
        <v>614</v>
      </c>
      <c r="B615" t="s">
        <v>671</v>
      </c>
      <c r="C615">
        <v>147</v>
      </c>
      <c r="D615">
        <v>161</v>
      </c>
      <c r="E615">
        <v>98.834904873503604</v>
      </c>
      <c r="F615">
        <v>0.90878378378378399</v>
      </c>
      <c r="G615">
        <v>7672.0350555765599</v>
      </c>
      <c r="H615">
        <v>1210.52885636516</v>
      </c>
      <c r="I615">
        <v>0.58427596627119105</v>
      </c>
      <c r="J615">
        <v>6.5791554750286294E-2</v>
      </c>
      <c r="K615">
        <v>0.399084590346449</v>
      </c>
      <c r="L615" t="s">
        <v>33</v>
      </c>
      <c r="M615" t="s">
        <v>34</v>
      </c>
      <c r="N615" t="s">
        <v>35</v>
      </c>
      <c r="O615">
        <v>0.95686781773190699</v>
      </c>
      <c r="P615" t="s">
        <v>36</v>
      </c>
    </row>
    <row r="616" spans="1:16">
      <c r="A616">
        <v>615</v>
      </c>
      <c r="B616" t="s">
        <v>672</v>
      </c>
      <c r="C616">
        <v>53</v>
      </c>
      <c r="D616">
        <v>58</v>
      </c>
      <c r="E616">
        <v>53.168693606454099</v>
      </c>
      <c r="F616">
        <v>0.91588783847243205</v>
      </c>
      <c r="G616">
        <v>2220.2499062381899</v>
      </c>
      <c r="H616">
        <v>358.68884403892201</v>
      </c>
      <c r="I616">
        <v>0.59101506229127498</v>
      </c>
      <c r="J616">
        <v>0.21685826835532199</v>
      </c>
      <c r="K616">
        <v>0.799764428739694</v>
      </c>
      <c r="L616" t="s">
        <v>33</v>
      </c>
      <c r="M616" t="s">
        <v>34</v>
      </c>
      <c r="N616" t="s">
        <v>35</v>
      </c>
      <c r="O616">
        <v>0.88669499898464899</v>
      </c>
      <c r="P616" t="s">
        <v>36</v>
      </c>
    </row>
    <row r="617" spans="1:16">
      <c r="A617">
        <v>616</v>
      </c>
      <c r="B617" t="s">
        <v>673</v>
      </c>
      <c r="C617">
        <v>106</v>
      </c>
      <c r="D617">
        <v>65</v>
      </c>
      <c r="E617">
        <v>68.614751325573494</v>
      </c>
      <c r="F617">
        <v>1.6224391491614401</v>
      </c>
      <c r="G617">
        <v>3697.6420650283599</v>
      </c>
      <c r="H617">
        <v>349.32109461058701</v>
      </c>
      <c r="I617">
        <v>0.61771222653021496</v>
      </c>
      <c r="J617">
        <v>0.38078962586239101</v>
      </c>
      <c r="K617">
        <v>0.68929402637703696</v>
      </c>
      <c r="L617" t="s">
        <v>52</v>
      </c>
      <c r="M617" t="s">
        <v>34</v>
      </c>
      <c r="N617" t="s">
        <v>35</v>
      </c>
      <c r="O617">
        <v>0.80667663148318203</v>
      </c>
      <c r="P617" t="s">
        <v>36</v>
      </c>
    </row>
    <row r="618" spans="1:16">
      <c r="A618">
        <v>617</v>
      </c>
      <c r="B618" t="s">
        <v>674</v>
      </c>
      <c r="C618">
        <v>49</v>
      </c>
      <c r="D618">
        <v>69</v>
      </c>
      <c r="E618">
        <v>50.934570711789299</v>
      </c>
      <c r="F618">
        <v>0.70634920634920595</v>
      </c>
      <c r="G618">
        <v>2037.5824049149301</v>
      </c>
      <c r="H618">
        <v>395.70882944677197</v>
      </c>
      <c r="I618">
        <v>0.59989689955612102</v>
      </c>
      <c r="J618">
        <v>0.16352101122790999</v>
      </c>
      <c r="K618">
        <v>0.72362100818157804</v>
      </c>
      <c r="L618" t="s">
        <v>83</v>
      </c>
      <c r="M618" t="s">
        <v>34</v>
      </c>
      <c r="N618" t="s">
        <v>35</v>
      </c>
      <c r="O618">
        <v>0.78641886355440305</v>
      </c>
      <c r="P618" t="s">
        <v>36</v>
      </c>
    </row>
    <row r="619" spans="1:16">
      <c r="A619">
        <v>618</v>
      </c>
      <c r="B619" t="s">
        <v>675</v>
      </c>
      <c r="C619">
        <v>78</v>
      </c>
      <c r="D619">
        <v>117</v>
      </c>
      <c r="E619">
        <v>78.144026660478303</v>
      </c>
      <c r="F619">
        <v>0.67286538590534595</v>
      </c>
      <c r="G619">
        <v>4796.0251689981096</v>
      </c>
      <c r="H619">
        <v>468.50175988570498</v>
      </c>
      <c r="I619">
        <v>0.59033781017540798</v>
      </c>
      <c r="J619">
        <v>0.27457997702720099</v>
      </c>
      <c r="K619">
        <v>0.63302860281712203</v>
      </c>
      <c r="L619" t="s">
        <v>52</v>
      </c>
      <c r="M619" t="s">
        <v>34</v>
      </c>
      <c r="N619" t="s">
        <v>35</v>
      </c>
      <c r="O619">
        <v>0.73773450482869096</v>
      </c>
      <c r="P619" t="s">
        <v>36</v>
      </c>
    </row>
    <row r="620" spans="1:16">
      <c r="A620">
        <v>619</v>
      </c>
      <c r="B620" t="s">
        <v>676</v>
      </c>
      <c r="C620">
        <v>61</v>
      </c>
      <c r="D620">
        <v>50</v>
      </c>
      <c r="E620">
        <v>53.742205662137202</v>
      </c>
      <c r="F620">
        <v>1.2230404742824501</v>
      </c>
      <c r="G620">
        <v>2268.4063508506601</v>
      </c>
      <c r="H620">
        <v>195.588594739748</v>
      </c>
      <c r="I620">
        <v>0.78626071149154098</v>
      </c>
      <c r="J620">
        <v>0.74514993129653495</v>
      </c>
      <c r="K620">
        <v>0.94601128122481903</v>
      </c>
      <c r="L620" t="s">
        <v>83</v>
      </c>
      <c r="M620" t="s">
        <v>34</v>
      </c>
      <c r="N620" t="s">
        <v>35</v>
      </c>
      <c r="O620">
        <v>0.78132719182791899</v>
      </c>
      <c r="P620" t="s">
        <v>36</v>
      </c>
    </row>
    <row r="621" spans="1:16">
      <c r="A621">
        <v>620</v>
      </c>
      <c r="B621" t="s">
        <v>677</v>
      </c>
      <c r="C621">
        <v>113</v>
      </c>
      <c r="D621">
        <v>86</v>
      </c>
      <c r="E621">
        <v>74.185990062172394</v>
      </c>
      <c r="F621">
        <v>1.3028495308922301</v>
      </c>
      <c r="G621">
        <v>4322.4867969754296</v>
      </c>
      <c r="H621">
        <v>533.37987483377003</v>
      </c>
      <c r="I621">
        <v>0.64048406490149901</v>
      </c>
      <c r="J621">
        <v>0.19092829274201101</v>
      </c>
      <c r="K621">
        <v>0.58264214448852003</v>
      </c>
      <c r="L621" t="s">
        <v>33</v>
      </c>
      <c r="M621" t="s">
        <v>34</v>
      </c>
      <c r="N621" t="s">
        <v>35</v>
      </c>
      <c r="O621">
        <v>0.94766551271312505</v>
      </c>
      <c r="P621" t="s">
        <v>36</v>
      </c>
    </row>
    <row r="622" spans="1:16">
      <c r="A622">
        <v>621</v>
      </c>
      <c r="B622" t="s">
        <v>678</v>
      </c>
      <c r="C622">
        <v>58</v>
      </c>
      <c r="D622">
        <v>63</v>
      </c>
      <c r="E622">
        <v>58.542192996652098</v>
      </c>
      <c r="F622">
        <v>0.92241379310344795</v>
      </c>
      <c r="G622">
        <v>2691.7074442344101</v>
      </c>
      <c r="H622">
        <v>349.59118761062598</v>
      </c>
      <c r="I622">
        <v>0.59742466176226505</v>
      </c>
      <c r="J622">
        <v>0.27676856789962101</v>
      </c>
      <c r="K622">
        <v>0.824718794116308</v>
      </c>
      <c r="L622" t="s">
        <v>83</v>
      </c>
      <c r="M622" t="s">
        <v>34</v>
      </c>
      <c r="N622" t="s">
        <v>35</v>
      </c>
      <c r="O622">
        <v>0.79749472983425096</v>
      </c>
      <c r="P622" t="s">
        <v>36</v>
      </c>
    </row>
    <row r="623" spans="1:16">
      <c r="A623">
        <v>622</v>
      </c>
      <c r="B623" t="s">
        <v>679</v>
      </c>
      <c r="C623">
        <v>91</v>
      </c>
      <c r="D623">
        <v>57</v>
      </c>
      <c r="E623">
        <v>53.174032275393003</v>
      </c>
      <c r="F623">
        <v>1.5967289254694399</v>
      </c>
      <c r="G623">
        <v>2220.6957992438602</v>
      </c>
      <c r="H623">
        <v>325.08964310863701</v>
      </c>
      <c r="I623">
        <v>0.46801562993177298</v>
      </c>
      <c r="J623">
        <v>0.26405394946433602</v>
      </c>
      <c r="K623">
        <v>0.59728163102138698</v>
      </c>
      <c r="L623" t="s">
        <v>321</v>
      </c>
      <c r="M623" t="s">
        <v>34</v>
      </c>
      <c r="N623" t="s">
        <v>35</v>
      </c>
      <c r="O623">
        <v>0.82838340776841002</v>
      </c>
      <c r="P623" t="s">
        <v>36</v>
      </c>
    </row>
    <row r="624" spans="1:16">
      <c r="A624">
        <v>623</v>
      </c>
      <c r="B624" t="s">
        <v>680</v>
      </c>
      <c r="C624">
        <v>49</v>
      </c>
      <c r="D624">
        <v>59</v>
      </c>
      <c r="E624">
        <v>51.082970970066903</v>
      </c>
      <c r="F624">
        <v>0.82936006942858498</v>
      </c>
      <c r="G624">
        <v>2049.47288506616</v>
      </c>
      <c r="H624">
        <v>216.51664217420199</v>
      </c>
      <c r="I624">
        <v>0.71930988613777203</v>
      </c>
      <c r="J624">
        <v>0.54937573618425095</v>
      </c>
      <c r="K624">
        <v>0.87766533002354996</v>
      </c>
      <c r="L624" t="s">
        <v>83</v>
      </c>
      <c r="M624" t="s">
        <v>34</v>
      </c>
      <c r="N624" t="s">
        <v>35</v>
      </c>
      <c r="O624">
        <v>0.77921193482680695</v>
      </c>
      <c r="P624" t="s">
        <v>36</v>
      </c>
    </row>
    <row r="625" spans="1:16">
      <c r="A625">
        <v>624</v>
      </c>
      <c r="B625" t="s">
        <v>681</v>
      </c>
      <c r="C625">
        <v>85</v>
      </c>
      <c r="D625">
        <v>151</v>
      </c>
      <c r="E625">
        <v>92.430348528769002</v>
      </c>
      <c r="F625">
        <v>0.56487345144303802</v>
      </c>
      <c r="G625">
        <v>6709.94658034027</v>
      </c>
      <c r="H625">
        <v>672.86863008716796</v>
      </c>
      <c r="I625">
        <v>0.68708774020236596</v>
      </c>
      <c r="J625">
        <v>0.18623802770828801</v>
      </c>
      <c r="K625">
        <v>0.67887218045112796</v>
      </c>
      <c r="L625" t="s">
        <v>33</v>
      </c>
      <c r="M625" t="s">
        <v>34</v>
      </c>
      <c r="N625" t="s">
        <v>35</v>
      </c>
      <c r="O625">
        <v>0.95446127634837197</v>
      </c>
      <c r="P625" t="s">
        <v>36</v>
      </c>
    </row>
    <row r="626" spans="1:16">
      <c r="A626">
        <v>625</v>
      </c>
      <c r="B626" t="s">
        <v>682</v>
      </c>
      <c r="C626">
        <v>78</v>
      </c>
      <c r="D626">
        <v>54</v>
      </c>
      <c r="E626">
        <v>51.190292141588401</v>
      </c>
      <c r="F626">
        <v>1.4444443588171101</v>
      </c>
      <c r="G626">
        <v>2058.0934831758</v>
      </c>
      <c r="H626">
        <v>530.73565340653704</v>
      </c>
      <c r="I626">
        <v>0.62308189128701497</v>
      </c>
      <c r="J626">
        <v>9.1816013989942505E-2</v>
      </c>
      <c r="K626">
        <v>0.54720410985971202</v>
      </c>
      <c r="L626" t="s">
        <v>33</v>
      </c>
      <c r="M626" t="s">
        <v>34</v>
      </c>
      <c r="N626" t="s">
        <v>35</v>
      </c>
      <c r="O626">
        <v>0.93859092169396596</v>
      </c>
      <c r="P626" t="s">
        <v>36</v>
      </c>
    </row>
    <row r="627" spans="1:16">
      <c r="A627">
        <v>626</v>
      </c>
      <c r="B627" t="s">
        <v>683</v>
      </c>
      <c r="C627">
        <v>73</v>
      </c>
      <c r="D627">
        <v>137</v>
      </c>
      <c r="E627">
        <v>80.437638561051102</v>
      </c>
      <c r="F627">
        <v>0.53087926953260001</v>
      </c>
      <c r="G627">
        <v>5081.6939546313797</v>
      </c>
      <c r="H627">
        <v>566.38960179743594</v>
      </c>
      <c r="I627">
        <v>0.61268741146178995</v>
      </c>
      <c r="J627">
        <v>0.19906175415493299</v>
      </c>
      <c r="K627">
        <v>0.59754967929112002</v>
      </c>
      <c r="L627" t="s">
        <v>33</v>
      </c>
      <c r="M627" t="s">
        <v>34</v>
      </c>
      <c r="N627" t="s">
        <v>35</v>
      </c>
      <c r="O627">
        <v>0.95582391693999103</v>
      </c>
      <c r="P627" t="s">
        <v>36</v>
      </c>
    </row>
    <row r="628" spans="1:16">
      <c r="A628">
        <v>627</v>
      </c>
      <c r="B628" t="s">
        <v>684</v>
      </c>
      <c r="C628">
        <v>98</v>
      </c>
      <c r="D628">
        <v>56</v>
      </c>
      <c r="E628">
        <v>62.789303974765701</v>
      </c>
      <c r="F628">
        <v>1.7592338822871201</v>
      </c>
      <c r="G628">
        <v>3096.42966238185</v>
      </c>
      <c r="H628">
        <v>301.81633450642897</v>
      </c>
      <c r="I628">
        <v>0.78419208358015002</v>
      </c>
      <c r="J628">
        <v>0.42715510631364501</v>
      </c>
      <c r="K628">
        <v>0.81021273285886497</v>
      </c>
      <c r="L628" t="s">
        <v>83</v>
      </c>
      <c r="M628" t="s">
        <v>34</v>
      </c>
      <c r="N628" t="s">
        <v>35</v>
      </c>
      <c r="O628">
        <v>0.89122589650713602</v>
      </c>
      <c r="P628" t="s">
        <v>36</v>
      </c>
    </row>
    <row r="629" spans="1:16">
      <c r="A629">
        <v>628</v>
      </c>
      <c r="B629" t="s">
        <v>685</v>
      </c>
      <c r="C629">
        <v>64</v>
      </c>
      <c r="D629">
        <v>64</v>
      </c>
      <c r="E629">
        <v>51.955368211469697</v>
      </c>
      <c r="F629">
        <v>1</v>
      </c>
      <c r="G629">
        <v>2120.07261096408</v>
      </c>
      <c r="H629">
        <v>458.2283879844</v>
      </c>
      <c r="I629">
        <v>0.62195010147719998</v>
      </c>
      <c r="J629">
        <v>0.12688100724225801</v>
      </c>
      <c r="K629">
        <v>0.604483620799254</v>
      </c>
      <c r="L629" t="s">
        <v>70</v>
      </c>
      <c r="M629" t="s">
        <v>34</v>
      </c>
      <c r="N629" t="s">
        <v>35</v>
      </c>
      <c r="O629">
        <v>0.87689441903038701</v>
      </c>
      <c r="P629" t="s">
        <v>36</v>
      </c>
    </row>
    <row r="630" spans="1:16">
      <c r="A630">
        <v>629</v>
      </c>
      <c r="B630" t="s">
        <v>686</v>
      </c>
      <c r="C630">
        <v>53</v>
      </c>
      <c r="D630">
        <v>88</v>
      </c>
      <c r="E630">
        <v>62.900720710933598</v>
      </c>
      <c r="F630">
        <v>0.60869565217391297</v>
      </c>
      <c r="G630">
        <v>3107.4283565217402</v>
      </c>
      <c r="H630">
        <v>475.04598481147201</v>
      </c>
      <c r="I630">
        <v>0.73804438376464598</v>
      </c>
      <c r="J630">
        <v>0.17303728215959299</v>
      </c>
      <c r="K630">
        <v>0.73860665583268603</v>
      </c>
      <c r="L630" t="s">
        <v>33</v>
      </c>
      <c r="M630" t="s">
        <v>34</v>
      </c>
      <c r="N630" t="s">
        <v>35</v>
      </c>
      <c r="O630">
        <v>0.943319580292168</v>
      </c>
      <c r="P630" t="s">
        <v>36</v>
      </c>
    </row>
    <row r="631" spans="1:16">
      <c r="A631">
        <v>630</v>
      </c>
      <c r="B631" t="s">
        <v>687</v>
      </c>
      <c r="C631">
        <v>63</v>
      </c>
      <c r="D631">
        <v>73</v>
      </c>
      <c r="E631">
        <v>58.286258994095299</v>
      </c>
      <c r="F631">
        <v>0.86567172507026402</v>
      </c>
      <c r="G631">
        <v>2668.2237459357302</v>
      </c>
      <c r="H631">
        <v>655.25500518881802</v>
      </c>
      <c r="I631">
        <v>0.53310416427642104</v>
      </c>
      <c r="J631">
        <v>7.80928755651977E-2</v>
      </c>
      <c r="K631">
        <v>0.57917150600077405</v>
      </c>
      <c r="L631" t="s">
        <v>70</v>
      </c>
      <c r="M631" t="s">
        <v>34</v>
      </c>
      <c r="N631" t="s">
        <v>35</v>
      </c>
      <c r="O631">
        <v>0.68325574557277702</v>
      </c>
      <c r="P631" t="s">
        <v>36</v>
      </c>
    </row>
    <row r="632" spans="1:16">
      <c r="A632">
        <v>631</v>
      </c>
      <c r="B632" t="s">
        <v>688</v>
      </c>
      <c r="C632">
        <v>109</v>
      </c>
      <c r="D632">
        <v>69</v>
      </c>
      <c r="E632">
        <v>72.008712080853698</v>
      </c>
      <c r="F632">
        <v>1.587912146321</v>
      </c>
      <c r="G632">
        <v>4072.4894517958401</v>
      </c>
      <c r="H632">
        <v>349.06980608753503</v>
      </c>
      <c r="I632">
        <v>0.69185018498087203</v>
      </c>
      <c r="J632">
        <v>0.41999610483418798</v>
      </c>
      <c r="K632">
        <v>0.78149510852514203</v>
      </c>
      <c r="L632" t="s">
        <v>52</v>
      </c>
      <c r="M632" t="s">
        <v>34</v>
      </c>
      <c r="N632" t="s">
        <v>35</v>
      </c>
      <c r="O632">
        <v>0.78432084005462099</v>
      </c>
      <c r="P632" t="s">
        <v>36</v>
      </c>
    </row>
    <row r="633" spans="1:16">
      <c r="A633">
        <v>632</v>
      </c>
      <c r="B633" t="s">
        <v>689</v>
      </c>
      <c r="C633">
        <v>93</v>
      </c>
      <c r="D633">
        <v>94</v>
      </c>
      <c r="E633">
        <v>74.809620840319198</v>
      </c>
      <c r="F633">
        <v>0.98434637700668803</v>
      </c>
      <c r="G633">
        <v>4395.4646189035902</v>
      </c>
      <c r="H633">
        <v>487.887699688103</v>
      </c>
      <c r="I633">
        <v>0.64743430063162299</v>
      </c>
      <c r="J633">
        <v>0.232046442369191</v>
      </c>
      <c r="K633">
        <v>0.63781650347237195</v>
      </c>
      <c r="L633" t="s">
        <v>45</v>
      </c>
      <c r="M633" t="s">
        <v>34</v>
      </c>
      <c r="N633" t="s">
        <v>35</v>
      </c>
      <c r="O633">
        <v>0.76455312563195799</v>
      </c>
      <c r="P633" t="s">
        <v>36</v>
      </c>
    </row>
    <row r="634" spans="1:16">
      <c r="A634">
        <v>633</v>
      </c>
      <c r="B634" t="s">
        <v>690</v>
      </c>
      <c r="C634">
        <v>44</v>
      </c>
      <c r="D634">
        <v>78</v>
      </c>
      <c r="E634">
        <v>55.909871338807797</v>
      </c>
      <c r="F634">
        <v>0.562227549263971</v>
      </c>
      <c r="G634">
        <v>2455.08688922495</v>
      </c>
      <c r="H634">
        <v>208.641712411383</v>
      </c>
      <c r="I634">
        <v>0.79103962603989597</v>
      </c>
      <c r="J634">
        <v>0.70871961715947296</v>
      </c>
      <c r="K634">
        <v>0.94556070753906896</v>
      </c>
      <c r="L634" t="s">
        <v>83</v>
      </c>
      <c r="M634" t="s">
        <v>34</v>
      </c>
      <c r="N634" t="s">
        <v>35</v>
      </c>
      <c r="O634">
        <v>0.737336182046051</v>
      </c>
      <c r="P634" t="s">
        <v>36</v>
      </c>
    </row>
    <row r="635" spans="1:16">
      <c r="A635">
        <v>634</v>
      </c>
      <c r="B635" t="s">
        <v>691</v>
      </c>
      <c r="C635">
        <v>64</v>
      </c>
      <c r="D635">
        <v>68</v>
      </c>
      <c r="E635">
        <v>52.109940797027697</v>
      </c>
      <c r="F635">
        <v>0.93599999218749896</v>
      </c>
      <c r="G635">
        <v>2132.7062461247601</v>
      </c>
      <c r="H635">
        <v>458.57986867065</v>
      </c>
      <c r="I635">
        <v>0.47564469330888098</v>
      </c>
      <c r="J635">
        <v>0.127441517371992</v>
      </c>
      <c r="K635">
        <v>0.65854330166597796</v>
      </c>
      <c r="L635" t="s">
        <v>33</v>
      </c>
      <c r="M635" t="s">
        <v>34</v>
      </c>
      <c r="N635" t="s">
        <v>35</v>
      </c>
      <c r="O635">
        <v>0.93201293207375302</v>
      </c>
      <c r="P635" t="s">
        <v>36</v>
      </c>
    </row>
    <row r="636" spans="1:16">
      <c r="A636">
        <v>635</v>
      </c>
      <c r="B636" t="s">
        <v>692</v>
      </c>
      <c r="C636">
        <v>76</v>
      </c>
      <c r="D636">
        <v>82</v>
      </c>
      <c r="E636">
        <v>58.326829669169101</v>
      </c>
      <c r="F636">
        <v>0.93333333333333302</v>
      </c>
      <c r="G636">
        <v>2671.93952098299</v>
      </c>
      <c r="H636">
        <v>408.27266531498498</v>
      </c>
      <c r="I636">
        <v>0.55445846023301304</v>
      </c>
      <c r="J636">
        <v>0.201435439173241</v>
      </c>
      <c r="K636">
        <v>0.59300676232888005</v>
      </c>
      <c r="L636" t="s">
        <v>144</v>
      </c>
      <c r="M636" t="s">
        <v>34</v>
      </c>
      <c r="N636" t="s">
        <v>35</v>
      </c>
      <c r="O636">
        <v>0.69589592072572404</v>
      </c>
      <c r="P636" t="s">
        <v>36</v>
      </c>
    </row>
    <row r="637" spans="1:16">
      <c r="A637">
        <v>636</v>
      </c>
      <c r="B637" t="s">
        <v>693</v>
      </c>
      <c r="C637">
        <v>113</v>
      </c>
      <c r="D637">
        <v>105</v>
      </c>
      <c r="E637">
        <v>73.771582820828002</v>
      </c>
      <c r="F637">
        <v>1.0725388601036301</v>
      </c>
      <c r="G637">
        <v>4274.3303523629502</v>
      </c>
      <c r="H637">
        <v>663.03201956251405</v>
      </c>
      <c r="I637">
        <v>0.57831089043408801</v>
      </c>
      <c r="J637">
        <v>0.12218248237304399</v>
      </c>
      <c r="K637">
        <v>0.49900227308219502</v>
      </c>
      <c r="L637" t="s">
        <v>178</v>
      </c>
      <c r="M637" t="s">
        <v>34</v>
      </c>
      <c r="N637" t="s">
        <v>35</v>
      </c>
      <c r="O637">
        <v>0.65264206674285996</v>
      </c>
      <c r="P637" t="s">
        <v>36</v>
      </c>
    </row>
    <row r="638" spans="1:16">
      <c r="A638">
        <v>637</v>
      </c>
      <c r="B638" t="s">
        <v>694</v>
      </c>
      <c r="C638">
        <v>73</v>
      </c>
      <c r="D638">
        <v>68</v>
      </c>
      <c r="E638">
        <v>52.224211153717803</v>
      </c>
      <c r="F638">
        <v>1.0719998867187399</v>
      </c>
      <c r="G638">
        <v>2142.0699992438599</v>
      </c>
      <c r="H638">
        <v>513.65347281373101</v>
      </c>
      <c r="I638">
        <v>0.48375695842518301</v>
      </c>
      <c r="J638">
        <v>0.102024168819837</v>
      </c>
      <c r="K638">
        <v>0.53429228145621699</v>
      </c>
      <c r="L638" t="s">
        <v>33</v>
      </c>
      <c r="M638" t="s">
        <v>34</v>
      </c>
      <c r="N638" t="s">
        <v>35</v>
      </c>
      <c r="O638">
        <v>0.94646484487817795</v>
      </c>
      <c r="P638" t="s">
        <v>36</v>
      </c>
    </row>
    <row r="639" spans="1:16">
      <c r="A639">
        <v>638</v>
      </c>
      <c r="B639" t="s">
        <v>695</v>
      </c>
      <c r="C639">
        <v>70</v>
      </c>
      <c r="D639">
        <v>56</v>
      </c>
      <c r="E639">
        <v>57.029185069879503</v>
      </c>
      <c r="F639">
        <v>1.2432818517611799</v>
      </c>
      <c r="G639">
        <v>2554.3723984877101</v>
      </c>
      <c r="H639">
        <v>339.77727456714803</v>
      </c>
      <c r="I639">
        <v>0.56634033092743097</v>
      </c>
      <c r="J639">
        <v>0.27803880923472202</v>
      </c>
      <c r="K639">
        <v>0.81698041452747705</v>
      </c>
      <c r="L639" t="s">
        <v>33</v>
      </c>
      <c r="M639" t="s">
        <v>34</v>
      </c>
      <c r="N639" t="s">
        <v>35</v>
      </c>
      <c r="O639">
        <v>0.938751291397525</v>
      </c>
      <c r="P639" t="s">
        <v>36</v>
      </c>
    </row>
    <row r="640" spans="1:16">
      <c r="A640">
        <v>639</v>
      </c>
      <c r="B640" t="s">
        <v>696</v>
      </c>
      <c r="C640">
        <v>59</v>
      </c>
      <c r="D640">
        <v>62</v>
      </c>
      <c r="E640">
        <v>50.136942779984203</v>
      </c>
      <c r="F640">
        <v>0.95031071010462798</v>
      </c>
      <c r="G640">
        <v>1974.26559810964</v>
      </c>
      <c r="H640">
        <v>349.34930132606797</v>
      </c>
      <c r="I640">
        <v>0.58677843390362905</v>
      </c>
      <c r="J640">
        <v>0.20328048297783</v>
      </c>
      <c r="K640">
        <v>0.74711738567973496</v>
      </c>
      <c r="L640" t="s">
        <v>83</v>
      </c>
      <c r="M640" t="s">
        <v>34</v>
      </c>
      <c r="N640" t="s">
        <v>35</v>
      </c>
      <c r="O640">
        <v>0.87630670021950596</v>
      </c>
      <c r="P640" t="s">
        <v>36</v>
      </c>
    </row>
    <row r="641" spans="1:16">
      <c r="A641">
        <v>640</v>
      </c>
      <c r="B641" t="s">
        <v>697</v>
      </c>
      <c r="C641">
        <v>131</v>
      </c>
      <c r="D641">
        <v>104</v>
      </c>
      <c r="E641">
        <v>100.14830414786201</v>
      </c>
      <c r="F641">
        <v>1.2616426156165901</v>
      </c>
      <c r="G641">
        <v>7877.2944691871498</v>
      </c>
      <c r="H641">
        <v>664.33224091001205</v>
      </c>
      <c r="I641">
        <v>0.69336843943307402</v>
      </c>
      <c r="J641">
        <v>0.224293291857557</v>
      </c>
      <c r="K641">
        <v>0.69475905825599105</v>
      </c>
      <c r="L641" t="s">
        <v>52</v>
      </c>
      <c r="M641" t="s">
        <v>34</v>
      </c>
      <c r="N641" t="s">
        <v>35</v>
      </c>
      <c r="O641">
        <v>0.80856997316514501</v>
      </c>
      <c r="P641" t="s">
        <v>36</v>
      </c>
    </row>
    <row r="642" spans="1:16">
      <c r="A642">
        <v>641</v>
      </c>
      <c r="B642" t="s">
        <v>698</v>
      </c>
      <c r="C642">
        <v>83</v>
      </c>
      <c r="D642">
        <v>175</v>
      </c>
      <c r="E642">
        <v>78.319404484103998</v>
      </c>
      <c r="F642">
        <v>0.47344765127254401</v>
      </c>
      <c r="G642">
        <v>4817.5766642722101</v>
      </c>
      <c r="H642">
        <v>700.12949965238602</v>
      </c>
      <c r="I642">
        <v>0.61446555210750997</v>
      </c>
      <c r="J642">
        <v>0.12350420510788999</v>
      </c>
      <c r="K642">
        <v>0.485449834504036</v>
      </c>
      <c r="L642" t="s">
        <v>33</v>
      </c>
      <c r="M642" t="s">
        <v>34</v>
      </c>
      <c r="N642" t="s">
        <v>35</v>
      </c>
      <c r="O642">
        <v>0.77486619122370204</v>
      </c>
      <c r="P642" t="s">
        <v>36</v>
      </c>
    </row>
    <row r="643" spans="1:16">
      <c r="A643">
        <v>642</v>
      </c>
      <c r="B643" t="s">
        <v>699</v>
      </c>
      <c r="C643">
        <v>53</v>
      </c>
      <c r="D643">
        <v>64</v>
      </c>
      <c r="E643">
        <v>54.408473067246199</v>
      </c>
      <c r="F643">
        <v>0.83333343323698605</v>
      </c>
      <c r="G643">
        <v>2325</v>
      </c>
      <c r="H643">
        <v>237.27921843528699</v>
      </c>
      <c r="I643">
        <v>0.69295348842524096</v>
      </c>
      <c r="J643">
        <v>0.51893553991558705</v>
      </c>
      <c r="K643">
        <v>0.81578947368421095</v>
      </c>
      <c r="L643" t="s">
        <v>45</v>
      </c>
      <c r="M643" t="s">
        <v>34</v>
      </c>
      <c r="N643" t="s">
        <v>35</v>
      </c>
      <c r="O643">
        <v>0.70171535104737903</v>
      </c>
      <c r="P643" t="s">
        <v>36</v>
      </c>
    </row>
    <row r="644" spans="1:16">
      <c r="A644">
        <v>643</v>
      </c>
      <c r="B644" t="s">
        <v>700</v>
      </c>
      <c r="C644">
        <v>73</v>
      </c>
      <c r="D644">
        <v>156</v>
      </c>
      <c r="E644">
        <v>85.125194295150706</v>
      </c>
      <c r="F644">
        <v>0.47017220041037899</v>
      </c>
      <c r="G644">
        <v>5691.2296933837397</v>
      </c>
      <c r="H644">
        <v>738.68219045379897</v>
      </c>
      <c r="I644">
        <v>0.62160964030182997</v>
      </c>
      <c r="J644">
        <v>0.13106922184627401</v>
      </c>
      <c r="K644">
        <v>0.65501727736152404</v>
      </c>
      <c r="L644" t="s">
        <v>83</v>
      </c>
      <c r="M644" t="s">
        <v>34</v>
      </c>
      <c r="N644" t="s">
        <v>35</v>
      </c>
      <c r="O644">
        <v>0.87039234050742698</v>
      </c>
      <c r="P644" t="s">
        <v>36</v>
      </c>
    </row>
    <row r="645" spans="1:16">
      <c r="A645">
        <v>644</v>
      </c>
      <c r="B645" t="s">
        <v>701</v>
      </c>
      <c r="C645">
        <v>65</v>
      </c>
      <c r="D645">
        <v>120</v>
      </c>
      <c r="E645">
        <v>71.869290183013305</v>
      </c>
      <c r="F645">
        <v>0.53713294067252404</v>
      </c>
      <c r="G645">
        <v>4056.73456559546</v>
      </c>
      <c r="H645">
        <v>392.81008703625702</v>
      </c>
      <c r="I645">
        <v>0.62328065487288697</v>
      </c>
      <c r="J645">
        <v>0.33038566330935698</v>
      </c>
      <c r="K645">
        <v>0.70922980979108197</v>
      </c>
      <c r="L645" t="s">
        <v>33</v>
      </c>
      <c r="M645" t="s">
        <v>34</v>
      </c>
      <c r="N645" t="s">
        <v>35</v>
      </c>
      <c r="O645">
        <v>0.92899156306400998</v>
      </c>
      <c r="P645" t="s">
        <v>36</v>
      </c>
    </row>
    <row r="646" spans="1:16">
      <c r="A646">
        <v>645</v>
      </c>
      <c r="B646" t="s">
        <v>702</v>
      </c>
      <c r="C646">
        <v>70</v>
      </c>
      <c r="D646">
        <v>99</v>
      </c>
      <c r="E646">
        <v>59.7484517307293</v>
      </c>
      <c r="F646">
        <v>0.70329670329670302</v>
      </c>
      <c r="G646">
        <v>2803.7752196597398</v>
      </c>
      <c r="H646">
        <v>506.77657167870098</v>
      </c>
      <c r="I646">
        <v>0.64060187467901497</v>
      </c>
      <c r="J646">
        <v>0.137189223713966</v>
      </c>
      <c r="K646">
        <v>0.52214348981399505</v>
      </c>
      <c r="L646" t="s">
        <v>144</v>
      </c>
      <c r="M646" t="s">
        <v>34</v>
      </c>
      <c r="N646" t="s">
        <v>35</v>
      </c>
      <c r="O646">
        <v>0.69882530310578395</v>
      </c>
      <c r="P646" t="s">
        <v>36</v>
      </c>
    </row>
    <row r="647" spans="1:16">
      <c r="A647">
        <v>646</v>
      </c>
      <c r="B647" t="s">
        <v>703</v>
      </c>
      <c r="C647">
        <v>95</v>
      </c>
      <c r="D647">
        <v>137</v>
      </c>
      <c r="E647">
        <v>79.246606323248798</v>
      </c>
      <c r="F647">
        <v>0.69322709163346596</v>
      </c>
      <c r="G647">
        <v>4932.3197977315704</v>
      </c>
      <c r="H647">
        <v>769.68484169327701</v>
      </c>
      <c r="I647">
        <v>0.48954765475606998</v>
      </c>
      <c r="J647">
        <v>0.104624940530276</v>
      </c>
      <c r="K647">
        <v>0.52853297657158305</v>
      </c>
      <c r="L647" t="s">
        <v>33</v>
      </c>
      <c r="M647" t="s">
        <v>34</v>
      </c>
      <c r="N647" t="s">
        <v>35</v>
      </c>
      <c r="O647">
        <v>0.94462440248755197</v>
      </c>
      <c r="P647" t="s">
        <v>36</v>
      </c>
    </row>
    <row r="648" spans="1:16">
      <c r="A648">
        <v>647</v>
      </c>
      <c r="B648" t="s">
        <v>704</v>
      </c>
      <c r="C648">
        <v>39</v>
      </c>
      <c r="D648">
        <v>87</v>
      </c>
      <c r="E648">
        <v>52.597923006031699</v>
      </c>
      <c r="F648">
        <v>0.44525978068477701</v>
      </c>
      <c r="G648">
        <v>2172.8366166351602</v>
      </c>
      <c r="H648">
        <v>226.67263366543699</v>
      </c>
      <c r="I648">
        <v>0.71673438133246703</v>
      </c>
      <c r="J648">
        <v>0.53142105120536298</v>
      </c>
      <c r="K648">
        <v>0.87355841051688099</v>
      </c>
      <c r="L648" t="s">
        <v>45</v>
      </c>
      <c r="M648" t="s">
        <v>34</v>
      </c>
      <c r="N648" t="s">
        <v>35</v>
      </c>
      <c r="O648">
        <v>0.64976793461984905</v>
      </c>
      <c r="P648" t="s">
        <v>36</v>
      </c>
    </row>
    <row r="649" spans="1:16">
      <c r="A649">
        <v>648</v>
      </c>
      <c r="B649" t="s">
        <v>705</v>
      </c>
      <c r="C649">
        <v>142</v>
      </c>
      <c r="D649">
        <v>137</v>
      </c>
      <c r="E649">
        <v>109.759742401415</v>
      </c>
      <c r="F649">
        <v>1.0358565737051799</v>
      </c>
      <c r="G649">
        <v>9461.8495803402693</v>
      </c>
      <c r="H649">
        <v>1348.53030118735</v>
      </c>
      <c r="I649">
        <v>0.64811190630523696</v>
      </c>
      <c r="J649">
        <v>6.5382945974505197E-2</v>
      </c>
      <c r="K649">
        <v>0.58232178629906395</v>
      </c>
      <c r="L649" t="s">
        <v>33</v>
      </c>
      <c r="M649" t="s">
        <v>34</v>
      </c>
      <c r="N649" t="s">
        <v>35</v>
      </c>
      <c r="O649">
        <v>0.93689608263081703</v>
      </c>
      <c r="P649" t="s">
        <v>36</v>
      </c>
    </row>
    <row r="650" spans="1:16">
      <c r="A650">
        <v>649</v>
      </c>
      <c r="B650" t="s">
        <v>706</v>
      </c>
      <c r="C650">
        <v>49</v>
      </c>
      <c r="D650">
        <v>68</v>
      </c>
      <c r="E650">
        <v>55.7030168220899</v>
      </c>
      <c r="F650">
        <v>0.71199999999999997</v>
      </c>
      <c r="G650">
        <v>2436.9539069943298</v>
      </c>
      <c r="H650">
        <v>374.51619824658297</v>
      </c>
      <c r="I650">
        <v>0.67227304724341197</v>
      </c>
      <c r="J650">
        <v>0.218331282879932</v>
      </c>
      <c r="K650">
        <v>0.73875822294313798</v>
      </c>
      <c r="L650" t="s">
        <v>33</v>
      </c>
      <c r="M650" t="s">
        <v>34</v>
      </c>
      <c r="N650" t="s">
        <v>35</v>
      </c>
      <c r="O650">
        <v>0.93544017995309503</v>
      </c>
      <c r="P650" t="s">
        <v>36</v>
      </c>
    </row>
    <row r="651" spans="1:16">
      <c r="A651">
        <v>650</v>
      </c>
      <c r="B651" t="s">
        <v>707</v>
      </c>
      <c r="C651">
        <v>182</v>
      </c>
      <c r="D651">
        <v>63</v>
      </c>
      <c r="E651">
        <v>78.851597744893198</v>
      </c>
      <c r="F651">
        <v>2.8817048427871899</v>
      </c>
      <c r="G651">
        <v>4883.2715671077503</v>
      </c>
      <c r="H651">
        <v>555.49465620984199</v>
      </c>
      <c r="I651">
        <v>0.80213772565170405</v>
      </c>
      <c r="J651">
        <v>0.198866197613113</v>
      </c>
      <c r="K651">
        <v>0.59454226307884395</v>
      </c>
      <c r="L651" t="s">
        <v>83</v>
      </c>
      <c r="M651" t="s">
        <v>34</v>
      </c>
      <c r="N651" t="s">
        <v>35</v>
      </c>
      <c r="O651">
        <v>0.75350240846469596</v>
      </c>
      <c r="P651" t="s">
        <v>36</v>
      </c>
    </row>
    <row r="652" spans="1:16">
      <c r="A652">
        <v>651</v>
      </c>
      <c r="B652" t="s">
        <v>708</v>
      </c>
      <c r="C652">
        <v>105</v>
      </c>
      <c r="D652">
        <v>95</v>
      </c>
      <c r="E652">
        <v>82.831154900410695</v>
      </c>
      <c r="F652">
        <v>1.0971428571428601</v>
      </c>
      <c r="G652">
        <v>5388.6169735349704</v>
      </c>
      <c r="H652">
        <v>514.72899612354195</v>
      </c>
      <c r="I652">
        <v>0.62828440707345901</v>
      </c>
      <c r="J652">
        <v>0.25558179200159697</v>
      </c>
      <c r="K652">
        <v>0.741213992190215</v>
      </c>
      <c r="L652" t="s">
        <v>83</v>
      </c>
      <c r="M652" t="s">
        <v>34</v>
      </c>
      <c r="N652" t="s">
        <v>35</v>
      </c>
      <c r="O652">
        <v>0.90750249861156795</v>
      </c>
      <c r="P652" t="s">
        <v>36</v>
      </c>
    </row>
    <row r="653" spans="1:16">
      <c r="A653">
        <v>652</v>
      </c>
      <c r="B653" t="s">
        <v>709</v>
      </c>
      <c r="C653">
        <v>141</v>
      </c>
      <c r="D653">
        <v>90</v>
      </c>
      <c r="E653">
        <v>100.971631333883</v>
      </c>
      <c r="F653">
        <v>1.5701787541924801</v>
      </c>
      <c r="G653">
        <v>8007.3465958412098</v>
      </c>
      <c r="H653">
        <v>556.15611562417905</v>
      </c>
      <c r="I653">
        <v>0.63142870182683397</v>
      </c>
      <c r="J653">
        <v>0.32531572523317998</v>
      </c>
      <c r="K653">
        <v>0.77677490051329401</v>
      </c>
      <c r="L653" t="s">
        <v>33</v>
      </c>
      <c r="M653" t="s">
        <v>34</v>
      </c>
      <c r="N653" t="s">
        <v>35</v>
      </c>
      <c r="O653">
        <v>0.95077595382160396</v>
      </c>
      <c r="P653" t="s">
        <v>36</v>
      </c>
    </row>
    <row r="654" spans="1:16">
      <c r="A654">
        <v>653</v>
      </c>
      <c r="B654" t="s">
        <v>710</v>
      </c>
      <c r="C654">
        <v>110</v>
      </c>
      <c r="D654">
        <v>56</v>
      </c>
      <c r="E654">
        <v>56.275922166892997</v>
      </c>
      <c r="F654">
        <v>1.9644735540220399</v>
      </c>
      <c r="G654">
        <v>2487.3398166351599</v>
      </c>
      <c r="H654">
        <v>348.47254611253697</v>
      </c>
      <c r="I654">
        <v>0.43576602003243797</v>
      </c>
      <c r="J654">
        <v>0.25739958888672498</v>
      </c>
      <c r="K654">
        <v>0.59542446452714703</v>
      </c>
      <c r="L654" t="s">
        <v>33</v>
      </c>
      <c r="M654" t="s">
        <v>34</v>
      </c>
      <c r="N654" t="s">
        <v>35</v>
      </c>
      <c r="O654">
        <v>0.947547828091029</v>
      </c>
      <c r="P654" t="s">
        <v>36</v>
      </c>
    </row>
    <row r="655" spans="1:16">
      <c r="A655">
        <v>654</v>
      </c>
      <c r="B655" t="s">
        <v>711</v>
      </c>
      <c r="C655">
        <v>137</v>
      </c>
      <c r="D655">
        <v>88</v>
      </c>
      <c r="E655">
        <v>88.259867573395496</v>
      </c>
      <c r="F655">
        <v>1.5590062111801199</v>
      </c>
      <c r="G655">
        <v>6118.0979308128599</v>
      </c>
      <c r="H655">
        <v>624.64372036363795</v>
      </c>
      <c r="I655">
        <v>0.67394884754361795</v>
      </c>
      <c r="J655">
        <v>0.19704323624323899</v>
      </c>
      <c r="K655">
        <v>0.67950411040311698</v>
      </c>
      <c r="L655" t="s">
        <v>33</v>
      </c>
      <c r="M655" t="s">
        <v>34</v>
      </c>
      <c r="N655" t="s">
        <v>35</v>
      </c>
      <c r="O655">
        <v>0.87780260922239295</v>
      </c>
      <c r="P655" t="s">
        <v>36</v>
      </c>
    </row>
    <row r="656" spans="1:16">
      <c r="A656">
        <v>655</v>
      </c>
      <c r="B656" t="s">
        <v>712</v>
      </c>
      <c r="C656">
        <v>140</v>
      </c>
      <c r="D656">
        <v>99</v>
      </c>
      <c r="E656">
        <v>89.348813290248501</v>
      </c>
      <c r="F656">
        <v>1.4143646408839801</v>
      </c>
      <c r="G656">
        <v>6269.9988147448003</v>
      </c>
      <c r="H656">
        <v>670.61026583992896</v>
      </c>
      <c r="I656">
        <v>0.68396837630266005</v>
      </c>
      <c r="J656">
        <v>0.175201140087937</v>
      </c>
      <c r="K656">
        <v>0.66600884117461301</v>
      </c>
      <c r="L656" t="s">
        <v>331</v>
      </c>
      <c r="M656" t="s">
        <v>34</v>
      </c>
      <c r="N656" t="s">
        <v>35</v>
      </c>
      <c r="O656">
        <v>0.641928794447438</v>
      </c>
      <c r="P656" t="s">
        <v>36</v>
      </c>
    </row>
    <row r="657" spans="1:16">
      <c r="A657">
        <v>656</v>
      </c>
      <c r="B657" t="s">
        <v>713</v>
      </c>
      <c r="C657">
        <v>110</v>
      </c>
      <c r="D657">
        <v>132</v>
      </c>
      <c r="E657">
        <v>82.289053615979199</v>
      </c>
      <c r="F657">
        <v>0.834710743801653</v>
      </c>
      <c r="G657">
        <v>5318.3145096408298</v>
      </c>
      <c r="H657">
        <v>533.60457287145698</v>
      </c>
      <c r="I657">
        <v>0.51171764403287001</v>
      </c>
      <c r="J657">
        <v>0.23471713487737</v>
      </c>
      <c r="K657">
        <v>0.57256696642877702</v>
      </c>
      <c r="L657" t="s">
        <v>132</v>
      </c>
      <c r="M657" t="s">
        <v>34</v>
      </c>
      <c r="N657" t="s">
        <v>35</v>
      </c>
      <c r="O657">
        <v>0.85415441789337299</v>
      </c>
      <c r="P657" t="s">
        <v>36</v>
      </c>
    </row>
    <row r="658" spans="1:16">
      <c r="A658">
        <v>657</v>
      </c>
      <c r="B658" t="s">
        <v>714</v>
      </c>
      <c r="C658">
        <v>92</v>
      </c>
      <c r="D658">
        <v>114</v>
      </c>
      <c r="E658">
        <v>78.862396950289707</v>
      </c>
      <c r="F658">
        <v>0.81268783932161104</v>
      </c>
      <c r="G658">
        <v>4884.6092461247599</v>
      </c>
      <c r="H658">
        <v>522.83640993242705</v>
      </c>
      <c r="I658">
        <v>0.60959213414166802</v>
      </c>
      <c r="J658">
        <v>0.22454740652959301</v>
      </c>
      <c r="K658">
        <v>0.58936193106416601</v>
      </c>
      <c r="L658" t="s">
        <v>52</v>
      </c>
      <c r="M658" t="s">
        <v>34</v>
      </c>
      <c r="N658" t="s">
        <v>35</v>
      </c>
      <c r="O658">
        <v>0.67545875208534001</v>
      </c>
      <c r="P658" t="s">
        <v>36</v>
      </c>
    </row>
    <row r="659" spans="1:16">
      <c r="A659">
        <v>658</v>
      </c>
      <c r="B659" t="s">
        <v>715</v>
      </c>
      <c r="C659">
        <v>58</v>
      </c>
      <c r="D659">
        <v>68</v>
      </c>
      <c r="E659">
        <v>51.940796519075001</v>
      </c>
      <c r="F659">
        <v>0.86290322580645196</v>
      </c>
      <c r="G659">
        <v>2118.8835629489599</v>
      </c>
      <c r="H659">
        <v>381.13630162425699</v>
      </c>
      <c r="I659">
        <v>0.67493262247488495</v>
      </c>
      <c r="J659">
        <v>0.183297408599191</v>
      </c>
      <c r="K659">
        <v>0.61845473081428104</v>
      </c>
      <c r="L659" t="s">
        <v>33</v>
      </c>
      <c r="M659" t="s">
        <v>34</v>
      </c>
      <c r="N659" t="s">
        <v>35</v>
      </c>
      <c r="O659">
        <v>0.95441111666404999</v>
      </c>
      <c r="P659" t="s">
        <v>36</v>
      </c>
    </row>
    <row r="660" spans="1:16">
      <c r="A660">
        <v>659</v>
      </c>
      <c r="B660" t="s">
        <v>716</v>
      </c>
      <c r="C660">
        <v>73</v>
      </c>
      <c r="D660">
        <v>53</v>
      </c>
      <c r="E660">
        <v>53.689360057240698</v>
      </c>
      <c r="F660">
        <v>1.36734684027019</v>
      </c>
      <c r="G660">
        <v>2263.9474207939502</v>
      </c>
      <c r="H660">
        <v>394.221519015561</v>
      </c>
      <c r="I660">
        <v>0.57395264350907804</v>
      </c>
      <c r="J660">
        <v>0.18306088022758699</v>
      </c>
      <c r="K660">
        <v>0.68901252996788298</v>
      </c>
      <c r="L660" t="s">
        <v>33</v>
      </c>
      <c r="M660" t="s">
        <v>34</v>
      </c>
      <c r="N660" t="s">
        <v>35</v>
      </c>
      <c r="O660">
        <v>0.93549328754444605</v>
      </c>
      <c r="P660" t="s">
        <v>36</v>
      </c>
    </row>
    <row r="661" spans="1:16">
      <c r="A661">
        <v>660</v>
      </c>
      <c r="B661" t="s">
        <v>717</v>
      </c>
      <c r="C661">
        <v>49</v>
      </c>
      <c r="D661">
        <v>68</v>
      </c>
      <c r="E661">
        <v>51.363750245130298</v>
      </c>
      <c r="F661">
        <v>0.71199999999999997</v>
      </c>
      <c r="G661">
        <v>2072.0647973535001</v>
      </c>
      <c r="H661">
        <v>382.28153360771103</v>
      </c>
      <c r="I661">
        <v>0.65243079856784103</v>
      </c>
      <c r="J661">
        <v>0.178174913772116</v>
      </c>
      <c r="K661">
        <v>0.71309462915600996</v>
      </c>
      <c r="L661" t="s">
        <v>33</v>
      </c>
      <c r="M661" t="s">
        <v>34</v>
      </c>
      <c r="N661" t="s">
        <v>35</v>
      </c>
      <c r="O661">
        <v>0.90111044183189404</v>
      </c>
      <c r="P661" t="s">
        <v>36</v>
      </c>
    </row>
    <row r="662" spans="1:16">
      <c r="A662">
        <v>661</v>
      </c>
      <c r="B662" t="s">
        <v>718</v>
      </c>
      <c r="C662">
        <v>64</v>
      </c>
      <c r="D662">
        <v>94</v>
      </c>
      <c r="E662">
        <v>64.644110615290103</v>
      </c>
      <c r="F662">
        <v>0.68163268487727002</v>
      </c>
      <c r="G662">
        <v>3282.0697837429102</v>
      </c>
      <c r="H662">
        <v>318.52433693180899</v>
      </c>
      <c r="I662">
        <v>0.57379285334887398</v>
      </c>
      <c r="J662">
        <v>0.40651112385807697</v>
      </c>
      <c r="K662">
        <v>0.69307303600012604</v>
      </c>
      <c r="L662" t="s">
        <v>178</v>
      </c>
      <c r="M662" t="s">
        <v>34</v>
      </c>
      <c r="N662" t="s">
        <v>35</v>
      </c>
      <c r="O662">
        <v>0.65977867888564101</v>
      </c>
      <c r="P662" t="s">
        <v>36</v>
      </c>
    </row>
    <row r="663" spans="1:16">
      <c r="A663">
        <v>662</v>
      </c>
      <c r="B663" t="s">
        <v>719</v>
      </c>
      <c r="C663">
        <v>140</v>
      </c>
      <c r="D663">
        <v>45</v>
      </c>
      <c r="E663">
        <v>62.537134044361203</v>
      </c>
      <c r="F663">
        <v>3.0843373493975901</v>
      </c>
      <c r="G663">
        <v>3071.6082850661601</v>
      </c>
      <c r="H663">
        <v>394.13851509923501</v>
      </c>
      <c r="I663">
        <v>0.82400572787997595</v>
      </c>
      <c r="J663">
        <v>0.24847227834455099</v>
      </c>
      <c r="K663">
        <v>0.70742477664053705</v>
      </c>
      <c r="L663" t="s">
        <v>96</v>
      </c>
      <c r="M663" t="s">
        <v>34</v>
      </c>
      <c r="N663" t="s">
        <v>35</v>
      </c>
      <c r="O663">
        <v>0.79734253604472505</v>
      </c>
      <c r="P663" t="s">
        <v>36</v>
      </c>
    </row>
    <row r="664" spans="1:16">
      <c r="A664">
        <v>663</v>
      </c>
      <c r="B664" t="s">
        <v>720</v>
      </c>
      <c r="C664">
        <v>69</v>
      </c>
      <c r="D664">
        <v>121</v>
      </c>
      <c r="E664">
        <v>68.997055133552195</v>
      </c>
      <c r="F664">
        <v>0.57042510413982495</v>
      </c>
      <c r="G664">
        <v>3738.96148355388</v>
      </c>
      <c r="H664">
        <v>463.64295294346999</v>
      </c>
      <c r="I664">
        <v>0.62226981167960504</v>
      </c>
      <c r="J664">
        <v>0.21857149811798801</v>
      </c>
      <c r="K664">
        <v>0.62755076585341496</v>
      </c>
      <c r="L664" t="s">
        <v>33</v>
      </c>
      <c r="M664" t="s">
        <v>34</v>
      </c>
      <c r="N664" t="s">
        <v>35</v>
      </c>
      <c r="O664">
        <v>0.944443891627057</v>
      </c>
      <c r="P664" t="s">
        <v>36</v>
      </c>
    </row>
    <row r="665" spans="1:16">
      <c r="A665">
        <v>664</v>
      </c>
      <c r="B665" t="s">
        <v>721</v>
      </c>
      <c r="C665">
        <v>64</v>
      </c>
      <c r="D665">
        <v>105</v>
      </c>
      <c r="E665">
        <v>63.606786589231397</v>
      </c>
      <c r="F665">
        <v>0.60955460106328596</v>
      </c>
      <c r="G665">
        <v>3177.5821894139899</v>
      </c>
      <c r="H665">
        <v>354.49928251940298</v>
      </c>
      <c r="I665">
        <v>0.66246320970626404</v>
      </c>
      <c r="J665">
        <v>0.31774295892189802</v>
      </c>
      <c r="K665">
        <v>0.67869841269841302</v>
      </c>
      <c r="L665" t="s">
        <v>83</v>
      </c>
      <c r="M665" t="s">
        <v>34</v>
      </c>
      <c r="N665" t="s">
        <v>35</v>
      </c>
      <c r="O665">
        <v>0.77430642431998697</v>
      </c>
      <c r="P665" t="s">
        <v>36</v>
      </c>
    </row>
    <row r="666" spans="1:16">
      <c r="A666">
        <v>665</v>
      </c>
      <c r="B666" t="s">
        <v>722</v>
      </c>
      <c r="C666">
        <v>137</v>
      </c>
      <c r="D666">
        <v>103</v>
      </c>
      <c r="E666">
        <v>102.051034177692</v>
      </c>
      <c r="F666">
        <v>1.3280423280423299</v>
      </c>
      <c r="G666">
        <v>8179.4612960302502</v>
      </c>
      <c r="H666">
        <v>771.88840873967104</v>
      </c>
      <c r="I666">
        <v>0.59616254087689702</v>
      </c>
      <c r="J666">
        <v>0.172514469571005</v>
      </c>
      <c r="K666">
        <v>0.70364403528960495</v>
      </c>
      <c r="L666" t="s">
        <v>33</v>
      </c>
      <c r="M666" t="s">
        <v>34</v>
      </c>
      <c r="N666" t="s">
        <v>35</v>
      </c>
      <c r="O666">
        <v>0.94920007698008102</v>
      </c>
      <c r="P666" t="s">
        <v>36</v>
      </c>
    </row>
    <row r="667" spans="1:16">
      <c r="A667">
        <v>666</v>
      </c>
      <c r="B667" t="s">
        <v>723</v>
      </c>
      <c r="C667">
        <v>154</v>
      </c>
      <c r="D667">
        <v>53</v>
      </c>
      <c r="E667">
        <v>74.433018467114096</v>
      </c>
      <c r="F667">
        <v>2.90875334329847</v>
      </c>
      <c r="G667">
        <v>4351.3212113421596</v>
      </c>
      <c r="H667">
        <v>511.69957806027497</v>
      </c>
      <c r="I667">
        <v>0.61586100585762404</v>
      </c>
      <c r="J667">
        <v>0.20883384759498499</v>
      </c>
      <c r="K667">
        <v>0.726325452154713</v>
      </c>
      <c r="L667" t="s">
        <v>83</v>
      </c>
      <c r="M667" t="s">
        <v>34</v>
      </c>
      <c r="N667" t="s">
        <v>35</v>
      </c>
      <c r="O667">
        <v>0.77369046335497405</v>
      </c>
      <c r="P667" t="s">
        <v>36</v>
      </c>
    </row>
    <row r="668" spans="1:16">
      <c r="A668">
        <v>667</v>
      </c>
      <c r="B668" t="s">
        <v>724</v>
      </c>
      <c r="C668">
        <v>50</v>
      </c>
      <c r="D668">
        <v>55</v>
      </c>
      <c r="E668">
        <v>53.225538860924097</v>
      </c>
      <c r="F668">
        <v>0.90909090909090895</v>
      </c>
      <c r="G668">
        <v>2225</v>
      </c>
      <c r="H668">
        <v>180.71067690849301</v>
      </c>
      <c r="I668">
        <v>0.70928043213732495</v>
      </c>
      <c r="J668">
        <v>0.85619414564955498</v>
      </c>
      <c r="K668">
        <v>0.97267759562841505</v>
      </c>
      <c r="L668" t="s">
        <v>321</v>
      </c>
      <c r="M668" t="s">
        <v>34</v>
      </c>
      <c r="N668" t="s">
        <v>35</v>
      </c>
      <c r="O668">
        <v>0.79861039775064901</v>
      </c>
      <c r="P668" t="s">
        <v>36</v>
      </c>
    </row>
    <row r="669" spans="1:16">
      <c r="A669">
        <v>668</v>
      </c>
      <c r="B669" t="s">
        <v>725</v>
      </c>
      <c r="C669">
        <v>57</v>
      </c>
      <c r="D669">
        <v>70</v>
      </c>
      <c r="E669">
        <v>58.606809123381602</v>
      </c>
      <c r="F669">
        <v>0.82156608844979695</v>
      </c>
      <c r="G669">
        <v>2697.65268431002</v>
      </c>
      <c r="H669">
        <v>228.57951722642699</v>
      </c>
      <c r="I669">
        <v>0.68956641967840904</v>
      </c>
      <c r="J669">
        <v>0.64881558956047003</v>
      </c>
      <c r="K669">
        <v>0.88282504012841101</v>
      </c>
      <c r="L669" t="s">
        <v>33</v>
      </c>
      <c r="M669" t="s">
        <v>34</v>
      </c>
      <c r="N669" t="s">
        <v>35</v>
      </c>
      <c r="O669">
        <v>0.94751201811596497</v>
      </c>
      <c r="P669" t="s">
        <v>36</v>
      </c>
    </row>
    <row r="670" spans="1:16">
      <c r="A670">
        <v>669</v>
      </c>
      <c r="B670" t="s">
        <v>726</v>
      </c>
      <c r="C670">
        <v>101</v>
      </c>
      <c r="D670">
        <v>124</v>
      </c>
      <c r="E670">
        <v>86.656484419505105</v>
      </c>
      <c r="F670">
        <v>0.81184506237112597</v>
      </c>
      <c r="G670">
        <v>5897.8267860113401</v>
      </c>
      <c r="H670">
        <v>494.32071398206398</v>
      </c>
      <c r="I670">
        <v>0.58198039901337095</v>
      </c>
      <c r="J670">
        <v>0.30330827465084498</v>
      </c>
      <c r="K670">
        <v>0.663173727751316</v>
      </c>
      <c r="L670" t="s">
        <v>331</v>
      </c>
      <c r="M670" t="s">
        <v>34</v>
      </c>
      <c r="N670" t="s">
        <v>35</v>
      </c>
      <c r="O670">
        <v>0.82596375973843805</v>
      </c>
      <c r="P670" t="s">
        <v>36</v>
      </c>
    </row>
    <row r="671" spans="1:16">
      <c r="A671">
        <v>670</v>
      </c>
      <c r="B671" t="s">
        <v>727</v>
      </c>
      <c r="C671">
        <v>112</v>
      </c>
      <c r="D671">
        <v>134</v>
      </c>
      <c r="E671">
        <v>95.090554380071097</v>
      </c>
      <c r="F671">
        <v>0.83333333333333304</v>
      </c>
      <c r="G671">
        <v>7101.7379013232503</v>
      </c>
      <c r="H671">
        <v>811.786715850934</v>
      </c>
      <c r="I671">
        <v>0.62365789542624295</v>
      </c>
      <c r="J671">
        <v>0.13542243662088299</v>
      </c>
      <c r="K671">
        <v>0.60831094758552196</v>
      </c>
      <c r="L671" t="s">
        <v>178</v>
      </c>
      <c r="M671" t="s">
        <v>34</v>
      </c>
      <c r="N671" t="s">
        <v>35</v>
      </c>
      <c r="O671">
        <v>0.68994365345150699</v>
      </c>
      <c r="P671" t="s">
        <v>36</v>
      </c>
    </row>
    <row r="672" spans="1:16">
      <c r="A672">
        <v>671</v>
      </c>
      <c r="B672" t="s">
        <v>728</v>
      </c>
      <c r="C672">
        <v>77</v>
      </c>
      <c r="D672">
        <v>131</v>
      </c>
      <c r="E672">
        <v>74.426662049159802</v>
      </c>
      <c r="F672">
        <v>0.59202826071722103</v>
      </c>
      <c r="G672">
        <v>4350.5780563326998</v>
      </c>
      <c r="H672">
        <v>582.45884228965497</v>
      </c>
      <c r="I672">
        <v>0.66306287388146001</v>
      </c>
      <c r="J672">
        <v>0.161148528320012</v>
      </c>
      <c r="K672">
        <v>0.54275913220841798</v>
      </c>
      <c r="L672" t="s">
        <v>75</v>
      </c>
      <c r="M672" t="s">
        <v>34</v>
      </c>
      <c r="N672" t="s">
        <v>35</v>
      </c>
      <c r="O672">
        <v>0.75675136725294101</v>
      </c>
      <c r="P672" t="s">
        <v>36</v>
      </c>
    </row>
    <row r="673" spans="1:16">
      <c r="A673">
        <v>672</v>
      </c>
      <c r="B673" t="s">
        <v>729</v>
      </c>
      <c r="C673">
        <v>64</v>
      </c>
      <c r="D673">
        <v>105</v>
      </c>
      <c r="E673">
        <v>66.007110049907695</v>
      </c>
      <c r="F673">
        <v>0.61589776869693302</v>
      </c>
      <c r="G673">
        <v>3421.9315565217398</v>
      </c>
      <c r="H673">
        <v>358.93851633185898</v>
      </c>
      <c r="I673">
        <v>0.65282631278464698</v>
      </c>
      <c r="J673">
        <v>0.33376520240167301</v>
      </c>
      <c r="K673">
        <v>0.68111354357730303</v>
      </c>
      <c r="L673" t="s">
        <v>33</v>
      </c>
      <c r="M673" t="s">
        <v>34</v>
      </c>
      <c r="N673" t="s">
        <v>35</v>
      </c>
      <c r="O673">
        <v>0.94220761229057803</v>
      </c>
      <c r="P673" t="s">
        <v>36</v>
      </c>
    </row>
    <row r="674" spans="1:16">
      <c r="A674">
        <v>673</v>
      </c>
      <c r="B674" t="s">
        <v>730</v>
      </c>
      <c r="C674">
        <v>111</v>
      </c>
      <c r="D674">
        <v>82</v>
      </c>
      <c r="E674">
        <v>71.696611185937698</v>
      </c>
      <c r="F674">
        <v>1.34437093052561</v>
      </c>
      <c r="G674">
        <v>4037.2639043478298</v>
      </c>
      <c r="H674">
        <v>432.82349778351602</v>
      </c>
      <c r="I674">
        <v>0.67821789668062604</v>
      </c>
      <c r="J674">
        <v>0.27081663791136501</v>
      </c>
      <c r="K674">
        <v>0.59287148594377503</v>
      </c>
      <c r="L674" t="s">
        <v>33</v>
      </c>
      <c r="M674" t="s">
        <v>34</v>
      </c>
      <c r="N674" t="s">
        <v>35</v>
      </c>
      <c r="O674">
        <v>0.94463626785196997</v>
      </c>
      <c r="P674" t="s">
        <v>36</v>
      </c>
    </row>
    <row r="675" spans="1:16">
      <c r="A675">
        <v>674</v>
      </c>
      <c r="B675" t="s">
        <v>731</v>
      </c>
      <c r="C675">
        <v>106</v>
      </c>
      <c r="D675">
        <v>64</v>
      </c>
      <c r="E675">
        <v>74.043000480508198</v>
      </c>
      <c r="F675">
        <v>1.6535403712078101</v>
      </c>
      <c r="G675">
        <v>4305.8401247637103</v>
      </c>
      <c r="H675">
        <v>382.672900022009</v>
      </c>
      <c r="I675">
        <v>0.58343893737477803</v>
      </c>
      <c r="J675">
        <v>0.36949821888428902</v>
      </c>
      <c r="K675">
        <v>0.76327229614016601</v>
      </c>
      <c r="L675" t="s">
        <v>33</v>
      </c>
      <c r="M675" t="s">
        <v>34</v>
      </c>
      <c r="N675" t="s">
        <v>35</v>
      </c>
      <c r="O675">
        <v>0.87817206231419798</v>
      </c>
      <c r="P675" t="s">
        <v>36</v>
      </c>
    </row>
    <row r="676" spans="1:16">
      <c r="A676">
        <v>675</v>
      </c>
      <c r="B676" t="s">
        <v>732</v>
      </c>
      <c r="C676">
        <v>52</v>
      </c>
      <c r="D676">
        <v>124</v>
      </c>
      <c r="E676">
        <v>59.065152952827397</v>
      </c>
      <c r="F676">
        <v>0.42290748898678399</v>
      </c>
      <c r="G676">
        <v>2740.0125198487699</v>
      </c>
      <c r="H676">
        <v>593.81486296518995</v>
      </c>
      <c r="I676">
        <v>0.85505744042127596</v>
      </c>
      <c r="J676">
        <v>9.7647310047721397E-2</v>
      </c>
      <c r="K676">
        <v>0.550758843212237</v>
      </c>
      <c r="L676" t="s">
        <v>45</v>
      </c>
      <c r="M676" t="s">
        <v>34</v>
      </c>
      <c r="N676" t="s">
        <v>35</v>
      </c>
      <c r="O676">
        <v>0.75727643050308402</v>
      </c>
      <c r="P676" t="s">
        <v>36</v>
      </c>
    </row>
    <row r="677" spans="1:16">
      <c r="A677">
        <v>676</v>
      </c>
      <c r="B677" t="s">
        <v>733</v>
      </c>
      <c r="C677">
        <v>102</v>
      </c>
      <c r="D677">
        <v>90</v>
      </c>
      <c r="E677">
        <v>80.060327123617</v>
      </c>
      <c r="F677">
        <v>1.1349053321765299</v>
      </c>
      <c r="G677">
        <v>5034.1320340264701</v>
      </c>
      <c r="H677">
        <v>462.80380668391399</v>
      </c>
      <c r="I677">
        <v>0.47010194666126698</v>
      </c>
      <c r="J677">
        <v>0.29535247940418402</v>
      </c>
      <c r="K677">
        <v>0.666404328578455</v>
      </c>
      <c r="L677" t="s">
        <v>83</v>
      </c>
      <c r="M677" t="s">
        <v>34</v>
      </c>
      <c r="N677" t="s">
        <v>35</v>
      </c>
      <c r="O677">
        <v>0.78385775997523099</v>
      </c>
      <c r="P677" t="s">
        <v>36</v>
      </c>
    </row>
    <row r="678" spans="1:16">
      <c r="A678">
        <v>677</v>
      </c>
      <c r="B678" t="s">
        <v>734</v>
      </c>
      <c r="C678">
        <v>63</v>
      </c>
      <c r="D678">
        <v>67</v>
      </c>
      <c r="E678">
        <v>60.132050534054898</v>
      </c>
      <c r="F678">
        <v>0.94308943089430897</v>
      </c>
      <c r="G678">
        <v>2839.8925531190898</v>
      </c>
      <c r="H678">
        <v>271.45795443441602</v>
      </c>
      <c r="I678">
        <v>0.62624042530463797</v>
      </c>
      <c r="J678">
        <v>0.48429125688202401</v>
      </c>
      <c r="K678">
        <v>0.86332007952286305</v>
      </c>
      <c r="L678" t="s">
        <v>83</v>
      </c>
      <c r="M678" t="s">
        <v>34</v>
      </c>
      <c r="N678" t="s">
        <v>35</v>
      </c>
      <c r="O678">
        <v>0.74081874437041195</v>
      </c>
      <c r="P678" t="s">
        <v>36</v>
      </c>
    </row>
    <row r="679" spans="1:16">
      <c r="A679">
        <v>678</v>
      </c>
      <c r="B679" t="s">
        <v>735</v>
      </c>
      <c r="C679">
        <v>58</v>
      </c>
      <c r="D679">
        <v>105</v>
      </c>
      <c r="E679">
        <v>70.830909247601099</v>
      </c>
      <c r="F679">
        <v>0.54758613866479899</v>
      </c>
      <c r="G679">
        <v>3940.3564911153098</v>
      </c>
      <c r="H679">
        <v>377.92758048565503</v>
      </c>
      <c r="I679">
        <v>0.78901248201473995</v>
      </c>
      <c r="J679">
        <v>0.34667953453630002</v>
      </c>
      <c r="K679">
        <v>0.77968943003352698</v>
      </c>
      <c r="L679" t="s">
        <v>331</v>
      </c>
      <c r="M679" t="s">
        <v>34</v>
      </c>
      <c r="N679" t="s">
        <v>35</v>
      </c>
      <c r="O679">
        <v>0.72454534728118503</v>
      </c>
      <c r="P679" t="s">
        <v>36</v>
      </c>
    </row>
    <row r="680" spans="1:16">
      <c r="A680">
        <v>679</v>
      </c>
      <c r="B680" t="s">
        <v>736</v>
      </c>
      <c r="C680">
        <v>58</v>
      </c>
      <c r="D680">
        <v>73</v>
      </c>
      <c r="E680">
        <v>55.365657180099603</v>
      </c>
      <c r="F680">
        <v>0.79850746268656703</v>
      </c>
      <c r="G680">
        <v>2407.52496862004</v>
      </c>
      <c r="H680">
        <v>455.44085620569098</v>
      </c>
      <c r="I680">
        <v>0.800402891843222</v>
      </c>
      <c r="J680">
        <v>0.14585344432492101</v>
      </c>
      <c r="K680">
        <v>0.717551165057145</v>
      </c>
      <c r="L680" t="s">
        <v>96</v>
      </c>
      <c r="M680" t="s">
        <v>34</v>
      </c>
      <c r="N680" t="s">
        <v>35</v>
      </c>
      <c r="O680">
        <v>0.80512551595034798</v>
      </c>
      <c r="P680" t="s">
        <v>36</v>
      </c>
    </row>
    <row r="681" spans="1:16">
      <c r="A681">
        <v>680</v>
      </c>
      <c r="B681" t="s">
        <v>737</v>
      </c>
      <c r="C681">
        <v>76</v>
      </c>
      <c r="D681">
        <v>128</v>
      </c>
      <c r="E681">
        <v>84.853541138287994</v>
      </c>
      <c r="F681">
        <v>0.592565895204476</v>
      </c>
      <c r="G681">
        <v>5654.9637289225002</v>
      </c>
      <c r="H681">
        <v>479.41550995028501</v>
      </c>
      <c r="I681">
        <v>0.62831126459771802</v>
      </c>
      <c r="J681">
        <v>0.30918294350049302</v>
      </c>
      <c r="K681">
        <v>0.74171475358702399</v>
      </c>
      <c r="L681" t="s">
        <v>33</v>
      </c>
      <c r="M681" t="s">
        <v>34</v>
      </c>
      <c r="N681" t="s">
        <v>35</v>
      </c>
      <c r="O681">
        <v>0.84628571371425898</v>
      </c>
      <c r="P681" t="s">
        <v>36</v>
      </c>
    </row>
    <row r="682" spans="1:16">
      <c r="A682">
        <v>681</v>
      </c>
      <c r="B682" t="s">
        <v>738</v>
      </c>
      <c r="C682">
        <v>136</v>
      </c>
      <c r="D682">
        <v>76</v>
      </c>
      <c r="E682">
        <v>81.855561974747104</v>
      </c>
      <c r="F682">
        <v>1.7943115578862101</v>
      </c>
      <c r="G682">
        <v>5262.4292529300601</v>
      </c>
      <c r="H682">
        <v>468.12758171827898</v>
      </c>
      <c r="I682">
        <v>0.77270169128797095</v>
      </c>
      <c r="J682">
        <v>0.30176417102563602</v>
      </c>
      <c r="K682">
        <v>0.69392234874468395</v>
      </c>
      <c r="L682" t="s">
        <v>33</v>
      </c>
      <c r="M682" t="s">
        <v>34</v>
      </c>
      <c r="N682" t="s">
        <v>35</v>
      </c>
      <c r="O682">
        <v>0.94177337071630696</v>
      </c>
      <c r="P682" t="s">
        <v>36</v>
      </c>
    </row>
    <row r="683" spans="1:16">
      <c r="A683">
        <v>682</v>
      </c>
      <c r="B683" t="s">
        <v>739</v>
      </c>
      <c r="C683">
        <v>63</v>
      </c>
      <c r="D683">
        <v>53</v>
      </c>
      <c r="E683">
        <v>50.964285332977603</v>
      </c>
      <c r="F683">
        <v>1.1958763194725299</v>
      </c>
      <c r="G683">
        <v>2039.96050094518</v>
      </c>
      <c r="H683">
        <v>339.83207176799402</v>
      </c>
      <c r="I683">
        <v>0.66562010324760301</v>
      </c>
      <c r="J683">
        <v>0.221974402740475</v>
      </c>
      <c r="K683">
        <v>0.74402341844202302</v>
      </c>
      <c r="L683" t="s">
        <v>45</v>
      </c>
      <c r="M683" t="s">
        <v>34</v>
      </c>
      <c r="N683" t="s">
        <v>35</v>
      </c>
      <c r="O683">
        <v>0.74494676074181299</v>
      </c>
      <c r="P683" t="s">
        <v>36</v>
      </c>
    </row>
    <row r="684" spans="1:16">
      <c r="A684">
        <v>683</v>
      </c>
      <c r="B684" t="s">
        <v>740</v>
      </c>
      <c r="C684">
        <v>53</v>
      </c>
      <c r="D684">
        <v>73</v>
      </c>
      <c r="E684">
        <v>54.255624870618803</v>
      </c>
      <c r="F684">
        <v>0.73134328358209</v>
      </c>
      <c r="G684">
        <v>2311.9552344045401</v>
      </c>
      <c r="H684">
        <v>347.09093707882801</v>
      </c>
      <c r="I684">
        <v>0.56324382364644399</v>
      </c>
      <c r="J684">
        <v>0.24115859052212399</v>
      </c>
      <c r="K684">
        <v>0.76141759263791697</v>
      </c>
      <c r="L684" t="s">
        <v>33</v>
      </c>
      <c r="M684" t="s">
        <v>34</v>
      </c>
      <c r="N684" t="s">
        <v>35</v>
      </c>
      <c r="O684">
        <v>0.94621346052275401</v>
      </c>
      <c r="P684" t="s">
        <v>36</v>
      </c>
    </row>
    <row r="685" spans="1:16">
      <c r="A685">
        <v>684</v>
      </c>
      <c r="B685" t="s">
        <v>741</v>
      </c>
      <c r="C685">
        <v>115</v>
      </c>
      <c r="D685">
        <v>55</v>
      </c>
      <c r="E685">
        <v>64.148937561958604</v>
      </c>
      <c r="F685">
        <v>2.0895848318575299</v>
      </c>
      <c r="G685">
        <v>3231.9811361058601</v>
      </c>
      <c r="H685">
        <v>294.38918458886798</v>
      </c>
      <c r="I685">
        <v>0.39939846659698403</v>
      </c>
      <c r="J685">
        <v>0.468635279785932</v>
      </c>
      <c r="K685">
        <v>0.79147557690907799</v>
      </c>
      <c r="L685" t="s">
        <v>331</v>
      </c>
      <c r="M685" t="s">
        <v>34</v>
      </c>
      <c r="N685" t="s">
        <v>35</v>
      </c>
      <c r="O685">
        <v>0.70647739274778898</v>
      </c>
      <c r="P685" t="s">
        <v>36</v>
      </c>
    </row>
    <row r="686" spans="1:16">
      <c r="A686">
        <v>685</v>
      </c>
      <c r="B686" t="s">
        <v>742</v>
      </c>
      <c r="C686">
        <v>57</v>
      </c>
      <c r="D686">
        <v>50</v>
      </c>
      <c r="E686">
        <v>50.357268065469199</v>
      </c>
      <c r="F686">
        <v>1.13540106533998</v>
      </c>
      <c r="G686">
        <v>1991.65542533081</v>
      </c>
      <c r="H686">
        <v>187.316789328326</v>
      </c>
      <c r="I686">
        <v>0.81204677205221298</v>
      </c>
      <c r="J686">
        <v>0.71329742665665097</v>
      </c>
      <c r="K686">
        <v>0.94472645234066599</v>
      </c>
      <c r="L686" t="s">
        <v>83</v>
      </c>
      <c r="M686" t="s">
        <v>34</v>
      </c>
      <c r="N686" t="s">
        <v>35</v>
      </c>
      <c r="O686">
        <v>0.79968300917784096</v>
      </c>
      <c r="P686" t="s">
        <v>36</v>
      </c>
    </row>
    <row r="687" spans="1:16">
      <c r="A687">
        <v>686</v>
      </c>
      <c r="B687" t="s">
        <v>743</v>
      </c>
      <c r="C687">
        <v>63</v>
      </c>
      <c r="D687">
        <v>63</v>
      </c>
      <c r="E687">
        <v>57.926378390487102</v>
      </c>
      <c r="F687">
        <v>1</v>
      </c>
      <c r="G687">
        <v>2635.3762945179601</v>
      </c>
      <c r="H687">
        <v>382.99779022289403</v>
      </c>
      <c r="I687">
        <v>0.66218142684299597</v>
      </c>
      <c r="J687">
        <v>0.225766740362565</v>
      </c>
      <c r="K687">
        <v>0.76344456404736305</v>
      </c>
      <c r="L687" t="s">
        <v>33</v>
      </c>
      <c r="M687" t="s">
        <v>34</v>
      </c>
      <c r="N687" t="s">
        <v>35</v>
      </c>
      <c r="O687">
        <v>0.90479916598209797</v>
      </c>
      <c r="P687" t="s">
        <v>36</v>
      </c>
    </row>
    <row r="688" spans="1:16">
      <c r="A688">
        <v>687</v>
      </c>
      <c r="B688" t="s">
        <v>744</v>
      </c>
      <c r="C688">
        <v>50</v>
      </c>
      <c r="D688">
        <v>50</v>
      </c>
      <c r="E688">
        <v>52.015709478601003</v>
      </c>
      <c r="F688">
        <v>1</v>
      </c>
      <c r="G688">
        <v>2125</v>
      </c>
      <c r="H688">
        <v>176.56854152679401</v>
      </c>
      <c r="I688">
        <v>0.66869122230161004</v>
      </c>
      <c r="J688">
        <v>0.85652913266530095</v>
      </c>
      <c r="K688">
        <v>0.97142857142857097</v>
      </c>
      <c r="L688" t="s">
        <v>279</v>
      </c>
      <c r="M688" t="s">
        <v>34</v>
      </c>
      <c r="N688" t="s">
        <v>35</v>
      </c>
      <c r="O688">
        <v>0.86919051391605995</v>
      </c>
      <c r="P688" t="s">
        <v>36</v>
      </c>
    </row>
    <row r="689" spans="1:16">
      <c r="A689">
        <v>688</v>
      </c>
      <c r="B689" t="s">
        <v>745</v>
      </c>
      <c r="C689">
        <v>63</v>
      </c>
      <c r="D689">
        <v>58</v>
      </c>
      <c r="E689">
        <v>52.0572558502991</v>
      </c>
      <c r="F689">
        <v>1.0943396226415101</v>
      </c>
      <c r="G689">
        <v>2128.3959470699401</v>
      </c>
      <c r="H689">
        <v>502.82661966966498</v>
      </c>
      <c r="I689">
        <v>0.63809135794239702</v>
      </c>
      <c r="J689">
        <v>0.10578540787327199</v>
      </c>
      <c r="K689">
        <v>0.64673471231144397</v>
      </c>
      <c r="L689" t="s">
        <v>83</v>
      </c>
      <c r="M689" t="s">
        <v>34</v>
      </c>
      <c r="N689" t="s">
        <v>35</v>
      </c>
      <c r="O689">
        <v>0.78676002460366701</v>
      </c>
      <c r="P689" t="s">
        <v>36</v>
      </c>
    </row>
    <row r="690" spans="1:16">
      <c r="A690">
        <v>689</v>
      </c>
      <c r="B690" t="s">
        <v>746</v>
      </c>
      <c r="C690">
        <v>75</v>
      </c>
      <c r="D690">
        <v>104</v>
      </c>
      <c r="E690">
        <v>66.729938646870494</v>
      </c>
      <c r="F690">
        <v>0.72118484717384901</v>
      </c>
      <c r="G690">
        <v>3497.2874744801502</v>
      </c>
      <c r="H690">
        <v>642.34585841261799</v>
      </c>
      <c r="I690">
        <v>0.64779453462618797</v>
      </c>
      <c r="J690">
        <v>0.106513177284011</v>
      </c>
      <c r="K690">
        <v>0.56713827761575397</v>
      </c>
      <c r="L690" t="s">
        <v>70</v>
      </c>
      <c r="M690" t="s">
        <v>34</v>
      </c>
      <c r="N690" t="s">
        <v>35</v>
      </c>
      <c r="O690">
        <v>0.74046258515103602</v>
      </c>
      <c r="P690" t="s">
        <v>36</v>
      </c>
    </row>
    <row r="691" spans="1:16">
      <c r="A691">
        <v>690</v>
      </c>
      <c r="B691" t="s">
        <v>747</v>
      </c>
      <c r="C691">
        <v>135</v>
      </c>
      <c r="D691">
        <v>63</v>
      </c>
      <c r="E691">
        <v>86.805947751439504</v>
      </c>
      <c r="F691">
        <v>2.1454522805632199</v>
      </c>
      <c r="G691">
        <v>5918.1892332703201</v>
      </c>
      <c r="H691">
        <v>394.60348319136602</v>
      </c>
      <c r="I691">
        <v>0.55856815455058495</v>
      </c>
      <c r="J691">
        <v>0.47761381755722898</v>
      </c>
      <c r="K691">
        <v>0.82973181354060299</v>
      </c>
      <c r="L691" t="s">
        <v>144</v>
      </c>
      <c r="M691" t="s">
        <v>34</v>
      </c>
      <c r="N691" t="s">
        <v>35</v>
      </c>
      <c r="O691">
        <v>0.70963503498574998</v>
      </c>
      <c r="P691" t="s">
        <v>36</v>
      </c>
    </row>
    <row r="692" spans="1:16">
      <c r="A692">
        <v>691</v>
      </c>
      <c r="B692" t="s">
        <v>748</v>
      </c>
      <c r="C692">
        <v>110</v>
      </c>
      <c r="D692">
        <v>104</v>
      </c>
      <c r="E692">
        <v>81.540535721716907</v>
      </c>
      <c r="F692">
        <v>1.05759162303665</v>
      </c>
      <c r="G692">
        <v>5222.0016204158801</v>
      </c>
      <c r="H692">
        <v>511.106211089466</v>
      </c>
      <c r="I692">
        <v>0.53836866617466805</v>
      </c>
      <c r="J692">
        <v>0.251202842276189</v>
      </c>
      <c r="K692">
        <v>0.58237331963069205</v>
      </c>
      <c r="L692" t="s">
        <v>33</v>
      </c>
      <c r="M692" t="s">
        <v>34</v>
      </c>
      <c r="N692" t="s">
        <v>35</v>
      </c>
      <c r="O692">
        <v>0.93019292068563497</v>
      </c>
      <c r="P692" t="s">
        <v>36</v>
      </c>
    </row>
    <row r="693" spans="1:16">
      <c r="A693">
        <v>692</v>
      </c>
      <c r="B693" t="s">
        <v>749</v>
      </c>
      <c r="C693">
        <v>105</v>
      </c>
      <c r="D693">
        <v>103</v>
      </c>
      <c r="E693">
        <v>84.891446573016196</v>
      </c>
      <c r="F693">
        <v>1.0265957489980699</v>
      </c>
      <c r="G693">
        <v>5660.0171829867704</v>
      </c>
      <c r="H693">
        <v>540.52525273872504</v>
      </c>
      <c r="I693">
        <v>0.60351192887778604</v>
      </c>
      <c r="J693">
        <v>0.24344207248694899</v>
      </c>
      <c r="K693">
        <v>0.63927546206919705</v>
      </c>
      <c r="L693" t="s">
        <v>33</v>
      </c>
      <c r="M693" t="s">
        <v>34</v>
      </c>
      <c r="N693" t="s">
        <v>35</v>
      </c>
      <c r="O693">
        <v>0.93888034099020701</v>
      </c>
      <c r="P693" t="s">
        <v>36</v>
      </c>
    </row>
    <row r="694" spans="1:16">
      <c r="A694">
        <v>693</v>
      </c>
      <c r="B694" t="s">
        <v>750</v>
      </c>
      <c r="C694">
        <v>62</v>
      </c>
      <c r="D694">
        <v>108</v>
      </c>
      <c r="E694">
        <v>69.631828579115606</v>
      </c>
      <c r="F694">
        <v>0.56938890693937905</v>
      </c>
      <c r="G694">
        <v>3808.0748994328901</v>
      </c>
      <c r="H694">
        <v>353.73763094186802</v>
      </c>
      <c r="I694">
        <v>0.569726228759592</v>
      </c>
      <c r="J694">
        <v>0.38243076296142398</v>
      </c>
      <c r="K694">
        <v>0.79669765850928198</v>
      </c>
      <c r="L694" t="s">
        <v>279</v>
      </c>
      <c r="M694" t="s">
        <v>34</v>
      </c>
      <c r="N694" t="s">
        <v>35</v>
      </c>
      <c r="O694">
        <v>0.85991428201658104</v>
      </c>
      <c r="P694" t="s">
        <v>36</v>
      </c>
    </row>
    <row r="695" spans="1:16">
      <c r="A695">
        <v>694</v>
      </c>
      <c r="B695" t="s">
        <v>751</v>
      </c>
      <c r="C695">
        <v>78</v>
      </c>
      <c r="D695">
        <v>73</v>
      </c>
      <c r="E695">
        <v>67.808804682551894</v>
      </c>
      <c r="F695">
        <v>1.06716419440066</v>
      </c>
      <c r="G695">
        <v>3611.2874529300602</v>
      </c>
      <c r="H695">
        <v>635.57238190101498</v>
      </c>
      <c r="I695">
        <v>0.682803798448962</v>
      </c>
      <c r="J695">
        <v>0.112341932078473</v>
      </c>
      <c r="K695">
        <v>0.64767820013861499</v>
      </c>
      <c r="L695" t="s">
        <v>144</v>
      </c>
      <c r="M695" t="s">
        <v>34</v>
      </c>
      <c r="N695" t="s">
        <v>35</v>
      </c>
      <c r="O695">
        <v>0.74828982619005902</v>
      </c>
      <c r="P695" t="s">
        <v>36</v>
      </c>
    </row>
    <row r="696" spans="1:16">
      <c r="A696">
        <v>695</v>
      </c>
      <c r="B696" t="s">
        <v>752</v>
      </c>
      <c r="C696">
        <v>59</v>
      </c>
      <c r="D696">
        <v>68</v>
      </c>
      <c r="E696">
        <v>58.960932038462303</v>
      </c>
      <c r="F696">
        <v>0.87096774193548399</v>
      </c>
      <c r="G696">
        <v>2730.3515047259002</v>
      </c>
      <c r="H696">
        <v>231.99251569561301</v>
      </c>
      <c r="I696">
        <v>0.70377469333536302</v>
      </c>
      <c r="J696">
        <v>0.63750042246681904</v>
      </c>
      <c r="K696">
        <v>0.90501527244063495</v>
      </c>
      <c r="L696" t="s">
        <v>33</v>
      </c>
      <c r="M696" t="s">
        <v>34</v>
      </c>
      <c r="N696" t="s">
        <v>35</v>
      </c>
      <c r="O696">
        <v>0.95474622373671103</v>
      </c>
      <c r="P696" t="s">
        <v>36</v>
      </c>
    </row>
    <row r="697" spans="1:16">
      <c r="A697">
        <v>696</v>
      </c>
      <c r="B697" t="s">
        <v>753</v>
      </c>
      <c r="C697">
        <v>40</v>
      </c>
      <c r="D697">
        <v>111</v>
      </c>
      <c r="E697">
        <v>58.399785858934301</v>
      </c>
      <c r="F697">
        <v>0.35848406722220399</v>
      </c>
      <c r="G697">
        <v>2678.6279160680501</v>
      </c>
      <c r="H697">
        <v>285.70169905185702</v>
      </c>
      <c r="I697">
        <v>0.69577493289475201</v>
      </c>
      <c r="J697">
        <v>0.41237906389036399</v>
      </c>
      <c r="K697">
        <v>0.822772096420745</v>
      </c>
      <c r="L697" t="s">
        <v>75</v>
      </c>
      <c r="M697" t="s">
        <v>34</v>
      </c>
      <c r="N697" t="s">
        <v>35</v>
      </c>
      <c r="O697">
        <v>0.71805473165033895</v>
      </c>
      <c r="P697" t="s">
        <v>36</v>
      </c>
    </row>
    <row r="698" spans="1:16">
      <c r="A698">
        <v>697</v>
      </c>
      <c r="B698" t="s">
        <v>754</v>
      </c>
      <c r="C698">
        <v>115</v>
      </c>
      <c r="D698">
        <v>67</v>
      </c>
      <c r="E698">
        <v>70.316061060590002</v>
      </c>
      <c r="F698">
        <v>1.7247052866880499</v>
      </c>
      <c r="G698">
        <v>3883.2821863894101</v>
      </c>
      <c r="H698">
        <v>383.63104292175001</v>
      </c>
      <c r="I698">
        <v>0.47750856510148798</v>
      </c>
      <c r="J698">
        <v>0.331574657474838</v>
      </c>
      <c r="K698">
        <v>0.68789657986888197</v>
      </c>
      <c r="L698" t="s">
        <v>144</v>
      </c>
      <c r="M698" t="s">
        <v>34</v>
      </c>
      <c r="N698" t="s">
        <v>35</v>
      </c>
      <c r="O698">
        <v>0.79982032075092402</v>
      </c>
      <c r="P698" t="s">
        <v>36</v>
      </c>
    </row>
    <row r="699" spans="1:16">
      <c r="A699">
        <v>698</v>
      </c>
      <c r="B699" t="s">
        <v>755</v>
      </c>
      <c r="C699">
        <v>50</v>
      </c>
      <c r="D699">
        <v>50</v>
      </c>
      <c r="E699">
        <v>50.933540740830999</v>
      </c>
      <c r="F699">
        <v>1</v>
      </c>
      <c r="G699">
        <v>2037.5</v>
      </c>
      <c r="H699">
        <v>173.63960921764399</v>
      </c>
      <c r="I699">
        <v>0.68758152383409599</v>
      </c>
      <c r="J699">
        <v>0.84919979741775198</v>
      </c>
      <c r="K699">
        <v>0.95882352941176496</v>
      </c>
      <c r="L699" t="s">
        <v>279</v>
      </c>
      <c r="M699" t="s">
        <v>34</v>
      </c>
      <c r="N699" t="s">
        <v>35</v>
      </c>
      <c r="O699">
        <v>0.77193354565633499</v>
      </c>
      <c r="P699" t="s">
        <v>36</v>
      </c>
    </row>
    <row r="700" spans="1:16">
      <c r="A700">
        <v>699</v>
      </c>
      <c r="B700" t="s">
        <v>756</v>
      </c>
      <c r="C700">
        <v>42</v>
      </c>
      <c r="D700">
        <v>89</v>
      </c>
      <c r="E700">
        <v>56.696378860545202</v>
      </c>
      <c r="F700">
        <v>0.475638774532395</v>
      </c>
      <c r="G700">
        <v>2524.64619810964</v>
      </c>
      <c r="H700">
        <v>248.92359992856601</v>
      </c>
      <c r="I700">
        <v>0.79262729988716596</v>
      </c>
      <c r="J700">
        <v>0.51200976376333796</v>
      </c>
      <c r="K700">
        <v>0.87197125256673502</v>
      </c>
      <c r="L700" t="s">
        <v>144</v>
      </c>
      <c r="M700" t="s">
        <v>34</v>
      </c>
      <c r="N700" t="s">
        <v>35</v>
      </c>
      <c r="O700">
        <v>0.71523195726014399</v>
      </c>
      <c r="P700" t="s">
        <v>36</v>
      </c>
    </row>
    <row r="701" spans="1:16">
      <c r="A701">
        <v>700</v>
      </c>
      <c r="B701" t="s">
        <v>757</v>
      </c>
      <c r="C701">
        <v>75</v>
      </c>
      <c r="D701">
        <v>61</v>
      </c>
      <c r="E701">
        <v>66.078746360684306</v>
      </c>
      <c r="F701">
        <v>1.21785952525584</v>
      </c>
      <c r="G701">
        <v>3429.3631066162602</v>
      </c>
      <c r="H701">
        <v>251.42385046036301</v>
      </c>
      <c r="I701">
        <v>0.59378626273202095</v>
      </c>
      <c r="J701">
        <v>0.68172683418580704</v>
      </c>
      <c r="K701">
        <v>0.91635887048731102</v>
      </c>
      <c r="L701" t="s">
        <v>132</v>
      </c>
      <c r="M701" t="s">
        <v>34</v>
      </c>
      <c r="N701" t="s">
        <v>35</v>
      </c>
      <c r="O701">
        <v>0.74264739553024195</v>
      </c>
      <c r="P701" t="s">
        <v>36</v>
      </c>
    </row>
    <row r="702" spans="1:16">
      <c r="A702">
        <v>701</v>
      </c>
      <c r="B702" t="s">
        <v>758</v>
      </c>
      <c r="C702">
        <v>90</v>
      </c>
      <c r="D702">
        <v>102</v>
      </c>
      <c r="E702">
        <v>84.056955474962706</v>
      </c>
      <c r="F702">
        <v>0.88235292197698501</v>
      </c>
      <c r="G702">
        <v>5549.2870865784498</v>
      </c>
      <c r="H702">
        <v>413.57925210247902</v>
      </c>
      <c r="I702">
        <v>0.45619378146773898</v>
      </c>
      <c r="J702">
        <v>0.40768954107982902</v>
      </c>
      <c r="K702">
        <v>0.77502387179806498</v>
      </c>
      <c r="L702" t="s">
        <v>331</v>
      </c>
      <c r="M702" t="s">
        <v>34</v>
      </c>
      <c r="N702" t="s">
        <v>35</v>
      </c>
      <c r="O702">
        <v>0.74133501042627803</v>
      </c>
      <c r="P702" t="s">
        <v>36</v>
      </c>
    </row>
    <row r="703" spans="1:16">
      <c r="A703">
        <v>702</v>
      </c>
      <c r="B703" t="s">
        <v>759</v>
      </c>
      <c r="C703">
        <v>93</v>
      </c>
      <c r="D703">
        <v>123</v>
      </c>
      <c r="E703">
        <v>88.457979599760705</v>
      </c>
      <c r="F703">
        <v>0.75481424732756697</v>
      </c>
      <c r="G703">
        <v>6145.5946661625703</v>
      </c>
      <c r="H703">
        <v>548.08469453915302</v>
      </c>
      <c r="I703">
        <v>0.59931946454468199</v>
      </c>
      <c r="J703">
        <v>0.25708600056360997</v>
      </c>
      <c r="K703">
        <v>0.68438824152542399</v>
      </c>
      <c r="L703" t="s">
        <v>33</v>
      </c>
      <c r="M703" t="s">
        <v>34</v>
      </c>
      <c r="N703" t="s">
        <v>35</v>
      </c>
      <c r="O703">
        <v>0.91749105290476196</v>
      </c>
      <c r="P703" t="s">
        <v>36</v>
      </c>
    </row>
    <row r="704" spans="1:16">
      <c r="A704">
        <v>703</v>
      </c>
      <c r="B704" t="s">
        <v>760</v>
      </c>
      <c r="C704">
        <v>102</v>
      </c>
      <c r="D704">
        <v>75</v>
      </c>
      <c r="E704">
        <v>69.924731039985502</v>
      </c>
      <c r="F704">
        <v>1.34916042599232</v>
      </c>
      <c r="G704">
        <v>3840.17919584121</v>
      </c>
      <c r="H704">
        <v>473.71204751418998</v>
      </c>
      <c r="I704">
        <v>0.72094969682350696</v>
      </c>
      <c r="J704">
        <v>0.215046557506958</v>
      </c>
      <c r="K704">
        <v>0.61411389998098498</v>
      </c>
      <c r="L704" t="s">
        <v>83</v>
      </c>
      <c r="M704" t="s">
        <v>34</v>
      </c>
      <c r="N704" t="s">
        <v>35</v>
      </c>
      <c r="O704">
        <v>0.77837687189803295</v>
      </c>
      <c r="P704" t="s">
        <v>36</v>
      </c>
    </row>
    <row r="705" spans="1:16">
      <c r="A705">
        <v>704</v>
      </c>
      <c r="B705" t="s">
        <v>761</v>
      </c>
      <c r="C705">
        <v>74</v>
      </c>
      <c r="D705">
        <v>109</v>
      </c>
      <c r="E705">
        <v>66.360240851191804</v>
      </c>
      <c r="F705">
        <v>0.67999995117186796</v>
      </c>
      <c r="G705">
        <v>3458.6434139886601</v>
      </c>
      <c r="H705">
        <v>586.501200453509</v>
      </c>
      <c r="I705">
        <v>0.67987792912282097</v>
      </c>
      <c r="J705">
        <v>0.12635075514615801</v>
      </c>
      <c r="K705">
        <v>0.64424141749723096</v>
      </c>
      <c r="L705" t="s">
        <v>33</v>
      </c>
      <c r="M705" t="s">
        <v>34</v>
      </c>
      <c r="N705" t="s">
        <v>35</v>
      </c>
      <c r="O705">
        <v>0.89294892812184501</v>
      </c>
      <c r="P705" t="s">
        <v>36</v>
      </c>
    </row>
    <row r="706" spans="1:16">
      <c r="A706">
        <v>705</v>
      </c>
      <c r="B706" t="s">
        <v>762</v>
      </c>
      <c r="C706">
        <v>72</v>
      </c>
      <c r="D706">
        <v>108</v>
      </c>
      <c r="E706">
        <v>69.502614905478197</v>
      </c>
      <c r="F706">
        <v>0.66755796789765398</v>
      </c>
      <c r="G706">
        <v>3793.95495425331</v>
      </c>
      <c r="H706">
        <v>358.65123508494798</v>
      </c>
      <c r="I706">
        <v>0.69507163208969402</v>
      </c>
      <c r="J706">
        <v>0.370644340157955</v>
      </c>
      <c r="K706">
        <v>0.67502313896601895</v>
      </c>
      <c r="L706" t="s">
        <v>83</v>
      </c>
      <c r="M706" t="s">
        <v>34</v>
      </c>
      <c r="N706" t="s">
        <v>35</v>
      </c>
      <c r="O706">
        <v>0.819002486268673</v>
      </c>
      <c r="P706" t="s">
        <v>36</v>
      </c>
    </row>
    <row r="707" spans="1:16">
      <c r="A707">
        <v>706</v>
      </c>
      <c r="B707" t="s">
        <v>763</v>
      </c>
      <c r="C707">
        <v>132</v>
      </c>
      <c r="D707">
        <v>103</v>
      </c>
      <c r="E707">
        <v>83.640547254261193</v>
      </c>
      <c r="F707">
        <v>1.2872340425531901</v>
      </c>
      <c r="G707">
        <v>5494.4422468809098</v>
      </c>
      <c r="H707">
        <v>753.68369364458601</v>
      </c>
      <c r="I707">
        <v>0.58161172766639402</v>
      </c>
      <c r="J707">
        <v>0.121550077045763</v>
      </c>
      <c r="K707">
        <v>0.53258896412620704</v>
      </c>
      <c r="L707" t="s">
        <v>83</v>
      </c>
      <c r="M707" t="s">
        <v>34</v>
      </c>
      <c r="N707" t="s">
        <v>35</v>
      </c>
      <c r="O707">
        <v>0.81140132733834103</v>
      </c>
      <c r="P707" t="s">
        <v>36</v>
      </c>
    </row>
    <row r="708" spans="1:16">
      <c r="A708">
        <v>707</v>
      </c>
      <c r="B708" t="s">
        <v>764</v>
      </c>
      <c r="C708">
        <v>74</v>
      </c>
      <c r="D708">
        <v>190</v>
      </c>
      <c r="E708">
        <v>86.286628177052705</v>
      </c>
      <c r="F708">
        <v>0.39072355852108298</v>
      </c>
      <c r="G708">
        <v>5847.5895073723996</v>
      </c>
      <c r="H708">
        <v>584.87219590093798</v>
      </c>
      <c r="I708">
        <v>0.52206577189695103</v>
      </c>
      <c r="J708">
        <v>0.21481509215637701</v>
      </c>
      <c r="K708">
        <v>0.60106025421657305</v>
      </c>
      <c r="L708" t="s">
        <v>75</v>
      </c>
      <c r="M708" t="s">
        <v>34</v>
      </c>
      <c r="N708" t="s">
        <v>35</v>
      </c>
      <c r="O708">
        <v>0.75880451136021598</v>
      </c>
      <c r="P708" t="s">
        <v>36</v>
      </c>
    </row>
    <row r="709" spans="1:16">
      <c r="A709">
        <v>708</v>
      </c>
      <c r="B709" t="s">
        <v>765</v>
      </c>
      <c r="C709">
        <v>85</v>
      </c>
      <c r="D709">
        <v>262</v>
      </c>
      <c r="E709">
        <v>98.369485257380603</v>
      </c>
      <c r="F709">
        <v>0.32437550164413897</v>
      </c>
      <c r="G709">
        <v>7599.9490196597399</v>
      </c>
      <c r="H709">
        <v>879.23868300862898</v>
      </c>
      <c r="I709">
        <v>0.83952830667595302</v>
      </c>
      <c r="J709">
        <v>0.123539821340044</v>
      </c>
      <c r="K709">
        <v>0.51631762828927397</v>
      </c>
      <c r="L709" t="s">
        <v>45</v>
      </c>
      <c r="M709" t="s">
        <v>34</v>
      </c>
      <c r="N709" t="s">
        <v>35</v>
      </c>
      <c r="O709">
        <v>0.82271434174117197</v>
      </c>
      <c r="P709" t="s">
        <v>36</v>
      </c>
    </row>
    <row r="710" spans="1:16">
      <c r="A710">
        <v>709</v>
      </c>
      <c r="B710" t="s">
        <v>766</v>
      </c>
      <c r="C710">
        <v>109</v>
      </c>
      <c r="D710">
        <v>87</v>
      </c>
      <c r="E710">
        <v>68.6726459369076</v>
      </c>
      <c r="F710">
        <v>1.25</v>
      </c>
      <c r="G710">
        <v>3703.8845671077502</v>
      </c>
      <c r="H710">
        <v>771.38583169356605</v>
      </c>
      <c r="I710">
        <v>0.63343546285601005</v>
      </c>
      <c r="J710">
        <v>7.8221113102977594E-2</v>
      </c>
      <c r="K710">
        <v>0.43280419604710102</v>
      </c>
      <c r="L710" t="s">
        <v>83</v>
      </c>
      <c r="M710" t="s">
        <v>34</v>
      </c>
      <c r="N710" t="s">
        <v>35</v>
      </c>
      <c r="O710">
        <v>0.68625099144332502</v>
      </c>
      <c r="P710" t="s">
        <v>36</v>
      </c>
    </row>
    <row r="711" spans="1:16">
      <c r="A711">
        <v>710</v>
      </c>
      <c r="B711" t="s">
        <v>767</v>
      </c>
      <c r="C711">
        <v>108</v>
      </c>
      <c r="D711">
        <v>80</v>
      </c>
      <c r="E711">
        <v>69.407250902600694</v>
      </c>
      <c r="F711">
        <v>1.3554333633229401</v>
      </c>
      <c r="G711">
        <v>3783.5507841209801</v>
      </c>
      <c r="H711">
        <v>497.00805359757499</v>
      </c>
      <c r="I711">
        <v>0.67199953882021402</v>
      </c>
      <c r="J711">
        <v>0.19247865678683601</v>
      </c>
      <c r="K711">
        <v>0.55324697904894404</v>
      </c>
      <c r="L711" t="s">
        <v>33</v>
      </c>
      <c r="M711" t="s">
        <v>34</v>
      </c>
      <c r="N711" t="s">
        <v>35</v>
      </c>
      <c r="O711">
        <v>0.94225702711264603</v>
      </c>
      <c r="P711" t="s">
        <v>36</v>
      </c>
    </row>
    <row r="712" spans="1:16">
      <c r="A712">
        <v>711</v>
      </c>
      <c r="B712" t="s">
        <v>768</v>
      </c>
      <c r="C712">
        <v>49</v>
      </c>
      <c r="D712">
        <v>63</v>
      </c>
      <c r="E712">
        <v>50.428619612739503</v>
      </c>
      <c r="F712">
        <v>0.76724137931034497</v>
      </c>
      <c r="G712">
        <v>1997.30340340265</v>
      </c>
      <c r="H712">
        <v>370.87071573133102</v>
      </c>
      <c r="I712">
        <v>0.61372046104800904</v>
      </c>
      <c r="J712">
        <v>0.182477289449505</v>
      </c>
      <c r="K712">
        <v>0.74502411709264305</v>
      </c>
      <c r="L712" t="s">
        <v>75</v>
      </c>
      <c r="M712" t="s">
        <v>34</v>
      </c>
      <c r="N712" t="s">
        <v>35</v>
      </c>
      <c r="O712">
        <v>0.80774673141519504</v>
      </c>
      <c r="P712" t="s">
        <v>36</v>
      </c>
    </row>
    <row r="713" spans="1:16">
      <c r="A713">
        <v>712</v>
      </c>
      <c r="B713" t="s">
        <v>769</v>
      </c>
      <c r="C713">
        <v>68</v>
      </c>
      <c r="D713">
        <v>169</v>
      </c>
      <c r="E713">
        <v>78.232369465354296</v>
      </c>
      <c r="F713">
        <v>0.40105048805641602</v>
      </c>
      <c r="G713">
        <v>4806.8752321361098</v>
      </c>
      <c r="H713">
        <v>596.86697850963299</v>
      </c>
      <c r="I713">
        <v>0.75145546095484606</v>
      </c>
      <c r="J713">
        <v>0.169557735977725</v>
      </c>
      <c r="K713">
        <v>0.58271022143745199</v>
      </c>
      <c r="L713" t="s">
        <v>96</v>
      </c>
      <c r="M713" t="s">
        <v>34</v>
      </c>
      <c r="N713" t="s">
        <v>35</v>
      </c>
      <c r="O713">
        <v>0.66481520682463202</v>
      </c>
      <c r="P713" t="s">
        <v>36</v>
      </c>
    </row>
    <row r="714" spans="1:16">
      <c r="A714">
        <v>713</v>
      </c>
      <c r="B714" t="s">
        <v>770</v>
      </c>
      <c r="C714">
        <v>97</v>
      </c>
      <c r="D714">
        <v>75</v>
      </c>
      <c r="E714">
        <v>61.782106401197701</v>
      </c>
      <c r="F714">
        <v>1.29593687824398</v>
      </c>
      <c r="G714">
        <v>2997.8873081285401</v>
      </c>
      <c r="H714">
        <v>434.99496511024</v>
      </c>
      <c r="I714">
        <v>0.68694775969872302</v>
      </c>
      <c r="J714">
        <v>0.19909332840933</v>
      </c>
      <c r="K714">
        <v>0.62889748066849605</v>
      </c>
      <c r="L714" t="s">
        <v>83</v>
      </c>
      <c r="M714" t="s">
        <v>34</v>
      </c>
      <c r="N714" t="s">
        <v>35</v>
      </c>
      <c r="O714">
        <v>0.85471996328517097</v>
      </c>
      <c r="P714" t="s">
        <v>36</v>
      </c>
    </row>
    <row r="715" spans="1:16">
      <c r="A715">
        <v>714</v>
      </c>
      <c r="B715" t="s">
        <v>771</v>
      </c>
      <c r="C715">
        <v>49</v>
      </c>
      <c r="D715">
        <v>134</v>
      </c>
      <c r="E715">
        <v>63.771696376112303</v>
      </c>
      <c r="F715">
        <v>0.36319192487844398</v>
      </c>
      <c r="G715">
        <v>3194.0802306238202</v>
      </c>
      <c r="H715">
        <v>388.91882523225701</v>
      </c>
      <c r="I715">
        <v>0.76465028762363496</v>
      </c>
      <c r="J715">
        <v>0.26536140276196901</v>
      </c>
      <c r="K715">
        <v>0.639335971201618</v>
      </c>
      <c r="L715" t="s">
        <v>83</v>
      </c>
      <c r="M715" t="s">
        <v>34</v>
      </c>
      <c r="N715" t="s">
        <v>35</v>
      </c>
      <c r="O715">
        <v>0.7952134229708</v>
      </c>
      <c r="P715" t="s">
        <v>36</v>
      </c>
    </row>
    <row r="716" spans="1:16">
      <c r="A716">
        <v>715</v>
      </c>
      <c r="B716" t="s">
        <v>772</v>
      </c>
      <c r="C716">
        <v>111</v>
      </c>
      <c r="D716">
        <v>46</v>
      </c>
      <c r="E716">
        <v>62.046496176151003</v>
      </c>
      <c r="F716">
        <v>2.4166666666666701</v>
      </c>
      <c r="G716">
        <v>3023.6004714555802</v>
      </c>
      <c r="H716">
        <v>310.82320101002</v>
      </c>
      <c r="I716">
        <v>0.93244272463852096</v>
      </c>
      <c r="J716">
        <v>0.39328502569961499</v>
      </c>
      <c r="K716">
        <v>0.82554175797419005</v>
      </c>
      <c r="L716" t="s">
        <v>75</v>
      </c>
      <c r="M716" t="s">
        <v>34</v>
      </c>
      <c r="N716" t="s">
        <v>35</v>
      </c>
      <c r="O716">
        <v>0.83985644042224605</v>
      </c>
      <c r="P716" t="s">
        <v>36</v>
      </c>
    </row>
    <row r="717" spans="1:16">
      <c r="A717">
        <v>716</v>
      </c>
      <c r="B717" t="s">
        <v>773</v>
      </c>
      <c r="C717">
        <v>102</v>
      </c>
      <c r="D717">
        <v>139</v>
      </c>
      <c r="E717">
        <v>84.796651215593002</v>
      </c>
      <c r="F717">
        <v>0.72954713594990195</v>
      </c>
      <c r="G717">
        <v>5647.3835478260899</v>
      </c>
      <c r="H717">
        <v>821.40413757220597</v>
      </c>
      <c r="I717">
        <v>0.562554184384355</v>
      </c>
      <c r="J717">
        <v>0.10518247263550801</v>
      </c>
      <c r="K717">
        <v>0.56272863257356998</v>
      </c>
      <c r="L717" t="s">
        <v>83</v>
      </c>
      <c r="M717" t="s">
        <v>34</v>
      </c>
      <c r="N717" t="s">
        <v>35</v>
      </c>
      <c r="O717">
        <v>0.84483418561590096</v>
      </c>
      <c r="P717" t="s">
        <v>36</v>
      </c>
    </row>
    <row r="718" spans="1:16">
      <c r="A718">
        <v>717</v>
      </c>
      <c r="B718" t="s">
        <v>774</v>
      </c>
      <c r="C718">
        <v>125</v>
      </c>
      <c r="D718">
        <v>55</v>
      </c>
      <c r="E718">
        <v>73.6611942961881</v>
      </c>
      <c r="F718">
        <v>2.2849678261470099</v>
      </c>
      <c r="G718">
        <v>4261.5480862003797</v>
      </c>
      <c r="H718">
        <v>383.54414600123499</v>
      </c>
      <c r="I718">
        <v>0.55856807472916403</v>
      </c>
      <c r="J718">
        <v>0.364037849541753</v>
      </c>
      <c r="K718">
        <v>0.73435098862821402</v>
      </c>
      <c r="L718" t="s">
        <v>33</v>
      </c>
      <c r="M718" t="s">
        <v>34</v>
      </c>
      <c r="N718" t="s">
        <v>35</v>
      </c>
      <c r="O718">
        <v>0.94723251496266903</v>
      </c>
      <c r="P718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B19B-A5D5-457A-A6B8-9A98CFE6F307}">
  <dimension ref="A1:AN718"/>
  <sheetViews>
    <sheetView tabSelected="1" topLeftCell="AD1" workbookViewId="0">
      <selection activeCell="M3" sqref="M3:AN3"/>
    </sheetView>
  </sheetViews>
  <sheetFormatPr defaultRowHeight="15"/>
  <sheetData>
    <row r="1" spans="1:40">
      <c r="A1" t="s">
        <v>20</v>
      </c>
      <c r="B1" t="s">
        <v>27</v>
      </c>
    </row>
    <row r="2" spans="1:40">
      <c r="A2">
        <v>498.64593409800102</v>
      </c>
      <c r="B2" t="s">
        <v>33</v>
      </c>
      <c r="E2" t="s">
        <v>787</v>
      </c>
      <c r="F2" t="s">
        <v>788</v>
      </c>
      <c r="L2" t="s">
        <v>787</v>
      </c>
      <c r="M2">
        <v>82.780880220816513</v>
      </c>
      <c r="N2">
        <v>78.439165307774005</v>
      </c>
      <c r="O2" t="e">
        <v>#DIV/0!</v>
      </c>
      <c r="P2">
        <v>80.900698216352495</v>
      </c>
      <c r="Q2">
        <v>108.12426521997</v>
      </c>
      <c r="R2">
        <v>64.375691003528999</v>
      </c>
      <c r="S2" t="e">
        <v>#DIV/0!</v>
      </c>
      <c r="T2" t="e">
        <v>#DIV/0!</v>
      </c>
      <c r="U2">
        <v>102.04832771211305</v>
      </c>
      <c r="V2">
        <v>86.826655927428604</v>
      </c>
      <c r="W2" t="e">
        <v>#DIV/0!</v>
      </c>
      <c r="X2" t="e">
        <v>#DIV/0!</v>
      </c>
      <c r="Y2" t="e">
        <v>#DIV/0!</v>
      </c>
      <c r="Z2" t="e">
        <v>#DIV/0!</v>
      </c>
      <c r="AA2" t="e">
        <v>#DIV/0!</v>
      </c>
      <c r="AB2">
        <v>96.526475220080968</v>
      </c>
      <c r="AC2" t="e">
        <v>#DIV/0!</v>
      </c>
      <c r="AD2" t="e">
        <v>#DIV/0!</v>
      </c>
      <c r="AE2">
        <v>113.607010879493</v>
      </c>
      <c r="AF2" t="e">
        <v>#DIV/0!</v>
      </c>
      <c r="AG2">
        <v>83.481089656817758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 t="e">
        <v>#DIV/0!</v>
      </c>
      <c r="AN2">
        <v>80.113411531264788</v>
      </c>
    </row>
    <row r="3" spans="1:40">
      <c r="A3">
        <v>479.67728863054703</v>
      </c>
      <c r="B3" t="s">
        <v>33</v>
      </c>
      <c r="D3" t="s">
        <v>789</v>
      </c>
      <c r="E3">
        <f>AVERAGEIF($B:$B, D3, $A:$A)</f>
        <v>82.780880220816513</v>
      </c>
      <c r="F3" cm="1">
        <f t="array" ref="F3">_xlfn.STDEV.S(IF($B:$B=D3, $A:$A))</f>
        <v>36.647447820015095</v>
      </c>
      <c r="H3" t="s">
        <v>787</v>
      </c>
      <c r="I3" t="s">
        <v>788</v>
      </c>
      <c r="L3" t="s">
        <v>788</v>
      </c>
      <c r="M3">
        <v>36.647447820015095</v>
      </c>
      <c r="N3">
        <v>17.515969803085191</v>
      </c>
      <c r="O3" t="e">
        <v>#DIV/0!</v>
      </c>
      <c r="P3">
        <v>36.940996486734328</v>
      </c>
      <c r="Q3" t="e">
        <v>#DIV/0!</v>
      </c>
      <c r="R3" t="e">
        <v>#DIV/0!</v>
      </c>
      <c r="S3" t="e">
        <v>#DIV/0!</v>
      </c>
      <c r="T3" t="e">
        <v>#DIV/0!</v>
      </c>
      <c r="U3">
        <v>69.802114676197945</v>
      </c>
      <c r="V3" t="e">
        <v>#DIV/0!</v>
      </c>
      <c r="W3" t="e">
        <v>#DIV/0!</v>
      </c>
      <c r="X3" t="e">
        <v>#DIV/0!</v>
      </c>
      <c r="Y3" t="e">
        <v>#DIV/0!</v>
      </c>
      <c r="Z3" t="e">
        <v>#DIV/0!</v>
      </c>
      <c r="AA3" t="e">
        <v>#DIV/0!</v>
      </c>
      <c r="AB3">
        <v>50.136490175532728</v>
      </c>
      <c r="AC3" t="e">
        <v>#DIV/0!</v>
      </c>
      <c r="AD3" t="e">
        <v>#DIV/0!</v>
      </c>
      <c r="AE3" t="e">
        <v>#DIV/0!</v>
      </c>
      <c r="AF3" t="e">
        <v>#DIV/0!</v>
      </c>
      <c r="AG3">
        <v>20.267475116054026</v>
      </c>
      <c r="AH3" t="e">
        <v>#DIV/0!</v>
      </c>
      <c r="AI3" t="e">
        <v>#DIV/0!</v>
      </c>
      <c r="AJ3" t="e">
        <v>#DIV/0!</v>
      </c>
      <c r="AK3" t="e">
        <v>#DIV/0!</v>
      </c>
      <c r="AL3" t="e">
        <v>#DIV/0!</v>
      </c>
      <c r="AM3" t="e">
        <v>#DIV/0!</v>
      </c>
      <c r="AN3">
        <v>38.342012229898344</v>
      </c>
    </row>
    <row r="4" spans="1:40">
      <c r="A4">
        <v>455.73808348098697</v>
      </c>
      <c r="B4" t="s">
        <v>33</v>
      </c>
      <c r="D4" t="s">
        <v>790</v>
      </c>
      <c r="E4">
        <f t="shared" ref="E4:E30" si="0">AVERAGEIF($B:$B, D4, $A:$A)</f>
        <v>78.439165307774005</v>
      </c>
      <c r="F4" cm="1">
        <f t="array" ref="F4">_xlfn.STDEV.S(IF($B:$B=D4, $A:$A))</f>
        <v>17.515969803085191</v>
      </c>
      <c r="H4">
        <v>82.780880220816513</v>
      </c>
      <c r="I4">
        <v>36.647447820015095</v>
      </c>
    </row>
    <row r="5" spans="1:40">
      <c r="A5">
        <v>443.615922993222</v>
      </c>
      <c r="B5" t="s">
        <v>33</v>
      </c>
      <c r="D5" t="s">
        <v>791</v>
      </c>
      <c r="E5" t="e">
        <f t="shared" si="0"/>
        <v>#DIV/0!</v>
      </c>
      <c r="F5" t="e" cm="1">
        <f t="array" ref="F5">_xlfn.STDEV.S(IF($B:$B=D5, $A:$A))</f>
        <v>#DIV/0!</v>
      </c>
      <c r="H5">
        <v>78.439165307774005</v>
      </c>
      <c r="I5">
        <v>17.515969803085191</v>
      </c>
    </row>
    <row r="6" spans="1:40">
      <c r="A6">
        <v>430.91306792126198</v>
      </c>
      <c r="B6" t="s">
        <v>33</v>
      </c>
      <c r="D6" t="s">
        <v>792</v>
      </c>
      <c r="E6">
        <f t="shared" si="0"/>
        <v>80.900698216352495</v>
      </c>
      <c r="F6" cm="1">
        <f t="array" ref="F6">_xlfn.STDEV.S(IF($B:$B=D6, $A:$A))</f>
        <v>36.940996486734328</v>
      </c>
      <c r="H6" t="e">
        <v>#DIV/0!</v>
      </c>
      <c r="I6" t="e">
        <v>#DIV/0!</v>
      </c>
    </row>
    <row r="7" spans="1:40">
      <c r="A7">
        <v>429.84063725453098</v>
      </c>
      <c r="B7" t="s">
        <v>33</v>
      </c>
      <c r="D7" t="s">
        <v>793</v>
      </c>
      <c r="E7">
        <f t="shared" si="0"/>
        <v>108.12426521997</v>
      </c>
      <c r="F7" t="e" cm="1">
        <f t="array" ref="F7">_xlfn.STDEV.S(IF($B:$B=D7, $A:$A))</f>
        <v>#DIV/0!</v>
      </c>
      <c r="H7">
        <v>80.900698216352495</v>
      </c>
      <c r="I7">
        <v>36.940996486734328</v>
      </c>
    </row>
    <row r="8" spans="1:40">
      <c r="A8">
        <v>426.924162854293</v>
      </c>
      <c r="B8" t="s">
        <v>33</v>
      </c>
      <c r="D8" t="s">
        <v>794</v>
      </c>
      <c r="E8">
        <f t="shared" si="0"/>
        <v>64.375691003528999</v>
      </c>
      <c r="F8" t="e" cm="1">
        <f t="array" ref="F8">_xlfn.STDEV.S(IF($B:$B=D8, $A:$A))</f>
        <v>#DIV/0!</v>
      </c>
      <c r="H8">
        <v>108.12426521997</v>
      </c>
      <c r="I8" t="e">
        <v>#DIV/0!</v>
      </c>
    </row>
    <row r="9" spans="1:40">
      <c r="A9">
        <v>423.085764940697</v>
      </c>
      <c r="B9" t="s">
        <v>33</v>
      </c>
      <c r="D9" t="s">
        <v>795</v>
      </c>
      <c r="E9" t="e">
        <f t="shared" si="0"/>
        <v>#DIV/0!</v>
      </c>
      <c r="F9" t="e" cm="1">
        <f t="array" ref="F9">_xlfn.STDEV.S(IF($B:$B=D9, $A:$A))</f>
        <v>#DIV/0!</v>
      </c>
      <c r="H9">
        <v>64.375691003528999</v>
      </c>
      <c r="I9" t="e">
        <v>#DIV/0!</v>
      </c>
    </row>
    <row r="10" spans="1:40">
      <c r="A10">
        <v>390.67837209798</v>
      </c>
      <c r="B10" t="s">
        <v>45</v>
      </c>
      <c r="D10" t="s">
        <v>796</v>
      </c>
      <c r="E10" t="e">
        <f t="shared" si="0"/>
        <v>#DIV/0!</v>
      </c>
      <c r="F10" t="e" cm="1">
        <f t="array" ref="F10">_xlfn.STDEV.S(IF($B:$B=D10, $A:$A))</f>
        <v>#DIV/0!</v>
      </c>
      <c r="H10" t="e">
        <v>#DIV/0!</v>
      </c>
      <c r="I10" t="e">
        <v>#DIV/0!</v>
      </c>
    </row>
    <row r="11" spans="1:40">
      <c r="A11">
        <v>342.114812818416</v>
      </c>
      <c r="B11" t="s">
        <v>33</v>
      </c>
      <c r="D11" t="s">
        <v>797</v>
      </c>
      <c r="E11">
        <f t="shared" si="0"/>
        <v>102.04832771211305</v>
      </c>
      <c r="F11" cm="1">
        <f t="array" ref="F11">_xlfn.STDEV.S(IF($B:$B=D11, $A:$A))</f>
        <v>69.802114676197945</v>
      </c>
      <c r="H11" t="e">
        <v>#DIV/0!</v>
      </c>
      <c r="I11" t="e">
        <v>#DIV/0!</v>
      </c>
    </row>
    <row r="12" spans="1:40">
      <c r="A12">
        <v>340.97314546548898</v>
      </c>
      <c r="B12" t="s">
        <v>33</v>
      </c>
      <c r="D12" t="s">
        <v>798</v>
      </c>
      <c r="E12">
        <f t="shared" si="0"/>
        <v>86.826655927428604</v>
      </c>
      <c r="F12" t="e" cm="1">
        <f t="array" ref="F12">_xlfn.STDEV.S(IF($B:$B=D12, $A:$A))</f>
        <v>#DIV/0!</v>
      </c>
      <c r="H12">
        <v>102.04832771211305</v>
      </c>
      <c r="I12">
        <v>69.802114676197945</v>
      </c>
    </row>
    <row r="13" spans="1:40">
      <c r="A13">
        <v>337.73709851593401</v>
      </c>
      <c r="B13" t="s">
        <v>45</v>
      </c>
      <c r="D13" t="s">
        <v>799</v>
      </c>
      <c r="E13" t="e">
        <f t="shared" si="0"/>
        <v>#DIV/0!</v>
      </c>
      <c r="F13" t="e" cm="1">
        <f t="array" ref="F13">_xlfn.STDEV.S(IF($B:$B=D13, $A:$A))</f>
        <v>#DIV/0!</v>
      </c>
      <c r="H13">
        <v>86.826655927428604</v>
      </c>
      <c r="I13" t="e">
        <v>#DIV/0!</v>
      </c>
    </row>
    <row r="14" spans="1:40">
      <c r="A14">
        <v>331.314298288619</v>
      </c>
      <c r="B14" t="s">
        <v>33</v>
      </c>
      <c r="D14" t="s">
        <v>800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40">
      <c r="A15">
        <v>329.36303558753502</v>
      </c>
      <c r="B15" t="s">
        <v>33</v>
      </c>
      <c r="D15" t="s">
        <v>801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40">
      <c r="A16">
        <v>276.19830512232801</v>
      </c>
      <c r="B16" t="s">
        <v>52</v>
      </c>
      <c r="D16" t="s">
        <v>802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321.21667081033598</v>
      </c>
      <c r="B17" t="s">
        <v>33</v>
      </c>
      <c r="D17" t="s">
        <v>803</v>
      </c>
      <c r="E17" t="e">
        <f t="shared" si="0"/>
        <v>#DIV/0!</v>
      </c>
      <c r="F17" t="e" cm="1">
        <f t="array" ref="F17">_xlfn.STDEV.S(IF($B:$B=D17, $A:$A))</f>
        <v>#DIV/0!</v>
      </c>
      <c r="H17" t="e">
        <v>#DIV/0!</v>
      </c>
      <c r="I17" t="e">
        <v>#DIV/0!</v>
      </c>
    </row>
    <row r="18" spans="1:9">
      <c r="A18">
        <v>305.86153002529801</v>
      </c>
      <c r="B18" t="s">
        <v>33</v>
      </c>
      <c r="D18" t="s">
        <v>804</v>
      </c>
      <c r="E18">
        <f t="shared" si="0"/>
        <v>96.526475220080968</v>
      </c>
      <c r="F18" cm="1">
        <f t="array" ref="F18">_xlfn.STDEV.S(IF($B:$B=D18, $A:$A))</f>
        <v>50.136490175532728</v>
      </c>
      <c r="H18" t="e">
        <v>#DIV/0!</v>
      </c>
      <c r="I18" t="e">
        <v>#DIV/0!</v>
      </c>
    </row>
    <row r="19" spans="1:9">
      <c r="A19">
        <v>211.31970643136901</v>
      </c>
      <c r="B19" t="s">
        <v>33</v>
      </c>
      <c r="D19" t="s">
        <v>805</v>
      </c>
      <c r="E19" t="e">
        <f t="shared" si="0"/>
        <v>#DIV/0!</v>
      </c>
      <c r="F19" t="e" cm="1">
        <f t="array" ref="F19">_xlfn.STDEV.S(IF($B:$B=D19, $A:$A))</f>
        <v>#DIV/0!</v>
      </c>
      <c r="H19">
        <v>96.526475220080968</v>
      </c>
      <c r="I19">
        <v>50.136490175532728</v>
      </c>
    </row>
    <row r="20" spans="1:9">
      <c r="A20">
        <v>289.693633848513</v>
      </c>
      <c r="B20" t="s">
        <v>33</v>
      </c>
      <c r="D20" t="s">
        <v>806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275.58798748031899</v>
      </c>
      <c r="B21" t="s">
        <v>33</v>
      </c>
      <c r="D21" t="s">
        <v>807</v>
      </c>
      <c r="E21">
        <f t="shared" si="0"/>
        <v>113.607010879493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196.34564190500299</v>
      </c>
      <c r="B22" t="s">
        <v>33</v>
      </c>
      <c r="D22" t="s">
        <v>808</v>
      </c>
      <c r="E22" t="e">
        <f t="shared" si="0"/>
        <v>#DIV/0!</v>
      </c>
      <c r="F22" t="e" cm="1">
        <f t="array" ref="F22">_xlfn.STDEV.S(IF($B:$B=D22, $A:$A))</f>
        <v>#DIV/0!</v>
      </c>
      <c r="H22">
        <v>113.607010879493</v>
      </c>
      <c r="I22" t="e">
        <v>#DIV/0!</v>
      </c>
    </row>
    <row r="23" spans="1:9">
      <c r="A23">
        <v>151.372771142083</v>
      </c>
      <c r="B23" t="s">
        <v>52</v>
      </c>
      <c r="D23" t="s">
        <v>809</v>
      </c>
      <c r="E23">
        <f t="shared" si="0"/>
        <v>83.481089656817758</v>
      </c>
      <c r="F23" cm="1">
        <f t="array" ref="F23">_xlfn.STDEV.S(IF($B:$B=D23, $A:$A))</f>
        <v>20.267475116054026</v>
      </c>
      <c r="H23" t="e">
        <v>#DIV/0!</v>
      </c>
      <c r="I23" t="e">
        <v>#DIV/0!</v>
      </c>
    </row>
    <row r="24" spans="1:9">
      <c r="A24">
        <v>180.92775637002001</v>
      </c>
      <c r="B24" t="s">
        <v>33</v>
      </c>
      <c r="D24" t="s">
        <v>810</v>
      </c>
      <c r="E24" t="e">
        <f t="shared" si="0"/>
        <v>#DIV/0!</v>
      </c>
      <c r="F24" t="e" cm="1">
        <f t="array" ref="F24">_xlfn.STDEV.S(IF($B:$B=D24, $A:$A))</f>
        <v>#DIV/0!</v>
      </c>
      <c r="H24">
        <v>83.481089656817758</v>
      </c>
      <c r="I24">
        <v>20.267475116054026</v>
      </c>
    </row>
    <row r="25" spans="1:9">
      <c r="A25">
        <v>157.048439607505</v>
      </c>
      <c r="B25" t="s">
        <v>45</v>
      </c>
      <c r="D25" t="s">
        <v>811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148.55871784142701</v>
      </c>
      <c r="B26" t="s">
        <v>33</v>
      </c>
      <c r="D26" t="s">
        <v>812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255.94564770010101</v>
      </c>
      <c r="B27" t="s">
        <v>33</v>
      </c>
      <c r="D27" t="s">
        <v>813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134.19096830261299</v>
      </c>
      <c r="B28" t="s">
        <v>33</v>
      </c>
      <c r="D28" t="s">
        <v>814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250.79480359432699</v>
      </c>
      <c r="B29" t="s">
        <v>33</v>
      </c>
      <c r="D29" t="s">
        <v>815</v>
      </c>
      <c r="E29" t="e">
        <f t="shared" si="0"/>
        <v>#DIV/0!</v>
      </c>
      <c r="F29" t="e" cm="1">
        <f t="array" ref="F29">_xlfn.STDEV.S(IF($B:$B=D29, $A:$A))</f>
        <v>#DIV/0!</v>
      </c>
      <c r="H29" t="e">
        <v>#DIV/0!</v>
      </c>
      <c r="I29" t="e">
        <v>#DIV/0!</v>
      </c>
    </row>
    <row r="30" spans="1:9">
      <c r="A30">
        <v>247.11890187591899</v>
      </c>
      <c r="B30" t="s">
        <v>52</v>
      </c>
      <c r="D30" t="s">
        <v>816</v>
      </c>
      <c r="E30">
        <f t="shared" si="0"/>
        <v>80.113411531264788</v>
      </c>
      <c r="F30" cm="1">
        <f t="array" ref="F30">_xlfn.STDEV.S(IF($B:$B=D30, $A:$A))</f>
        <v>38.342012229898344</v>
      </c>
      <c r="H30" t="e">
        <v>#DIV/0!</v>
      </c>
      <c r="I30" t="e">
        <v>#DIV/0!</v>
      </c>
    </row>
    <row r="31" spans="1:9">
      <c r="A31">
        <v>244.07313493970699</v>
      </c>
      <c r="B31" t="s">
        <v>33</v>
      </c>
      <c r="H31">
        <v>80.113411531264788</v>
      </c>
      <c r="I31">
        <v>38.342012229898344</v>
      </c>
    </row>
    <row r="32" spans="1:9">
      <c r="A32">
        <v>243.28938188066499</v>
      </c>
      <c r="B32" t="s">
        <v>33</v>
      </c>
    </row>
    <row r="33" spans="1:2">
      <c r="A33">
        <v>184.72807965623701</v>
      </c>
      <c r="B33" t="s">
        <v>70</v>
      </c>
    </row>
    <row r="34" spans="1:2">
      <c r="A34">
        <v>171.59065184745501</v>
      </c>
      <c r="B34" t="s">
        <v>33</v>
      </c>
    </row>
    <row r="35" spans="1:2">
      <c r="A35">
        <v>233.64534123435899</v>
      </c>
      <c r="B35" t="s">
        <v>33</v>
      </c>
    </row>
    <row r="36" spans="1:2">
      <c r="A36">
        <v>150.36049299059999</v>
      </c>
      <c r="B36" t="s">
        <v>33</v>
      </c>
    </row>
    <row r="37" spans="1:2">
      <c r="A37">
        <v>225.67583341910299</v>
      </c>
      <c r="B37" t="s">
        <v>75</v>
      </c>
    </row>
    <row r="38" spans="1:2">
      <c r="A38">
        <v>162.14249015958299</v>
      </c>
      <c r="B38" t="s">
        <v>33</v>
      </c>
    </row>
    <row r="39" spans="1:2">
      <c r="A39">
        <v>175.287368292758</v>
      </c>
      <c r="B39" t="s">
        <v>33</v>
      </c>
    </row>
    <row r="40" spans="1:2">
      <c r="A40">
        <v>212.75259296971001</v>
      </c>
      <c r="B40" t="s">
        <v>75</v>
      </c>
    </row>
    <row r="41" spans="1:2">
      <c r="A41">
        <v>212.30327337001799</v>
      </c>
      <c r="B41" t="s">
        <v>33</v>
      </c>
    </row>
    <row r="42" spans="1:2">
      <c r="A42">
        <v>207.411622426853</v>
      </c>
      <c r="B42" t="s">
        <v>33</v>
      </c>
    </row>
    <row r="43" spans="1:2">
      <c r="A43">
        <v>106.125398074179</v>
      </c>
      <c r="B43" t="s">
        <v>33</v>
      </c>
    </row>
    <row r="44" spans="1:2">
      <c r="A44">
        <v>206.18022528808399</v>
      </c>
      <c r="B44" t="s">
        <v>83</v>
      </c>
    </row>
    <row r="45" spans="1:2">
      <c r="A45">
        <v>205.17427335756901</v>
      </c>
      <c r="B45" t="s">
        <v>45</v>
      </c>
    </row>
    <row r="46" spans="1:2">
      <c r="A46">
        <v>98.314641769467499</v>
      </c>
      <c r="B46" t="s">
        <v>33</v>
      </c>
    </row>
    <row r="47" spans="1:2">
      <c r="A47">
        <v>197.506649386352</v>
      </c>
      <c r="B47" t="s">
        <v>33</v>
      </c>
    </row>
    <row r="48" spans="1:2">
      <c r="A48">
        <v>104.459292726605</v>
      </c>
      <c r="B48" t="s">
        <v>83</v>
      </c>
    </row>
    <row r="49" spans="1:2">
      <c r="A49">
        <v>128.005486543026</v>
      </c>
      <c r="B49" t="s">
        <v>33</v>
      </c>
    </row>
    <row r="50" spans="1:2">
      <c r="A50">
        <v>129.22087217242699</v>
      </c>
      <c r="B50" t="s">
        <v>33</v>
      </c>
    </row>
    <row r="51" spans="1:2">
      <c r="A51">
        <v>171.154462211132</v>
      </c>
      <c r="B51" t="s">
        <v>33</v>
      </c>
    </row>
    <row r="52" spans="1:2">
      <c r="A52">
        <v>115.046278820647</v>
      </c>
      <c r="B52" t="s">
        <v>33</v>
      </c>
    </row>
    <row r="53" spans="1:2">
      <c r="A53">
        <v>115.153149516075</v>
      </c>
      <c r="B53" t="s">
        <v>33</v>
      </c>
    </row>
    <row r="54" spans="1:2">
      <c r="A54">
        <v>135.20533523899701</v>
      </c>
      <c r="B54" t="s">
        <v>33</v>
      </c>
    </row>
    <row r="55" spans="1:2">
      <c r="A55">
        <v>176.664326733839</v>
      </c>
      <c r="B55" t="s">
        <v>33</v>
      </c>
    </row>
    <row r="56" spans="1:2">
      <c r="A56">
        <v>146.43078245238399</v>
      </c>
      <c r="B56" t="s">
        <v>96</v>
      </c>
    </row>
    <row r="57" spans="1:2">
      <c r="A57">
        <v>119.01847119990001</v>
      </c>
      <c r="B57" t="s">
        <v>33</v>
      </c>
    </row>
    <row r="58" spans="1:2">
      <c r="A58">
        <v>76.988803767818595</v>
      </c>
      <c r="B58" t="s">
        <v>99</v>
      </c>
    </row>
    <row r="59" spans="1:2">
      <c r="A59">
        <v>120.344325908524</v>
      </c>
      <c r="B59" t="s">
        <v>33</v>
      </c>
    </row>
    <row r="60" spans="1:2">
      <c r="A60">
        <v>85.148533775044797</v>
      </c>
      <c r="B60" t="s">
        <v>33</v>
      </c>
    </row>
    <row r="61" spans="1:2">
      <c r="A61">
        <v>172.633558511286</v>
      </c>
      <c r="B61" t="s">
        <v>33</v>
      </c>
    </row>
    <row r="62" spans="1:2">
      <c r="A62">
        <v>140.54866650569201</v>
      </c>
      <c r="B62" t="s">
        <v>33</v>
      </c>
    </row>
    <row r="63" spans="1:2">
      <c r="A63">
        <v>106.455667866342</v>
      </c>
      <c r="B63" t="s">
        <v>33</v>
      </c>
    </row>
    <row r="64" spans="1:2">
      <c r="A64">
        <v>91.689286290550996</v>
      </c>
      <c r="B64" t="s">
        <v>33</v>
      </c>
    </row>
    <row r="65" spans="1:2">
      <c r="A65">
        <v>158.62659456354899</v>
      </c>
      <c r="B65" t="s">
        <v>45</v>
      </c>
    </row>
    <row r="66" spans="1:2">
      <c r="A66">
        <v>104.38498896713899</v>
      </c>
      <c r="B66" t="s">
        <v>33</v>
      </c>
    </row>
    <row r="67" spans="1:2">
      <c r="A67">
        <v>82.3005514787435</v>
      </c>
      <c r="B67" t="s">
        <v>83</v>
      </c>
    </row>
    <row r="68" spans="1:2">
      <c r="A68">
        <v>134.05128080662001</v>
      </c>
      <c r="B68" t="s">
        <v>33</v>
      </c>
    </row>
    <row r="69" spans="1:2">
      <c r="A69">
        <v>92.844023454220107</v>
      </c>
      <c r="B69" t="s">
        <v>33</v>
      </c>
    </row>
    <row r="70" spans="1:2">
      <c r="A70">
        <v>104.35960483507399</v>
      </c>
      <c r="B70" t="s">
        <v>33</v>
      </c>
    </row>
    <row r="71" spans="1:2">
      <c r="A71">
        <v>153.06079714651599</v>
      </c>
      <c r="B71" t="s">
        <v>33</v>
      </c>
    </row>
    <row r="72" spans="1:2">
      <c r="A72">
        <v>155.983224891834</v>
      </c>
      <c r="B72" t="s">
        <v>33</v>
      </c>
    </row>
    <row r="73" spans="1:2">
      <c r="A73">
        <v>144.69648950352601</v>
      </c>
      <c r="B73" t="s">
        <v>33</v>
      </c>
    </row>
    <row r="74" spans="1:2">
      <c r="A74">
        <v>129.32334594607499</v>
      </c>
      <c r="B74" t="s">
        <v>33</v>
      </c>
    </row>
    <row r="75" spans="1:2">
      <c r="A75">
        <v>166.93342822302699</v>
      </c>
      <c r="B75" t="s">
        <v>33</v>
      </c>
    </row>
    <row r="76" spans="1:2">
      <c r="A76">
        <v>139.91237125748</v>
      </c>
      <c r="B76" t="s">
        <v>33</v>
      </c>
    </row>
    <row r="77" spans="1:2">
      <c r="A77">
        <v>137.867885239749</v>
      </c>
      <c r="B77" t="s">
        <v>33</v>
      </c>
    </row>
    <row r="78" spans="1:2">
      <c r="A78">
        <v>83.758118432705103</v>
      </c>
      <c r="B78" t="s">
        <v>33</v>
      </c>
    </row>
    <row r="79" spans="1:2">
      <c r="A79">
        <v>149.21721260818501</v>
      </c>
      <c r="B79" t="s">
        <v>33</v>
      </c>
    </row>
    <row r="80" spans="1:2">
      <c r="A80">
        <v>161.32049120912001</v>
      </c>
      <c r="B80" t="s">
        <v>33</v>
      </c>
    </row>
    <row r="81" spans="1:2">
      <c r="A81">
        <v>71.5631925347124</v>
      </c>
      <c r="B81" t="s">
        <v>33</v>
      </c>
    </row>
    <row r="82" spans="1:2">
      <c r="A82">
        <v>131.44676657076801</v>
      </c>
      <c r="B82" t="s">
        <v>33</v>
      </c>
    </row>
    <row r="83" spans="1:2">
      <c r="A83">
        <v>77.0477745513804</v>
      </c>
      <c r="B83" t="s">
        <v>45</v>
      </c>
    </row>
    <row r="84" spans="1:2">
      <c r="A84">
        <v>118.36636270398699</v>
      </c>
      <c r="B84" t="s">
        <v>33</v>
      </c>
    </row>
    <row r="85" spans="1:2">
      <c r="A85">
        <v>143.45289868727701</v>
      </c>
      <c r="B85" t="s">
        <v>75</v>
      </c>
    </row>
    <row r="86" spans="1:2">
      <c r="A86">
        <v>88.121461029360105</v>
      </c>
      <c r="B86" t="s">
        <v>75</v>
      </c>
    </row>
    <row r="87" spans="1:2">
      <c r="A87">
        <v>103.92803644095299</v>
      </c>
      <c r="B87" t="s">
        <v>33</v>
      </c>
    </row>
    <row r="88" spans="1:2">
      <c r="A88">
        <v>69.095724206953903</v>
      </c>
      <c r="B88" t="s">
        <v>52</v>
      </c>
    </row>
    <row r="89" spans="1:2">
      <c r="A89">
        <v>141.498027692828</v>
      </c>
      <c r="B89" t="s">
        <v>45</v>
      </c>
    </row>
    <row r="90" spans="1:2">
      <c r="A90">
        <v>62.987909572927897</v>
      </c>
      <c r="B90" t="s">
        <v>132</v>
      </c>
    </row>
    <row r="91" spans="1:2">
      <c r="A91">
        <v>139.62979814050101</v>
      </c>
      <c r="B91" t="s">
        <v>33</v>
      </c>
    </row>
    <row r="92" spans="1:2">
      <c r="A92">
        <v>90.278029702651395</v>
      </c>
      <c r="B92" t="s">
        <v>33</v>
      </c>
    </row>
    <row r="93" spans="1:2">
      <c r="A93">
        <v>138.48527229483099</v>
      </c>
      <c r="B93" t="s">
        <v>33</v>
      </c>
    </row>
    <row r="94" spans="1:2">
      <c r="A94">
        <v>87.726505464197203</v>
      </c>
      <c r="B94" t="s">
        <v>33</v>
      </c>
    </row>
    <row r="95" spans="1:2">
      <c r="A95">
        <v>110.377835977001</v>
      </c>
      <c r="B95" t="s">
        <v>33</v>
      </c>
    </row>
    <row r="96" spans="1:2">
      <c r="A96">
        <v>60.761329271508401</v>
      </c>
      <c r="B96" t="s">
        <v>33</v>
      </c>
    </row>
    <row r="97" spans="1:2">
      <c r="A97">
        <v>127.576031138267</v>
      </c>
      <c r="B97" t="s">
        <v>33</v>
      </c>
    </row>
    <row r="98" spans="1:2">
      <c r="A98">
        <v>98.785109162044904</v>
      </c>
      <c r="B98" t="s">
        <v>33</v>
      </c>
    </row>
    <row r="99" spans="1:2">
      <c r="A99">
        <v>127.21282937645501</v>
      </c>
      <c r="B99" t="s">
        <v>33</v>
      </c>
    </row>
    <row r="100" spans="1:2">
      <c r="A100">
        <v>133.09374578141501</v>
      </c>
      <c r="B100" t="s">
        <v>33</v>
      </c>
    </row>
    <row r="101" spans="1:2">
      <c r="A101">
        <v>75.458196691282197</v>
      </c>
      <c r="B101" t="s">
        <v>144</v>
      </c>
    </row>
    <row r="102" spans="1:2">
      <c r="A102">
        <v>74.326158498301197</v>
      </c>
      <c r="B102" t="s">
        <v>33</v>
      </c>
    </row>
    <row r="103" spans="1:2">
      <c r="A103">
        <v>131.34837582232001</v>
      </c>
      <c r="B103" t="s">
        <v>52</v>
      </c>
    </row>
    <row r="104" spans="1:2">
      <c r="A104">
        <v>117.47971079862</v>
      </c>
      <c r="B104" t="s">
        <v>33</v>
      </c>
    </row>
    <row r="105" spans="1:2">
      <c r="A105">
        <v>127.086319760241</v>
      </c>
      <c r="B105" t="s">
        <v>33</v>
      </c>
    </row>
    <row r="106" spans="1:2">
      <c r="A106">
        <v>79.235859482492799</v>
      </c>
      <c r="B106" t="s">
        <v>132</v>
      </c>
    </row>
    <row r="107" spans="1:2">
      <c r="A107">
        <v>207.027275354209</v>
      </c>
      <c r="B107" t="s">
        <v>144</v>
      </c>
    </row>
    <row r="108" spans="1:2">
      <c r="A108">
        <v>73.825433506318603</v>
      </c>
      <c r="B108" t="s">
        <v>33</v>
      </c>
    </row>
    <row r="109" spans="1:2">
      <c r="A109">
        <v>96.674445110090105</v>
      </c>
      <c r="B109" t="s">
        <v>33</v>
      </c>
    </row>
    <row r="110" spans="1:2">
      <c r="A110">
        <v>102.360249584703</v>
      </c>
      <c r="B110" t="s">
        <v>33</v>
      </c>
    </row>
    <row r="111" spans="1:2">
      <c r="A111">
        <v>116.327940953512</v>
      </c>
      <c r="B111" t="s">
        <v>33</v>
      </c>
    </row>
    <row r="112" spans="1:2">
      <c r="A112">
        <v>148.11411265261</v>
      </c>
      <c r="B112" t="s">
        <v>33</v>
      </c>
    </row>
    <row r="113" spans="1:2">
      <c r="A113">
        <v>76.511691362999301</v>
      </c>
      <c r="B113" t="s">
        <v>70</v>
      </c>
    </row>
    <row r="114" spans="1:2">
      <c r="A114">
        <v>125.53942068268699</v>
      </c>
      <c r="B114" t="s">
        <v>52</v>
      </c>
    </row>
    <row r="115" spans="1:2">
      <c r="A115">
        <v>80.762825433743103</v>
      </c>
      <c r="B115" t="s">
        <v>33</v>
      </c>
    </row>
    <row r="116" spans="1:2">
      <c r="A116">
        <v>85.470189166178102</v>
      </c>
      <c r="B116" t="s">
        <v>52</v>
      </c>
    </row>
    <row r="117" spans="1:2">
      <c r="A117">
        <v>97.140193462556397</v>
      </c>
      <c r="B117" t="s">
        <v>33</v>
      </c>
    </row>
    <row r="118" spans="1:2">
      <c r="A118">
        <v>167.36591950079401</v>
      </c>
      <c r="B118" t="s">
        <v>33</v>
      </c>
    </row>
    <row r="119" spans="1:2">
      <c r="A119">
        <v>84.775447169947199</v>
      </c>
      <c r="B119" t="s">
        <v>52</v>
      </c>
    </row>
    <row r="120" spans="1:2">
      <c r="A120">
        <v>103.176931142604</v>
      </c>
      <c r="B120" t="s">
        <v>33</v>
      </c>
    </row>
    <row r="121" spans="1:2">
      <c r="A121">
        <v>108.130390868814</v>
      </c>
      <c r="B121" t="s">
        <v>33</v>
      </c>
    </row>
    <row r="122" spans="1:2">
      <c r="A122">
        <v>118.913482953068</v>
      </c>
      <c r="B122" t="s">
        <v>33</v>
      </c>
    </row>
    <row r="123" spans="1:2">
      <c r="A123">
        <v>111.48244790349</v>
      </c>
      <c r="B123" t="s">
        <v>33</v>
      </c>
    </row>
    <row r="124" spans="1:2">
      <c r="A124">
        <v>132.338510375103</v>
      </c>
      <c r="B124" t="s">
        <v>33</v>
      </c>
    </row>
    <row r="125" spans="1:2">
      <c r="A125">
        <v>123.478919448639</v>
      </c>
      <c r="B125" t="s">
        <v>169</v>
      </c>
    </row>
    <row r="126" spans="1:2">
      <c r="A126">
        <v>67.168072782096601</v>
      </c>
      <c r="B126" t="s">
        <v>83</v>
      </c>
    </row>
    <row r="127" spans="1:2">
      <c r="A127">
        <v>123.156266899649</v>
      </c>
      <c r="B127" t="s">
        <v>144</v>
      </c>
    </row>
    <row r="128" spans="1:2">
      <c r="A128">
        <v>71.610776207570893</v>
      </c>
      <c r="B128" t="s">
        <v>33</v>
      </c>
    </row>
    <row r="129" spans="1:2">
      <c r="A129">
        <v>62.5537753140718</v>
      </c>
      <c r="B129" t="s">
        <v>33</v>
      </c>
    </row>
    <row r="130" spans="1:2">
      <c r="A130">
        <v>122.313387045892</v>
      </c>
      <c r="B130" t="s">
        <v>45</v>
      </c>
    </row>
    <row r="131" spans="1:2">
      <c r="A131">
        <v>79.194052349327606</v>
      </c>
      <c r="B131" t="s">
        <v>33</v>
      </c>
    </row>
    <row r="132" spans="1:2">
      <c r="A132">
        <v>80.583371814889105</v>
      </c>
      <c r="B132" t="s">
        <v>33</v>
      </c>
    </row>
    <row r="133" spans="1:2">
      <c r="A133">
        <v>100.619601759711</v>
      </c>
      <c r="B133" t="s">
        <v>178</v>
      </c>
    </row>
    <row r="134" spans="1:2">
      <c r="A134">
        <v>185.51879185705999</v>
      </c>
      <c r="B134" t="s">
        <v>45</v>
      </c>
    </row>
    <row r="135" spans="1:2">
      <c r="A135">
        <v>112.196511408077</v>
      </c>
      <c r="B135" t="s">
        <v>70</v>
      </c>
    </row>
    <row r="136" spans="1:2">
      <c r="A136">
        <v>78.604010303999601</v>
      </c>
      <c r="B136" t="s">
        <v>132</v>
      </c>
    </row>
    <row r="137" spans="1:2">
      <c r="A137">
        <v>58.170883986879097</v>
      </c>
      <c r="B137" t="s">
        <v>83</v>
      </c>
    </row>
    <row r="138" spans="1:2">
      <c r="A138">
        <v>89.622677596093993</v>
      </c>
      <c r="B138" t="s">
        <v>33</v>
      </c>
    </row>
    <row r="139" spans="1:2">
      <c r="A139">
        <v>113.607010879493</v>
      </c>
      <c r="B139" t="s">
        <v>185</v>
      </c>
    </row>
    <row r="140" spans="1:2">
      <c r="A140">
        <v>79.293159135262201</v>
      </c>
      <c r="B140" t="s">
        <v>33</v>
      </c>
    </row>
    <row r="141" spans="1:2">
      <c r="A141">
        <v>111.526574500214</v>
      </c>
      <c r="B141" t="s">
        <v>33</v>
      </c>
    </row>
    <row r="142" spans="1:2">
      <c r="A142">
        <v>75.983033980988196</v>
      </c>
      <c r="B142" t="s">
        <v>33</v>
      </c>
    </row>
    <row r="143" spans="1:2">
      <c r="A143">
        <v>123.64765326611101</v>
      </c>
      <c r="B143" t="s">
        <v>33</v>
      </c>
    </row>
    <row r="144" spans="1:2">
      <c r="A144">
        <v>110.24574038534099</v>
      </c>
      <c r="B144" t="s">
        <v>33</v>
      </c>
    </row>
    <row r="145" spans="1:2">
      <c r="A145">
        <v>75.020550047473407</v>
      </c>
      <c r="B145" t="s">
        <v>33</v>
      </c>
    </row>
    <row r="146" spans="1:2">
      <c r="A146">
        <v>109.188422076229</v>
      </c>
      <c r="B146" t="s">
        <v>33</v>
      </c>
    </row>
    <row r="147" spans="1:2">
      <c r="A147">
        <v>58.407886477044201</v>
      </c>
      <c r="B147" t="s">
        <v>83</v>
      </c>
    </row>
    <row r="148" spans="1:2">
      <c r="A148">
        <v>86.437825736837297</v>
      </c>
      <c r="B148" t="s">
        <v>33</v>
      </c>
    </row>
    <row r="149" spans="1:2">
      <c r="A149">
        <v>78.6954439210364</v>
      </c>
      <c r="B149" t="s">
        <v>33</v>
      </c>
    </row>
    <row r="150" spans="1:2">
      <c r="A150">
        <v>50.481129903989199</v>
      </c>
      <c r="B150" t="s">
        <v>83</v>
      </c>
    </row>
    <row r="151" spans="1:2">
      <c r="A151">
        <v>70.622204845570806</v>
      </c>
      <c r="B151" t="s">
        <v>75</v>
      </c>
    </row>
    <row r="152" spans="1:2">
      <c r="A152">
        <v>76.417644933412802</v>
      </c>
      <c r="B152" t="s">
        <v>33</v>
      </c>
    </row>
    <row r="153" spans="1:2">
      <c r="A153">
        <v>77.635018777140402</v>
      </c>
      <c r="B153" t="s">
        <v>75</v>
      </c>
    </row>
    <row r="154" spans="1:2">
      <c r="A154">
        <v>95.659028305485293</v>
      </c>
      <c r="B154" t="s">
        <v>201</v>
      </c>
    </row>
    <row r="155" spans="1:2">
      <c r="A155">
        <v>74.604437036044303</v>
      </c>
      <c r="B155" t="s">
        <v>33</v>
      </c>
    </row>
    <row r="156" spans="1:2">
      <c r="A156">
        <v>108.00343148905699</v>
      </c>
      <c r="B156" t="s">
        <v>33</v>
      </c>
    </row>
    <row r="157" spans="1:2">
      <c r="A157">
        <v>67.204689686507095</v>
      </c>
      <c r="B157" t="s">
        <v>33</v>
      </c>
    </row>
    <row r="158" spans="1:2">
      <c r="A158">
        <v>96.288039999195902</v>
      </c>
      <c r="B158" t="s">
        <v>144</v>
      </c>
    </row>
    <row r="159" spans="1:2">
      <c r="A159">
        <v>69.302198932859795</v>
      </c>
      <c r="B159" t="s">
        <v>33</v>
      </c>
    </row>
    <row r="160" spans="1:2">
      <c r="A160">
        <v>93.571896573544606</v>
      </c>
      <c r="B160" t="s">
        <v>33</v>
      </c>
    </row>
    <row r="161" spans="1:2">
      <c r="A161">
        <v>93.618400970922494</v>
      </c>
      <c r="B161" t="s">
        <v>33</v>
      </c>
    </row>
    <row r="162" spans="1:2">
      <c r="A162">
        <v>94.493630983994805</v>
      </c>
      <c r="B162" t="s">
        <v>33</v>
      </c>
    </row>
    <row r="163" spans="1:2">
      <c r="A163">
        <v>109.864865548842</v>
      </c>
      <c r="B163" t="s">
        <v>33</v>
      </c>
    </row>
    <row r="164" spans="1:2">
      <c r="A164">
        <v>74.343979159600494</v>
      </c>
      <c r="B164" t="s">
        <v>33</v>
      </c>
    </row>
    <row r="165" spans="1:2">
      <c r="A165">
        <v>93.346122943285096</v>
      </c>
      <c r="B165" t="s">
        <v>33</v>
      </c>
    </row>
    <row r="166" spans="1:2">
      <c r="A166">
        <v>101.433506848579</v>
      </c>
      <c r="B166" t="s">
        <v>33</v>
      </c>
    </row>
    <row r="167" spans="1:2">
      <c r="A167">
        <v>57.859367053239403</v>
      </c>
      <c r="B167" t="s">
        <v>83</v>
      </c>
    </row>
    <row r="168" spans="1:2">
      <c r="A168">
        <v>87.792275149809299</v>
      </c>
      <c r="B168" t="s">
        <v>33</v>
      </c>
    </row>
    <row r="169" spans="1:2">
      <c r="A169">
        <v>82.786591609014806</v>
      </c>
      <c r="B169" t="s">
        <v>33</v>
      </c>
    </row>
    <row r="170" spans="1:2">
      <c r="A170">
        <v>101.128007462714</v>
      </c>
      <c r="B170" t="s">
        <v>33</v>
      </c>
    </row>
    <row r="171" spans="1:2">
      <c r="A171">
        <v>78.376166872309994</v>
      </c>
      <c r="B171" t="s">
        <v>33</v>
      </c>
    </row>
    <row r="172" spans="1:2">
      <c r="A172">
        <v>56.843053651139797</v>
      </c>
      <c r="B172" t="s">
        <v>33</v>
      </c>
    </row>
    <row r="173" spans="1:2">
      <c r="A173">
        <v>70.229886084551495</v>
      </c>
      <c r="B173" t="s">
        <v>83</v>
      </c>
    </row>
    <row r="174" spans="1:2">
      <c r="A174">
        <v>106.89866656791401</v>
      </c>
      <c r="B174" t="s">
        <v>45</v>
      </c>
    </row>
    <row r="175" spans="1:2">
      <c r="A175">
        <v>119.34873908148499</v>
      </c>
      <c r="B175" t="s">
        <v>33</v>
      </c>
    </row>
    <row r="176" spans="1:2">
      <c r="A176">
        <v>85.823720230714798</v>
      </c>
      <c r="B176" t="s">
        <v>33</v>
      </c>
    </row>
    <row r="177" spans="1:2">
      <c r="A177">
        <v>84.670464821929201</v>
      </c>
      <c r="B177" t="s">
        <v>75</v>
      </c>
    </row>
    <row r="178" spans="1:2">
      <c r="A178">
        <v>77.461756067774004</v>
      </c>
      <c r="B178" t="s">
        <v>52</v>
      </c>
    </row>
    <row r="179" spans="1:2">
      <c r="A179">
        <v>129.10219386282901</v>
      </c>
      <c r="B179" t="s">
        <v>33</v>
      </c>
    </row>
    <row r="180" spans="1:2">
      <c r="A180">
        <v>92.607280197174106</v>
      </c>
      <c r="B180" t="s">
        <v>33</v>
      </c>
    </row>
    <row r="181" spans="1:2">
      <c r="A181">
        <v>84.435458254418606</v>
      </c>
      <c r="B181" t="s">
        <v>33</v>
      </c>
    </row>
    <row r="182" spans="1:2">
      <c r="A182">
        <v>120.87623192208299</v>
      </c>
      <c r="B182" t="s">
        <v>33</v>
      </c>
    </row>
    <row r="183" spans="1:2">
      <c r="A183">
        <v>67.206097630564003</v>
      </c>
      <c r="B183" t="s">
        <v>33</v>
      </c>
    </row>
    <row r="184" spans="1:2">
      <c r="A184">
        <v>74.262478370005695</v>
      </c>
      <c r="B184" t="s">
        <v>33</v>
      </c>
    </row>
    <row r="185" spans="1:2">
      <c r="A185">
        <v>100.32860116490301</v>
      </c>
      <c r="B185" t="s">
        <v>33</v>
      </c>
    </row>
    <row r="186" spans="1:2">
      <c r="A186">
        <v>77.554536367391407</v>
      </c>
      <c r="B186" t="s">
        <v>33</v>
      </c>
    </row>
    <row r="187" spans="1:2">
      <c r="A187">
        <v>69.2694228940111</v>
      </c>
      <c r="B187" t="s">
        <v>75</v>
      </c>
    </row>
    <row r="188" spans="1:2">
      <c r="A188">
        <v>53.830166383641</v>
      </c>
      <c r="B188" t="s">
        <v>45</v>
      </c>
    </row>
    <row r="189" spans="1:2">
      <c r="A189">
        <v>58.935249392339699</v>
      </c>
      <c r="B189" t="s">
        <v>33</v>
      </c>
    </row>
    <row r="190" spans="1:2">
      <c r="A190">
        <v>79.620643520852198</v>
      </c>
      <c r="B190" t="s">
        <v>75</v>
      </c>
    </row>
    <row r="191" spans="1:2">
      <c r="A191">
        <v>131.066136766835</v>
      </c>
      <c r="B191" t="s">
        <v>33</v>
      </c>
    </row>
    <row r="192" spans="1:2">
      <c r="A192">
        <v>102.10116930045</v>
      </c>
      <c r="B192" t="s">
        <v>33</v>
      </c>
    </row>
    <row r="193" spans="1:2">
      <c r="A193">
        <v>89.9609431948127</v>
      </c>
      <c r="B193" t="s">
        <v>241</v>
      </c>
    </row>
    <row r="194" spans="1:2">
      <c r="A194">
        <v>126.36129883879801</v>
      </c>
      <c r="B194" t="s">
        <v>33</v>
      </c>
    </row>
    <row r="195" spans="1:2">
      <c r="A195">
        <v>80.623284915766106</v>
      </c>
      <c r="B195" t="s">
        <v>33</v>
      </c>
    </row>
    <row r="196" spans="1:2">
      <c r="A196">
        <v>53.726357438493999</v>
      </c>
      <c r="B196" t="s">
        <v>70</v>
      </c>
    </row>
    <row r="197" spans="1:2">
      <c r="A197">
        <v>93.248760598206204</v>
      </c>
      <c r="B197" t="s">
        <v>33</v>
      </c>
    </row>
    <row r="198" spans="1:2">
      <c r="A198">
        <v>79.043363579691501</v>
      </c>
      <c r="B198" t="s">
        <v>33</v>
      </c>
    </row>
    <row r="199" spans="1:2">
      <c r="A199">
        <v>54.292236372745798</v>
      </c>
      <c r="B199" t="s">
        <v>33</v>
      </c>
    </row>
    <row r="200" spans="1:2">
      <c r="A200">
        <v>54.898833635763502</v>
      </c>
      <c r="B200" t="s">
        <v>178</v>
      </c>
    </row>
    <row r="201" spans="1:2">
      <c r="A201">
        <v>72.486745428348101</v>
      </c>
      <c r="B201" t="s">
        <v>83</v>
      </c>
    </row>
    <row r="202" spans="1:2">
      <c r="A202">
        <v>99.4124255674745</v>
      </c>
      <c r="B202" t="s">
        <v>33</v>
      </c>
    </row>
    <row r="203" spans="1:2">
      <c r="A203">
        <v>88.239495746286295</v>
      </c>
      <c r="B203" t="s">
        <v>33</v>
      </c>
    </row>
    <row r="204" spans="1:2">
      <c r="A204">
        <v>100.371848133413</v>
      </c>
      <c r="B204" t="s">
        <v>132</v>
      </c>
    </row>
    <row r="205" spans="1:2">
      <c r="A205">
        <v>61.634903714758799</v>
      </c>
      <c r="B205" t="s">
        <v>75</v>
      </c>
    </row>
    <row r="206" spans="1:2">
      <c r="A206">
        <v>58.875815364015203</v>
      </c>
      <c r="B206" t="s">
        <v>33</v>
      </c>
    </row>
    <row r="207" spans="1:2">
      <c r="A207">
        <v>56.176632921994802</v>
      </c>
      <c r="B207" t="s">
        <v>45</v>
      </c>
    </row>
    <row r="208" spans="1:2">
      <c r="A208">
        <v>52.1970266163734</v>
      </c>
      <c r="B208" t="s">
        <v>45</v>
      </c>
    </row>
    <row r="209" spans="1:2">
      <c r="A209">
        <v>82.316645788527097</v>
      </c>
      <c r="B209" t="s">
        <v>33</v>
      </c>
    </row>
    <row r="210" spans="1:2">
      <c r="A210">
        <v>104.8363396604</v>
      </c>
      <c r="B210" t="s">
        <v>33</v>
      </c>
    </row>
    <row r="211" spans="1:2">
      <c r="A211">
        <v>89.512809592251401</v>
      </c>
      <c r="B211" t="s">
        <v>144</v>
      </c>
    </row>
    <row r="212" spans="1:2">
      <c r="A212">
        <v>54.514860520863401</v>
      </c>
      <c r="B212" t="s">
        <v>33</v>
      </c>
    </row>
    <row r="213" spans="1:2">
      <c r="A213">
        <v>61.795888675473698</v>
      </c>
      <c r="B213" t="s">
        <v>33</v>
      </c>
    </row>
    <row r="214" spans="1:2">
      <c r="A214">
        <v>58.2992446819013</v>
      </c>
      <c r="B214" t="s">
        <v>33</v>
      </c>
    </row>
    <row r="215" spans="1:2">
      <c r="A215">
        <v>74.509253185604905</v>
      </c>
      <c r="B215" t="s">
        <v>33</v>
      </c>
    </row>
    <row r="216" spans="1:2">
      <c r="A216">
        <v>88.131124353270593</v>
      </c>
      <c r="B216" t="s">
        <v>33</v>
      </c>
    </row>
    <row r="217" spans="1:2">
      <c r="A217">
        <v>88.772973371853993</v>
      </c>
      <c r="B217" t="s">
        <v>33</v>
      </c>
    </row>
    <row r="218" spans="1:2">
      <c r="A218">
        <v>66.345980565037905</v>
      </c>
      <c r="B218" t="s">
        <v>52</v>
      </c>
    </row>
    <row r="219" spans="1:2">
      <c r="A219">
        <v>143.67010206457701</v>
      </c>
      <c r="B219" t="s">
        <v>33</v>
      </c>
    </row>
    <row r="220" spans="1:2">
      <c r="A220">
        <v>105.35313721147701</v>
      </c>
      <c r="B220" t="s">
        <v>33</v>
      </c>
    </row>
    <row r="221" spans="1:2">
      <c r="A221">
        <v>79.632526666974698</v>
      </c>
      <c r="B221" t="s">
        <v>33</v>
      </c>
    </row>
    <row r="222" spans="1:2">
      <c r="A222">
        <v>73.319998532514703</v>
      </c>
      <c r="B222" t="s">
        <v>33</v>
      </c>
    </row>
    <row r="223" spans="1:2">
      <c r="A223">
        <v>82.479710603865797</v>
      </c>
      <c r="B223" t="s">
        <v>45</v>
      </c>
    </row>
    <row r="224" spans="1:2">
      <c r="A224">
        <v>105.589978869985</v>
      </c>
      <c r="B224" t="s">
        <v>33</v>
      </c>
    </row>
    <row r="225" spans="1:2">
      <c r="A225">
        <v>59.661286664087001</v>
      </c>
      <c r="B225" t="s">
        <v>132</v>
      </c>
    </row>
    <row r="226" spans="1:2">
      <c r="A226">
        <v>139.416447561437</v>
      </c>
      <c r="B226" t="s">
        <v>33</v>
      </c>
    </row>
    <row r="227" spans="1:2">
      <c r="A227">
        <v>95.078918628787804</v>
      </c>
      <c r="B227" t="s">
        <v>33</v>
      </c>
    </row>
    <row r="228" spans="1:2">
      <c r="A228">
        <v>89.335045077933103</v>
      </c>
      <c r="B228" t="s">
        <v>33</v>
      </c>
    </row>
    <row r="229" spans="1:2">
      <c r="A229">
        <v>100.467143452353</v>
      </c>
      <c r="B229" t="s">
        <v>75</v>
      </c>
    </row>
    <row r="230" spans="1:2">
      <c r="A230">
        <v>130.42130504845801</v>
      </c>
      <c r="B230" t="s">
        <v>279</v>
      </c>
    </row>
    <row r="231" spans="1:2">
      <c r="A231">
        <v>54.398444328621203</v>
      </c>
      <c r="B231" t="s">
        <v>52</v>
      </c>
    </row>
    <row r="232" spans="1:2">
      <c r="A232">
        <v>65.074477974472302</v>
      </c>
      <c r="B232" t="s">
        <v>33</v>
      </c>
    </row>
    <row r="233" spans="1:2">
      <c r="A233">
        <v>123.54506713643499</v>
      </c>
      <c r="B233" t="s">
        <v>52</v>
      </c>
    </row>
    <row r="234" spans="1:2">
      <c r="A234">
        <v>75.408021676297906</v>
      </c>
      <c r="B234" t="s">
        <v>45</v>
      </c>
    </row>
    <row r="235" spans="1:2">
      <c r="A235">
        <v>51.382168774156703</v>
      </c>
      <c r="B235" t="s">
        <v>33</v>
      </c>
    </row>
    <row r="236" spans="1:2">
      <c r="A236">
        <v>52.988644538521399</v>
      </c>
      <c r="B236" t="s">
        <v>96</v>
      </c>
    </row>
    <row r="237" spans="1:2">
      <c r="A237">
        <v>57.672633620417599</v>
      </c>
      <c r="B237" t="s">
        <v>33</v>
      </c>
    </row>
    <row r="238" spans="1:2">
      <c r="A238">
        <v>57.975362004159102</v>
      </c>
      <c r="B238" t="s">
        <v>83</v>
      </c>
    </row>
    <row r="239" spans="1:2">
      <c r="A239">
        <v>112.97308344586</v>
      </c>
      <c r="B239" t="s">
        <v>33</v>
      </c>
    </row>
    <row r="240" spans="1:2">
      <c r="A240">
        <v>91.543661582417499</v>
      </c>
      <c r="B240" t="s">
        <v>33</v>
      </c>
    </row>
    <row r="241" spans="1:2">
      <c r="A241">
        <v>61.237543187811198</v>
      </c>
      <c r="B241" t="s">
        <v>33</v>
      </c>
    </row>
    <row r="242" spans="1:2">
      <c r="A242">
        <v>108.636744674936</v>
      </c>
      <c r="B242" t="s">
        <v>33</v>
      </c>
    </row>
    <row r="243" spans="1:2">
      <c r="A243">
        <v>63.805813564895502</v>
      </c>
      <c r="B243" t="s">
        <v>52</v>
      </c>
    </row>
    <row r="244" spans="1:2">
      <c r="A244">
        <v>106.14501146792099</v>
      </c>
      <c r="B244" t="s">
        <v>33</v>
      </c>
    </row>
    <row r="245" spans="1:2">
      <c r="A245">
        <v>90.069214030243998</v>
      </c>
      <c r="B245" t="s">
        <v>83</v>
      </c>
    </row>
    <row r="246" spans="1:2">
      <c r="A246">
        <v>116.29784116794301</v>
      </c>
      <c r="B246" t="s">
        <v>132</v>
      </c>
    </row>
    <row r="247" spans="1:2">
      <c r="A247">
        <v>112.188077545927</v>
      </c>
      <c r="B247" t="s">
        <v>33</v>
      </c>
    </row>
    <row r="248" spans="1:2">
      <c r="A248">
        <v>53.886385893880899</v>
      </c>
      <c r="B248" t="s">
        <v>33</v>
      </c>
    </row>
    <row r="249" spans="1:2">
      <c r="A249">
        <v>125.134775212425</v>
      </c>
      <c r="B249" t="s">
        <v>33</v>
      </c>
    </row>
    <row r="250" spans="1:2">
      <c r="A250">
        <v>56.164841194187403</v>
      </c>
      <c r="B250" t="s">
        <v>45</v>
      </c>
    </row>
    <row r="251" spans="1:2">
      <c r="A251">
        <v>90.104925356930593</v>
      </c>
      <c r="B251" t="s">
        <v>52</v>
      </c>
    </row>
    <row r="252" spans="1:2">
      <c r="A252">
        <v>55.348564265864297</v>
      </c>
      <c r="B252" t="s">
        <v>169</v>
      </c>
    </row>
    <row r="253" spans="1:2">
      <c r="A253">
        <v>59.239511865659097</v>
      </c>
      <c r="B253" t="s">
        <v>33</v>
      </c>
    </row>
    <row r="254" spans="1:2">
      <c r="A254">
        <v>69.474019449333795</v>
      </c>
      <c r="B254" t="s">
        <v>33</v>
      </c>
    </row>
    <row r="255" spans="1:2">
      <c r="A255">
        <v>55.329755961250399</v>
      </c>
      <c r="B255" t="s">
        <v>83</v>
      </c>
    </row>
    <row r="256" spans="1:2">
      <c r="A256">
        <v>83.487683868058895</v>
      </c>
      <c r="B256" t="s">
        <v>33</v>
      </c>
    </row>
    <row r="257" spans="1:2">
      <c r="A257">
        <v>89.978822115408803</v>
      </c>
      <c r="B257" t="s">
        <v>45</v>
      </c>
    </row>
    <row r="258" spans="1:2">
      <c r="A258">
        <v>50.479255477019898</v>
      </c>
      <c r="B258" t="s">
        <v>83</v>
      </c>
    </row>
    <row r="259" spans="1:2">
      <c r="A259">
        <v>81.477848835428006</v>
      </c>
      <c r="B259" t="s">
        <v>33</v>
      </c>
    </row>
    <row r="260" spans="1:2">
      <c r="A260">
        <v>55.401535134300197</v>
      </c>
      <c r="B260" t="s">
        <v>33</v>
      </c>
    </row>
    <row r="261" spans="1:2">
      <c r="A261">
        <v>70.537745331782403</v>
      </c>
      <c r="B261" t="s">
        <v>45</v>
      </c>
    </row>
    <row r="262" spans="1:2">
      <c r="A262">
        <v>169.31075375684301</v>
      </c>
      <c r="B262" t="s">
        <v>83</v>
      </c>
    </row>
    <row r="263" spans="1:2">
      <c r="A263">
        <v>73.853625337676107</v>
      </c>
      <c r="B263" t="s">
        <v>33</v>
      </c>
    </row>
    <row r="264" spans="1:2">
      <c r="A264">
        <v>59.715185539078</v>
      </c>
      <c r="B264" t="s">
        <v>33</v>
      </c>
    </row>
    <row r="265" spans="1:2">
      <c r="A265">
        <v>57.1882441169152</v>
      </c>
      <c r="B265" t="s">
        <v>33</v>
      </c>
    </row>
    <row r="266" spans="1:2">
      <c r="A266">
        <v>58.042239422249203</v>
      </c>
      <c r="B266" t="s">
        <v>33</v>
      </c>
    </row>
    <row r="267" spans="1:2">
      <c r="A267">
        <v>81.794273357828104</v>
      </c>
      <c r="B267" t="s">
        <v>33</v>
      </c>
    </row>
    <row r="268" spans="1:2">
      <c r="A268">
        <v>65.2878731880554</v>
      </c>
      <c r="B268" t="s">
        <v>33</v>
      </c>
    </row>
    <row r="269" spans="1:2">
      <c r="A269">
        <v>89.009284449645705</v>
      </c>
      <c r="B269" t="s">
        <v>33</v>
      </c>
    </row>
    <row r="270" spans="1:2">
      <c r="A270">
        <v>54.6154383303994</v>
      </c>
      <c r="B270" t="s">
        <v>52</v>
      </c>
    </row>
    <row r="271" spans="1:2">
      <c r="A271">
        <v>61.226726154472601</v>
      </c>
      <c r="B271" t="s">
        <v>321</v>
      </c>
    </row>
    <row r="272" spans="1:2">
      <c r="A272">
        <v>65.150044611246898</v>
      </c>
      <c r="B272" t="s">
        <v>33</v>
      </c>
    </row>
    <row r="273" spans="1:2">
      <c r="A273">
        <v>77.049002629427505</v>
      </c>
      <c r="B273" t="s">
        <v>241</v>
      </c>
    </row>
    <row r="274" spans="1:2">
      <c r="A274">
        <v>70.368522188366697</v>
      </c>
      <c r="B274" t="s">
        <v>325</v>
      </c>
    </row>
    <row r="275" spans="1:2">
      <c r="A275">
        <v>58.856526573927603</v>
      </c>
      <c r="B275" t="s">
        <v>169</v>
      </c>
    </row>
    <row r="276" spans="1:2">
      <c r="A276">
        <v>98.201008791638401</v>
      </c>
      <c r="B276" t="s">
        <v>33</v>
      </c>
    </row>
    <row r="277" spans="1:2">
      <c r="A277">
        <v>52.262245750454397</v>
      </c>
      <c r="B277" t="s">
        <v>75</v>
      </c>
    </row>
    <row r="278" spans="1:2">
      <c r="A278">
        <v>85.842145040502999</v>
      </c>
      <c r="B278" t="s">
        <v>33</v>
      </c>
    </row>
    <row r="279" spans="1:2">
      <c r="A279">
        <v>83.590755821133399</v>
      </c>
      <c r="B279" t="s">
        <v>331</v>
      </c>
    </row>
    <row r="280" spans="1:2">
      <c r="A280">
        <v>54.867800784449102</v>
      </c>
      <c r="B280" t="s">
        <v>33</v>
      </c>
    </row>
    <row r="281" spans="1:2">
      <c r="A281">
        <v>108.776013682411</v>
      </c>
      <c r="B281" t="s">
        <v>33</v>
      </c>
    </row>
    <row r="282" spans="1:2">
      <c r="A282">
        <v>61.930487077685797</v>
      </c>
      <c r="B282" t="s">
        <v>96</v>
      </c>
    </row>
    <row r="283" spans="1:2">
      <c r="A283">
        <v>61.384157306679597</v>
      </c>
      <c r="B283" t="s">
        <v>33</v>
      </c>
    </row>
    <row r="284" spans="1:2">
      <c r="A284">
        <v>88.136492408749504</v>
      </c>
      <c r="B284" t="s">
        <v>45</v>
      </c>
    </row>
    <row r="285" spans="1:2">
      <c r="A285">
        <v>81.184670029602202</v>
      </c>
      <c r="B285" t="s">
        <v>45</v>
      </c>
    </row>
    <row r="286" spans="1:2">
      <c r="A286">
        <v>82.5977885710207</v>
      </c>
      <c r="B286" t="s">
        <v>132</v>
      </c>
    </row>
    <row r="287" spans="1:2">
      <c r="A287">
        <v>108.12426521997</v>
      </c>
      <c r="B287" t="s">
        <v>340</v>
      </c>
    </row>
    <row r="288" spans="1:2">
      <c r="A288">
        <v>53.528742580604501</v>
      </c>
      <c r="B288" t="s">
        <v>132</v>
      </c>
    </row>
    <row r="289" spans="1:2">
      <c r="A289">
        <v>98.787982673828694</v>
      </c>
      <c r="B289" t="s">
        <v>33</v>
      </c>
    </row>
    <row r="290" spans="1:2">
      <c r="A290">
        <v>67.163846470057706</v>
      </c>
      <c r="B290" t="s">
        <v>33</v>
      </c>
    </row>
    <row r="291" spans="1:2">
      <c r="A291">
        <v>70.220454280535805</v>
      </c>
      <c r="B291" t="s">
        <v>33</v>
      </c>
    </row>
    <row r="292" spans="1:2">
      <c r="A292">
        <v>97.781934540441299</v>
      </c>
      <c r="B292" t="s">
        <v>33</v>
      </c>
    </row>
    <row r="293" spans="1:2">
      <c r="A293">
        <v>74.593021387006999</v>
      </c>
      <c r="B293" t="s">
        <v>33</v>
      </c>
    </row>
    <row r="294" spans="1:2">
      <c r="A294">
        <v>102.86925079356899</v>
      </c>
      <c r="B294" t="s">
        <v>132</v>
      </c>
    </row>
    <row r="295" spans="1:2">
      <c r="A295">
        <v>96.378405210147307</v>
      </c>
      <c r="B295" t="s">
        <v>33</v>
      </c>
    </row>
    <row r="296" spans="1:2">
      <c r="A296">
        <v>105.91923816579499</v>
      </c>
      <c r="B296" t="s">
        <v>33</v>
      </c>
    </row>
    <row r="297" spans="1:2">
      <c r="A297">
        <v>75.928221148082201</v>
      </c>
      <c r="B297" t="s">
        <v>132</v>
      </c>
    </row>
    <row r="298" spans="1:2">
      <c r="A298">
        <v>78.960721678679306</v>
      </c>
      <c r="B298" t="s">
        <v>33</v>
      </c>
    </row>
    <row r="299" spans="1:2">
      <c r="A299">
        <v>66.516902223705799</v>
      </c>
      <c r="B299" t="s">
        <v>132</v>
      </c>
    </row>
    <row r="300" spans="1:2">
      <c r="A300">
        <v>84.088468674705396</v>
      </c>
      <c r="B300" t="s">
        <v>33</v>
      </c>
    </row>
    <row r="301" spans="1:2">
      <c r="A301">
        <v>59.201164998851397</v>
      </c>
      <c r="B301" t="s">
        <v>52</v>
      </c>
    </row>
    <row r="302" spans="1:2">
      <c r="A302">
        <v>50.7316767005941</v>
      </c>
      <c r="B302" t="s">
        <v>33</v>
      </c>
    </row>
    <row r="303" spans="1:2">
      <c r="A303">
        <v>52.026346766685798</v>
      </c>
      <c r="B303" t="s">
        <v>33</v>
      </c>
    </row>
    <row r="304" spans="1:2">
      <c r="A304">
        <v>76.839947412975604</v>
      </c>
      <c r="B304" t="s">
        <v>321</v>
      </c>
    </row>
    <row r="305" spans="1:2">
      <c r="A305">
        <v>120.725841528641</v>
      </c>
      <c r="B305" t="s">
        <v>33</v>
      </c>
    </row>
    <row r="306" spans="1:2">
      <c r="A306">
        <v>82.340758896883798</v>
      </c>
      <c r="B306" t="s">
        <v>33</v>
      </c>
    </row>
    <row r="307" spans="1:2">
      <c r="A307">
        <v>70.995032063878199</v>
      </c>
      <c r="B307" t="s">
        <v>33</v>
      </c>
    </row>
    <row r="308" spans="1:2">
      <c r="A308">
        <v>76.327201754806794</v>
      </c>
      <c r="B308" t="s">
        <v>33</v>
      </c>
    </row>
    <row r="309" spans="1:2">
      <c r="A309">
        <v>119.13528104021501</v>
      </c>
      <c r="B309" t="s">
        <v>33</v>
      </c>
    </row>
    <row r="310" spans="1:2">
      <c r="A310">
        <v>88.168693878229604</v>
      </c>
      <c r="B310" t="s">
        <v>33</v>
      </c>
    </row>
    <row r="311" spans="1:2">
      <c r="A311">
        <v>62.2033737289442</v>
      </c>
      <c r="B311" t="s">
        <v>33</v>
      </c>
    </row>
    <row r="312" spans="1:2">
      <c r="A312">
        <v>68.855657731059793</v>
      </c>
      <c r="B312" t="s">
        <v>33</v>
      </c>
    </row>
    <row r="313" spans="1:2">
      <c r="A313">
        <v>85.317276797582807</v>
      </c>
      <c r="B313" t="s">
        <v>33</v>
      </c>
    </row>
    <row r="314" spans="1:2">
      <c r="A314">
        <v>83.111695735042105</v>
      </c>
      <c r="B314" t="s">
        <v>33</v>
      </c>
    </row>
    <row r="315" spans="1:2">
      <c r="A315">
        <v>92.300246396008006</v>
      </c>
      <c r="B315" t="s">
        <v>33</v>
      </c>
    </row>
    <row r="316" spans="1:2">
      <c r="A316">
        <v>61.488887478596098</v>
      </c>
      <c r="B316" t="s">
        <v>132</v>
      </c>
    </row>
    <row r="317" spans="1:2">
      <c r="A317">
        <v>57.414471505480201</v>
      </c>
      <c r="B317" t="s">
        <v>132</v>
      </c>
    </row>
    <row r="318" spans="1:2">
      <c r="A318">
        <v>59.704092689548901</v>
      </c>
      <c r="B318" t="s">
        <v>83</v>
      </c>
    </row>
    <row r="319" spans="1:2">
      <c r="A319">
        <v>69.065590278817297</v>
      </c>
      <c r="B319" t="s">
        <v>33</v>
      </c>
    </row>
    <row r="320" spans="1:2">
      <c r="A320">
        <v>66.415826711155404</v>
      </c>
      <c r="B320" t="s">
        <v>33</v>
      </c>
    </row>
    <row r="321" spans="1:2">
      <c r="A321">
        <v>50.351630742310398</v>
      </c>
      <c r="B321" t="s">
        <v>33</v>
      </c>
    </row>
    <row r="322" spans="1:2">
      <c r="A322">
        <v>57.957406152728403</v>
      </c>
      <c r="B322" t="s">
        <v>321</v>
      </c>
    </row>
    <row r="323" spans="1:2">
      <c r="A323">
        <v>119.860592592812</v>
      </c>
      <c r="B323" t="s">
        <v>83</v>
      </c>
    </row>
    <row r="324" spans="1:2">
      <c r="A324">
        <v>86.7416119042297</v>
      </c>
      <c r="B324" t="s">
        <v>33</v>
      </c>
    </row>
    <row r="325" spans="1:2">
      <c r="A325">
        <v>111.44764346058599</v>
      </c>
      <c r="B325" t="s">
        <v>144</v>
      </c>
    </row>
    <row r="326" spans="1:2">
      <c r="A326">
        <v>59.330486342392703</v>
      </c>
      <c r="B326" t="s">
        <v>83</v>
      </c>
    </row>
    <row r="327" spans="1:2">
      <c r="A327">
        <v>64.075143752230801</v>
      </c>
      <c r="B327" t="s">
        <v>321</v>
      </c>
    </row>
    <row r="328" spans="1:2">
      <c r="A328">
        <v>51.551310477043401</v>
      </c>
      <c r="B328" t="s">
        <v>45</v>
      </c>
    </row>
    <row r="329" spans="1:2">
      <c r="A329">
        <v>102.092749526348</v>
      </c>
      <c r="B329" t="s">
        <v>83</v>
      </c>
    </row>
    <row r="330" spans="1:2">
      <c r="A330">
        <v>64.733336483313295</v>
      </c>
      <c r="B330" t="s">
        <v>33</v>
      </c>
    </row>
    <row r="331" spans="1:2">
      <c r="A331">
        <v>58.058539301652303</v>
      </c>
      <c r="B331" t="s">
        <v>321</v>
      </c>
    </row>
    <row r="332" spans="1:2">
      <c r="A332">
        <v>68.793790944123302</v>
      </c>
      <c r="B332" t="s">
        <v>96</v>
      </c>
    </row>
    <row r="333" spans="1:2">
      <c r="A333">
        <v>73.589224377395595</v>
      </c>
      <c r="B333" t="s">
        <v>83</v>
      </c>
    </row>
    <row r="334" spans="1:2">
      <c r="A334">
        <v>78.472689281880804</v>
      </c>
      <c r="B334" t="s">
        <v>33</v>
      </c>
    </row>
    <row r="335" spans="1:2">
      <c r="A335">
        <v>57.505042353332101</v>
      </c>
      <c r="B335" t="s">
        <v>33</v>
      </c>
    </row>
    <row r="336" spans="1:2">
      <c r="A336">
        <v>56.936195421370201</v>
      </c>
      <c r="B336" t="s">
        <v>33</v>
      </c>
    </row>
    <row r="337" spans="1:2">
      <c r="A337">
        <v>70.159790979247504</v>
      </c>
      <c r="B337" t="s">
        <v>45</v>
      </c>
    </row>
    <row r="338" spans="1:2">
      <c r="A338">
        <v>79.087225665789305</v>
      </c>
      <c r="B338" t="s">
        <v>169</v>
      </c>
    </row>
    <row r="339" spans="1:2">
      <c r="A339">
        <v>78.611232613961405</v>
      </c>
      <c r="B339" t="s">
        <v>33</v>
      </c>
    </row>
    <row r="340" spans="1:2">
      <c r="A340">
        <v>145.137873259222</v>
      </c>
      <c r="B340" t="s">
        <v>45</v>
      </c>
    </row>
    <row r="341" spans="1:2">
      <c r="A341">
        <v>119.9757938736</v>
      </c>
      <c r="B341" t="s">
        <v>33</v>
      </c>
    </row>
    <row r="342" spans="1:2">
      <c r="A342">
        <v>82.491181892304496</v>
      </c>
      <c r="B342" t="s">
        <v>132</v>
      </c>
    </row>
    <row r="343" spans="1:2">
      <c r="A343">
        <v>59.829164046871803</v>
      </c>
      <c r="B343" t="s">
        <v>52</v>
      </c>
    </row>
    <row r="344" spans="1:2">
      <c r="A344">
        <v>58.179016476396797</v>
      </c>
      <c r="B344" t="s">
        <v>83</v>
      </c>
    </row>
    <row r="345" spans="1:2">
      <c r="A345">
        <v>60.8282547687784</v>
      </c>
      <c r="B345" t="s">
        <v>75</v>
      </c>
    </row>
    <row r="346" spans="1:2">
      <c r="A346">
        <v>75.857154726293203</v>
      </c>
      <c r="B346" t="s">
        <v>75</v>
      </c>
    </row>
    <row r="347" spans="1:2">
      <c r="A347">
        <v>90.853703655443894</v>
      </c>
      <c r="B347" t="s">
        <v>33</v>
      </c>
    </row>
    <row r="348" spans="1:2">
      <c r="A348">
        <v>113.857432891299</v>
      </c>
      <c r="B348" t="s">
        <v>33</v>
      </c>
    </row>
    <row r="349" spans="1:2">
      <c r="A349">
        <v>57.465538083256398</v>
      </c>
      <c r="B349" t="s">
        <v>33</v>
      </c>
    </row>
    <row r="350" spans="1:2">
      <c r="A350">
        <v>86.204344362545996</v>
      </c>
      <c r="B350" t="s">
        <v>132</v>
      </c>
    </row>
    <row r="351" spans="1:2">
      <c r="A351">
        <v>77.7681672504375</v>
      </c>
      <c r="B351" t="s">
        <v>33</v>
      </c>
    </row>
    <row r="352" spans="1:2">
      <c r="A352">
        <v>63.041966146828202</v>
      </c>
      <c r="B352" t="s">
        <v>33</v>
      </c>
    </row>
    <row r="353" spans="1:2">
      <c r="A353">
        <v>96.879767443319693</v>
      </c>
      <c r="B353" t="s">
        <v>33</v>
      </c>
    </row>
    <row r="354" spans="1:2">
      <c r="A354">
        <v>51.0811186277231</v>
      </c>
      <c r="B354" t="s">
        <v>33</v>
      </c>
    </row>
    <row r="355" spans="1:2">
      <c r="A355">
        <v>78.087095527123196</v>
      </c>
      <c r="B355" t="s">
        <v>33</v>
      </c>
    </row>
    <row r="356" spans="1:2">
      <c r="A356">
        <v>92.737971903492706</v>
      </c>
      <c r="B356" t="s">
        <v>33</v>
      </c>
    </row>
    <row r="357" spans="1:2">
      <c r="A357">
        <v>67.335502542815306</v>
      </c>
      <c r="B357" t="s">
        <v>33</v>
      </c>
    </row>
    <row r="358" spans="1:2">
      <c r="A358">
        <v>95.005936069431698</v>
      </c>
      <c r="B358" t="s">
        <v>83</v>
      </c>
    </row>
    <row r="359" spans="1:2">
      <c r="A359">
        <v>94.876373852690406</v>
      </c>
      <c r="B359" t="s">
        <v>33</v>
      </c>
    </row>
    <row r="360" spans="1:2">
      <c r="A360">
        <v>66.897050535717796</v>
      </c>
      <c r="B360" t="s">
        <v>33</v>
      </c>
    </row>
    <row r="361" spans="1:2">
      <c r="A361">
        <v>55.081228006466702</v>
      </c>
      <c r="B361" t="s">
        <v>241</v>
      </c>
    </row>
    <row r="362" spans="1:2">
      <c r="A362">
        <v>52.049984776047502</v>
      </c>
      <c r="B362" t="s">
        <v>132</v>
      </c>
    </row>
    <row r="363" spans="1:2">
      <c r="A363">
        <v>90.750539523808598</v>
      </c>
      <c r="B363" t="s">
        <v>52</v>
      </c>
    </row>
    <row r="364" spans="1:2">
      <c r="A364">
        <v>97.219061188362105</v>
      </c>
      <c r="B364" t="s">
        <v>33</v>
      </c>
    </row>
    <row r="365" spans="1:2">
      <c r="A365">
        <v>55.794669978572102</v>
      </c>
      <c r="B365" t="s">
        <v>33</v>
      </c>
    </row>
    <row r="366" spans="1:2">
      <c r="A366">
        <v>94.931210216874405</v>
      </c>
      <c r="B366" t="s">
        <v>83</v>
      </c>
    </row>
    <row r="367" spans="1:2">
      <c r="A367">
        <v>78.520905992594294</v>
      </c>
      <c r="B367" t="s">
        <v>33</v>
      </c>
    </row>
    <row r="368" spans="1:2">
      <c r="A368">
        <v>93.329902939175994</v>
      </c>
      <c r="B368" t="s">
        <v>83</v>
      </c>
    </row>
    <row r="369" spans="1:2">
      <c r="A369">
        <v>103.46815139164799</v>
      </c>
      <c r="B369" t="s">
        <v>33</v>
      </c>
    </row>
    <row r="370" spans="1:2">
      <c r="A370">
        <v>51.864227966203998</v>
      </c>
      <c r="B370" t="s">
        <v>83</v>
      </c>
    </row>
    <row r="371" spans="1:2">
      <c r="A371">
        <v>77.476412975391995</v>
      </c>
      <c r="B371" t="s">
        <v>52</v>
      </c>
    </row>
    <row r="372" spans="1:2">
      <c r="A372">
        <v>81.906408250182807</v>
      </c>
      <c r="B372" t="s">
        <v>33</v>
      </c>
    </row>
    <row r="373" spans="1:2">
      <c r="A373">
        <v>58.3057364412536</v>
      </c>
      <c r="B373" t="s">
        <v>144</v>
      </c>
    </row>
    <row r="374" spans="1:2">
      <c r="A374">
        <v>59.276237667995701</v>
      </c>
      <c r="B374" t="s">
        <v>144</v>
      </c>
    </row>
    <row r="375" spans="1:2">
      <c r="A375">
        <v>66.397303261705403</v>
      </c>
      <c r="B375" t="s">
        <v>33</v>
      </c>
    </row>
    <row r="376" spans="1:2">
      <c r="A376">
        <v>93.034408192369895</v>
      </c>
      <c r="B376" t="s">
        <v>83</v>
      </c>
    </row>
    <row r="377" spans="1:2">
      <c r="A377">
        <v>52.406886574335999</v>
      </c>
      <c r="B377" t="s">
        <v>83</v>
      </c>
    </row>
    <row r="378" spans="1:2">
      <c r="A378">
        <v>56.654640623420903</v>
      </c>
      <c r="B378" t="s">
        <v>33</v>
      </c>
    </row>
    <row r="379" spans="1:2">
      <c r="A379">
        <v>62.185117100738303</v>
      </c>
      <c r="B379" t="s">
        <v>96</v>
      </c>
    </row>
    <row r="380" spans="1:2">
      <c r="A380">
        <v>62.801358556873303</v>
      </c>
      <c r="B380" t="s">
        <v>83</v>
      </c>
    </row>
    <row r="381" spans="1:2">
      <c r="A381">
        <v>119.20039053545</v>
      </c>
      <c r="B381" t="s">
        <v>75</v>
      </c>
    </row>
    <row r="382" spans="1:2">
      <c r="A382">
        <v>70.999030319847606</v>
      </c>
      <c r="B382" t="s">
        <v>321</v>
      </c>
    </row>
    <row r="383" spans="1:2">
      <c r="A383">
        <v>58.099268993430599</v>
      </c>
      <c r="B383" t="s">
        <v>144</v>
      </c>
    </row>
    <row r="384" spans="1:2">
      <c r="A384">
        <v>71.040332454903606</v>
      </c>
      <c r="B384" t="s">
        <v>75</v>
      </c>
    </row>
    <row r="385" spans="1:2">
      <c r="A385">
        <v>142.56533026246399</v>
      </c>
      <c r="B385" t="s">
        <v>45</v>
      </c>
    </row>
    <row r="386" spans="1:2">
      <c r="A386">
        <v>69.2639587129744</v>
      </c>
      <c r="B386" t="s">
        <v>83</v>
      </c>
    </row>
    <row r="387" spans="1:2">
      <c r="A387">
        <v>88.723929293610496</v>
      </c>
      <c r="B387" t="s">
        <v>33</v>
      </c>
    </row>
    <row r="388" spans="1:2">
      <c r="A388">
        <v>67.2032817129531</v>
      </c>
      <c r="B388" t="s">
        <v>83</v>
      </c>
    </row>
    <row r="389" spans="1:2">
      <c r="A389">
        <v>54.759047308765602</v>
      </c>
      <c r="B389" t="s">
        <v>33</v>
      </c>
    </row>
    <row r="390" spans="1:2">
      <c r="A390">
        <v>80.978112227752405</v>
      </c>
      <c r="B390" t="s">
        <v>33</v>
      </c>
    </row>
    <row r="391" spans="1:2">
      <c r="A391">
        <v>52.048166848771899</v>
      </c>
      <c r="B391" t="s">
        <v>75</v>
      </c>
    </row>
    <row r="392" spans="1:2">
      <c r="A392">
        <v>50.223681698036799</v>
      </c>
      <c r="B392" t="s">
        <v>33</v>
      </c>
    </row>
    <row r="393" spans="1:2">
      <c r="A393">
        <v>69.981541934426403</v>
      </c>
      <c r="B393" t="s">
        <v>33</v>
      </c>
    </row>
    <row r="394" spans="1:2">
      <c r="A394">
        <v>55.601002787101002</v>
      </c>
      <c r="B394" t="s">
        <v>33</v>
      </c>
    </row>
    <row r="395" spans="1:2">
      <c r="A395">
        <v>75.807243772620893</v>
      </c>
      <c r="B395" t="s">
        <v>33</v>
      </c>
    </row>
    <row r="396" spans="1:2">
      <c r="A396">
        <v>65.139877285447795</v>
      </c>
      <c r="B396" t="s">
        <v>33</v>
      </c>
    </row>
    <row r="397" spans="1:2">
      <c r="A397">
        <v>135.236824150091</v>
      </c>
      <c r="B397" t="s">
        <v>52</v>
      </c>
    </row>
    <row r="398" spans="1:2">
      <c r="A398">
        <v>55.027948805636697</v>
      </c>
      <c r="B398" t="s">
        <v>75</v>
      </c>
    </row>
    <row r="399" spans="1:2">
      <c r="A399">
        <v>96.999825838920501</v>
      </c>
      <c r="B399" t="s">
        <v>83</v>
      </c>
    </row>
    <row r="400" spans="1:2">
      <c r="A400">
        <v>57.950875372815503</v>
      </c>
      <c r="B400" t="s">
        <v>144</v>
      </c>
    </row>
    <row r="401" spans="1:2">
      <c r="A401">
        <v>84.348003336401504</v>
      </c>
      <c r="B401" t="s">
        <v>132</v>
      </c>
    </row>
    <row r="402" spans="1:2">
      <c r="A402">
        <v>61.994624203917802</v>
      </c>
      <c r="B402" t="s">
        <v>279</v>
      </c>
    </row>
    <row r="403" spans="1:2">
      <c r="A403">
        <v>88.916750888790702</v>
      </c>
      <c r="B403" t="s">
        <v>33</v>
      </c>
    </row>
    <row r="404" spans="1:2">
      <c r="A404">
        <v>65.410947320000901</v>
      </c>
      <c r="B404" t="s">
        <v>75</v>
      </c>
    </row>
    <row r="405" spans="1:2">
      <c r="A405">
        <v>69.127213813913997</v>
      </c>
      <c r="B405" t="s">
        <v>33</v>
      </c>
    </row>
    <row r="406" spans="1:2">
      <c r="A406">
        <v>92.760415996776203</v>
      </c>
      <c r="B406" t="s">
        <v>33</v>
      </c>
    </row>
    <row r="407" spans="1:2">
      <c r="A407">
        <v>89.433494094271595</v>
      </c>
      <c r="B407" t="s">
        <v>33</v>
      </c>
    </row>
    <row r="408" spans="1:2">
      <c r="A408">
        <v>91.160419669500399</v>
      </c>
      <c r="B408" t="s">
        <v>52</v>
      </c>
    </row>
    <row r="409" spans="1:2">
      <c r="A409">
        <v>86.6761366443681</v>
      </c>
      <c r="B409" t="s">
        <v>33</v>
      </c>
    </row>
    <row r="410" spans="1:2">
      <c r="A410">
        <v>105.41957831740601</v>
      </c>
      <c r="B410" t="s">
        <v>33</v>
      </c>
    </row>
    <row r="411" spans="1:2">
      <c r="A411">
        <v>100.59420808781699</v>
      </c>
      <c r="B411" t="s">
        <v>331</v>
      </c>
    </row>
    <row r="412" spans="1:2">
      <c r="A412">
        <v>64.528372446363505</v>
      </c>
      <c r="B412" t="s">
        <v>33</v>
      </c>
    </row>
    <row r="413" spans="1:2">
      <c r="A413">
        <v>71.4281999850473</v>
      </c>
      <c r="B413" t="s">
        <v>33</v>
      </c>
    </row>
    <row r="414" spans="1:2">
      <c r="A414">
        <v>62.811904418455804</v>
      </c>
      <c r="B414" t="s">
        <v>33</v>
      </c>
    </row>
    <row r="415" spans="1:2">
      <c r="A415">
        <v>78.140393997637304</v>
      </c>
      <c r="B415" t="s">
        <v>83</v>
      </c>
    </row>
    <row r="416" spans="1:2">
      <c r="A416">
        <v>64.3286391925717</v>
      </c>
      <c r="B416" t="s">
        <v>33</v>
      </c>
    </row>
    <row r="417" spans="1:2">
      <c r="A417">
        <v>79.920743994142498</v>
      </c>
      <c r="B417" t="s">
        <v>33</v>
      </c>
    </row>
    <row r="418" spans="1:2">
      <c r="A418">
        <v>75.827212096373799</v>
      </c>
      <c r="B418" t="s">
        <v>33</v>
      </c>
    </row>
    <row r="419" spans="1:2">
      <c r="A419">
        <v>86.799407301032701</v>
      </c>
      <c r="B419" t="s">
        <v>52</v>
      </c>
    </row>
    <row r="420" spans="1:2">
      <c r="A420">
        <v>63.422055977630201</v>
      </c>
      <c r="B420" t="s">
        <v>33</v>
      </c>
    </row>
    <row r="421" spans="1:2">
      <c r="A421">
        <v>113.325146508576</v>
      </c>
      <c r="B421" t="s">
        <v>33</v>
      </c>
    </row>
    <row r="422" spans="1:2">
      <c r="A422">
        <v>71.363259822643101</v>
      </c>
      <c r="B422" t="s">
        <v>33</v>
      </c>
    </row>
    <row r="423" spans="1:2">
      <c r="A423">
        <v>82.835724138879598</v>
      </c>
      <c r="B423" t="s">
        <v>178</v>
      </c>
    </row>
    <row r="424" spans="1:2">
      <c r="A424">
        <v>53.905697808907199</v>
      </c>
      <c r="B424" t="s">
        <v>33</v>
      </c>
    </row>
    <row r="425" spans="1:2">
      <c r="A425">
        <v>68.938060414604706</v>
      </c>
      <c r="B425" t="s">
        <v>321</v>
      </c>
    </row>
    <row r="426" spans="1:2">
      <c r="A426">
        <v>123.171515929842</v>
      </c>
      <c r="B426" t="s">
        <v>331</v>
      </c>
    </row>
    <row r="427" spans="1:2">
      <c r="A427">
        <v>72.837041363606104</v>
      </c>
      <c r="B427" t="s">
        <v>33</v>
      </c>
    </row>
    <row r="428" spans="1:2">
      <c r="A428">
        <v>60.781570332955397</v>
      </c>
      <c r="B428" t="s">
        <v>83</v>
      </c>
    </row>
    <row r="429" spans="1:2">
      <c r="A429">
        <v>109.653655566588</v>
      </c>
      <c r="B429" t="s">
        <v>321</v>
      </c>
    </row>
    <row r="430" spans="1:2">
      <c r="A430">
        <v>105.170657589732</v>
      </c>
      <c r="B430" t="s">
        <v>33</v>
      </c>
    </row>
    <row r="431" spans="1:2">
      <c r="A431">
        <v>60.647542451367997</v>
      </c>
      <c r="B431" t="s">
        <v>75</v>
      </c>
    </row>
    <row r="432" spans="1:2">
      <c r="A432">
        <v>66.691642312565904</v>
      </c>
      <c r="B432" t="s">
        <v>33</v>
      </c>
    </row>
    <row r="433" spans="1:2">
      <c r="A433">
        <v>75.413040680042499</v>
      </c>
      <c r="B433" t="s">
        <v>33</v>
      </c>
    </row>
    <row r="434" spans="1:2">
      <c r="A434">
        <v>52.3797968436077</v>
      </c>
      <c r="B434" t="s">
        <v>96</v>
      </c>
    </row>
    <row r="435" spans="1:2">
      <c r="A435">
        <v>75.727317823715495</v>
      </c>
      <c r="B435" t="s">
        <v>75</v>
      </c>
    </row>
    <row r="436" spans="1:2">
      <c r="A436">
        <v>59.201164998851397</v>
      </c>
      <c r="B436" t="s">
        <v>83</v>
      </c>
    </row>
    <row r="437" spans="1:2">
      <c r="A437">
        <v>102.254814106506</v>
      </c>
      <c r="B437" t="s">
        <v>45</v>
      </c>
    </row>
    <row r="438" spans="1:2">
      <c r="A438">
        <v>59.432467164441299</v>
      </c>
      <c r="B438" t="s">
        <v>33</v>
      </c>
    </row>
    <row r="439" spans="1:2">
      <c r="A439">
        <v>109.72784088765</v>
      </c>
      <c r="B439" t="s">
        <v>279</v>
      </c>
    </row>
    <row r="440" spans="1:2">
      <c r="A440">
        <v>103.976279172408</v>
      </c>
      <c r="B440" t="s">
        <v>132</v>
      </c>
    </row>
    <row r="441" spans="1:2">
      <c r="A441">
        <v>72.071757806119507</v>
      </c>
      <c r="B441" t="s">
        <v>33</v>
      </c>
    </row>
    <row r="442" spans="1:2">
      <c r="A442">
        <v>65.302364536909394</v>
      </c>
      <c r="B442" t="s">
        <v>178</v>
      </c>
    </row>
    <row r="443" spans="1:2">
      <c r="A443">
        <v>56.599499021510901</v>
      </c>
      <c r="B443" t="s">
        <v>75</v>
      </c>
    </row>
    <row r="444" spans="1:2">
      <c r="A444">
        <v>62.822448509728503</v>
      </c>
      <c r="B444" t="s">
        <v>33</v>
      </c>
    </row>
    <row r="445" spans="1:2">
      <c r="A445">
        <v>58.978582370256703</v>
      </c>
      <c r="B445" t="s">
        <v>33</v>
      </c>
    </row>
    <row r="446" spans="1:2">
      <c r="A446">
        <v>57.272564561961801</v>
      </c>
      <c r="B446" t="s">
        <v>33</v>
      </c>
    </row>
    <row r="447" spans="1:2">
      <c r="A447">
        <v>60.505398968150502</v>
      </c>
      <c r="B447" t="s">
        <v>83</v>
      </c>
    </row>
    <row r="448" spans="1:2">
      <c r="A448">
        <v>66.789467076184096</v>
      </c>
      <c r="B448" t="s">
        <v>33</v>
      </c>
    </row>
    <row r="449" spans="1:2">
      <c r="A449">
        <v>83.060448101615094</v>
      </c>
      <c r="B449" t="s">
        <v>279</v>
      </c>
    </row>
    <row r="450" spans="1:2">
      <c r="A450">
        <v>102.50527706174</v>
      </c>
      <c r="B450" t="s">
        <v>45</v>
      </c>
    </row>
    <row r="451" spans="1:2">
      <c r="A451">
        <v>51.105193841319803</v>
      </c>
      <c r="B451" t="s">
        <v>45</v>
      </c>
    </row>
    <row r="452" spans="1:2">
      <c r="A452">
        <v>96.861208568535304</v>
      </c>
      <c r="B452" t="s">
        <v>83</v>
      </c>
    </row>
    <row r="453" spans="1:2">
      <c r="A453">
        <v>80.319919138158099</v>
      </c>
      <c r="B453" t="s">
        <v>75</v>
      </c>
    </row>
    <row r="454" spans="1:2">
      <c r="A454">
        <v>89.329749046610601</v>
      </c>
      <c r="B454" t="s">
        <v>279</v>
      </c>
    </row>
    <row r="455" spans="1:2">
      <c r="A455">
        <v>58.364129782319402</v>
      </c>
      <c r="B455" t="s">
        <v>33</v>
      </c>
    </row>
    <row r="456" spans="1:2">
      <c r="A456">
        <v>65.042481045299198</v>
      </c>
      <c r="B456" t="s">
        <v>33</v>
      </c>
    </row>
    <row r="457" spans="1:2">
      <c r="A457">
        <v>64.545966295398898</v>
      </c>
      <c r="B457" t="s">
        <v>52</v>
      </c>
    </row>
    <row r="458" spans="1:2">
      <c r="A458">
        <v>64.375691003528999</v>
      </c>
      <c r="B458" t="s">
        <v>512</v>
      </c>
    </row>
    <row r="459" spans="1:2">
      <c r="A459">
        <v>52.698568341298902</v>
      </c>
      <c r="B459" t="s">
        <v>75</v>
      </c>
    </row>
    <row r="460" spans="1:2">
      <c r="A460">
        <v>101.819900325577</v>
      </c>
      <c r="B460" t="s">
        <v>75</v>
      </c>
    </row>
    <row r="461" spans="1:2">
      <c r="A461">
        <v>65.103552445574607</v>
      </c>
      <c r="B461" t="s">
        <v>33</v>
      </c>
    </row>
    <row r="462" spans="1:2">
      <c r="A462">
        <v>86.588759282361494</v>
      </c>
      <c r="B462" t="s">
        <v>33</v>
      </c>
    </row>
    <row r="463" spans="1:2">
      <c r="A463">
        <v>95.503604988965293</v>
      </c>
      <c r="B463" t="s">
        <v>33</v>
      </c>
    </row>
    <row r="464" spans="1:2">
      <c r="A464">
        <v>98.407953665185104</v>
      </c>
      <c r="B464" t="s">
        <v>83</v>
      </c>
    </row>
    <row r="465" spans="1:2">
      <c r="A465">
        <v>68.617509319478003</v>
      </c>
      <c r="B465" t="s">
        <v>33</v>
      </c>
    </row>
    <row r="466" spans="1:2">
      <c r="A466">
        <v>104.99507063841899</v>
      </c>
      <c r="B466" t="s">
        <v>33</v>
      </c>
    </row>
    <row r="467" spans="1:2">
      <c r="A467">
        <v>82.504945333109703</v>
      </c>
      <c r="B467" t="s">
        <v>279</v>
      </c>
    </row>
    <row r="468" spans="1:2">
      <c r="A468">
        <v>60.087974679573598</v>
      </c>
      <c r="B468" t="s">
        <v>33</v>
      </c>
    </row>
    <row r="469" spans="1:2">
      <c r="A469">
        <v>69.418156276366304</v>
      </c>
      <c r="B469" t="s">
        <v>33</v>
      </c>
    </row>
    <row r="470" spans="1:2">
      <c r="A470">
        <v>78.208175881937706</v>
      </c>
      <c r="B470" t="s">
        <v>33</v>
      </c>
    </row>
    <row r="471" spans="1:2">
      <c r="A471">
        <v>56.587795410333399</v>
      </c>
      <c r="B471" t="s">
        <v>75</v>
      </c>
    </row>
    <row r="472" spans="1:2">
      <c r="A472">
        <v>77.159449611928693</v>
      </c>
      <c r="B472" t="s">
        <v>75</v>
      </c>
    </row>
    <row r="473" spans="1:2">
      <c r="A473">
        <v>64.424177191989003</v>
      </c>
      <c r="B473" t="s">
        <v>33</v>
      </c>
    </row>
    <row r="474" spans="1:2">
      <c r="A474">
        <v>66.036697681803702</v>
      </c>
      <c r="B474" t="s">
        <v>169</v>
      </c>
    </row>
    <row r="475" spans="1:2">
      <c r="A475">
        <v>65.916082608182506</v>
      </c>
      <c r="B475" t="s">
        <v>45</v>
      </c>
    </row>
    <row r="476" spans="1:2">
      <c r="A476">
        <v>50.3685408189735</v>
      </c>
      <c r="B476" t="s">
        <v>33</v>
      </c>
    </row>
    <row r="477" spans="1:2">
      <c r="A477">
        <v>52.524113956468099</v>
      </c>
      <c r="B477" t="s">
        <v>169</v>
      </c>
    </row>
    <row r="478" spans="1:2">
      <c r="A478">
        <v>59.5708173762211</v>
      </c>
      <c r="B478" t="s">
        <v>45</v>
      </c>
    </row>
    <row r="479" spans="1:2">
      <c r="A479">
        <v>65.087563093671804</v>
      </c>
      <c r="B479" t="s">
        <v>321</v>
      </c>
    </row>
    <row r="480" spans="1:2">
      <c r="A480">
        <v>100.203088326184</v>
      </c>
      <c r="B480" t="s">
        <v>331</v>
      </c>
    </row>
    <row r="481" spans="1:2">
      <c r="A481">
        <v>103.153084323286</v>
      </c>
      <c r="B481" t="s">
        <v>33</v>
      </c>
    </row>
    <row r="482" spans="1:2">
      <c r="A482">
        <v>50.548562983273101</v>
      </c>
      <c r="B482" t="s">
        <v>33</v>
      </c>
    </row>
    <row r="483" spans="1:2">
      <c r="A483">
        <v>96.9139455408407</v>
      </c>
      <c r="B483" t="s">
        <v>33</v>
      </c>
    </row>
    <row r="484" spans="1:2">
      <c r="A484">
        <v>59.645424784492597</v>
      </c>
      <c r="B484" t="s">
        <v>33</v>
      </c>
    </row>
    <row r="485" spans="1:2">
      <c r="A485">
        <v>50.9382859873851</v>
      </c>
      <c r="B485" t="s">
        <v>45</v>
      </c>
    </row>
    <row r="486" spans="1:2">
      <c r="A486">
        <v>86.362260045336896</v>
      </c>
      <c r="B486" t="s">
        <v>96</v>
      </c>
    </row>
    <row r="487" spans="1:2">
      <c r="A487">
        <v>63.971689410444803</v>
      </c>
      <c r="B487" t="s">
        <v>33</v>
      </c>
    </row>
    <row r="488" spans="1:2">
      <c r="A488">
        <v>53.443826814141602</v>
      </c>
      <c r="B488" t="s">
        <v>33</v>
      </c>
    </row>
    <row r="489" spans="1:2">
      <c r="A489">
        <v>78.596787330374994</v>
      </c>
      <c r="B489" t="s">
        <v>52</v>
      </c>
    </row>
    <row r="490" spans="1:2">
      <c r="A490">
        <v>82.769445492887598</v>
      </c>
      <c r="B490" t="s">
        <v>33</v>
      </c>
    </row>
    <row r="491" spans="1:2">
      <c r="A491">
        <v>77.918481306080295</v>
      </c>
      <c r="B491" t="s">
        <v>33</v>
      </c>
    </row>
    <row r="492" spans="1:2">
      <c r="A492">
        <v>55.365657180099603</v>
      </c>
      <c r="B492" t="s">
        <v>33</v>
      </c>
    </row>
    <row r="493" spans="1:2">
      <c r="A493">
        <v>55.874319797821798</v>
      </c>
      <c r="B493" t="s">
        <v>83</v>
      </c>
    </row>
    <row r="494" spans="1:2">
      <c r="A494">
        <v>76.821474051147604</v>
      </c>
      <c r="B494" t="s">
        <v>33</v>
      </c>
    </row>
    <row r="495" spans="1:2">
      <c r="A495">
        <v>88.2437849428253</v>
      </c>
      <c r="B495" t="s">
        <v>45</v>
      </c>
    </row>
    <row r="496" spans="1:2">
      <c r="A496">
        <v>61.945763845247797</v>
      </c>
      <c r="B496" t="s">
        <v>33</v>
      </c>
    </row>
    <row r="497" spans="1:2">
      <c r="A497">
        <v>66.405853188118598</v>
      </c>
      <c r="B497" t="s">
        <v>33</v>
      </c>
    </row>
    <row r="498" spans="1:2">
      <c r="A498">
        <v>73.104162847643906</v>
      </c>
      <c r="B498" t="s">
        <v>33</v>
      </c>
    </row>
    <row r="499" spans="1:2">
      <c r="A499">
        <v>86.107697765580397</v>
      </c>
      <c r="B499" t="s">
        <v>33</v>
      </c>
    </row>
    <row r="500" spans="1:2">
      <c r="A500">
        <v>63.455654280961902</v>
      </c>
      <c r="B500" t="s">
        <v>33</v>
      </c>
    </row>
    <row r="501" spans="1:2">
      <c r="A501">
        <v>60.610086425694497</v>
      </c>
      <c r="B501" t="s">
        <v>33</v>
      </c>
    </row>
    <row r="502" spans="1:2">
      <c r="A502">
        <v>57.905139289518502</v>
      </c>
      <c r="B502" t="s">
        <v>45</v>
      </c>
    </row>
    <row r="503" spans="1:2">
      <c r="A503">
        <v>52.062708489580501</v>
      </c>
      <c r="B503" t="s">
        <v>331</v>
      </c>
    </row>
    <row r="504" spans="1:2">
      <c r="A504">
        <v>63.173909710779398</v>
      </c>
      <c r="B504" t="s">
        <v>83</v>
      </c>
    </row>
    <row r="505" spans="1:2">
      <c r="A505">
        <v>123.65913149158899</v>
      </c>
      <c r="B505" t="s">
        <v>33</v>
      </c>
    </row>
    <row r="506" spans="1:2">
      <c r="A506">
        <v>66.244644262193603</v>
      </c>
      <c r="B506" t="s">
        <v>83</v>
      </c>
    </row>
    <row r="507" spans="1:2">
      <c r="A507">
        <v>50.469882297944302</v>
      </c>
      <c r="B507" t="s">
        <v>132</v>
      </c>
    </row>
    <row r="508" spans="1:2">
      <c r="A508">
        <v>70.054516816944997</v>
      </c>
      <c r="B508" t="s">
        <v>33</v>
      </c>
    </row>
    <row r="509" spans="1:2">
      <c r="A509">
        <v>80.452929434406798</v>
      </c>
      <c r="B509" t="s">
        <v>83</v>
      </c>
    </row>
    <row r="510" spans="1:2">
      <c r="A510">
        <v>62.825493143142197</v>
      </c>
      <c r="B510" t="s">
        <v>33</v>
      </c>
    </row>
    <row r="511" spans="1:2">
      <c r="A511">
        <v>67.290520364162106</v>
      </c>
      <c r="B511" t="s">
        <v>33</v>
      </c>
    </row>
    <row r="512" spans="1:2">
      <c r="A512">
        <v>76.573501021475394</v>
      </c>
      <c r="B512" t="s">
        <v>132</v>
      </c>
    </row>
    <row r="513" spans="1:2">
      <c r="A513">
        <v>71.242499615178104</v>
      </c>
      <c r="B513" t="s">
        <v>178</v>
      </c>
    </row>
    <row r="514" spans="1:2">
      <c r="A514">
        <v>59.037912942149603</v>
      </c>
      <c r="B514" t="s">
        <v>33</v>
      </c>
    </row>
    <row r="515" spans="1:2">
      <c r="A515">
        <v>57.710356563671198</v>
      </c>
      <c r="B515" t="s">
        <v>570</v>
      </c>
    </row>
    <row r="516" spans="1:2">
      <c r="A516">
        <v>80.492907216286895</v>
      </c>
      <c r="B516" t="s">
        <v>33</v>
      </c>
    </row>
    <row r="517" spans="1:2">
      <c r="A517">
        <v>68.577507551692307</v>
      </c>
      <c r="B517" t="s">
        <v>279</v>
      </c>
    </row>
    <row r="518" spans="1:2">
      <c r="A518">
        <v>62.8134108255746</v>
      </c>
      <c r="B518" t="s">
        <v>33</v>
      </c>
    </row>
    <row r="519" spans="1:2">
      <c r="A519">
        <v>59.406988371280903</v>
      </c>
      <c r="B519" t="s">
        <v>33</v>
      </c>
    </row>
    <row r="520" spans="1:2">
      <c r="A520">
        <v>77.858954709501106</v>
      </c>
      <c r="B520" t="s">
        <v>33</v>
      </c>
    </row>
    <row r="521" spans="1:2">
      <c r="A521">
        <v>106.690062041095</v>
      </c>
      <c r="B521" t="s">
        <v>83</v>
      </c>
    </row>
    <row r="522" spans="1:2">
      <c r="A522">
        <v>72.544158614171593</v>
      </c>
      <c r="B522" t="s">
        <v>132</v>
      </c>
    </row>
    <row r="523" spans="1:2">
      <c r="A523">
        <v>61.205086352575798</v>
      </c>
      <c r="B523" t="s">
        <v>33</v>
      </c>
    </row>
    <row r="524" spans="1:2">
      <c r="A524">
        <v>50.116178622900101</v>
      </c>
      <c r="B524" t="s">
        <v>132</v>
      </c>
    </row>
    <row r="525" spans="1:2">
      <c r="A525">
        <v>68.734621764355296</v>
      </c>
      <c r="B525" t="s">
        <v>33</v>
      </c>
    </row>
    <row r="526" spans="1:2">
      <c r="A526">
        <v>90.199387092176394</v>
      </c>
      <c r="B526" t="s">
        <v>83</v>
      </c>
    </row>
    <row r="527" spans="1:2">
      <c r="A527">
        <v>79.943235705666098</v>
      </c>
      <c r="B527" t="s">
        <v>75</v>
      </c>
    </row>
    <row r="528" spans="1:2">
      <c r="A528">
        <v>93.374501170715504</v>
      </c>
      <c r="B528" t="s">
        <v>33</v>
      </c>
    </row>
    <row r="529" spans="1:2">
      <c r="A529">
        <v>71.368563275372097</v>
      </c>
      <c r="B529" t="s">
        <v>52</v>
      </c>
    </row>
    <row r="530" spans="1:2">
      <c r="A530">
        <v>79.5528756936626</v>
      </c>
      <c r="B530" t="s">
        <v>45</v>
      </c>
    </row>
    <row r="531" spans="1:2">
      <c r="A531">
        <v>50.906697501964899</v>
      </c>
      <c r="B531" t="s">
        <v>33</v>
      </c>
    </row>
    <row r="532" spans="1:2">
      <c r="A532">
        <v>82.992068697498297</v>
      </c>
      <c r="B532" t="s">
        <v>33</v>
      </c>
    </row>
    <row r="533" spans="1:2">
      <c r="A533">
        <v>62.496268504723702</v>
      </c>
      <c r="B533" t="s">
        <v>70</v>
      </c>
    </row>
    <row r="534" spans="1:2">
      <c r="A534">
        <v>87.742682908590893</v>
      </c>
      <c r="B534" t="s">
        <v>33</v>
      </c>
    </row>
    <row r="535" spans="1:2">
      <c r="A535">
        <v>59.753202531971702</v>
      </c>
      <c r="B535" t="s">
        <v>33</v>
      </c>
    </row>
    <row r="536" spans="1:2">
      <c r="A536">
        <v>74.629798893261807</v>
      </c>
      <c r="B536" t="s">
        <v>144</v>
      </c>
    </row>
    <row r="537" spans="1:2">
      <c r="A537">
        <v>50.123730220716297</v>
      </c>
      <c r="B537" t="s">
        <v>321</v>
      </c>
    </row>
    <row r="538" spans="1:2">
      <c r="A538">
        <v>69.737740822795601</v>
      </c>
      <c r="B538" t="s">
        <v>83</v>
      </c>
    </row>
    <row r="539" spans="1:2">
      <c r="A539">
        <v>56.418658789575403</v>
      </c>
      <c r="B539" t="s">
        <v>83</v>
      </c>
    </row>
    <row r="540" spans="1:2">
      <c r="A540">
        <v>60.320582272817802</v>
      </c>
      <c r="B540" t="s">
        <v>178</v>
      </c>
    </row>
    <row r="541" spans="1:2">
      <c r="A541">
        <v>61.633368503258097</v>
      </c>
      <c r="B541" t="s">
        <v>75</v>
      </c>
    </row>
    <row r="542" spans="1:2">
      <c r="A542">
        <v>70.355074346367203</v>
      </c>
      <c r="B542" t="s">
        <v>33</v>
      </c>
    </row>
    <row r="543" spans="1:2">
      <c r="A543">
        <v>86.271274489232098</v>
      </c>
      <c r="B543" t="s">
        <v>33</v>
      </c>
    </row>
    <row r="544" spans="1:2">
      <c r="A544">
        <v>71.4719019460575</v>
      </c>
      <c r="B544" t="s">
        <v>75</v>
      </c>
    </row>
    <row r="545" spans="1:2">
      <c r="A545">
        <v>66.772464368858707</v>
      </c>
      <c r="B545" t="s">
        <v>33</v>
      </c>
    </row>
    <row r="546" spans="1:2">
      <c r="A546">
        <v>54.184073974415298</v>
      </c>
      <c r="B546" t="s">
        <v>570</v>
      </c>
    </row>
    <row r="547" spans="1:2">
      <c r="A547">
        <v>52.049984776047502</v>
      </c>
      <c r="B547" t="s">
        <v>33</v>
      </c>
    </row>
    <row r="548" spans="1:2">
      <c r="A548">
        <v>72.587188702422097</v>
      </c>
      <c r="B548" t="s">
        <v>45</v>
      </c>
    </row>
    <row r="549" spans="1:2">
      <c r="A549">
        <v>89.449362820245</v>
      </c>
      <c r="B549" t="s">
        <v>45</v>
      </c>
    </row>
    <row r="550" spans="1:2">
      <c r="A550">
        <v>71.994256326336895</v>
      </c>
      <c r="B550" t="s">
        <v>83</v>
      </c>
    </row>
    <row r="551" spans="1:2">
      <c r="A551">
        <v>54.895386407501299</v>
      </c>
      <c r="B551" t="s">
        <v>33</v>
      </c>
    </row>
    <row r="552" spans="1:2">
      <c r="A552">
        <v>86.957330477894303</v>
      </c>
      <c r="B552" t="s">
        <v>75</v>
      </c>
    </row>
    <row r="553" spans="1:2">
      <c r="A553">
        <v>63.627609576162399</v>
      </c>
      <c r="B553" t="s">
        <v>331</v>
      </c>
    </row>
    <row r="554" spans="1:2">
      <c r="A554">
        <v>67.732013366439602</v>
      </c>
      <c r="B554" t="s">
        <v>132</v>
      </c>
    </row>
    <row r="555" spans="1:2">
      <c r="A555">
        <v>70.035604704229499</v>
      </c>
      <c r="B555" t="s">
        <v>33</v>
      </c>
    </row>
    <row r="556" spans="1:2">
      <c r="A556">
        <v>51.428186237368301</v>
      </c>
      <c r="B556" t="s">
        <v>33</v>
      </c>
    </row>
    <row r="557" spans="1:2">
      <c r="A557">
        <v>75.510844574841101</v>
      </c>
      <c r="B557" t="s">
        <v>70</v>
      </c>
    </row>
    <row r="558" spans="1:2">
      <c r="A558">
        <v>80.794452343642604</v>
      </c>
      <c r="B558" t="s">
        <v>75</v>
      </c>
    </row>
    <row r="559" spans="1:2">
      <c r="A559">
        <v>64.588464977989702</v>
      </c>
      <c r="B559" t="s">
        <v>169</v>
      </c>
    </row>
    <row r="560" spans="1:2">
      <c r="A560">
        <v>74.786850439278993</v>
      </c>
      <c r="B560" t="s">
        <v>33</v>
      </c>
    </row>
    <row r="561" spans="1:2">
      <c r="A561">
        <v>81.248747717243702</v>
      </c>
      <c r="B561" t="s">
        <v>33</v>
      </c>
    </row>
    <row r="562" spans="1:2">
      <c r="A562">
        <v>54.760775241342301</v>
      </c>
      <c r="B562" t="s">
        <v>33</v>
      </c>
    </row>
    <row r="563" spans="1:2">
      <c r="A563">
        <v>55.0021500190499</v>
      </c>
      <c r="B563" t="s">
        <v>33</v>
      </c>
    </row>
    <row r="564" spans="1:2">
      <c r="A564">
        <v>58.640704087495997</v>
      </c>
      <c r="B564" t="s">
        <v>178</v>
      </c>
    </row>
    <row r="565" spans="1:2">
      <c r="A565">
        <v>55.177343895610498</v>
      </c>
      <c r="B565" t="s">
        <v>33</v>
      </c>
    </row>
    <row r="566" spans="1:2">
      <c r="A566">
        <v>77.727592260307802</v>
      </c>
      <c r="B566" t="s">
        <v>83</v>
      </c>
    </row>
    <row r="567" spans="1:2">
      <c r="A567">
        <v>75.789767173629997</v>
      </c>
      <c r="B567" t="s">
        <v>33</v>
      </c>
    </row>
    <row r="568" spans="1:2">
      <c r="A568">
        <v>75.132719535382904</v>
      </c>
      <c r="B568" t="s">
        <v>75</v>
      </c>
    </row>
    <row r="569" spans="1:2">
      <c r="A569">
        <v>61.979359479533102</v>
      </c>
      <c r="B569" t="s">
        <v>52</v>
      </c>
    </row>
    <row r="570" spans="1:2">
      <c r="A570">
        <v>77.782353575202194</v>
      </c>
      <c r="B570" t="s">
        <v>83</v>
      </c>
    </row>
    <row r="571" spans="1:2">
      <c r="A571">
        <v>57.317154578467601</v>
      </c>
      <c r="B571" t="s">
        <v>33</v>
      </c>
    </row>
    <row r="572" spans="1:2">
      <c r="A572">
        <v>60.564796155224698</v>
      </c>
      <c r="B572" t="s">
        <v>83</v>
      </c>
    </row>
    <row r="573" spans="1:2">
      <c r="A573">
        <v>51.951725671540899</v>
      </c>
      <c r="B573" t="s">
        <v>83</v>
      </c>
    </row>
    <row r="574" spans="1:2">
      <c r="A574">
        <v>69.657642551164201</v>
      </c>
      <c r="B574" t="s">
        <v>33</v>
      </c>
    </row>
    <row r="575" spans="1:2">
      <c r="A575">
        <v>78.028910220131806</v>
      </c>
      <c r="B575" t="s">
        <v>33</v>
      </c>
    </row>
    <row r="576" spans="1:2">
      <c r="A576">
        <v>100.209698184304</v>
      </c>
      <c r="B576" t="s">
        <v>241</v>
      </c>
    </row>
    <row r="577" spans="1:2">
      <c r="A577">
        <v>54.009162051885902</v>
      </c>
      <c r="B577" t="s">
        <v>75</v>
      </c>
    </row>
    <row r="578" spans="1:2">
      <c r="A578">
        <v>71.072291817300794</v>
      </c>
      <c r="B578" t="s">
        <v>83</v>
      </c>
    </row>
    <row r="579" spans="1:2">
      <c r="A579">
        <v>64.708482623886297</v>
      </c>
      <c r="B579" t="s">
        <v>83</v>
      </c>
    </row>
    <row r="580" spans="1:2">
      <c r="A580">
        <v>112.927846292797</v>
      </c>
      <c r="B580" t="s">
        <v>52</v>
      </c>
    </row>
    <row r="581" spans="1:2">
      <c r="A581">
        <v>103.01080603841601</v>
      </c>
      <c r="B581" t="s">
        <v>83</v>
      </c>
    </row>
    <row r="582" spans="1:2">
      <c r="A582">
        <v>79.201220853741404</v>
      </c>
      <c r="B582" t="s">
        <v>144</v>
      </c>
    </row>
    <row r="583" spans="1:2">
      <c r="A583">
        <v>67.793453378003207</v>
      </c>
      <c r="B583" t="s">
        <v>570</v>
      </c>
    </row>
    <row r="584" spans="1:2">
      <c r="A584">
        <v>78.724295632220901</v>
      </c>
      <c r="B584" t="s">
        <v>45</v>
      </c>
    </row>
    <row r="585" spans="1:2">
      <c r="A585">
        <v>72.318157696873499</v>
      </c>
      <c r="B585" t="s">
        <v>70</v>
      </c>
    </row>
    <row r="586" spans="1:2">
      <c r="A586">
        <v>84.999495643031693</v>
      </c>
      <c r="B586" t="s">
        <v>96</v>
      </c>
    </row>
    <row r="587" spans="1:2">
      <c r="A587">
        <v>86.826655927428604</v>
      </c>
      <c r="B587" t="s">
        <v>643</v>
      </c>
    </row>
    <row r="588" spans="1:2">
      <c r="A588">
        <v>55.283562993566697</v>
      </c>
      <c r="B588" t="s">
        <v>83</v>
      </c>
    </row>
    <row r="589" spans="1:2">
      <c r="A589">
        <v>56.7314152489718</v>
      </c>
      <c r="B589" t="s">
        <v>33</v>
      </c>
    </row>
    <row r="590" spans="1:2">
      <c r="A590">
        <v>58.803449776900699</v>
      </c>
      <c r="B590" t="s">
        <v>33</v>
      </c>
    </row>
    <row r="591" spans="1:2">
      <c r="A591">
        <v>62.420520933067401</v>
      </c>
      <c r="B591" t="s">
        <v>33</v>
      </c>
    </row>
    <row r="592" spans="1:2">
      <c r="A592">
        <v>55.694522789374297</v>
      </c>
      <c r="B592" t="s">
        <v>83</v>
      </c>
    </row>
    <row r="593" spans="1:2">
      <c r="A593">
        <v>60.0832503488746</v>
      </c>
      <c r="B593" t="s">
        <v>83</v>
      </c>
    </row>
    <row r="594" spans="1:2">
      <c r="A594">
        <v>65.232776703055805</v>
      </c>
      <c r="B594" t="s">
        <v>33</v>
      </c>
    </row>
    <row r="595" spans="1:2">
      <c r="A595">
        <v>91.821284611606899</v>
      </c>
      <c r="B595" t="s">
        <v>75</v>
      </c>
    </row>
    <row r="596" spans="1:2">
      <c r="A596">
        <v>93.190903577325003</v>
      </c>
      <c r="B596" t="s">
        <v>45</v>
      </c>
    </row>
    <row r="597" spans="1:2">
      <c r="A597">
        <v>69.894954523859099</v>
      </c>
      <c r="B597" t="s">
        <v>241</v>
      </c>
    </row>
    <row r="598" spans="1:2">
      <c r="A598">
        <v>64.191699101474896</v>
      </c>
      <c r="B598" t="s">
        <v>33</v>
      </c>
    </row>
    <row r="599" spans="1:2">
      <c r="A599">
        <v>61.438084838905098</v>
      </c>
      <c r="B599" t="s">
        <v>45</v>
      </c>
    </row>
    <row r="600" spans="1:2">
      <c r="A600">
        <v>57.133617516248101</v>
      </c>
      <c r="B600" t="s">
        <v>45</v>
      </c>
    </row>
    <row r="601" spans="1:2">
      <c r="A601">
        <v>65.084655516752505</v>
      </c>
      <c r="B601" t="s">
        <v>33</v>
      </c>
    </row>
    <row r="602" spans="1:2">
      <c r="A602">
        <v>68.033095581595603</v>
      </c>
      <c r="B602" t="s">
        <v>33</v>
      </c>
    </row>
    <row r="603" spans="1:2">
      <c r="A603">
        <v>56.840525549694497</v>
      </c>
      <c r="B603" t="s">
        <v>570</v>
      </c>
    </row>
    <row r="604" spans="1:2">
      <c r="A604">
        <v>81.077372329465604</v>
      </c>
      <c r="B604" t="s">
        <v>83</v>
      </c>
    </row>
    <row r="605" spans="1:2">
      <c r="A605">
        <v>92.108344183505196</v>
      </c>
      <c r="B605" t="s">
        <v>83</v>
      </c>
    </row>
    <row r="606" spans="1:2">
      <c r="A606">
        <v>67.101829978097797</v>
      </c>
      <c r="B606" t="s">
        <v>45</v>
      </c>
    </row>
    <row r="607" spans="1:2">
      <c r="A607">
        <v>66.788050349231597</v>
      </c>
      <c r="B607" t="s">
        <v>70</v>
      </c>
    </row>
    <row r="608" spans="1:2">
      <c r="A608">
        <v>71.1175429954923</v>
      </c>
      <c r="B608" t="s">
        <v>33</v>
      </c>
    </row>
    <row r="609" spans="1:2">
      <c r="A609">
        <v>53.703457303133497</v>
      </c>
      <c r="B609" t="s">
        <v>83</v>
      </c>
    </row>
    <row r="610" spans="1:2">
      <c r="A610">
        <v>56.418958354775597</v>
      </c>
      <c r="B610" t="s">
        <v>75</v>
      </c>
    </row>
    <row r="611" spans="1:2">
      <c r="A611">
        <v>78.747129073406498</v>
      </c>
      <c r="B611" t="s">
        <v>33</v>
      </c>
    </row>
    <row r="612" spans="1:2">
      <c r="A612">
        <v>53.463298589789098</v>
      </c>
      <c r="B612" t="s">
        <v>33</v>
      </c>
    </row>
    <row r="613" spans="1:2">
      <c r="A613">
        <v>73.842093616684593</v>
      </c>
      <c r="B613" t="s">
        <v>33</v>
      </c>
    </row>
    <row r="614" spans="1:2">
      <c r="A614">
        <v>94.596714065896407</v>
      </c>
      <c r="B614" t="s">
        <v>33</v>
      </c>
    </row>
    <row r="615" spans="1:2">
      <c r="A615">
        <v>98.834904873503604</v>
      </c>
      <c r="B615" t="s">
        <v>33</v>
      </c>
    </row>
    <row r="616" spans="1:2">
      <c r="A616">
        <v>53.168693606454099</v>
      </c>
      <c r="B616" t="s">
        <v>33</v>
      </c>
    </row>
    <row r="617" spans="1:2">
      <c r="A617">
        <v>68.614751325573494</v>
      </c>
      <c r="B617" t="s">
        <v>52</v>
      </c>
    </row>
    <row r="618" spans="1:2">
      <c r="A618">
        <v>50.934570711789299</v>
      </c>
      <c r="B618" t="s">
        <v>83</v>
      </c>
    </row>
    <row r="619" spans="1:2">
      <c r="A619">
        <v>78.144026660478303</v>
      </c>
      <c r="B619" t="s">
        <v>52</v>
      </c>
    </row>
    <row r="620" spans="1:2">
      <c r="A620">
        <v>53.742205662137202</v>
      </c>
      <c r="B620" t="s">
        <v>83</v>
      </c>
    </row>
    <row r="621" spans="1:2">
      <c r="A621">
        <v>74.185990062172394</v>
      </c>
      <c r="B621" t="s">
        <v>33</v>
      </c>
    </row>
    <row r="622" spans="1:2">
      <c r="A622">
        <v>58.542192996652098</v>
      </c>
      <c r="B622" t="s">
        <v>83</v>
      </c>
    </row>
    <row r="623" spans="1:2">
      <c r="A623">
        <v>53.174032275393003</v>
      </c>
      <c r="B623" t="s">
        <v>321</v>
      </c>
    </row>
    <row r="624" spans="1:2">
      <c r="A624">
        <v>51.082970970066903</v>
      </c>
      <c r="B624" t="s">
        <v>83</v>
      </c>
    </row>
    <row r="625" spans="1:2">
      <c r="A625">
        <v>92.430348528769002</v>
      </c>
      <c r="B625" t="s">
        <v>33</v>
      </c>
    </row>
    <row r="626" spans="1:2">
      <c r="A626">
        <v>51.190292141588401</v>
      </c>
      <c r="B626" t="s">
        <v>33</v>
      </c>
    </row>
    <row r="627" spans="1:2">
      <c r="A627">
        <v>80.437638561051102</v>
      </c>
      <c r="B627" t="s">
        <v>33</v>
      </c>
    </row>
    <row r="628" spans="1:2">
      <c r="A628">
        <v>62.789303974765701</v>
      </c>
      <c r="B628" t="s">
        <v>83</v>
      </c>
    </row>
    <row r="629" spans="1:2">
      <c r="A629">
        <v>51.955368211469697</v>
      </c>
      <c r="B629" t="s">
        <v>70</v>
      </c>
    </row>
    <row r="630" spans="1:2">
      <c r="A630">
        <v>62.900720710933598</v>
      </c>
      <c r="B630" t="s">
        <v>33</v>
      </c>
    </row>
    <row r="631" spans="1:2">
      <c r="A631">
        <v>58.286258994095299</v>
      </c>
      <c r="B631" t="s">
        <v>70</v>
      </c>
    </row>
    <row r="632" spans="1:2">
      <c r="A632">
        <v>72.008712080853698</v>
      </c>
      <c r="B632" t="s">
        <v>52</v>
      </c>
    </row>
    <row r="633" spans="1:2">
      <c r="A633">
        <v>74.809620840319198</v>
      </c>
      <c r="B633" t="s">
        <v>45</v>
      </c>
    </row>
    <row r="634" spans="1:2">
      <c r="A634">
        <v>55.909871338807797</v>
      </c>
      <c r="B634" t="s">
        <v>83</v>
      </c>
    </row>
    <row r="635" spans="1:2">
      <c r="A635">
        <v>52.109940797027697</v>
      </c>
      <c r="B635" t="s">
        <v>33</v>
      </c>
    </row>
    <row r="636" spans="1:2">
      <c r="A636">
        <v>58.326829669169101</v>
      </c>
      <c r="B636" t="s">
        <v>144</v>
      </c>
    </row>
    <row r="637" spans="1:2">
      <c r="A637">
        <v>73.771582820828002</v>
      </c>
      <c r="B637" t="s">
        <v>178</v>
      </c>
    </row>
    <row r="638" spans="1:2">
      <c r="A638">
        <v>52.224211153717803</v>
      </c>
      <c r="B638" t="s">
        <v>33</v>
      </c>
    </row>
    <row r="639" spans="1:2">
      <c r="A639">
        <v>57.029185069879503</v>
      </c>
      <c r="B639" t="s">
        <v>33</v>
      </c>
    </row>
    <row r="640" spans="1:2">
      <c r="A640">
        <v>50.136942779984203</v>
      </c>
      <c r="B640" t="s">
        <v>83</v>
      </c>
    </row>
    <row r="641" spans="1:2">
      <c r="A641">
        <v>100.14830414786201</v>
      </c>
      <c r="B641" t="s">
        <v>52</v>
      </c>
    </row>
    <row r="642" spans="1:2">
      <c r="A642">
        <v>78.319404484103998</v>
      </c>
      <c r="B642" t="s">
        <v>33</v>
      </c>
    </row>
    <row r="643" spans="1:2">
      <c r="A643">
        <v>54.408473067246199</v>
      </c>
      <c r="B643" t="s">
        <v>45</v>
      </c>
    </row>
    <row r="644" spans="1:2">
      <c r="A644">
        <v>85.125194295150706</v>
      </c>
      <c r="B644" t="s">
        <v>83</v>
      </c>
    </row>
    <row r="645" spans="1:2">
      <c r="A645">
        <v>71.869290183013305</v>
      </c>
      <c r="B645" t="s">
        <v>33</v>
      </c>
    </row>
    <row r="646" spans="1:2">
      <c r="A646">
        <v>59.7484517307293</v>
      </c>
      <c r="B646" t="s">
        <v>144</v>
      </c>
    </row>
    <row r="647" spans="1:2">
      <c r="A647">
        <v>79.246606323248798</v>
      </c>
      <c r="B647" t="s">
        <v>33</v>
      </c>
    </row>
    <row r="648" spans="1:2">
      <c r="A648">
        <v>52.597923006031699</v>
      </c>
      <c r="B648" t="s">
        <v>45</v>
      </c>
    </row>
    <row r="649" spans="1:2">
      <c r="A649">
        <v>109.759742401415</v>
      </c>
      <c r="B649" t="s">
        <v>33</v>
      </c>
    </row>
    <row r="650" spans="1:2">
      <c r="A650">
        <v>55.7030168220899</v>
      </c>
      <c r="B650" t="s">
        <v>33</v>
      </c>
    </row>
    <row r="651" spans="1:2">
      <c r="A651">
        <v>78.851597744893198</v>
      </c>
      <c r="B651" t="s">
        <v>83</v>
      </c>
    </row>
    <row r="652" spans="1:2">
      <c r="A652">
        <v>82.831154900410695</v>
      </c>
      <c r="B652" t="s">
        <v>83</v>
      </c>
    </row>
    <row r="653" spans="1:2">
      <c r="A653">
        <v>100.971631333883</v>
      </c>
      <c r="B653" t="s">
        <v>33</v>
      </c>
    </row>
    <row r="654" spans="1:2">
      <c r="A654">
        <v>56.275922166892997</v>
      </c>
      <c r="B654" t="s">
        <v>33</v>
      </c>
    </row>
    <row r="655" spans="1:2">
      <c r="A655">
        <v>88.259867573395496</v>
      </c>
      <c r="B655" t="s">
        <v>33</v>
      </c>
    </row>
    <row r="656" spans="1:2">
      <c r="A656">
        <v>89.348813290248501</v>
      </c>
      <c r="B656" t="s">
        <v>331</v>
      </c>
    </row>
    <row r="657" spans="1:2">
      <c r="A657">
        <v>82.289053615979199</v>
      </c>
      <c r="B657" t="s">
        <v>132</v>
      </c>
    </row>
    <row r="658" spans="1:2">
      <c r="A658">
        <v>78.862396950289707</v>
      </c>
      <c r="B658" t="s">
        <v>52</v>
      </c>
    </row>
    <row r="659" spans="1:2">
      <c r="A659">
        <v>51.940796519075001</v>
      </c>
      <c r="B659" t="s">
        <v>33</v>
      </c>
    </row>
    <row r="660" spans="1:2">
      <c r="A660">
        <v>53.689360057240698</v>
      </c>
      <c r="B660" t="s">
        <v>33</v>
      </c>
    </row>
    <row r="661" spans="1:2">
      <c r="A661">
        <v>51.363750245130298</v>
      </c>
      <c r="B661" t="s">
        <v>33</v>
      </c>
    </row>
    <row r="662" spans="1:2">
      <c r="A662">
        <v>64.644110615290103</v>
      </c>
      <c r="B662" t="s">
        <v>178</v>
      </c>
    </row>
    <row r="663" spans="1:2">
      <c r="A663">
        <v>62.537134044361203</v>
      </c>
      <c r="B663" t="s">
        <v>96</v>
      </c>
    </row>
    <row r="664" spans="1:2">
      <c r="A664">
        <v>68.997055133552195</v>
      </c>
      <c r="B664" t="s">
        <v>33</v>
      </c>
    </row>
    <row r="665" spans="1:2">
      <c r="A665">
        <v>63.606786589231397</v>
      </c>
      <c r="B665" t="s">
        <v>83</v>
      </c>
    </row>
    <row r="666" spans="1:2">
      <c r="A666">
        <v>102.051034177692</v>
      </c>
      <c r="B666" t="s">
        <v>33</v>
      </c>
    </row>
    <row r="667" spans="1:2">
      <c r="A667">
        <v>74.433018467114096</v>
      </c>
      <c r="B667" t="s">
        <v>83</v>
      </c>
    </row>
    <row r="668" spans="1:2">
      <c r="A668">
        <v>53.225538860924097</v>
      </c>
      <c r="B668" t="s">
        <v>321</v>
      </c>
    </row>
    <row r="669" spans="1:2">
      <c r="A669">
        <v>58.606809123381602</v>
      </c>
      <c r="B669" t="s">
        <v>33</v>
      </c>
    </row>
    <row r="670" spans="1:2">
      <c r="A670">
        <v>86.656484419505105</v>
      </c>
      <c r="B670" t="s">
        <v>331</v>
      </c>
    </row>
    <row r="671" spans="1:2">
      <c r="A671">
        <v>95.090554380071097</v>
      </c>
      <c r="B671" t="s">
        <v>178</v>
      </c>
    </row>
    <row r="672" spans="1:2">
      <c r="A672">
        <v>74.426662049159802</v>
      </c>
      <c r="B672" t="s">
        <v>75</v>
      </c>
    </row>
    <row r="673" spans="1:2">
      <c r="A673">
        <v>66.007110049907695</v>
      </c>
      <c r="B673" t="s">
        <v>33</v>
      </c>
    </row>
    <row r="674" spans="1:2">
      <c r="A674">
        <v>71.696611185937698</v>
      </c>
      <c r="B674" t="s">
        <v>33</v>
      </c>
    </row>
    <row r="675" spans="1:2">
      <c r="A675">
        <v>74.043000480508198</v>
      </c>
      <c r="B675" t="s">
        <v>33</v>
      </c>
    </row>
    <row r="676" spans="1:2">
      <c r="A676">
        <v>59.065152952827397</v>
      </c>
      <c r="B676" t="s">
        <v>45</v>
      </c>
    </row>
    <row r="677" spans="1:2">
      <c r="A677">
        <v>80.060327123617</v>
      </c>
      <c r="B677" t="s">
        <v>83</v>
      </c>
    </row>
    <row r="678" spans="1:2">
      <c r="A678">
        <v>60.132050534054898</v>
      </c>
      <c r="B678" t="s">
        <v>83</v>
      </c>
    </row>
    <row r="679" spans="1:2">
      <c r="A679">
        <v>70.830909247601099</v>
      </c>
      <c r="B679" t="s">
        <v>331</v>
      </c>
    </row>
    <row r="680" spans="1:2">
      <c r="A680">
        <v>55.365657180099603</v>
      </c>
      <c r="B680" t="s">
        <v>96</v>
      </c>
    </row>
    <row r="681" spans="1:2">
      <c r="A681">
        <v>84.853541138287994</v>
      </c>
      <c r="B681" t="s">
        <v>33</v>
      </c>
    </row>
    <row r="682" spans="1:2">
      <c r="A682">
        <v>81.855561974747104</v>
      </c>
      <c r="B682" t="s">
        <v>33</v>
      </c>
    </row>
    <row r="683" spans="1:2">
      <c r="A683">
        <v>50.964285332977603</v>
      </c>
      <c r="B683" t="s">
        <v>45</v>
      </c>
    </row>
    <row r="684" spans="1:2">
      <c r="A684">
        <v>54.255624870618803</v>
      </c>
      <c r="B684" t="s">
        <v>33</v>
      </c>
    </row>
    <row r="685" spans="1:2">
      <c r="A685">
        <v>64.148937561958604</v>
      </c>
      <c r="B685" t="s">
        <v>331</v>
      </c>
    </row>
    <row r="686" spans="1:2">
      <c r="A686">
        <v>50.357268065469199</v>
      </c>
      <c r="B686" t="s">
        <v>83</v>
      </c>
    </row>
    <row r="687" spans="1:2">
      <c r="A687">
        <v>57.926378390487102</v>
      </c>
      <c r="B687" t="s">
        <v>33</v>
      </c>
    </row>
    <row r="688" spans="1:2">
      <c r="A688">
        <v>52.015709478601003</v>
      </c>
      <c r="B688" t="s">
        <v>279</v>
      </c>
    </row>
    <row r="689" spans="1:2">
      <c r="A689">
        <v>52.0572558502991</v>
      </c>
      <c r="B689" t="s">
        <v>83</v>
      </c>
    </row>
    <row r="690" spans="1:2">
      <c r="A690">
        <v>66.729938646870494</v>
      </c>
      <c r="B690" t="s">
        <v>70</v>
      </c>
    </row>
    <row r="691" spans="1:2">
      <c r="A691">
        <v>86.805947751439504</v>
      </c>
      <c r="B691" t="s">
        <v>144</v>
      </c>
    </row>
    <row r="692" spans="1:2">
      <c r="A692">
        <v>81.540535721716907</v>
      </c>
      <c r="B692" t="s">
        <v>33</v>
      </c>
    </row>
    <row r="693" spans="1:2">
      <c r="A693">
        <v>84.891446573016196</v>
      </c>
      <c r="B693" t="s">
        <v>33</v>
      </c>
    </row>
    <row r="694" spans="1:2">
      <c r="A694">
        <v>69.631828579115606</v>
      </c>
      <c r="B694" t="s">
        <v>279</v>
      </c>
    </row>
    <row r="695" spans="1:2">
      <c r="A695">
        <v>67.808804682551894</v>
      </c>
      <c r="B695" t="s">
        <v>144</v>
      </c>
    </row>
    <row r="696" spans="1:2">
      <c r="A696">
        <v>58.960932038462303</v>
      </c>
      <c r="B696" t="s">
        <v>33</v>
      </c>
    </row>
    <row r="697" spans="1:2">
      <c r="A697">
        <v>58.399785858934301</v>
      </c>
      <c r="B697" t="s">
        <v>75</v>
      </c>
    </row>
    <row r="698" spans="1:2">
      <c r="A698">
        <v>70.316061060590002</v>
      </c>
      <c r="B698" t="s">
        <v>144</v>
      </c>
    </row>
    <row r="699" spans="1:2">
      <c r="A699">
        <v>50.933540740830999</v>
      </c>
      <c r="B699" t="s">
        <v>279</v>
      </c>
    </row>
    <row r="700" spans="1:2">
      <c r="A700">
        <v>56.696378860545202</v>
      </c>
      <c r="B700" t="s">
        <v>144</v>
      </c>
    </row>
    <row r="701" spans="1:2">
      <c r="A701">
        <v>66.078746360684306</v>
      </c>
      <c r="B701" t="s">
        <v>132</v>
      </c>
    </row>
    <row r="702" spans="1:2">
      <c r="A702">
        <v>84.056955474962706</v>
      </c>
      <c r="B702" t="s">
        <v>331</v>
      </c>
    </row>
    <row r="703" spans="1:2">
      <c r="A703">
        <v>88.457979599760705</v>
      </c>
      <c r="B703" t="s">
        <v>33</v>
      </c>
    </row>
    <row r="704" spans="1:2">
      <c r="A704">
        <v>69.924731039985502</v>
      </c>
      <c r="B704" t="s">
        <v>83</v>
      </c>
    </row>
    <row r="705" spans="1:2">
      <c r="A705">
        <v>66.360240851191804</v>
      </c>
      <c r="B705" t="s">
        <v>33</v>
      </c>
    </row>
    <row r="706" spans="1:2">
      <c r="A706">
        <v>69.502614905478197</v>
      </c>
      <c r="B706" t="s">
        <v>83</v>
      </c>
    </row>
    <row r="707" spans="1:2">
      <c r="A707">
        <v>83.640547254261193</v>
      </c>
      <c r="B707" t="s">
        <v>83</v>
      </c>
    </row>
    <row r="708" spans="1:2">
      <c r="A708">
        <v>86.286628177052705</v>
      </c>
      <c r="B708" t="s">
        <v>75</v>
      </c>
    </row>
    <row r="709" spans="1:2">
      <c r="A709">
        <v>98.369485257380603</v>
      </c>
      <c r="B709" t="s">
        <v>45</v>
      </c>
    </row>
    <row r="710" spans="1:2">
      <c r="A710">
        <v>68.6726459369076</v>
      </c>
      <c r="B710" t="s">
        <v>83</v>
      </c>
    </row>
    <row r="711" spans="1:2">
      <c r="A711">
        <v>69.407250902600694</v>
      </c>
      <c r="B711" t="s">
        <v>33</v>
      </c>
    </row>
    <row r="712" spans="1:2">
      <c r="A712">
        <v>50.428619612739503</v>
      </c>
      <c r="B712" t="s">
        <v>75</v>
      </c>
    </row>
    <row r="713" spans="1:2">
      <c r="A713">
        <v>78.232369465354296</v>
      </c>
      <c r="B713" t="s">
        <v>96</v>
      </c>
    </row>
    <row r="714" spans="1:2">
      <c r="A714">
        <v>61.782106401197701</v>
      </c>
      <c r="B714" t="s">
        <v>83</v>
      </c>
    </row>
    <row r="715" spans="1:2">
      <c r="A715">
        <v>63.771696376112303</v>
      </c>
      <c r="B715" t="s">
        <v>83</v>
      </c>
    </row>
    <row r="716" spans="1:2">
      <c r="A716">
        <v>62.046496176151003</v>
      </c>
      <c r="B716" t="s">
        <v>75</v>
      </c>
    </row>
    <row r="717" spans="1:2">
      <c r="A717">
        <v>84.796651215593002</v>
      </c>
      <c r="B717" t="s">
        <v>83</v>
      </c>
    </row>
    <row r="718" spans="1:2">
      <c r="A718">
        <v>73.6611942961881</v>
      </c>
      <c r="B718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B2B9FB-778D-4D8A-85DF-4F44232A9E97}"/>
</file>

<file path=customXml/itemProps2.xml><?xml version="1.0" encoding="utf-8"?>
<ds:datastoreItem xmlns:ds="http://schemas.openxmlformats.org/officeDocument/2006/customXml" ds:itemID="{1946BEAC-FE55-4936-89A9-85E9180316A0}"/>
</file>

<file path=customXml/itemProps3.xml><?xml version="1.0" encoding="utf-8"?>
<ds:datastoreItem xmlns:ds="http://schemas.openxmlformats.org/officeDocument/2006/customXml" ds:itemID="{7474D179-101D-4FD1-B41E-1E278DCC6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2026-01-29T19:56:30Z</dcterms:created>
  <dcterms:modified xsi:type="dcterms:W3CDTF">2026-06-08T17:13:15Z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8530900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